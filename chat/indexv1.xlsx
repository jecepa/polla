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7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2" activeTab="3"/>
  </bookViews>
  <sheets>
    <sheet name="Portada" sheetId="1" state="hidden" r:id="rId3"/>
    <sheet name="Equipos_Grupos" sheetId="2" state="hidden" r:id="rId4"/>
    <sheet name="Puntajes" sheetId="3" state="visible" r:id="rId5"/>
    <sheet name="Participantes" sheetId="4" state="visible" r:id="rId6"/>
    <sheet name="Partidos" sheetId="5" state="visible" r:id="rId7"/>
    <sheet name="VGrupo" sheetId="6" state="visible" r:id="rId8"/>
    <sheet name="Clasificacion" sheetId="7" state="visible" r:id="rId9"/>
    <sheet name="Posiciones" sheetId="8" state="visible" r:id="rId10"/>
    <sheet name="Mejores_Terceros" sheetId="9" state="visible" r:id="rId11"/>
    <sheet name="Llaves" sheetId="10" state="hidden" r:id="rId12"/>
    <sheet name="Fuentes" sheetId="11" state="hidden" r:id="rId13"/>
    <sheet name="Asignacion_3ros" sheetId="12" state="hidden" r:id="rId14"/>
    <sheet name="Tabla_3ros" sheetId="13" state="visible" r:id="rId15"/>
    <sheet name="Grupo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<sst xmlns="http://schemas.openxmlformats.org/spreadsheetml/2006/main" count="6641" uniqueCount="925">
  <si>
    <t xml:space="preserve">Mundial FIFA 2026 - Calendario y clasificación</t>
  </si>
  <si>
    <t xml:space="preserve">Uso</t>
  </si>
  <si>
    <t xml:space="preserve">1</t>
  </si>
  <si>
    <t xml:space="preserve">Escribe los goles en la hoja Partidos, columnas H e I. Las tablas se recalculan automáticamente.</t>
  </si>
  <si>
    <t xml:space="preserve">2</t>
  </si>
  <si>
    <t xml:space="preserve">Las posiciones de grupo están identificadas como A1, A2, A3, A4, etc.</t>
  </si>
  <si>
    <t xml:space="preserve">3</t>
  </si>
  <si>
    <t xml:space="preserve">Los cruces de eliminatoria usan placeholders oficiales: 1A, 2B, 3C/D/E, W74, etc.</t>
  </si>
  <si>
    <t xml:space="preserve">4</t>
  </si>
  <si>
    <t xml:space="preserve">La hoja Clasificacion calcula puntos, goles y posición básica; al inicio conserva el orden A1-A4 por grupo.</t>
  </si>
  <si>
    <t xml:space="preserve">5</t>
  </si>
  <si>
    <t xml:space="preserve">La columna Desempate manual permite resolver empates complejos de FIFA: mayor número = mejor desempate.</t>
  </si>
  <si>
    <t xml:space="preserve">6</t>
  </si>
  <si>
    <t xml:space="preserve">Horarios en Eastern Time (ET), como en el calendario de FIFA/CBS.</t>
  </si>
  <si>
    <t xml:space="preserve">Contenido</t>
  </si>
  <si>
    <t xml:space="preserve">Equipos_Grupos</t>
  </si>
  <si>
    <t xml:space="preserve">Listado de grupos, posiciones y códigos.</t>
  </si>
  <si>
    <t xml:space="preserve">Partidos</t>
  </si>
  <si>
    <t xml:space="preserve">Los 104 partidos, con columnas para ingresar resultados.</t>
  </si>
  <si>
    <t xml:space="preserve">Clasificacion</t>
  </si>
  <si>
    <t xml:space="preserve">Tabla automática por grupo.</t>
  </si>
  <si>
    <t xml:space="preserve">Mejores_Terceros</t>
  </si>
  <si>
    <t xml:space="preserve">Ranking automático de los terceros lugares.</t>
  </si>
  <si>
    <t xml:space="preserve">Llaves</t>
  </si>
  <si>
    <t xml:space="preserve">Resumen del cuadro eliminatorio con placeholders.</t>
  </si>
  <si>
    <t xml:space="preserve">Fuentes</t>
  </si>
  <si>
    <t xml:space="preserve">URLs usadas para armar el archivo.</t>
  </si>
  <si>
    <t xml:space="preserve">Notas</t>
  </si>
  <si>
    <t xml:space="preserve">El calendario está sujeto a cambios por FIFA.</t>
  </si>
  <si>
    <t xml:space="preserve">Grupo</t>
  </si>
  <si>
    <t xml:space="preserve">Posición</t>
  </si>
  <si>
    <t xml:space="preserve">Código</t>
  </si>
  <si>
    <t xml:space="preserve">Equipo</t>
  </si>
  <si>
    <t xml:space="preserve">A</t>
  </si>
  <si>
    <t xml:space="preserve">A1</t>
  </si>
  <si>
    <t xml:space="preserve">MEX</t>
  </si>
  <si>
    <t xml:space="preserve">México</t>
  </si>
  <si>
    <t xml:space="preserve">A2</t>
  </si>
  <si>
    <t xml:space="preserve">RSA</t>
  </si>
  <si>
    <t xml:space="preserve">Sudáfrica</t>
  </si>
  <si>
    <t xml:space="preserve">A3</t>
  </si>
  <si>
    <t xml:space="preserve">KOR</t>
  </si>
  <si>
    <t xml:space="preserve">Corea República</t>
  </si>
  <si>
    <t xml:space="preserve">A4</t>
  </si>
  <si>
    <t xml:space="preserve">CZE</t>
  </si>
  <si>
    <t xml:space="preserve">Chequia</t>
  </si>
  <si>
    <t xml:space="preserve">B</t>
  </si>
  <si>
    <t xml:space="preserve">B1</t>
  </si>
  <si>
    <t xml:space="preserve">CAN</t>
  </si>
  <si>
    <t xml:space="preserve">Canadá</t>
  </si>
  <si>
    <t xml:space="preserve">B2</t>
  </si>
  <si>
    <t xml:space="preserve">BIH</t>
  </si>
  <si>
    <t xml:space="preserve">Bosnia y Herzegovina</t>
  </si>
  <si>
    <t xml:space="preserve">B3</t>
  </si>
  <si>
    <t xml:space="preserve">QAT</t>
  </si>
  <si>
    <t xml:space="preserve">Qatar</t>
  </si>
  <si>
    <t xml:space="preserve">B4</t>
  </si>
  <si>
    <t xml:space="preserve">SUI</t>
  </si>
  <si>
    <t xml:space="preserve">Suiza</t>
  </si>
  <si>
    <t xml:space="preserve">C</t>
  </si>
  <si>
    <t xml:space="preserve">C1</t>
  </si>
  <si>
    <t xml:space="preserve">BRA</t>
  </si>
  <si>
    <t xml:space="preserve">Brasil</t>
  </si>
  <si>
    <t xml:space="preserve">C2</t>
  </si>
  <si>
    <t xml:space="preserve">MAR</t>
  </si>
  <si>
    <t xml:space="preserve">Marruecos</t>
  </si>
  <si>
    <t xml:space="preserve">C3</t>
  </si>
  <si>
    <t xml:space="preserve">HAI</t>
  </si>
  <si>
    <t xml:space="preserve">Haití</t>
  </si>
  <si>
    <t xml:space="preserve">C4</t>
  </si>
  <si>
    <t xml:space="preserve">SCO</t>
  </si>
  <si>
    <t xml:space="preserve">Escocia</t>
  </si>
  <si>
    <t xml:space="preserve">D</t>
  </si>
  <si>
    <t xml:space="preserve">D1</t>
  </si>
  <si>
    <t xml:space="preserve">USA</t>
  </si>
  <si>
    <t xml:space="preserve">Estados Unidos</t>
  </si>
  <si>
    <t xml:space="preserve">D2</t>
  </si>
  <si>
    <t xml:space="preserve">PAR</t>
  </si>
  <si>
    <t xml:space="preserve">Paraguay</t>
  </si>
  <si>
    <t xml:space="preserve">D3</t>
  </si>
  <si>
    <t xml:space="preserve">AUS</t>
  </si>
  <si>
    <t xml:space="preserve">Australia</t>
  </si>
  <si>
    <t xml:space="preserve">D4</t>
  </si>
  <si>
    <t xml:space="preserve">TUR</t>
  </si>
  <si>
    <t xml:space="preserve">Türkiye</t>
  </si>
  <si>
    <t xml:space="preserve">E</t>
  </si>
  <si>
    <t xml:space="preserve">E1</t>
  </si>
  <si>
    <t xml:space="preserve">GER</t>
  </si>
  <si>
    <t xml:space="preserve">Alemania</t>
  </si>
  <si>
    <t xml:space="preserve">E2</t>
  </si>
  <si>
    <t xml:space="preserve">CUW</t>
  </si>
  <si>
    <t xml:space="preserve">Curazao</t>
  </si>
  <si>
    <t xml:space="preserve">E3</t>
  </si>
  <si>
    <t xml:space="preserve">CIV</t>
  </si>
  <si>
    <t xml:space="preserve">Costa de Marfil</t>
  </si>
  <si>
    <t xml:space="preserve">E4</t>
  </si>
  <si>
    <t xml:space="preserve">ECU</t>
  </si>
  <si>
    <t xml:space="preserve">Ecuador</t>
  </si>
  <si>
    <t xml:space="preserve">F</t>
  </si>
  <si>
    <t xml:space="preserve">F1</t>
  </si>
  <si>
    <t xml:space="preserve">NED</t>
  </si>
  <si>
    <t xml:space="preserve">Países Bajos</t>
  </si>
  <si>
    <t xml:space="preserve">F2</t>
  </si>
  <si>
    <t xml:space="preserve">JPN</t>
  </si>
  <si>
    <t xml:space="preserve">Japón</t>
  </si>
  <si>
    <t xml:space="preserve">F3</t>
  </si>
  <si>
    <t xml:space="preserve">SWE</t>
  </si>
  <si>
    <t xml:space="preserve">Suecia</t>
  </si>
  <si>
    <t xml:space="preserve">F4</t>
  </si>
  <si>
    <t xml:space="preserve">TUN</t>
  </si>
  <si>
    <t xml:space="preserve">Túnez</t>
  </si>
  <si>
    <t xml:space="preserve">G</t>
  </si>
  <si>
    <t xml:space="preserve">G1</t>
  </si>
  <si>
    <t xml:space="preserve">BEL</t>
  </si>
  <si>
    <t xml:space="preserve">Bélgica</t>
  </si>
  <si>
    <t xml:space="preserve">G2</t>
  </si>
  <si>
    <t xml:space="preserve">EGY</t>
  </si>
  <si>
    <t xml:space="preserve">Egipto</t>
  </si>
  <si>
    <t xml:space="preserve">G3</t>
  </si>
  <si>
    <t xml:space="preserve">IRN</t>
  </si>
  <si>
    <t xml:space="preserve">Irán</t>
  </si>
  <si>
    <t xml:space="preserve">G4</t>
  </si>
  <si>
    <t xml:space="preserve">NZL</t>
  </si>
  <si>
    <t xml:space="preserve">Nueva Zelanda</t>
  </si>
  <si>
    <t xml:space="preserve">H</t>
  </si>
  <si>
    <t xml:space="preserve">H1</t>
  </si>
  <si>
    <t xml:space="preserve">ESP</t>
  </si>
  <si>
    <t xml:space="preserve">España</t>
  </si>
  <si>
    <t xml:space="preserve">H2</t>
  </si>
  <si>
    <t xml:space="preserve">CPV</t>
  </si>
  <si>
    <t xml:space="preserve">Cabo Verde</t>
  </si>
  <si>
    <t xml:space="preserve">H3</t>
  </si>
  <si>
    <t xml:space="preserve">KSA</t>
  </si>
  <si>
    <t xml:space="preserve">Arabia Saudita</t>
  </si>
  <si>
    <t xml:space="preserve">H4</t>
  </si>
  <si>
    <t xml:space="preserve">URU</t>
  </si>
  <si>
    <t xml:space="preserve">Uruguay</t>
  </si>
  <si>
    <t xml:space="preserve">I</t>
  </si>
  <si>
    <t xml:space="preserve">I1</t>
  </si>
  <si>
    <t xml:space="preserve">FRA</t>
  </si>
  <si>
    <t xml:space="preserve">Francia</t>
  </si>
  <si>
    <t xml:space="preserve">I2</t>
  </si>
  <si>
    <t xml:space="preserve">SEN</t>
  </si>
  <si>
    <t xml:space="preserve">Senegal</t>
  </si>
  <si>
    <t xml:space="preserve">I3</t>
  </si>
  <si>
    <t xml:space="preserve">IRQ</t>
  </si>
  <si>
    <t xml:space="preserve">Irak</t>
  </si>
  <si>
    <t xml:space="preserve">I4</t>
  </si>
  <si>
    <t xml:space="preserve">NOR</t>
  </si>
  <si>
    <t xml:space="preserve">Noruega</t>
  </si>
  <si>
    <t xml:space="preserve">J</t>
  </si>
  <si>
    <t xml:space="preserve">J1</t>
  </si>
  <si>
    <t xml:space="preserve">ARG</t>
  </si>
  <si>
    <t xml:space="preserve">Argentina</t>
  </si>
  <si>
    <t xml:space="preserve">J2</t>
  </si>
  <si>
    <t xml:space="preserve">ALG</t>
  </si>
  <si>
    <t xml:space="preserve">Argelia</t>
  </si>
  <si>
    <t xml:space="preserve">J3</t>
  </si>
  <si>
    <t xml:space="preserve">AUT</t>
  </si>
  <si>
    <t xml:space="preserve">Austria</t>
  </si>
  <si>
    <t xml:space="preserve">J4</t>
  </si>
  <si>
    <t xml:space="preserve">JOR</t>
  </si>
  <si>
    <t xml:space="preserve">Jordania</t>
  </si>
  <si>
    <t xml:space="preserve">K</t>
  </si>
  <si>
    <t xml:space="preserve">K1</t>
  </si>
  <si>
    <t xml:space="preserve">POR</t>
  </si>
  <si>
    <t xml:space="preserve">Portugal</t>
  </si>
  <si>
    <t xml:space="preserve">K2</t>
  </si>
  <si>
    <t xml:space="preserve">COD</t>
  </si>
  <si>
    <t xml:space="preserve">RD Congo</t>
  </si>
  <si>
    <t xml:space="preserve">K3</t>
  </si>
  <si>
    <t xml:space="preserve">UZB</t>
  </si>
  <si>
    <t xml:space="preserve">Uzbekistán</t>
  </si>
  <si>
    <t xml:space="preserve">K4</t>
  </si>
  <si>
    <t xml:space="preserve">COL</t>
  </si>
  <si>
    <t xml:space="preserve">Colombia</t>
  </si>
  <si>
    <t xml:space="preserve">L</t>
  </si>
  <si>
    <t xml:space="preserve">L1</t>
  </si>
  <si>
    <t xml:space="preserve">ENG</t>
  </si>
  <si>
    <t xml:space="preserve">Inglaterra</t>
  </si>
  <si>
    <t xml:space="preserve">L2</t>
  </si>
  <si>
    <t xml:space="preserve">CRO</t>
  </si>
  <si>
    <t xml:space="preserve">Croacia</t>
  </si>
  <si>
    <t xml:space="preserve">L3</t>
  </si>
  <si>
    <t xml:space="preserve">GHA</t>
  </si>
  <si>
    <t xml:space="preserve">Ghana</t>
  </si>
  <si>
    <t xml:space="preserve">L4</t>
  </si>
  <si>
    <t xml:space="preserve">PAN</t>
  </si>
  <si>
    <t xml:space="preserve">Panamá</t>
  </si>
  <si>
    <t xml:space="preserve">Número</t>
  </si>
  <si>
    <t xml:space="preserve">Posición.</t>
  </si>
  <si>
    <t xml:space="preserve">Nombre</t>
  </si>
  <si>
    <t xml:space="preserve">Puntaje </t>
  </si>
  <si>
    <t xml:space="preserve">Corea</t>
  </si>
  <si>
    <t xml:space="preserve">Bosnia</t>
  </si>
  <si>
    <t xml:space="preserve">Alberto</t>
  </si>
  <si>
    <t xml:space="preserve">Alexander</t>
  </si>
  <si>
    <t xml:space="preserve">Alfredo 1</t>
  </si>
  <si>
    <t xml:space="preserve">Alfredo 2</t>
  </si>
  <si>
    <t xml:space="preserve">Aneth</t>
  </si>
  <si>
    <t xml:space="preserve">Antonio</t>
  </si>
  <si>
    <t xml:space="preserve">Carlos</t>
  </si>
  <si>
    <t xml:space="preserve">Castillo L.</t>
  </si>
  <si>
    <t xml:space="preserve">Christofer</t>
  </si>
  <si>
    <t xml:space="preserve">Cynthia</t>
  </si>
  <si>
    <t xml:space="preserve">Edward</t>
  </si>
  <si>
    <t xml:space="preserve">Espinosa L.</t>
  </si>
  <si>
    <t xml:space="preserve">Freddy</t>
  </si>
  <si>
    <t xml:space="preserve">Isabel 1</t>
  </si>
  <si>
    <t xml:space="preserve">Isabel 2</t>
  </si>
  <si>
    <t xml:space="preserve">Javier</t>
  </si>
  <si>
    <t xml:space="preserve">Jose C 1</t>
  </si>
  <si>
    <t xml:space="preserve">Jose C 2</t>
  </si>
  <si>
    <t xml:space="preserve">Jose C Ahiza</t>
  </si>
  <si>
    <t xml:space="preserve">Jose C Ana</t>
  </si>
  <si>
    <t xml:space="preserve">Jose C Judith</t>
  </si>
  <si>
    <t xml:space="preserve">José de León</t>
  </si>
  <si>
    <t xml:space="preserve">Jovanna</t>
  </si>
  <si>
    <t xml:space="preserve">Karina</t>
  </si>
  <si>
    <t xml:space="preserve">Kattia 1</t>
  </si>
  <si>
    <t xml:space="preserve">Kattia 2</t>
  </si>
  <si>
    <t xml:space="preserve">Kevin</t>
  </si>
  <si>
    <t xml:space="preserve">Lizka</t>
  </si>
  <si>
    <t xml:space="preserve">Luis Peña</t>
  </si>
  <si>
    <t xml:space="preserve">Marco R.</t>
  </si>
  <si>
    <t xml:space="preserve">Maricela</t>
  </si>
  <si>
    <t xml:space="preserve">Marilyn</t>
  </si>
  <si>
    <t xml:space="preserve">Medica</t>
  </si>
  <si>
    <t xml:space="preserve">Milagros</t>
  </si>
  <si>
    <t xml:space="preserve">Mily CF 1</t>
  </si>
  <si>
    <t xml:space="preserve">Mily CF 2</t>
  </si>
  <si>
    <t xml:space="preserve">Mily Frida</t>
  </si>
  <si>
    <t xml:space="preserve">Mily Oliver</t>
  </si>
  <si>
    <t xml:space="preserve">Mily Zeynneth</t>
  </si>
  <si>
    <t xml:space="preserve">Nefreteri</t>
  </si>
  <si>
    <t xml:space="preserve">Ninoshka</t>
  </si>
  <si>
    <t xml:space="preserve">Osvaldo</t>
  </si>
  <si>
    <t xml:space="preserve">Peter</t>
  </si>
  <si>
    <t xml:space="preserve">Quinnie</t>
  </si>
  <si>
    <t xml:space="preserve">Radames</t>
  </si>
  <si>
    <t xml:space="preserve">Saul</t>
  </si>
  <si>
    <t xml:space="preserve">Silvia</t>
  </si>
  <si>
    <t xml:space="preserve">Walder</t>
  </si>
  <si>
    <t xml:space="preserve">Waldo</t>
  </si>
  <si>
    <t xml:space="preserve">N°</t>
  </si>
  <si>
    <t xml:space="preserve">Fecha</t>
  </si>
  <si>
    <t xml:space="preserve">Hora ET</t>
  </si>
  <si>
    <t xml:space="preserve">Fase</t>
  </si>
  <si>
    <t xml:space="preserve">Local</t>
  </si>
  <si>
    <t xml:space="preserve">Visitante</t>
  </si>
  <si>
    <t xml:space="preserve">Goles Local</t>
  </si>
  <si>
    <t xml:space="preserve">Goles Visitante</t>
  </si>
  <si>
    <t xml:space="preserve">Ganador/Clasifica</t>
  </si>
  <si>
    <t xml:space="preserve">Sede</t>
  </si>
  <si>
    <t xml:space="preserve">Local código</t>
  </si>
  <si>
    <t xml:space="preserve">Visitante código</t>
  </si>
  <si>
    <t xml:space="preserve">Local posición</t>
  </si>
  <si>
    <t xml:space="preserve">Visitante posición</t>
  </si>
  <si>
    <t xml:space="preserve">Fuente/Nota</t>
  </si>
  <si>
    <t xml:space="preserve">Nota</t>
  </si>
  <si>
    <t xml:space="preserve">15:00</t>
  </si>
  <si>
    <t xml:space="preserve">Mexico City</t>
  </si>
  <si>
    <t xml:space="preserve">FIFA/CBS</t>
  </si>
  <si>
    <t xml:space="preserve">Eliminatorias: si una posición aún no está definida, F/G muestran la llave (1A, 2B, 3A/B/C..., W74, L101). Un grupo solo clasifica cuando sus 4 equipos tienen al menos 1 partido con marcador.</t>
  </si>
  <si>
    <t xml:space="preserve">22:00</t>
  </si>
  <si>
    <t xml:space="preserve">Guadalajara</t>
  </si>
  <si>
    <t xml:space="preserve">Toronto</t>
  </si>
  <si>
    <t xml:space="preserve">21:00</t>
  </si>
  <si>
    <t xml:space="preserve">Los Angeles</t>
  </si>
  <si>
    <t xml:space="preserve">Boston</t>
  </si>
  <si>
    <t xml:space="preserve">00:00</t>
  </si>
  <si>
    <t xml:space="preserve">Vancouver</t>
  </si>
  <si>
    <t xml:space="preserve">18:00</t>
  </si>
  <si>
    <t xml:space="preserve">New York New Jersey</t>
  </si>
  <si>
    <t xml:space="preserve">San Francisco Bay Area</t>
  </si>
  <si>
    <t xml:space="preserve">19:00</t>
  </si>
  <si>
    <t xml:space="preserve">Philadelphia</t>
  </si>
  <si>
    <t xml:space="preserve">13:00</t>
  </si>
  <si>
    <t xml:space="preserve">Houston</t>
  </si>
  <si>
    <t xml:space="preserve">16:00</t>
  </si>
  <si>
    <t xml:space="preserve">Dallas</t>
  </si>
  <si>
    <t xml:space="preserve">Monterrey</t>
  </si>
  <si>
    <t xml:space="preserve">Miami</t>
  </si>
  <si>
    <t xml:space="preserve">12:00</t>
  </si>
  <si>
    <t xml:space="preserve">Atlanta</t>
  </si>
  <si>
    <t xml:space="preserve">Seattle</t>
  </si>
  <si>
    <t xml:space="preserve">Kansas City</t>
  </si>
  <si>
    <t xml:space="preserve">20:30</t>
  </si>
  <si>
    <t xml:space="preserve">23:00</t>
  </si>
  <si>
    <t xml:space="preserve">20:00</t>
  </si>
  <si>
    <t xml:space="preserve">17:00</t>
  </si>
  <si>
    <t xml:space="preserve">19:30</t>
  </si>
  <si>
    <t xml:space="preserve">Ronda de 32</t>
  </si>
  <si>
    <t xml:space="preserve">2A</t>
  </si>
  <si>
    <t xml:space="preserve">2B</t>
  </si>
  <si>
    <t xml:space="preserve">16:30</t>
  </si>
  <si>
    <t xml:space="preserve">1E</t>
  </si>
  <si>
    <t xml:space="preserve">3A/B/C/D/F</t>
  </si>
  <si>
    <t xml:space="preserve">1F</t>
  </si>
  <si>
    <t xml:space="preserve">2C</t>
  </si>
  <si>
    <t xml:space="preserve">1C</t>
  </si>
  <si>
    <t xml:space="preserve">2F</t>
  </si>
  <si>
    <t xml:space="preserve">1I</t>
  </si>
  <si>
    <t xml:space="preserve">3C/D/F/G/H</t>
  </si>
  <si>
    <t xml:space="preserve">2E</t>
  </si>
  <si>
    <t xml:space="preserve">2I</t>
  </si>
  <si>
    <t xml:space="preserve">1A</t>
  </si>
  <si>
    <t xml:space="preserve">3C/E/F/H/I</t>
  </si>
  <si>
    <t xml:space="preserve">1L</t>
  </si>
  <si>
    <t xml:space="preserve">3E/H/I/J/K</t>
  </si>
  <si>
    <t xml:space="preserve">1D</t>
  </si>
  <si>
    <t xml:space="preserve">3B/E/F/I/J</t>
  </si>
  <si>
    <t xml:space="preserve">1G</t>
  </si>
  <si>
    <t xml:space="preserve">3A/E/H/I/J</t>
  </si>
  <si>
    <t xml:space="preserve">2K</t>
  </si>
  <si>
    <t xml:space="preserve">2L</t>
  </si>
  <si>
    <t xml:space="preserve">1H</t>
  </si>
  <si>
    <t xml:space="preserve">2J</t>
  </si>
  <si>
    <t xml:space="preserve">1B</t>
  </si>
  <si>
    <t xml:space="preserve">3E/F/G/I/J</t>
  </si>
  <si>
    <t xml:space="preserve">1J</t>
  </si>
  <si>
    <t xml:space="preserve">2H</t>
  </si>
  <si>
    <t xml:space="preserve">21:30</t>
  </si>
  <si>
    <t xml:space="preserve">1K</t>
  </si>
  <si>
    <t xml:space="preserve">3D/E/I/J/L</t>
  </si>
  <si>
    <t xml:space="preserve">14:00</t>
  </si>
  <si>
    <t xml:space="preserve">2D</t>
  </si>
  <si>
    <t xml:space="preserve">2G</t>
  </si>
  <si>
    <t xml:space="preserve">Octavos</t>
  </si>
  <si>
    <t xml:space="preserve">W74</t>
  </si>
  <si>
    <t xml:space="preserve">W77</t>
  </si>
  <si>
    <t xml:space="preserve">W73</t>
  </si>
  <si>
    <t xml:space="preserve">W75</t>
  </si>
  <si>
    <t xml:space="preserve">W76</t>
  </si>
  <si>
    <t xml:space="preserve">W78</t>
  </si>
  <si>
    <t xml:space="preserve">W79</t>
  </si>
  <si>
    <t xml:space="preserve">W80</t>
  </si>
  <si>
    <t xml:space="preserve">W83</t>
  </si>
  <si>
    <t xml:space="preserve">W84</t>
  </si>
  <si>
    <t xml:space="preserve">W81</t>
  </si>
  <si>
    <t xml:space="preserve">W82</t>
  </si>
  <si>
    <t xml:space="preserve">W86</t>
  </si>
  <si>
    <t xml:space="preserve">W88</t>
  </si>
  <si>
    <t xml:space="preserve">W85</t>
  </si>
  <si>
    <t xml:space="preserve">W87</t>
  </si>
  <si>
    <t xml:space="preserve">Cuartos</t>
  </si>
  <si>
    <t xml:space="preserve">W89</t>
  </si>
  <si>
    <t xml:space="preserve">W90</t>
  </si>
  <si>
    <t xml:space="preserve">W93</t>
  </si>
  <si>
    <t xml:space="preserve">W94</t>
  </si>
  <si>
    <t xml:space="preserve">W91</t>
  </si>
  <si>
    <t xml:space="preserve">W92</t>
  </si>
  <si>
    <t xml:space="preserve">W95</t>
  </si>
  <si>
    <t xml:space="preserve">W96</t>
  </si>
  <si>
    <t xml:space="preserve">Semifinal</t>
  </si>
  <si>
    <t xml:space="preserve">W97</t>
  </si>
  <si>
    <t xml:space="preserve">W98</t>
  </si>
  <si>
    <t xml:space="preserve">W99</t>
  </si>
  <si>
    <t xml:space="preserve">W100</t>
  </si>
  <si>
    <t xml:space="preserve">Tercer lugar</t>
  </si>
  <si>
    <t xml:space="preserve">L101</t>
  </si>
  <si>
    <t xml:space="preserve">L102</t>
  </si>
  <si>
    <t xml:space="preserve">Final</t>
  </si>
  <si>
    <t xml:space="preserve">W101</t>
  </si>
  <si>
    <t xml:space="preserve">W102</t>
  </si>
  <si>
    <t xml:space="preserve">Puntaje1</t>
  </si>
  <si>
    <t xml:space="preserve">Puntaje2</t>
  </si>
  <si>
    <t xml:space="preserve">Total</t>
  </si>
  <si>
    <t xml:space="preserve">Columna1</t>
  </si>
  <si>
    <t xml:space="preserve">Columna3</t>
  </si>
  <si>
    <t xml:space="preserve">Puntaje</t>
  </si>
  <si>
    <t xml:space="preserve">Puntaje3</t>
  </si>
  <si>
    <t xml:space="preserve">Participante</t>
  </si>
  <si>
    <t xml:space="preserve">PJ</t>
  </si>
  <si>
    <t xml:space="preserve">PG</t>
  </si>
  <si>
    <t xml:space="preserve">PE</t>
  </si>
  <si>
    <t xml:space="preserve">PP</t>
  </si>
  <si>
    <t xml:space="preserve">GF</t>
  </si>
  <si>
    <t xml:space="preserve">GC</t>
  </si>
  <si>
    <t xml:space="preserve">DG</t>
  </si>
  <si>
    <t xml:space="preserve">PTS</t>
  </si>
  <si>
    <t xml:space="preserve">Desempate manual</t>
  </si>
  <si>
    <t xml:space="preserve">Posición calculada</t>
  </si>
  <si>
    <t xml:space="preserve">Clasifica</t>
  </si>
  <si>
    <t xml:space="preserve">LlavePos</t>
  </si>
  <si>
    <t xml:space="preserve">Equipo_lookup</t>
  </si>
  <si>
    <t xml:space="preserve">Código_lookup</t>
  </si>
  <si>
    <t xml:space="preserve">Pos</t>
  </si>
  <si>
    <t xml:space="preserve">_Codigo</t>
  </si>
  <si>
    <t xml:space="preserve">_Grupo</t>
  </si>
  <si>
    <t xml:space="preserve">_PTS</t>
  </si>
  <si>
    <t xml:space="preserve">_DG</t>
  </si>
  <si>
    <t xml:space="preserve">_GF</t>
  </si>
  <si>
    <t xml:space="preserve">_Key</t>
  </si>
  <si>
    <t xml:space="preserve">_Rank</t>
  </si>
  <si>
    <t xml:space="preserve">Ranking tercero</t>
  </si>
  <si>
    <t xml:space="preserve">Clasifica entre mejores 8</t>
  </si>
  <si>
    <t xml:space="preserve">Equipo/Slot 1</t>
  </si>
  <si>
    <t xml:space="preserve">Equipo/Slot 2</t>
  </si>
  <si>
    <t xml:space="preserve">Ganador</t>
  </si>
  <si>
    <t xml:space="preserve">Fuente</t>
  </si>
  <si>
    <t xml:space="preserve">URL</t>
  </si>
  <si>
    <t xml:space="preserve">FIFA PDF calendario oficial</t>
  </si>
  <si>
    <t xml:space="preserve">https://digitalhub.fifa.com/asset/4b5d4417-3343-4732-9cdf-14b6662af407/FWC26-Match-Schedule_English.pdf</t>
  </si>
  <si>
    <t xml:space="preserve">Calendario oficial de FIFA, 10 abril 2026, horarios ET.</t>
  </si>
  <si>
    <t xml:space="preserve">CBS Sports calendario textual</t>
  </si>
  <si>
    <t xml:space="preserve">https://www.cbssports.com/soccer/news/2026-world-cup-schedule-time-location-groups-bracket-usmnt/</t>
  </si>
  <si>
    <t xml:space="preserve">Fechas, horarios, grupos, sedes y estructura de eliminatorias.</t>
  </si>
  <si>
    <t xml:space="preserve">El calendario puede cambiar; revisar fuente FIFA antes de usar oficialmente.</t>
  </si>
  <si>
    <t xml:space="preserve">Key</t>
  </si>
  <si>
    <t xml:space="preserve">Partido</t>
  </si>
  <si>
    <t xml:space="preserve">Lado</t>
  </si>
  <si>
    <t xml:space="preserve">Slot 3°</t>
  </si>
  <si>
    <t xml:space="preserve">Grupo asignado</t>
  </si>
  <si>
    <t xml:space="preserve">Clave mejores 8</t>
  </si>
  <si>
    <t xml:space="preserve">TestNested</t>
  </si>
  <si>
    <t xml:space="preserve">74V</t>
  </si>
  <si>
    <t xml:space="preserve">V</t>
  </si>
  <si>
    <t xml:space="preserve">77V</t>
  </si>
  <si>
    <t xml:space="preserve">79V</t>
  </si>
  <si>
    <t xml:space="preserve">80V</t>
  </si>
  <si>
    <t xml:space="preserve">81V</t>
  </si>
  <si>
    <t xml:space="preserve">82V</t>
  </si>
  <si>
    <t xml:space="preserve">85V</t>
  </si>
  <si>
    <t xml:space="preserve">87V</t>
  </si>
  <si>
    <t xml:space="preserve">Clave</t>
  </si>
  <si>
    <t xml:space="preserve">ABCDEFGH</t>
  </si>
  <si>
    <t xml:space="preserve">ABCDEFGI</t>
  </si>
  <si>
    <t xml:space="preserve">ABCDEFGJ</t>
  </si>
  <si>
    <t xml:space="preserve">ABCDEFGK</t>
  </si>
  <si>
    <t xml:space="preserve">ABCDEFGL</t>
  </si>
  <si>
    <t xml:space="preserve">ABCDEFHI</t>
  </si>
  <si>
    <t xml:space="preserve">ABCDEFHJ</t>
  </si>
  <si>
    <t xml:space="preserve">ABCDEFHK</t>
  </si>
  <si>
    <t xml:space="preserve">ABCDEFHL</t>
  </si>
  <si>
    <t xml:space="preserve">ABCDEFIJ</t>
  </si>
  <si>
    <t xml:space="preserve">ABCDEFIK</t>
  </si>
  <si>
    <t xml:space="preserve">ABCDEFIL</t>
  </si>
  <si>
    <t xml:space="preserve">ABCDEFJK</t>
  </si>
  <si>
    <t xml:space="preserve">ABCDEFJL</t>
  </si>
  <si>
    <t xml:space="preserve">ABCDEFKL</t>
  </si>
  <si>
    <t xml:space="preserve">ABCDEGHI</t>
  </si>
  <si>
    <t xml:space="preserve">ABCDEGHJ</t>
  </si>
  <si>
    <t xml:space="preserve">ABCDEGHK</t>
  </si>
  <si>
    <t xml:space="preserve">ABCDEGHL</t>
  </si>
  <si>
    <t xml:space="preserve">ABCDEGIJ</t>
  </si>
  <si>
    <t xml:space="preserve">ABCDEGIK</t>
  </si>
  <si>
    <t xml:space="preserve">ABCDEGIL</t>
  </si>
  <si>
    <t xml:space="preserve">ABCDEGJK</t>
  </si>
  <si>
    <t xml:space="preserve">ABCDEGJL</t>
  </si>
  <si>
    <t xml:space="preserve">ABCDEGKL</t>
  </si>
  <si>
    <t xml:space="preserve">ABCDEHIJ</t>
  </si>
  <si>
    <t xml:space="preserve">ABCDEHIK</t>
  </si>
  <si>
    <t xml:space="preserve">ABCDEHIL</t>
  </si>
  <si>
    <t xml:space="preserve">ABCDEHJK</t>
  </si>
  <si>
    <t xml:space="preserve">ABCDEHJL</t>
  </si>
  <si>
    <t xml:space="preserve">ABCDEHKL</t>
  </si>
  <si>
    <t xml:space="preserve">ABCDEIJK</t>
  </si>
  <si>
    <t xml:space="preserve">ABCDEIJL</t>
  </si>
  <si>
    <t xml:space="preserve">ABCDEIKL</t>
  </si>
  <si>
    <t xml:space="preserve">ABCDEJKL</t>
  </si>
  <si>
    <t xml:space="preserve">ABCDFGHI</t>
  </si>
  <si>
    <t xml:space="preserve">ABCDFGHJ</t>
  </si>
  <si>
    <t xml:space="preserve">ABCDFGHK</t>
  </si>
  <si>
    <t xml:space="preserve">ABCDFGHL</t>
  </si>
  <si>
    <t xml:space="preserve">ABCDFGIJ</t>
  </si>
  <si>
    <t xml:space="preserve">ABCDFGIK</t>
  </si>
  <si>
    <t xml:space="preserve">ABCDFGIL</t>
  </si>
  <si>
    <t xml:space="preserve">ABCDFGJK</t>
  </si>
  <si>
    <t xml:space="preserve">ABCDFGJL</t>
  </si>
  <si>
    <t xml:space="preserve">ABCDFGKL</t>
  </si>
  <si>
    <t xml:space="preserve">ABCDFHIJ</t>
  </si>
  <si>
    <t xml:space="preserve">ABCDFHIK</t>
  </si>
  <si>
    <t xml:space="preserve">ABCDFHIL</t>
  </si>
  <si>
    <t xml:space="preserve">ABCDFHJK</t>
  </si>
  <si>
    <t xml:space="preserve">ABCDFHJL</t>
  </si>
  <si>
    <t xml:space="preserve">ABCDFHKL</t>
  </si>
  <si>
    <t xml:space="preserve">ABCDFIJK</t>
  </si>
  <si>
    <t xml:space="preserve">ABCDFIJL</t>
  </si>
  <si>
    <t xml:space="preserve">ABCDFIKL</t>
  </si>
  <si>
    <t xml:space="preserve">ABCDFJKL</t>
  </si>
  <si>
    <t xml:space="preserve">ABCDGHIJ</t>
  </si>
  <si>
    <t xml:space="preserve">ABCDGHIK</t>
  </si>
  <si>
    <t xml:space="preserve">ABCDGHIL</t>
  </si>
  <si>
    <t xml:space="preserve">ABCDGHJK</t>
  </si>
  <si>
    <t xml:space="preserve">ABCDGHJL</t>
  </si>
  <si>
    <t xml:space="preserve">ABCDGHKL</t>
  </si>
  <si>
    <t xml:space="preserve">ABCDGIJK</t>
  </si>
  <si>
    <t xml:space="preserve">ABCDGIJL</t>
  </si>
  <si>
    <t xml:space="preserve">ABCDGIKL</t>
  </si>
  <si>
    <t xml:space="preserve">ABCDGJKL</t>
  </si>
  <si>
    <t xml:space="preserve">ABCDHIJK</t>
  </si>
  <si>
    <t xml:space="preserve">ABCDHIJL</t>
  </si>
  <si>
    <t xml:space="preserve">ABCDHIKL</t>
  </si>
  <si>
    <t xml:space="preserve">ABCDHJKL</t>
  </si>
  <si>
    <t xml:space="preserve">ABCDIJKL</t>
  </si>
  <si>
    <t xml:space="preserve">ABCEFGHI</t>
  </si>
  <si>
    <t xml:space="preserve">ABCEFGHJ</t>
  </si>
  <si>
    <t xml:space="preserve">ABCEFGHK</t>
  </si>
  <si>
    <t xml:space="preserve">ABCEFGHL</t>
  </si>
  <si>
    <t xml:space="preserve">ABCEFGIJ</t>
  </si>
  <si>
    <t xml:space="preserve">ABCEFGIK</t>
  </si>
  <si>
    <t xml:space="preserve">ABCEFGIL</t>
  </si>
  <si>
    <t xml:space="preserve">ABCEFGJK</t>
  </si>
  <si>
    <t xml:space="preserve">ABCEFGJL</t>
  </si>
  <si>
    <t xml:space="preserve">ABCEFGKL</t>
  </si>
  <si>
    <t xml:space="preserve">ABCEFHIJ</t>
  </si>
  <si>
    <t xml:space="preserve">ABCEFHIK</t>
  </si>
  <si>
    <t xml:space="preserve">ABCEFHIL</t>
  </si>
  <si>
    <t xml:space="preserve">ABCEFHJK</t>
  </si>
  <si>
    <t xml:space="preserve">ABCEFHJL</t>
  </si>
  <si>
    <t xml:space="preserve">ABCEFHKL</t>
  </si>
  <si>
    <t xml:space="preserve">ABCEFIJK</t>
  </si>
  <si>
    <t xml:space="preserve">ABCEFIJL</t>
  </si>
  <si>
    <t xml:space="preserve">ABCEFIKL</t>
  </si>
  <si>
    <t xml:space="preserve">ABCEFJKL</t>
  </si>
  <si>
    <t xml:space="preserve">ABCEGHIJ</t>
  </si>
  <si>
    <t xml:space="preserve">ABCEGHIK</t>
  </si>
  <si>
    <t xml:space="preserve">ABCEGHIL</t>
  </si>
  <si>
    <t xml:space="preserve">ABCEGHJK</t>
  </si>
  <si>
    <t xml:space="preserve">ABCEGHJL</t>
  </si>
  <si>
    <t xml:space="preserve">ABCEGHKL</t>
  </si>
  <si>
    <t xml:space="preserve">ABCEGIJK</t>
  </si>
  <si>
    <t xml:space="preserve">ABCEGIJL</t>
  </si>
  <si>
    <t xml:space="preserve">ABCEGIKL</t>
  </si>
  <si>
    <t xml:space="preserve">ABCEGJKL</t>
  </si>
  <si>
    <t xml:space="preserve">ABCEHIJK</t>
  </si>
  <si>
    <t xml:space="preserve">ABCEHIJL</t>
  </si>
  <si>
    <t xml:space="preserve">ABCEHIKL</t>
  </si>
  <si>
    <t xml:space="preserve">ABCEHJKL</t>
  </si>
  <si>
    <t xml:space="preserve">ABCEIJKL</t>
  </si>
  <si>
    <t xml:space="preserve">ABCFGHIJ</t>
  </si>
  <si>
    <t xml:space="preserve">ABCFGHIK</t>
  </si>
  <si>
    <t xml:space="preserve">ABCFGHIL</t>
  </si>
  <si>
    <t xml:space="preserve">ABCFGHJK</t>
  </si>
  <si>
    <t xml:space="preserve">ABCFGHJL</t>
  </si>
  <si>
    <t xml:space="preserve">ABCFGHKL</t>
  </si>
  <si>
    <t xml:space="preserve">ABCFGIJK</t>
  </si>
  <si>
    <t xml:space="preserve">ABCFGIJL</t>
  </si>
  <si>
    <t xml:space="preserve">ABCFGIKL</t>
  </si>
  <si>
    <t xml:space="preserve">ABCFGJKL</t>
  </si>
  <si>
    <t xml:space="preserve">ABCFHIJK</t>
  </si>
  <si>
    <t xml:space="preserve">ABCFHIJL</t>
  </si>
  <si>
    <t xml:space="preserve">ABCFHIKL</t>
  </si>
  <si>
    <t xml:space="preserve">ABCFHJKL</t>
  </si>
  <si>
    <t xml:space="preserve">ABCFIJKL</t>
  </si>
  <si>
    <t xml:space="preserve">ABCGHIJK</t>
  </si>
  <si>
    <t xml:space="preserve">ABCGHIJL</t>
  </si>
  <si>
    <t xml:space="preserve">ABCGHIKL</t>
  </si>
  <si>
    <t xml:space="preserve">ABCGHJKL</t>
  </si>
  <si>
    <t xml:space="preserve">ABCGIJKL</t>
  </si>
  <si>
    <t xml:space="preserve">ABCHIJKL</t>
  </si>
  <si>
    <t xml:space="preserve">ABDEFGHI</t>
  </si>
  <si>
    <t xml:space="preserve">ABDEFGHJ</t>
  </si>
  <si>
    <t xml:space="preserve">ABDEFGHK</t>
  </si>
  <si>
    <t xml:space="preserve">ABDEFGHL</t>
  </si>
  <si>
    <t xml:space="preserve">ABDEFGIJ</t>
  </si>
  <si>
    <t xml:space="preserve">ABDEFGIK</t>
  </si>
  <si>
    <t xml:space="preserve">ABDEFGIL</t>
  </si>
  <si>
    <t xml:space="preserve">ABDEFGJK</t>
  </si>
  <si>
    <t xml:space="preserve">ABDEFGJL</t>
  </si>
  <si>
    <t xml:space="preserve">ABDEFGKL</t>
  </si>
  <si>
    <t xml:space="preserve">ABDEFHIJ</t>
  </si>
  <si>
    <t xml:space="preserve">ABDEFHIK</t>
  </si>
  <si>
    <t xml:space="preserve">ABDEFHIL</t>
  </si>
  <si>
    <t xml:space="preserve">ABDEFHJK</t>
  </si>
  <si>
    <t xml:space="preserve">ABDEFHJL</t>
  </si>
  <si>
    <t xml:space="preserve">ABDEFHKL</t>
  </si>
  <si>
    <t xml:space="preserve">ABDEFIJK</t>
  </si>
  <si>
    <t xml:space="preserve">ABDEFIJL</t>
  </si>
  <si>
    <t xml:space="preserve">ABDEFIKL</t>
  </si>
  <si>
    <t xml:space="preserve">ABDEFJKL</t>
  </si>
  <si>
    <t xml:space="preserve">ABDEGHIJ</t>
  </si>
  <si>
    <t xml:space="preserve">ABDEGHIK</t>
  </si>
  <si>
    <t xml:space="preserve">ABDEGHIL</t>
  </si>
  <si>
    <t xml:space="preserve">ABDEGHJK</t>
  </si>
  <si>
    <t xml:space="preserve">ABDEGHJL</t>
  </si>
  <si>
    <t xml:space="preserve">ABDEGHKL</t>
  </si>
  <si>
    <t xml:space="preserve">ABDEGIJK</t>
  </si>
  <si>
    <t xml:space="preserve">ABDEGIJL</t>
  </si>
  <si>
    <t xml:space="preserve">ABDEGIKL</t>
  </si>
  <si>
    <t xml:space="preserve">ABDEGJKL</t>
  </si>
  <si>
    <t xml:space="preserve">ABDEHIJK</t>
  </si>
  <si>
    <t xml:space="preserve">ABDEHIJL</t>
  </si>
  <si>
    <t xml:space="preserve">ABDEHIKL</t>
  </si>
  <si>
    <t xml:space="preserve">ABDEHJKL</t>
  </si>
  <si>
    <t xml:space="preserve">ABDEIJKL</t>
  </si>
  <si>
    <t xml:space="preserve">ABDFGHIJ</t>
  </si>
  <si>
    <t xml:space="preserve">ABDFGHIK</t>
  </si>
  <si>
    <t xml:space="preserve">ABDFGHIL</t>
  </si>
  <si>
    <t xml:space="preserve">ABDFGHJK</t>
  </si>
  <si>
    <t xml:space="preserve">ABDFGHJL</t>
  </si>
  <si>
    <t xml:space="preserve">ABDFGHKL</t>
  </si>
  <si>
    <t xml:space="preserve">ABDFGIJK</t>
  </si>
  <si>
    <t xml:space="preserve">ABDFGIJL</t>
  </si>
  <si>
    <t xml:space="preserve">ABDFGIKL</t>
  </si>
  <si>
    <t xml:space="preserve">ABDFGJKL</t>
  </si>
  <si>
    <t xml:space="preserve">ABDFHIJK</t>
  </si>
  <si>
    <t xml:space="preserve">ABDFHIJL</t>
  </si>
  <si>
    <t xml:space="preserve">ABDFHIKL</t>
  </si>
  <si>
    <t xml:space="preserve">ABDFHJKL</t>
  </si>
  <si>
    <t xml:space="preserve">ABDFIJKL</t>
  </si>
  <si>
    <t xml:space="preserve">ABDGHIJK</t>
  </si>
  <si>
    <t xml:space="preserve">ABDGHIJL</t>
  </si>
  <si>
    <t xml:space="preserve">ABDGHIKL</t>
  </si>
  <si>
    <t xml:space="preserve">ABDGHJKL</t>
  </si>
  <si>
    <t xml:space="preserve">ABDGIJKL</t>
  </si>
  <si>
    <t xml:space="preserve">ABDHIJKL</t>
  </si>
  <si>
    <t xml:space="preserve">ABEFGHIJ</t>
  </si>
  <si>
    <t xml:space="preserve">ABEFGHIK</t>
  </si>
  <si>
    <t xml:space="preserve">ABEFGHIL</t>
  </si>
  <si>
    <t xml:space="preserve">ABEFGHJK</t>
  </si>
  <si>
    <t xml:space="preserve">ABEFGHJL</t>
  </si>
  <si>
    <t xml:space="preserve">ABEFGHKL</t>
  </si>
  <si>
    <t xml:space="preserve">ABEFGIJK</t>
  </si>
  <si>
    <t xml:space="preserve">ABEFGIJL</t>
  </si>
  <si>
    <t xml:space="preserve">ABEFGIKL</t>
  </si>
  <si>
    <t xml:space="preserve">ABEFGJKL</t>
  </si>
  <si>
    <t xml:space="preserve">ABEFHIJK</t>
  </si>
  <si>
    <t xml:space="preserve">ABEFHIJL</t>
  </si>
  <si>
    <t xml:space="preserve">ABEFHIKL</t>
  </si>
  <si>
    <t xml:space="preserve">ABEFHJKL</t>
  </si>
  <si>
    <t xml:space="preserve">ABEFIJKL</t>
  </si>
  <si>
    <t xml:space="preserve">ABEGHIJK</t>
  </si>
  <si>
    <t xml:space="preserve">ABEGHIJL</t>
  </si>
  <si>
    <t xml:space="preserve">ABEGHIKL</t>
  </si>
  <si>
    <t xml:space="preserve">ABEGHJKL</t>
  </si>
  <si>
    <t xml:space="preserve">ABEGIJKL</t>
  </si>
  <si>
    <t xml:space="preserve">ABEHIJKL</t>
  </si>
  <si>
    <t xml:space="preserve">ABFGHIJK</t>
  </si>
  <si>
    <t xml:space="preserve">ABFGHIJL</t>
  </si>
  <si>
    <t xml:space="preserve">ABFGHIKL</t>
  </si>
  <si>
    <t xml:space="preserve">ABFGHJKL</t>
  </si>
  <si>
    <t xml:space="preserve">ABFGIJKL</t>
  </si>
  <si>
    <t xml:space="preserve">ABFHIJKL</t>
  </si>
  <si>
    <t xml:space="preserve">ABGHIJKL</t>
  </si>
  <si>
    <t xml:space="preserve">ACDEFGHI</t>
  </si>
  <si>
    <t xml:space="preserve">ACDEFGHJ</t>
  </si>
  <si>
    <t xml:space="preserve">ACDEFGHK</t>
  </si>
  <si>
    <t xml:space="preserve">ACDEFGHL</t>
  </si>
  <si>
    <t xml:space="preserve">ACDEFGIJ</t>
  </si>
  <si>
    <t xml:space="preserve">ACDEFGIK</t>
  </si>
  <si>
    <t xml:space="preserve">ACDEFGIL</t>
  </si>
  <si>
    <t xml:space="preserve">ACDEFGJK</t>
  </si>
  <si>
    <t xml:space="preserve">ACDEFGJL</t>
  </si>
  <si>
    <t xml:space="preserve">ACDEFGKL</t>
  </si>
  <si>
    <t xml:space="preserve">ACDEFHIJ</t>
  </si>
  <si>
    <t xml:space="preserve">ACDEFHIK</t>
  </si>
  <si>
    <t xml:space="preserve">ACDEFHIL</t>
  </si>
  <si>
    <t xml:space="preserve">ACDEFHJK</t>
  </si>
  <si>
    <t xml:space="preserve">ACDEFHJL</t>
  </si>
  <si>
    <t xml:space="preserve">ACDEFHKL</t>
  </si>
  <si>
    <t xml:space="preserve">ACDEFIJK</t>
  </si>
  <si>
    <t xml:space="preserve">ACDEFIJL</t>
  </si>
  <si>
    <t xml:space="preserve">ACDEFIKL</t>
  </si>
  <si>
    <t xml:space="preserve">ACDEFJKL</t>
  </si>
  <si>
    <t xml:space="preserve">ACDEGHIJ</t>
  </si>
  <si>
    <t xml:space="preserve">ACDEGHIK</t>
  </si>
  <si>
    <t xml:space="preserve">ACDEGHIL</t>
  </si>
  <si>
    <t xml:space="preserve">ACDEGHJK</t>
  </si>
  <si>
    <t xml:space="preserve">ACDEGHJL</t>
  </si>
  <si>
    <t xml:space="preserve">ACDEGHKL</t>
  </si>
  <si>
    <t xml:space="preserve">ACDEGIJK</t>
  </si>
  <si>
    <t xml:space="preserve">ACDEGIJL</t>
  </si>
  <si>
    <t xml:space="preserve">ACDEGIKL</t>
  </si>
  <si>
    <t xml:space="preserve">ACDEGJKL</t>
  </si>
  <si>
    <t xml:space="preserve">ACDEHIJK</t>
  </si>
  <si>
    <t xml:space="preserve">ACDEHIJL</t>
  </si>
  <si>
    <t xml:space="preserve">ACDEHIKL</t>
  </si>
  <si>
    <t xml:space="preserve">ACDEHJKL</t>
  </si>
  <si>
    <t xml:space="preserve">ACDEIJKL</t>
  </si>
  <si>
    <t xml:space="preserve">ACDFGHIJ</t>
  </si>
  <si>
    <t xml:space="preserve">ACDFGHIK</t>
  </si>
  <si>
    <t xml:space="preserve">ACDFGHIL</t>
  </si>
  <si>
    <t xml:space="preserve">ACDFGHJK</t>
  </si>
  <si>
    <t xml:space="preserve">ACDFGHJL</t>
  </si>
  <si>
    <t xml:space="preserve">ACDFGHKL</t>
  </si>
  <si>
    <t xml:space="preserve">ACDFGIJK</t>
  </si>
  <si>
    <t xml:space="preserve">ACDFGIJL</t>
  </si>
  <si>
    <t xml:space="preserve">ACDFGIKL</t>
  </si>
  <si>
    <t xml:space="preserve">ACDFGJKL</t>
  </si>
  <si>
    <t xml:space="preserve">ACDFHIJK</t>
  </si>
  <si>
    <t xml:space="preserve">ACDFHIJL</t>
  </si>
  <si>
    <t xml:space="preserve">ACDFHIKL</t>
  </si>
  <si>
    <t xml:space="preserve">ACDFHJKL</t>
  </si>
  <si>
    <t xml:space="preserve">ACDFIJKL</t>
  </si>
  <si>
    <t xml:space="preserve">ACDGHIJK</t>
  </si>
  <si>
    <t xml:space="preserve">ACDGHIJL</t>
  </si>
  <si>
    <t xml:space="preserve">ACDGHIKL</t>
  </si>
  <si>
    <t xml:space="preserve">ACDGHJKL</t>
  </si>
  <si>
    <t xml:space="preserve">ACDGIJKL</t>
  </si>
  <si>
    <t xml:space="preserve">ACDHIJKL</t>
  </si>
  <si>
    <t xml:space="preserve">ACEFGHIJ</t>
  </si>
  <si>
    <t xml:space="preserve">ACEFGHIK</t>
  </si>
  <si>
    <t xml:space="preserve">ACEFGHIL</t>
  </si>
  <si>
    <t xml:space="preserve">ACEFGHJK</t>
  </si>
  <si>
    <t xml:space="preserve">ACEFGHJL</t>
  </si>
  <si>
    <t xml:space="preserve">ACEFGHKL</t>
  </si>
  <si>
    <t xml:space="preserve">ACEFGIJK</t>
  </si>
  <si>
    <t xml:space="preserve">ACEFGIJL</t>
  </si>
  <si>
    <t xml:space="preserve">ACEFGIKL</t>
  </si>
  <si>
    <t xml:space="preserve">ACEFGJKL</t>
  </si>
  <si>
    <t xml:space="preserve">ACEFHIJK</t>
  </si>
  <si>
    <t xml:space="preserve">ACEFHIJL</t>
  </si>
  <si>
    <t xml:space="preserve">ACEFHIKL</t>
  </si>
  <si>
    <t xml:space="preserve">ACEFHJKL</t>
  </si>
  <si>
    <t xml:space="preserve">ACEFIJKL</t>
  </si>
  <si>
    <t xml:space="preserve">ACEGHIJK</t>
  </si>
  <si>
    <t xml:space="preserve">ACEGHIJL</t>
  </si>
  <si>
    <t xml:space="preserve">ACEGHIKL</t>
  </si>
  <si>
    <t xml:space="preserve">ACEGHJKL</t>
  </si>
  <si>
    <t xml:space="preserve">ACEGIJKL</t>
  </si>
  <si>
    <t xml:space="preserve">ACEHIJKL</t>
  </si>
  <si>
    <t xml:space="preserve">ACFGHIJK</t>
  </si>
  <si>
    <t xml:space="preserve">ACFGHIJL</t>
  </si>
  <si>
    <t xml:space="preserve">ACFGHIKL</t>
  </si>
  <si>
    <t xml:space="preserve">ACFGHJKL</t>
  </si>
  <si>
    <t xml:space="preserve">ACFGIJKL</t>
  </si>
  <si>
    <t xml:space="preserve">ACFHIJKL</t>
  </si>
  <si>
    <t xml:space="preserve">ACGHIJKL</t>
  </si>
  <si>
    <t xml:space="preserve">ADEFGHIJ</t>
  </si>
  <si>
    <t xml:space="preserve">ADEFGHIK</t>
  </si>
  <si>
    <t xml:space="preserve">ADEFGHIL</t>
  </si>
  <si>
    <t xml:space="preserve">ADEFGHJK</t>
  </si>
  <si>
    <t xml:space="preserve">ADEFGHJL</t>
  </si>
  <si>
    <t xml:space="preserve">ADEFGHKL</t>
  </si>
  <si>
    <t xml:space="preserve">ADEFGIJK</t>
  </si>
  <si>
    <t xml:space="preserve">ADEFGIJL</t>
  </si>
  <si>
    <t xml:space="preserve">ADEFGIKL</t>
  </si>
  <si>
    <t xml:space="preserve">ADEFGJKL</t>
  </si>
  <si>
    <t xml:space="preserve">ADEFHIJK</t>
  </si>
  <si>
    <t xml:space="preserve">ADEFHIJL</t>
  </si>
  <si>
    <t xml:space="preserve">ADEFHIKL</t>
  </si>
  <si>
    <t xml:space="preserve">ADEFHJKL</t>
  </si>
  <si>
    <t xml:space="preserve">ADEFIJKL</t>
  </si>
  <si>
    <t xml:space="preserve">ADEGHIJK</t>
  </si>
  <si>
    <t xml:space="preserve">ADEGHIJL</t>
  </si>
  <si>
    <t xml:space="preserve">ADEGHIKL</t>
  </si>
  <si>
    <t xml:space="preserve">ADEGHJKL</t>
  </si>
  <si>
    <t xml:space="preserve">ADEGIJKL</t>
  </si>
  <si>
    <t xml:space="preserve">ADEHIJKL</t>
  </si>
  <si>
    <t xml:space="preserve">ADFGHIJK</t>
  </si>
  <si>
    <t xml:space="preserve">ADFGHIJL</t>
  </si>
  <si>
    <t xml:space="preserve">ADFGHIKL</t>
  </si>
  <si>
    <t xml:space="preserve">ADFGHJKL</t>
  </si>
  <si>
    <t xml:space="preserve">ADFGIJKL</t>
  </si>
  <si>
    <t xml:space="preserve">ADFHIJKL</t>
  </si>
  <si>
    <t xml:space="preserve">ADGHIJKL</t>
  </si>
  <si>
    <t xml:space="preserve">AEFGHIJK</t>
  </si>
  <si>
    <t xml:space="preserve">AEFGHIJL</t>
  </si>
  <si>
    <t xml:space="preserve">AEFGHIKL</t>
  </si>
  <si>
    <t xml:space="preserve">AEFGHJKL</t>
  </si>
  <si>
    <t xml:space="preserve">AEFGIJKL</t>
  </si>
  <si>
    <t xml:space="preserve">AEFHIJKL</t>
  </si>
  <si>
    <t xml:space="preserve">AEGHIJKL</t>
  </si>
  <si>
    <t xml:space="preserve">AFGHIJKL</t>
  </si>
  <si>
    <t xml:space="preserve">BCDEFGHI</t>
  </si>
  <si>
    <t xml:space="preserve">BCDEFGHJ</t>
  </si>
  <si>
    <t xml:space="preserve">BCDEFGHK</t>
  </si>
  <si>
    <t xml:space="preserve">BCDEFGHL</t>
  </si>
  <si>
    <t xml:space="preserve">BCDEFGIJ</t>
  </si>
  <si>
    <t xml:space="preserve">BCDEFGIK</t>
  </si>
  <si>
    <t xml:space="preserve">BCDEFGIL</t>
  </si>
  <si>
    <t xml:space="preserve">BCDEFGJK</t>
  </si>
  <si>
    <t xml:space="preserve">BCDEFGJL</t>
  </si>
  <si>
    <t xml:space="preserve">BCDEFGKL</t>
  </si>
  <si>
    <t xml:space="preserve">BCDEFHIJ</t>
  </si>
  <si>
    <t xml:space="preserve">BCDEFHIK</t>
  </si>
  <si>
    <t xml:space="preserve">BCDEFHIL</t>
  </si>
  <si>
    <t xml:space="preserve">BCDEFHJK</t>
  </si>
  <si>
    <t xml:space="preserve">BCDEFHJL</t>
  </si>
  <si>
    <t xml:space="preserve">BCDEFHKL</t>
  </si>
  <si>
    <t xml:space="preserve">BCDEFIJK</t>
  </si>
  <si>
    <t xml:space="preserve">BCDEFIJL</t>
  </si>
  <si>
    <t xml:space="preserve">BCDEFIKL</t>
  </si>
  <si>
    <t xml:space="preserve">BCDEFJKL</t>
  </si>
  <si>
    <t xml:space="preserve">BCDEGHIJ</t>
  </si>
  <si>
    <t xml:space="preserve">BCDEGHIK</t>
  </si>
  <si>
    <t xml:space="preserve">BCDEGHIL</t>
  </si>
  <si>
    <t xml:space="preserve">BCDEGHJK</t>
  </si>
  <si>
    <t xml:space="preserve">BCDEGHJL</t>
  </si>
  <si>
    <t xml:space="preserve">BCDEGHKL</t>
  </si>
  <si>
    <t xml:space="preserve">BCDEGIJK</t>
  </si>
  <si>
    <t xml:space="preserve">BCDEGIJL</t>
  </si>
  <si>
    <t xml:space="preserve">BCDEGIKL</t>
  </si>
  <si>
    <t xml:space="preserve">BCDEGJKL</t>
  </si>
  <si>
    <t xml:space="preserve">BCDEHIJK</t>
  </si>
  <si>
    <t xml:space="preserve">BCDEHIJL</t>
  </si>
  <si>
    <t xml:space="preserve">BCDEHIKL</t>
  </si>
  <si>
    <t xml:space="preserve">BCDEHJKL</t>
  </si>
  <si>
    <t xml:space="preserve">BCDEIJKL</t>
  </si>
  <si>
    <t xml:space="preserve">BCDFGHIJ</t>
  </si>
  <si>
    <t xml:space="preserve">BCDFGHIK</t>
  </si>
  <si>
    <t xml:space="preserve">BCDFGHIL</t>
  </si>
  <si>
    <t xml:space="preserve">BCDFGHJK</t>
  </si>
  <si>
    <t xml:space="preserve">BCDFGHJL</t>
  </si>
  <si>
    <t xml:space="preserve">BCDFGHKL</t>
  </si>
  <si>
    <t xml:space="preserve">BCDFGIJK</t>
  </si>
  <si>
    <t xml:space="preserve">BCDFGIJL</t>
  </si>
  <si>
    <t xml:space="preserve">BCDFGIKL</t>
  </si>
  <si>
    <t xml:space="preserve">BCDFGJKL</t>
  </si>
  <si>
    <t xml:space="preserve">BCDFHIJK</t>
  </si>
  <si>
    <t xml:space="preserve">BCDFHIJL</t>
  </si>
  <si>
    <t xml:space="preserve">BCDFHIKL</t>
  </si>
  <si>
    <t xml:space="preserve">BCDFHJKL</t>
  </si>
  <si>
    <t xml:space="preserve">BCDFIJKL</t>
  </si>
  <si>
    <t xml:space="preserve">BCDGHIJK</t>
  </si>
  <si>
    <t xml:space="preserve">BCDGHIJL</t>
  </si>
  <si>
    <t xml:space="preserve">BCDGHIKL</t>
  </si>
  <si>
    <t xml:space="preserve">BCDGHJKL</t>
  </si>
  <si>
    <t xml:space="preserve">BCDGIJKL</t>
  </si>
  <si>
    <t xml:space="preserve">BCDHIJKL</t>
  </si>
  <si>
    <t xml:space="preserve">BCEFGHIJ</t>
  </si>
  <si>
    <t xml:space="preserve">BCEFGHIK</t>
  </si>
  <si>
    <t xml:space="preserve">BCEFGHIL</t>
  </si>
  <si>
    <t xml:space="preserve">BCEFGHJK</t>
  </si>
  <si>
    <t xml:space="preserve">BCEFGHJL</t>
  </si>
  <si>
    <t xml:space="preserve">BCEFGHKL</t>
  </si>
  <si>
    <t xml:space="preserve">BCEFGIJK</t>
  </si>
  <si>
    <t xml:space="preserve">BCEFGIJL</t>
  </si>
  <si>
    <t xml:space="preserve">BCEFGIKL</t>
  </si>
  <si>
    <t xml:space="preserve">BCEFGJKL</t>
  </si>
  <si>
    <t xml:space="preserve">BCEFHIJK</t>
  </si>
  <si>
    <t xml:space="preserve">BCEFHIJL</t>
  </si>
  <si>
    <t xml:space="preserve">BCEFHIKL</t>
  </si>
  <si>
    <t xml:space="preserve">BCEFHJKL</t>
  </si>
  <si>
    <t xml:space="preserve">BCEFIJKL</t>
  </si>
  <si>
    <t xml:space="preserve">BCEGHIJK</t>
  </si>
  <si>
    <t xml:space="preserve">BCEGHIJL</t>
  </si>
  <si>
    <t xml:space="preserve">BCEGHIKL</t>
  </si>
  <si>
    <t xml:space="preserve">BCEGHJKL</t>
  </si>
  <si>
    <t xml:space="preserve">BCEGIJKL</t>
  </si>
  <si>
    <t xml:space="preserve">BCEHIJKL</t>
  </si>
  <si>
    <t xml:space="preserve">BCFGHIJK</t>
  </si>
  <si>
    <t xml:space="preserve">BCFGHIJL</t>
  </si>
  <si>
    <t xml:space="preserve">BCFGHIKL</t>
  </si>
  <si>
    <t xml:space="preserve">BCFGHJKL</t>
  </si>
  <si>
    <t xml:space="preserve">BCFGIJKL</t>
  </si>
  <si>
    <t xml:space="preserve">BCFHIJKL</t>
  </si>
  <si>
    <t xml:space="preserve">BCGHIJKL</t>
  </si>
  <si>
    <t xml:space="preserve">BDEFGHIJ</t>
  </si>
  <si>
    <t xml:space="preserve">BDEFGHIK</t>
  </si>
  <si>
    <t xml:space="preserve">BDEFGHIL</t>
  </si>
  <si>
    <t xml:space="preserve">BDEFGHJK</t>
  </si>
  <si>
    <t xml:space="preserve">BDEFGHJL</t>
  </si>
  <si>
    <t xml:space="preserve">BDEFGHKL</t>
  </si>
  <si>
    <t xml:space="preserve">BDEFGIJK</t>
  </si>
  <si>
    <t xml:space="preserve">BDEFGIJL</t>
  </si>
  <si>
    <t xml:space="preserve">BDEFGIKL</t>
  </si>
  <si>
    <t xml:space="preserve">BDEFGJKL</t>
  </si>
  <si>
    <t xml:space="preserve">BDEFHIJK</t>
  </si>
  <si>
    <t xml:space="preserve">BDEFHIJL</t>
  </si>
  <si>
    <t xml:space="preserve">BDEFHIKL</t>
  </si>
  <si>
    <t xml:space="preserve">BDEFHJKL</t>
  </si>
  <si>
    <t xml:space="preserve">BDEFIJKL</t>
  </si>
  <si>
    <t xml:space="preserve">BDEGHIJK</t>
  </si>
  <si>
    <t xml:space="preserve">BDEGHIJL</t>
  </si>
  <si>
    <t xml:space="preserve">BDEGHIKL</t>
  </si>
  <si>
    <t xml:space="preserve">BDEGHJKL</t>
  </si>
  <si>
    <t xml:space="preserve">BDEGIJKL</t>
  </si>
  <si>
    <t xml:space="preserve">BDEHIJKL</t>
  </si>
  <si>
    <t xml:space="preserve">BDFGHIJK</t>
  </si>
  <si>
    <t xml:space="preserve">BDFGHIJL</t>
  </si>
  <si>
    <t xml:space="preserve">BDFGHIKL</t>
  </si>
  <si>
    <t xml:space="preserve">BDFGHJKL</t>
  </si>
  <si>
    <t xml:space="preserve">BDFGIJKL</t>
  </si>
  <si>
    <t xml:space="preserve">BDFHIJKL</t>
  </si>
  <si>
    <t xml:space="preserve">BDGHIJKL</t>
  </si>
  <si>
    <t xml:space="preserve">BEFGHIJK</t>
  </si>
  <si>
    <t xml:space="preserve">BEFGHIJL</t>
  </si>
  <si>
    <t xml:space="preserve">BEFGHIKL</t>
  </si>
  <si>
    <t xml:space="preserve">BEFGHJKL</t>
  </si>
  <si>
    <t xml:space="preserve">BEFGIJKL</t>
  </si>
  <si>
    <t xml:space="preserve">BEFHIJKL</t>
  </si>
  <si>
    <t xml:space="preserve">BEGHIJKL</t>
  </si>
  <si>
    <t xml:space="preserve">BFGHIJKL</t>
  </si>
  <si>
    <t xml:space="preserve">CDEFGHIJ</t>
  </si>
  <si>
    <t xml:space="preserve">CDEFGHIK</t>
  </si>
  <si>
    <t xml:space="preserve">CDEFGHIL</t>
  </si>
  <si>
    <t xml:space="preserve">CDEFGHJK</t>
  </si>
  <si>
    <t xml:space="preserve">CDEFGHJL</t>
  </si>
  <si>
    <t xml:space="preserve">CDEFGHKL</t>
  </si>
  <si>
    <t xml:space="preserve">CDEFGIJK</t>
  </si>
  <si>
    <t xml:space="preserve">CDEFGIJL</t>
  </si>
  <si>
    <t xml:space="preserve">CDEFGIKL</t>
  </si>
  <si>
    <t xml:space="preserve">CDEFGJKL</t>
  </si>
  <si>
    <t xml:space="preserve">CDEFHIJK</t>
  </si>
  <si>
    <t xml:space="preserve">CDEFHIJL</t>
  </si>
  <si>
    <t xml:space="preserve">CDEFHIKL</t>
  </si>
  <si>
    <t xml:space="preserve">CDEFHJKL</t>
  </si>
  <si>
    <t xml:space="preserve">CDEFIJKL</t>
  </si>
  <si>
    <t xml:space="preserve">CDEGHIJK</t>
  </si>
  <si>
    <t xml:space="preserve">CDEGHIJL</t>
  </si>
  <si>
    <t xml:space="preserve">CDEGHIKL</t>
  </si>
  <si>
    <t xml:space="preserve">CDEGHJKL</t>
  </si>
  <si>
    <t xml:space="preserve">CDEGIJKL</t>
  </si>
  <si>
    <t xml:space="preserve">CDEHIJKL</t>
  </si>
  <si>
    <t xml:space="preserve">CDFGHIJK</t>
  </si>
  <si>
    <t xml:space="preserve">CDFGHIJL</t>
  </si>
  <si>
    <t xml:space="preserve">CDFGHIKL</t>
  </si>
  <si>
    <t xml:space="preserve">CDFGHJKL</t>
  </si>
  <si>
    <t xml:space="preserve">CDFGIJKL</t>
  </si>
  <si>
    <t xml:space="preserve">CDFHIJKL</t>
  </si>
  <si>
    <t xml:space="preserve">CDGHIJKL</t>
  </si>
  <si>
    <t xml:space="preserve">CEFGHIJK</t>
  </si>
  <si>
    <t xml:space="preserve">CEFGHIJL</t>
  </si>
  <si>
    <t xml:space="preserve">CEFGHIKL</t>
  </si>
  <si>
    <t xml:space="preserve">CEFGHJKL</t>
  </si>
  <si>
    <t xml:space="preserve">CEFGIJKL</t>
  </si>
  <si>
    <t xml:space="preserve">CEFHIJKL</t>
  </si>
  <si>
    <t xml:space="preserve">CEGHIJKL</t>
  </si>
  <si>
    <t xml:space="preserve">CFGHIJKL</t>
  </si>
  <si>
    <t xml:space="preserve">DEFGHIJK</t>
  </si>
  <si>
    <t xml:space="preserve">DEFGHIJL</t>
  </si>
  <si>
    <t xml:space="preserve">DEFGHIKL</t>
  </si>
  <si>
    <t xml:space="preserve">DEFGHJKL</t>
  </si>
  <si>
    <t xml:space="preserve">DEFGIJKL</t>
  </si>
  <si>
    <t xml:space="preserve">DEFHIJKL</t>
  </si>
  <si>
    <t xml:space="preserve">DEGHIJKL</t>
  </si>
  <si>
    <t xml:space="preserve">DFGHIJKL</t>
  </si>
  <si>
    <t xml:space="preserve">EFGHIJKL</t>
  </si>
  <si>
    <t xml:space="preserve">Pts</t>
  </si>
  <si>
    <t xml:space="preserve">TOTAL</t>
  </si>
  <si>
    <t xml:space="preserve">Marcador real</t>
  </si>
  <si>
    <t xml:space="preserve">—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</si>
</sst>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\ h:mm"/>
    <numFmt numFmtId="166" formatCode="General"/>
    <numFmt numFmtId="167" formatCode="yyyy\-mm\-dd"/>
  </numFmts>
  <fonts count="22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6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name val="Calibri"/>
      <family val="0"/>
      <charset val="1"/>
    </font>
    <font>
      <sz val="8"/>
      <color theme="1"/>
      <name val="Calibri"/>
      <family val="2"/>
      <charset val="1"/>
    </font>
    <font>
      <b val="true"/>
      <sz val="14"/>
      <color theme="0"/>
      <name val="Calibri"/>
      <family val="2"/>
      <charset val="1"/>
    </font>
    <font>
      <b val="true"/>
      <sz val="14"/>
      <color rgb="FFC00000"/>
      <name val="Calibri"/>
      <family val="2"/>
      <charset val="1"/>
    </font>
    <font>
      <b val="true"/>
      <sz val="8"/>
      <color theme="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1"/>
      <color rgb="FFFFFFFF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808080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i val="true"/>
      <sz val="11"/>
      <name val="Cambria"/>
      <family val="0"/>
      <charset val="1"/>
    </font>
    <font>
      <b val="true"/>
      <sz val="10"/>
      <color rgb="FF000000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CAEEFB"/>
      </patternFill>
    </fill>
    <fill>
      <patternFill patternType="solid">
        <fgColor theme="4" tint="0.7999"/>
        <bgColor rgb="FFCAEEFB"/>
      </patternFill>
    </fill>
    <fill>
      <patternFill patternType="solid">
        <fgColor theme="9" tint="0.7999"/>
        <bgColor rgb="FFE2EFDA"/>
      </patternFill>
    </fill>
    <fill>
      <patternFill patternType="solid">
        <fgColor rgb="FF00B0F0"/>
        <bgColor rgb="FF33CCCC"/>
      </patternFill>
    </fill>
    <fill>
      <patternFill patternType="solid">
        <fgColor theme="8"/>
        <bgColor rgb="FF993366"/>
      </patternFill>
    </fill>
    <fill>
      <patternFill patternType="solid">
        <fgColor rgb="FFFFC000"/>
        <bgColor rgb="FFFF9900"/>
      </patternFill>
    </fill>
    <fill>
      <patternFill patternType="solid">
        <fgColor theme="9" tint="-0.5"/>
        <bgColor rgb="FF333333"/>
      </patternFill>
    </fill>
    <fill>
      <patternFill patternType="solid">
        <fgColor theme="5" tint="0.7999"/>
        <bgColor rgb="FFE2EFDA"/>
      </patternFill>
    </fill>
    <fill>
      <patternFill patternType="solid">
        <fgColor rgb="FFC6E0B4"/>
        <bgColor rgb="FFD9F2D0"/>
      </patternFill>
    </fill>
    <fill>
      <patternFill patternType="solid">
        <fgColor rgb="FFE2EFDA"/>
        <bgColor rgb="FFD9F2D0"/>
      </patternFill>
    </fill>
    <fill>
      <patternFill patternType="solid">
        <fgColor rgb="FF548235"/>
        <bgColor rgb="FF339966"/>
      </patternFill>
    </fill>
    <fill>
      <patternFill patternType="solid">
        <fgColor rgb="FFFFE699"/>
        <bgColor rgb="FFFBE3D6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medium"/>
      <bottom style="double"/>
      <diagonal/>
    </border>
    <border diagonalUp="false" diagonalDown="false">
      <left style="thin"/>
      <right style="thin"/>
      <top style="medium"/>
      <bottom style="double"/>
      <diagonal/>
    </border>
    <border diagonalUp="false" diagonalDown="false">
      <left style="thin"/>
      <right style="medium"/>
      <top style="medium"/>
      <bottom style="double"/>
      <diagonal/>
    </border>
    <border diagonalUp="false" diagonalDown="false">
      <left style="thin"/>
      <right/>
      <top style="medium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double"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double"/>
      <bottom/>
      <diagonal/>
    </border>
    <border diagonalUp="false" diagonalDown="false">
      <left style="thin"/>
      <right/>
      <top style="double"/>
      <bottom/>
      <diagonal/>
    </border>
    <border diagonalUp="false" diagonalDown="false">
      <left style="thin"/>
      <right style="medium"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 style="medium"/>
      <right/>
      <top style="double"/>
      <bottom style="medium"/>
      <diagonal/>
    </border>
    <border diagonalUp="false" diagonalDown="false">
      <left style="thin"/>
      <right/>
      <top style="double"/>
      <bottom style="medium"/>
      <diagonal/>
    </border>
    <border diagonalUp="false" diagonalDown="false">
      <left style="thin"/>
      <right style="medium"/>
      <top style="double"/>
      <bottom style="medium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1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6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6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8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6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6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8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8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3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3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theme="7" tint="0.799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6E0B4"/>
      <rgbColor rgb="FF808080"/>
      <rgbColor rgb="FF9999FF"/>
      <rgbColor rgb="FFA02B93"/>
      <rgbColor rgb="FFE2EFDA"/>
      <rgbColor rgb="FFCAEEFB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9EAF7"/>
      <rgbColor rgb="FFD9F2D0"/>
      <rgbColor rgb="FFFFE699"/>
      <rgbColor rgb="FF99CCFF"/>
      <rgbColor rgb="FFFF99CC"/>
      <rgbColor rgb="FFCC99FF"/>
      <rgbColor rgb="FFFBE3D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275317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Clasificacion" displayName="tblClasificacion" ref="A1:N49" headerRowCount="1" totalsRowCount="0" totalsRowShown="0">
  <tableColumns count="14">
    <tableColumn id="1" name="Grupo"/>
    <tableColumn id="2" name="Código"/>
    <tableColumn id="3" name="Equipo"/>
    <tableColumn id="4" name="PJ"/>
    <tableColumn id="5" name="PG"/>
    <tableColumn id="6" name="PE"/>
    <tableColumn id="7" name="PP"/>
    <tableColumn id="8" name="GF"/>
    <tableColumn id="9" name="GC"/>
    <tableColumn id="10" name="DG"/>
    <tableColumn id="11" name="PTS"/>
    <tableColumn id="12" name="Desempate manual"/>
    <tableColumn id="13" name="Posición calculada"/>
    <tableColumn id="14" name="Clasifica"/>
  </tableColumns>
</table>
</file>

<file path=xl/tables/table2.xml><?xml version="1.0" encoding="utf-8"?>
<table xmlns="http://schemas.openxmlformats.org/spreadsheetml/2006/main" id="2" name="tblEquipos" displayName="tblEquipos" ref="A1:D49" headerRowCount="1" totalsRowCount="0" totalsRowShown="0">
  <tableColumns count="4">
    <tableColumn id="1" name="Grupo"/>
    <tableColumn id="2" name="Posición"/>
    <tableColumn id="3" name="Código"/>
    <tableColumn id="4" name="Equipo"/>
  </tableColumns>
</table>
</file>

<file path=xl/tables/table3.xml><?xml version="1.0" encoding="utf-8"?>
<table xmlns="http://schemas.openxmlformats.org/spreadsheetml/2006/main" id="3" name="tblLlaves" displayName="tblLlaves" ref="A1:H33" headerRowCount="1" totalsRowCount="0" totalsRowShown="0">
  <tableColumns count="8">
    <tableColumn id="1" name="N°"/>
    <tableColumn id="2" name="Fecha"/>
    <tableColumn id="3" name="Hora ET"/>
    <tableColumn id="4" name="Fase"/>
    <tableColumn id="5" name="Equipo/Slot 1"/>
    <tableColumn id="6" name="Equipo/Slot 2"/>
    <tableColumn id="7" name="Sede"/>
    <tableColumn id="8" name="Ganador"/>
  </tableColumns>
</table>
</file>

<file path=xl/tables/table4.xml><?xml version="1.0" encoding="utf-8"?>
<table xmlns="http://schemas.openxmlformats.org/spreadsheetml/2006/main" id="4" name="tblPartidos" displayName="tblPartidos" ref="A1:P105" headerRowCount="1" totalsRowCount="0" totalsRowShown="0">
  <tableColumns count="16">
    <tableColumn id="1" name="N°"/>
    <tableColumn id="2" name="Fecha"/>
    <tableColumn id="3" name="Hora ET"/>
    <tableColumn id="4" name="Fase"/>
    <tableColumn id="5" name="Grupo"/>
    <tableColumn id="6" name="Local"/>
    <tableColumn id="7" name="Visitante"/>
    <tableColumn id="8" name="Goles Local"/>
    <tableColumn id="9" name="Goles Visitante"/>
    <tableColumn id="10" name="Ganador/Clasifica"/>
    <tableColumn id="11" name="Sede"/>
    <tableColumn id="12" name="Local código"/>
    <tableColumn id="13" name="Visitante código"/>
    <tableColumn id="14" name="Local posición"/>
    <tableColumn id="15" name="Visitante posición"/>
    <tableColumn id="16" name="Fuente/Nota"/>
  </tableColumns>
</table>
</file>

<file path=xl/tables/table5.xml><?xml version="1.0" encoding="utf-8"?>
<table xmlns="http://schemas.openxmlformats.org/spreadsheetml/2006/main" id="5" name="tblTerceros" displayName="tblTerceros" ref="A1:I13" headerRowCount="1" totalsRowCount="0" totalsRowShown="0">
  <tableColumns count="9">
    <tableColumn id="1" name="Grupo"/>
    <tableColumn id="2" name="Código"/>
    <tableColumn id="3" name="Equipo"/>
    <tableColumn id="4" name="PTS"/>
    <tableColumn id="5" name="DG"/>
    <tableColumn id="6" name="GF"/>
    <tableColumn id="7" name="Desempate manual"/>
    <tableColumn id="8" name="Ranking tercero"/>
    <tableColumn id="9" name="Clasifica entre mejores 8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70"/>
    <col collapsed="false" customWidth="true" hidden="false" outlineLevel="0" max="8" min="3" style="1" width="12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1</v>
      </c>
    </row>
    <row r="4" customFormat="false" ht="14.25" hidden="false" customHeight="true" outlineLevel="0" collapsed="false">
      <c r="A4" s="1" t="s">
        <v>2</v>
      </c>
      <c r="B4" s="1" t="s">
        <v>3</v>
      </c>
    </row>
    <row r="5" customFormat="false" ht="14.25" hidden="false" customHeight="true" outlineLevel="0" collapsed="false">
      <c r="A5" s="1" t="s">
        <v>4</v>
      </c>
      <c r="B5" s="1" t="s">
        <v>5</v>
      </c>
    </row>
    <row r="6" customFormat="false" ht="14.25" hidden="false" customHeight="true" outlineLevel="0" collapsed="false">
      <c r="A6" s="1" t="s">
        <v>6</v>
      </c>
      <c r="B6" s="1" t="s">
        <v>7</v>
      </c>
    </row>
    <row r="7" customFormat="false" ht="14.25" hidden="false" customHeight="true" outlineLevel="0" collapsed="false">
      <c r="A7" s="1" t="s">
        <v>8</v>
      </c>
      <c r="B7" s="1" t="s">
        <v>9</v>
      </c>
    </row>
    <row r="8" customFormat="false" ht="14.25" hidden="false" customHeight="true" outlineLevel="0" collapsed="false">
      <c r="A8" s="1" t="s">
        <v>10</v>
      </c>
      <c r="B8" s="1" t="s">
        <v>11</v>
      </c>
    </row>
    <row r="9" customFormat="false" ht="14.25" hidden="false" customHeight="true" outlineLevel="0" collapsed="false">
      <c r="A9" s="1" t="s">
        <v>12</v>
      </c>
      <c r="B9" s="1" t="s">
        <v>13</v>
      </c>
    </row>
    <row r="11" customFormat="false" ht="15" hidden="false" customHeight="true" outlineLevel="0" collapsed="false">
      <c r="A11" s="3" t="s">
        <v>14</v>
      </c>
    </row>
    <row r="12" customFormat="false" ht="14.25" hidden="false" customHeight="true" outlineLevel="0" collapsed="false">
      <c r="A12" s="1" t="s">
        <v>15</v>
      </c>
      <c r="B12" s="1" t="s">
        <v>16</v>
      </c>
    </row>
    <row r="13" customFormat="false" ht="14.25" hidden="false" customHeight="true" outlineLevel="0" collapsed="false">
      <c r="A13" s="1" t="s">
        <v>17</v>
      </c>
      <c r="B13" s="1" t="s">
        <v>18</v>
      </c>
    </row>
    <row r="14" customFormat="false" ht="14.25" hidden="false" customHeight="true" outlineLevel="0" collapsed="false">
      <c r="A14" s="1" t="s">
        <v>19</v>
      </c>
      <c r="B14" s="1" t="s">
        <v>20</v>
      </c>
    </row>
    <row r="15" customFormat="false" ht="14.25" hidden="false" customHeight="true" outlineLevel="0" collapsed="false">
      <c r="A15" s="1" t="s">
        <v>21</v>
      </c>
      <c r="B15" s="1" t="s">
        <v>22</v>
      </c>
    </row>
    <row r="16" customFormat="false" ht="14.25" hidden="false" customHeight="true" outlineLevel="0" collapsed="false">
      <c r="A16" s="1" t="s">
        <v>23</v>
      </c>
      <c r="B16" s="1" t="s">
        <v>24</v>
      </c>
    </row>
    <row r="17" customFormat="false" ht="14.25" hidden="false" customHeight="true" outlineLevel="0" collapsed="false">
      <c r="A17" s="1" t="s">
        <v>25</v>
      </c>
      <c r="B17" s="1" t="s">
        <v>26</v>
      </c>
    </row>
    <row r="18" customFormat="false" ht="14.25" hidden="false" customHeight="true" outlineLevel="0" collapsed="false">
      <c r="A18" s="1" t="s">
        <v>27</v>
      </c>
      <c r="B18" s="1" t="s">
        <v>28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26"/>
  </cols>
  <sheetData>
    <row r="1" customFormat="false" ht="24" hidden="false" customHeight="true" outlineLevel="0" collapsed="false">
      <c r="A1" s="4" t="s">
        <v>29</v>
      </c>
      <c r="B1" s="4" t="s">
        <v>30</v>
      </c>
      <c r="C1" s="4" t="s">
        <v>31</v>
      </c>
      <c r="D1" s="4" t="s">
        <v>32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4.25" hidden="false" customHeight="true" outlineLevel="0" collapsed="false">
      <c r="A2" s="1" t="s">
        <v>33</v>
      </c>
      <c r="B2" s="1" t="s">
        <v>34</v>
      </c>
      <c r="C2" s="1" t="s">
        <v>35</v>
      </c>
      <c r="D2" s="1" t="s">
        <v>36</v>
      </c>
    </row>
    <row r="3" customFormat="false" ht="14.25" hidden="false" customHeight="true" outlineLevel="0" collapsed="false">
      <c r="A3" s="1" t="s">
        <v>33</v>
      </c>
      <c r="B3" s="1" t="s">
        <v>37</v>
      </c>
      <c r="C3" s="1" t="s">
        <v>38</v>
      </c>
      <c r="D3" s="1" t="s">
        <v>39</v>
      </c>
    </row>
    <row r="4" customFormat="false" ht="14.25" hidden="false" customHeight="true" outlineLevel="0" collapsed="false">
      <c r="A4" s="1" t="s">
        <v>33</v>
      </c>
      <c r="B4" s="1" t="s">
        <v>40</v>
      </c>
      <c r="C4" s="1" t="s">
        <v>41</v>
      </c>
      <c r="D4" s="1" t="s">
        <v>42</v>
      </c>
    </row>
    <row r="5" customFormat="false" ht="14.25" hidden="false" customHeight="true" outlineLevel="0" collapsed="false">
      <c r="A5" s="1" t="s">
        <v>33</v>
      </c>
      <c r="B5" s="1" t="s">
        <v>43</v>
      </c>
      <c r="C5" s="1" t="s">
        <v>44</v>
      </c>
      <c r="D5" s="1" t="s">
        <v>45</v>
      </c>
    </row>
    <row r="6" customFormat="false" ht="14.25" hidden="false" customHeight="true" outlineLevel="0" collapsed="false">
      <c r="A6" s="1" t="s">
        <v>46</v>
      </c>
      <c r="B6" s="1" t="s">
        <v>47</v>
      </c>
      <c r="C6" s="1" t="s">
        <v>48</v>
      </c>
      <c r="D6" s="1" t="s">
        <v>49</v>
      </c>
    </row>
    <row r="7" customFormat="false" ht="14.25" hidden="false" customHeight="true" outlineLevel="0" collapsed="false">
      <c r="A7" s="1" t="s">
        <v>46</v>
      </c>
      <c r="B7" s="1" t="s">
        <v>50</v>
      </c>
      <c r="C7" s="1" t="s">
        <v>51</v>
      </c>
      <c r="D7" s="1" t="s">
        <v>52</v>
      </c>
    </row>
    <row r="8" customFormat="false" ht="14.25" hidden="false" customHeight="true" outlineLevel="0" collapsed="false">
      <c r="A8" s="1" t="s">
        <v>46</v>
      </c>
      <c r="B8" s="1" t="s">
        <v>53</v>
      </c>
      <c r="C8" s="1" t="s">
        <v>54</v>
      </c>
      <c r="D8" s="1" t="s">
        <v>55</v>
      </c>
    </row>
    <row r="9" customFormat="false" ht="14.25" hidden="false" customHeight="true" outlineLevel="0" collapsed="false">
      <c r="A9" s="1" t="s">
        <v>46</v>
      </c>
      <c r="B9" s="1" t="s">
        <v>56</v>
      </c>
      <c r="C9" s="1" t="s">
        <v>57</v>
      </c>
      <c r="D9" s="1" t="s">
        <v>58</v>
      </c>
    </row>
    <row r="10" customFormat="false" ht="14.25" hidden="false" customHeight="true" outlineLevel="0" collapsed="false">
      <c r="A10" s="1" t="s">
        <v>59</v>
      </c>
      <c r="B10" s="1" t="s">
        <v>60</v>
      </c>
      <c r="C10" s="1" t="s">
        <v>61</v>
      </c>
      <c r="D10" s="1" t="s">
        <v>62</v>
      </c>
    </row>
    <row r="11" customFormat="false" ht="14.25" hidden="false" customHeight="true" outlineLevel="0" collapsed="false">
      <c r="A11" s="1" t="s">
        <v>59</v>
      </c>
      <c r="B11" s="1" t="s">
        <v>63</v>
      </c>
      <c r="C11" s="1" t="s">
        <v>64</v>
      </c>
      <c r="D11" s="1" t="s">
        <v>65</v>
      </c>
    </row>
    <row r="12" customFormat="false" ht="14.25" hidden="false" customHeight="true" outlineLevel="0" collapsed="false">
      <c r="A12" s="1" t="s">
        <v>59</v>
      </c>
      <c r="B12" s="1" t="s">
        <v>66</v>
      </c>
      <c r="C12" s="1" t="s">
        <v>67</v>
      </c>
      <c r="D12" s="1" t="s">
        <v>68</v>
      </c>
    </row>
    <row r="13" customFormat="false" ht="14.25" hidden="false" customHeight="true" outlineLevel="0" collapsed="false">
      <c r="A13" s="1" t="s">
        <v>59</v>
      </c>
      <c r="B13" s="1" t="s">
        <v>69</v>
      </c>
      <c r="C13" s="1" t="s">
        <v>70</v>
      </c>
      <c r="D13" s="1" t="s">
        <v>71</v>
      </c>
    </row>
    <row r="14" customFormat="false" ht="14.25" hidden="false" customHeight="true" outlineLevel="0" collapsed="false">
      <c r="A14" s="1" t="s">
        <v>72</v>
      </c>
      <c r="B14" s="1" t="s">
        <v>73</v>
      </c>
      <c r="C14" s="1" t="s">
        <v>74</v>
      </c>
      <c r="D14" s="1" t="s">
        <v>75</v>
      </c>
    </row>
    <row r="15" customFormat="false" ht="14.25" hidden="false" customHeight="true" outlineLevel="0" collapsed="false">
      <c r="A15" s="1" t="s">
        <v>72</v>
      </c>
      <c r="B15" s="1" t="s">
        <v>76</v>
      </c>
      <c r="C15" s="1" t="s">
        <v>77</v>
      </c>
      <c r="D15" s="1" t="s">
        <v>78</v>
      </c>
    </row>
    <row r="16" customFormat="false" ht="14.25" hidden="false" customHeight="true" outlineLevel="0" collapsed="false">
      <c r="A16" s="1" t="s">
        <v>72</v>
      </c>
      <c r="B16" s="1" t="s">
        <v>79</v>
      </c>
      <c r="C16" s="1" t="s">
        <v>80</v>
      </c>
      <c r="D16" s="1" t="s">
        <v>81</v>
      </c>
    </row>
    <row r="17" customFormat="false" ht="14.25" hidden="false" customHeight="true" outlineLevel="0" collapsed="false">
      <c r="A17" s="1" t="s">
        <v>72</v>
      </c>
      <c r="B17" s="1" t="s">
        <v>82</v>
      </c>
      <c r="C17" s="1" t="s">
        <v>83</v>
      </c>
      <c r="D17" s="1" t="s">
        <v>84</v>
      </c>
    </row>
    <row r="18" customFormat="false" ht="14.25" hidden="false" customHeight="true" outlineLevel="0" collapsed="false">
      <c r="A18" s="1" t="s">
        <v>85</v>
      </c>
      <c r="B18" s="1" t="s">
        <v>86</v>
      </c>
      <c r="C18" s="1" t="s">
        <v>87</v>
      </c>
      <c r="D18" s="1" t="s">
        <v>88</v>
      </c>
    </row>
    <row r="19" customFormat="false" ht="14.25" hidden="false" customHeight="true" outlineLevel="0" collapsed="false">
      <c r="A19" s="1" t="s">
        <v>85</v>
      </c>
      <c r="B19" s="1" t="s">
        <v>89</v>
      </c>
      <c r="C19" s="1" t="s">
        <v>90</v>
      </c>
      <c r="D19" s="1" t="s">
        <v>91</v>
      </c>
    </row>
    <row r="20" customFormat="false" ht="14.25" hidden="false" customHeight="true" outlineLevel="0" collapsed="false">
      <c r="A20" s="1" t="s">
        <v>85</v>
      </c>
      <c r="B20" s="1" t="s">
        <v>92</v>
      </c>
      <c r="C20" s="1" t="s">
        <v>93</v>
      </c>
      <c r="D20" s="1" t="s">
        <v>94</v>
      </c>
    </row>
    <row r="21" customFormat="false" ht="14.25" hidden="false" customHeight="true" outlineLevel="0" collapsed="false">
      <c r="A21" s="1" t="s">
        <v>85</v>
      </c>
      <c r="B21" s="1" t="s">
        <v>95</v>
      </c>
      <c r="C21" s="1" t="s">
        <v>96</v>
      </c>
      <c r="D21" s="1" t="s">
        <v>97</v>
      </c>
    </row>
    <row r="22" customFormat="false" ht="14.25" hidden="false" customHeight="true" outlineLevel="0" collapsed="false">
      <c r="A22" s="1" t="s">
        <v>98</v>
      </c>
      <c r="B22" s="1" t="s">
        <v>99</v>
      </c>
      <c r="C22" s="1" t="s">
        <v>100</v>
      </c>
      <c r="D22" s="1" t="s">
        <v>101</v>
      </c>
    </row>
    <row r="23" customFormat="false" ht="14.25" hidden="false" customHeight="true" outlineLevel="0" collapsed="false">
      <c r="A23" s="1" t="s">
        <v>98</v>
      </c>
      <c r="B23" s="1" t="s">
        <v>102</v>
      </c>
      <c r="C23" s="1" t="s">
        <v>103</v>
      </c>
      <c r="D23" s="1" t="s">
        <v>104</v>
      </c>
    </row>
    <row r="24" customFormat="false" ht="14.25" hidden="false" customHeight="true" outlineLevel="0" collapsed="false">
      <c r="A24" s="1" t="s">
        <v>98</v>
      </c>
      <c r="B24" s="1" t="s">
        <v>105</v>
      </c>
      <c r="C24" s="1" t="s">
        <v>106</v>
      </c>
      <c r="D24" s="1" t="s">
        <v>107</v>
      </c>
    </row>
    <row r="25" customFormat="false" ht="14.25" hidden="false" customHeight="true" outlineLevel="0" collapsed="false">
      <c r="A25" s="1" t="s">
        <v>98</v>
      </c>
      <c r="B25" s="1" t="s">
        <v>108</v>
      </c>
      <c r="C25" s="1" t="s">
        <v>109</v>
      </c>
      <c r="D25" s="1" t="s">
        <v>110</v>
      </c>
    </row>
    <row r="26" customFormat="false" ht="14.25" hidden="false" customHeight="true" outlineLevel="0" collapsed="false">
      <c r="A26" s="1" t="s">
        <v>111</v>
      </c>
      <c r="B26" s="1" t="s">
        <v>112</v>
      </c>
      <c r="C26" s="1" t="s">
        <v>113</v>
      </c>
      <c r="D26" s="1" t="s">
        <v>114</v>
      </c>
    </row>
    <row r="27" customFormat="false" ht="14.25" hidden="false" customHeight="true" outlineLevel="0" collapsed="false">
      <c r="A27" s="1" t="s">
        <v>111</v>
      </c>
      <c r="B27" s="1" t="s">
        <v>115</v>
      </c>
      <c r="C27" s="1" t="s">
        <v>116</v>
      </c>
      <c r="D27" s="1" t="s">
        <v>117</v>
      </c>
    </row>
    <row r="28" customFormat="false" ht="14.25" hidden="false" customHeight="true" outlineLevel="0" collapsed="false">
      <c r="A28" s="1" t="s">
        <v>111</v>
      </c>
      <c r="B28" s="1" t="s">
        <v>118</v>
      </c>
      <c r="C28" s="1" t="s">
        <v>119</v>
      </c>
      <c r="D28" s="1" t="s">
        <v>120</v>
      </c>
    </row>
    <row r="29" customFormat="false" ht="14.25" hidden="false" customHeight="true" outlineLevel="0" collapsed="false">
      <c r="A29" s="1" t="s">
        <v>111</v>
      </c>
      <c r="B29" s="1" t="s">
        <v>121</v>
      </c>
      <c r="C29" s="1" t="s">
        <v>122</v>
      </c>
      <c r="D29" s="1" t="s">
        <v>123</v>
      </c>
    </row>
    <row r="30" customFormat="false" ht="14.25" hidden="false" customHeight="true" outlineLevel="0" collapsed="false">
      <c r="A30" s="1" t="s">
        <v>124</v>
      </c>
      <c r="B30" s="1" t="s">
        <v>125</v>
      </c>
      <c r="C30" s="1" t="s">
        <v>126</v>
      </c>
      <c r="D30" s="1" t="s">
        <v>127</v>
      </c>
    </row>
    <row r="31" customFormat="false" ht="14.25" hidden="false" customHeight="true" outlineLevel="0" collapsed="false">
      <c r="A31" s="1" t="s">
        <v>124</v>
      </c>
      <c r="B31" s="1" t="s">
        <v>128</v>
      </c>
      <c r="C31" s="1" t="s">
        <v>129</v>
      </c>
      <c r="D31" s="1" t="s">
        <v>130</v>
      </c>
    </row>
    <row r="32" customFormat="false" ht="14.25" hidden="false" customHeight="true" outlineLevel="0" collapsed="false">
      <c r="A32" s="1" t="s">
        <v>124</v>
      </c>
      <c r="B32" s="1" t="s">
        <v>131</v>
      </c>
      <c r="C32" s="1" t="s">
        <v>132</v>
      </c>
      <c r="D32" s="1" t="s">
        <v>133</v>
      </c>
    </row>
    <row r="33" customFormat="false" ht="14.25" hidden="false" customHeight="true" outlineLevel="0" collapsed="false">
      <c r="A33" s="1" t="s">
        <v>124</v>
      </c>
      <c r="B33" s="1" t="s">
        <v>134</v>
      </c>
      <c r="C33" s="1" t="s">
        <v>135</v>
      </c>
      <c r="D33" s="1" t="s">
        <v>136</v>
      </c>
    </row>
    <row r="34" customFormat="false" ht="14.25" hidden="false" customHeight="true" outlineLevel="0" collapsed="false">
      <c r="A34" s="1" t="s">
        <v>137</v>
      </c>
      <c r="B34" s="1" t="s">
        <v>138</v>
      </c>
      <c r="C34" s="1" t="s">
        <v>139</v>
      </c>
      <c r="D34" s="1" t="s">
        <v>140</v>
      </c>
    </row>
    <row r="35" customFormat="false" ht="14.25" hidden="false" customHeight="true" outlineLevel="0" collapsed="false">
      <c r="A35" s="1" t="s">
        <v>137</v>
      </c>
      <c r="B35" s="1" t="s">
        <v>141</v>
      </c>
      <c r="C35" s="1" t="s">
        <v>142</v>
      </c>
      <c r="D35" s="1" t="s">
        <v>143</v>
      </c>
    </row>
    <row r="36" customFormat="false" ht="14.25" hidden="false" customHeight="true" outlineLevel="0" collapsed="false">
      <c r="A36" s="1" t="s">
        <v>137</v>
      </c>
      <c r="B36" s="1" t="s">
        <v>144</v>
      </c>
      <c r="C36" s="1" t="s">
        <v>145</v>
      </c>
      <c r="D36" s="1" t="s">
        <v>146</v>
      </c>
    </row>
    <row r="37" customFormat="false" ht="14.25" hidden="false" customHeight="true" outlineLevel="0" collapsed="false">
      <c r="A37" s="1" t="s">
        <v>137</v>
      </c>
      <c r="B37" s="1" t="s">
        <v>147</v>
      </c>
      <c r="C37" s="1" t="s">
        <v>148</v>
      </c>
      <c r="D37" s="1" t="s">
        <v>149</v>
      </c>
    </row>
    <row r="38" customFormat="false" ht="14.25" hidden="false" customHeight="true" outlineLevel="0" collapsed="false">
      <c r="A38" s="1" t="s">
        <v>150</v>
      </c>
      <c r="B38" s="1" t="s">
        <v>151</v>
      </c>
      <c r="C38" s="1" t="s">
        <v>152</v>
      </c>
      <c r="D38" s="1" t="s">
        <v>153</v>
      </c>
    </row>
    <row r="39" customFormat="false" ht="14.25" hidden="false" customHeight="true" outlineLevel="0" collapsed="false">
      <c r="A39" s="1" t="s">
        <v>150</v>
      </c>
      <c r="B39" s="1" t="s">
        <v>154</v>
      </c>
      <c r="C39" s="1" t="s">
        <v>155</v>
      </c>
      <c r="D39" s="1" t="s">
        <v>156</v>
      </c>
    </row>
    <row r="40" customFormat="false" ht="14.25" hidden="false" customHeight="true" outlineLevel="0" collapsed="false">
      <c r="A40" s="1" t="s">
        <v>150</v>
      </c>
      <c r="B40" s="1" t="s">
        <v>157</v>
      </c>
      <c r="C40" s="1" t="s">
        <v>158</v>
      </c>
      <c r="D40" s="1" t="s">
        <v>159</v>
      </c>
    </row>
    <row r="41" customFormat="false" ht="14.25" hidden="false" customHeight="true" outlineLevel="0" collapsed="false">
      <c r="A41" s="1" t="s">
        <v>150</v>
      </c>
      <c r="B41" s="1" t="s">
        <v>160</v>
      </c>
      <c r="C41" s="1" t="s">
        <v>161</v>
      </c>
      <c r="D41" s="1" t="s">
        <v>162</v>
      </c>
    </row>
    <row r="42" customFormat="false" ht="14.25" hidden="false" customHeight="true" outlineLevel="0" collapsed="false">
      <c r="A42" s="1" t="s">
        <v>163</v>
      </c>
      <c r="B42" s="1" t="s">
        <v>164</v>
      </c>
      <c r="C42" s="1" t="s">
        <v>165</v>
      </c>
      <c r="D42" s="1" t="s">
        <v>166</v>
      </c>
    </row>
    <row r="43" customFormat="false" ht="14.25" hidden="false" customHeight="true" outlineLevel="0" collapsed="false">
      <c r="A43" s="1" t="s">
        <v>163</v>
      </c>
      <c r="B43" s="1" t="s">
        <v>167</v>
      </c>
      <c r="C43" s="1" t="s">
        <v>168</v>
      </c>
      <c r="D43" s="1" t="s">
        <v>169</v>
      </c>
    </row>
    <row r="44" customFormat="false" ht="14.25" hidden="false" customHeight="true" outlineLevel="0" collapsed="false">
      <c r="A44" s="1" t="s">
        <v>163</v>
      </c>
      <c r="B44" s="1" t="s">
        <v>170</v>
      </c>
      <c r="C44" s="1" t="s">
        <v>171</v>
      </c>
      <c r="D44" s="1" t="s">
        <v>172</v>
      </c>
    </row>
    <row r="45" customFormat="false" ht="14.25" hidden="false" customHeight="true" outlineLevel="0" collapsed="false">
      <c r="A45" s="1" t="s">
        <v>163</v>
      </c>
      <c r="B45" s="1" t="s">
        <v>173</v>
      </c>
      <c r="C45" s="1" t="s">
        <v>174</v>
      </c>
      <c r="D45" s="1" t="s">
        <v>175</v>
      </c>
    </row>
    <row r="46" customFormat="false" ht="14.25" hidden="false" customHeight="true" outlineLevel="0" collapsed="false">
      <c r="A46" s="1" t="s">
        <v>176</v>
      </c>
      <c r="B46" s="1" t="s">
        <v>177</v>
      </c>
      <c r="C46" s="1" t="s">
        <v>178</v>
      </c>
      <c r="D46" s="1" t="s">
        <v>179</v>
      </c>
    </row>
    <row r="47" customFormat="false" ht="14.25" hidden="false" customHeight="true" outlineLevel="0" collapsed="false">
      <c r="A47" s="1" t="s">
        <v>176</v>
      </c>
      <c r="B47" s="1" t="s">
        <v>180</v>
      </c>
      <c r="C47" s="1" t="s">
        <v>181</v>
      </c>
      <c r="D47" s="1" t="s">
        <v>182</v>
      </c>
    </row>
    <row r="48" customFormat="false" ht="14.25" hidden="false" customHeight="true" outlineLevel="0" collapsed="false">
      <c r="A48" s="1" t="s">
        <v>176</v>
      </c>
      <c r="B48" s="1" t="s">
        <v>183</v>
      </c>
      <c r="C48" s="1" t="s">
        <v>184</v>
      </c>
      <c r="D48" s="1" t="s">
        <v>185</v>
      </c>
    </row>
    <row r="49" customFormat="false" ht="14.25" hidden="false" customHeight="true" outlineLevel="0" collapsed="false">
      <c r="A49" s="1" t="s">
        <v>176</v>
      </c>
      <c r="B49" s="1" t="s">
        <v>186</v>
      </c>
      <c r="C49" s="1" t="s">
        <v>187</v>
      </c>
      <c r="D49" s="1" t="s">
        <v>188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3" activeCellId="0" sqref="H33"/>
    </sheetView>
  </sheetViews>
  <sheetFormatPr defaultColWidth="11.00390625" defaultRowHeight="14.25" zeroHeight="false" outlineLevelRow="0" outlineLevelCol="0"/>
  <cols>
    <col collapsed="false" customWidth="false" hidden="false" outlineLevel="0" max="2" min="1" style="5" width="11"/>
    <col collapsed="false" customWidth="false" hidden="false" outlineLevel="0" max="3" min="3" style="6" width="11"/>
    <col collapsed="false" customWidth="false" hidden="false" outlineLevel="0" max="4" min="4" style="5" width="11"/>
    <col collapsed="false" customWidth="true" hidden="false" outlineLevel="0" max="6" min="6" style="1" width="15"/>
    <col collapsed="false" customWidth="true" hidden="false" outlineLevel="0" max="7" min="7" style="5" width="14.38"/>
    <col collapsed="false" customWidth="false" hidden="false" outlineLevel="0" max="8" min="8" style="5" width="11"/>
  </cols>
  <sheetData>
    <row r="1" customFormat="false" ht="16.5" hidden="false" customHeight="true" outlineLevel="0" collapsed="false">
      <c r="A1" s="7" t="s">
        <v>189</v>
      </c>
      <c r="B1" s="8" t="s">
        <v>190</v>
      </c>
      <c r="C1" s="9" t="s">
        <v>191</v>
      </c>
      <c r="D1" s="10" t="s">
        <v>192</v>
      </c>
      <c r="F1" s="11" t="n">
        <f aca="true">NOW()</f>
        <v>46184.976538212</v>
      </c>
    </row>
    <row r="2" customFormat="false" ht="14.25" hidden="false" customHeight="true" outlineLevel="0" collapsed="false">
      <c r="A2" s="12" t="n">
        <f aca="false">Participantes!A3</f>
        <v>2</v>
      </c>
      <c r="B2" s="13" t="n">
        <f aca="false">IF(ROW()=2,1,IF(D2=D1,B1,B1+1))</f>
        <v>1</v>
      </c>
      <c r="C2" s="14" t="str">
        <f aca="false">Participantes!B3</f>
        <v>Alexander</v>
      </c>
      <c r="D2" s="15" t="n">
        <f aca="false">Grupo!BS5</f>
        <v>0</v>
      </c>
    </row>
    <row r="3" customFormat="false" ht="14.25" hidden="false" customHeight="true" outlineLevel="0" collapsed="false">
      <c r="A3" s="16" t="n">
        <f aca="false">Participantes!A5</f>
        <v>4</v>
      </c>
      <c r="B3" s="17" t="n">
        <f aca="false">IF(ROW()=2,1,IF(D3=D2,B2,B2+1))</f>
        <v>2</v>
      </c>
      <c r="C3" s="18" t="str">
        <f aca="false">Participantes!B5</f>
        <v>Alfredo 2</v>
      </c>
      <c r="D3" s="19" t="n">
        <f aca="false">Grupo!BS7</f>
        <v>2</v>
      </c>
    </row>
    <row r="4" customFormat="false" ht="14.25" hidden="false" customHeight="true" outlineLevel="0" collapsed="false">
      <c r="A4" s="16" t="n">
        <f aca="false">Participantes!A6</f>
        <v>5</v>
      </c>
      <c r="B4" s="17" t="n">
        <f aca="false">IF(ROW()=2,1,IF(D4=D3,B3,B3+1))</f>
        <v>3</v>
      </c>
      <c r="C4" s="18" t="str">
        <f aca="false">Participantes!B6</f>
        <v>Aneth</v>
      </c>
      <c r="D4" s="19" t="n">
        <f aca="false">Grupo!BS8</f>
        <v>0</v>
      </c>
    </row>
    <row r="5" customFormat="false" ht="14.25" hidden="false" customHeight="true" outlineLevel="0" collapsed="false">
      <c r="A5" s="16" t="n">
        <f aca="false">Participantes!A7</f>
        <v>6</v>
      </c>
      <c r="B5" s="17" t="n">
        <f aca="false">IF(ROW()=2,1,IF(D5=D4,B4,B4+1))</f>
        <v>3</v>
      </c>
      <c r="C5" s="18" t="str">
        <f aca="false">Participantes!B7</f>
        <v>Antonio</v>
      </c>
      <c r="D5" s="19" t="n">
        <f aca="false">Grupo!BS9</f>
        <v>0</v>
      </c>
    </row>
    <row r="6" customFormat="false" ht="14.25" hidden="false" customHeight="true" outlineLevel="0" collapsed="false">
      <c r="A6" s="16" t="n">
        <f aca="false">Participantes!A12</f>
        <v>11</v>
      </c>
      <c r="B6" s="17" t="n">
        <f aca="false">IF(ROW()=2,1,IF(D6=D5,B5,B5+1))</f>
        <v>4</v>
      </c>
      <c r="C6" s="18" t="str">
        <f aca="false">Participantes!B12</f>
        <v>Edward</v>
      </c>
      <c r="D6" s="19" t="n">
        <f aca="false">Grupo!BS14</f>
        <v>1</v>
      </c>
    </row>
    <row r="7" customFormat="false" ht="14.25" hidden="false" customHeight="true" outlineLevel="0" collapsed="false">
      <c r="A7" s="16" t="n">
        <f aca="false">Participantes!A17</f>
        <v>17</v>
      </c>
      <c r="B7" s="17" t="n">
        <f aca="false">IF(ROW()=2,1,IF(D7=D6,B6,B6+1))</f>
        <v>5</v>
      </c>
      <c r="C7" s="18" t="str">
        <f aca="false">Participantes!B17</f>
        <v>Javier</v>
      </c>
      <c r="D7" s="19" t="n">
        <f aca="false">Grupo!BS19</f>
        <v>0</v>
      </c>
    </row>
    <row r="8" customFormat="false" ht="15" hidden="false" customHeight="true" outlineLevel="0" collapsed="false">
      <c r="A8" s="16" t="n">
        <f aca="false">Participantes!A27</f>
        <v>27</v>
      </c>
      <c r="B8" s="17" t="n">
        <f aca="false">IF(ROW()=2,1,IF(D8=D7,B7,B7+1))</f>
        <v>5</v>
      </c>
      <c r="C8" s="18" t="str">
        <f aca="false">Participantes!B27</f>
        <v>Kattia 2</v>
      </c>
      <c r="D8" s="19" t="n">
        <f aca="false">Grupo!BS29</f>
        <v>0</v>
      </c>
    </row>
    <row r="9" customFormat="false" ht="14.25" hidden="false" customHeight="true" outlineLevel="0" collapsed="false">
      <c r="A9" s="16" t="n">
        <f aca="false">Participantes!A28</f>
        <v>28</v>
      </c>
      <c r="B9" s="17" t="n">
        <f aca="false">IF(ROW()=2,1,IF(D9=D8,B8,B8+1))</f>
        <v>5</v>
      </c>
      <c r="C9" s="18" t="str">
        <f aca="false">Participantes!B28</f>
        <v>Kevin</v>
      </c>
      <c r="D9" s="19" t="n">
        <f aca="false">Grupo!BS30</f>
        <v>0</v>
      </c>
      <c r="G9" s="12" t="str">
        <f aca="false">Partidos!F2</f>
        <v>México</v>
      </c>
      <c r="H9" s="15" t="str">
        <f aca="false">Partidos!G2</f>
        <v>Sudáfrica</v>
      </c>
      <c r="J9" s="1" t="str">
        <f aca="false">Partidos!C2</f>
        <v>15:00</v>
      </c>
    </row>
    <row r="10" customFormat="false" ht="15" hidden="false" customHeight="true" outlineLevel="0" collapsed="false">
      <c r="A10" s="16" t="n">
        <f aca="false">Participantes!A29</f>
        <v>29</v>
      </c>
      <c r="B10" s="17" t="n">
        <f aca="false">IF(ROW()=2,1,IF(D10=D9,B9,B9+1))</f>
        <v>5</v>
      </c>
      <c r="C10" s="18" t="str">
        <f aca="false">Participantes!B29</f>
        <v>Lizka</v>
      </c>
      <c r="D10" s="19" t="n">
        <f aca="false">Grupo!BS31</f>
        <v>0</v>
      </c>
      <c r="G10" s="20" t="n">
        <f aca="false">Partidos!H2</f>
        <v>2</v>
      </c>
      <c r="H10" s="20" t="n">
        <f aca="false">Partidos!I2</f>
        <v>0</v>
      </c>
    </row>
    <row r="11" customFormat="false" ht="15" hidden="false" customHeight="true" outlineLevel="0" collapsed="false">
      <c r="A11" s="16" t="n">
        <f aca="false">Participantes!A30</f>
        <v>30</v>
      </c>
      <c r="B11" s="17" t="n">
        <f aca="false">IF(ROW()=2,1,IF(D11=D10,B10,B10+1))</f>
        <v>5</v>
      </c>
      <c r="C11" s="18" t="str">
        <f aca="false">Participantes!B30</f>
        <v>Luis Peña</v>
      </c>
      <c r="D11" s="19" t="n">
        <f aca="false">Grupo!BS32</f>
        <v>0</v>
      </c>
    </row>
    <row r="12" customFormat="false" ht="14.25" hidden="false" customHeight="true" outlineLevel="0" collapsed="false">
      <c r="A12" s="16" t="n">
        <f aca="false">Participantes!A33</f>
        <v>33</v>
      </c>
      <c r="B12" s="17" t="n">
        <f aca="false">IF(ROW()=2,1,IF(D12=D11,B11,B11+1))</f>
        <v>5</v>
      </c>
      <c r="C12" s="18" t="str">
        <f aca="false">Participantes!B33</f>
        <v>Marilyn</v>
      </c>
      <c r="D12" s="19" t="n">
        <f aca="false">Grupo!BS35</f>
        <v>0</v>
      </c>
      <c r="G12" s="12" t="str">
        <f aca="false">Partidos!F3</f>
        <v>Corea República</v>
      </c>
      <c r="H12" s="15" t="str">
        <f aca="false">Partidos!G3</f>
        <v>Chequia</v>
      </c>
      <c r="J12" s="1" t="str">
        <f aca="false">Partidos!C3</f>
        <v>22:00</v>
      </c>
    </row>
    <row r="13" customFormat="false" ht="15" hidden="false" customHeight="true" outlineLevel="0" collapsed="false">
      <c r="A13" s="16" t="n">
        <f aca="false">Participantes!A35</f>
        <v>35</v>
      </c>
      <c r="B13" s="17" t="n">
        <f aca="false">IF(ROW()=2,1,IF(D13=D12,B12,B12+1))</f>
        <v>5</v>
      </c>
      <c r="C13" s="18" t="str">
        <f aca="false">Participantes!B35</f>
        <v>Milagros</v>
      </c>
      <c r="D13" s="19" t="n">
        <f aca="false">Grupo!BS37</f>
        <v>0</v>
      </c>
      <c r="G13" s="21"/>
      <c r="H13" s="22"/>
    </row>
    <row r="14" customFormat="false" ht="14.25" hidden="false" customHeight="true" outlineLevel="0" collapsed="false">
      <c r="A14" s="16" t="n">
        <f aca="false">Participantes!A38</f>
        <v>14</v>
      </c>
      <c r="B14" s="17" t="n">
        <f aca="false">IF(ROW()=2,1,IF(D14=D13,B13,B13+1))</f>
        <v>5</v>
      </c>
      <c r="C14" s="18" t="str">
        <f aca="false">Participantes!B38</f>
        <v>Mily Frida</v>
      </c>
      <c r="D14" s="19" t="n">
        <f aca="false">Grupo!BS40</f>
        <v>0</v>
      </c>
    </row>
    <row r="15" customFormat="false" ht="14.25" hidden="false" customHeight="true" outlineLevel="0" collapsed="false">
      <c r="A15" s="16" t="n">
        <f aca="false">Participantes!A39</f>
        <v>38</v>
      </c>
      <c r="B15" s="17" t="n">
        <f aca="false">IF(ROW()=2,1,IF(D15=D14,B14,B14+1))</f>
        <v>5</v>
      </c>
      <c r="C15" s="18" t="str">
        <f aca="false">Participantes!B39</f>
        <v>Mily Oliver</v>
      </c>
      <c r="D15" s="19" t="n">
        <f aca="false">Grupo!BS41</f>
        <v>0</v>
      </c>
    </row>
    <row r="16" customFormat="false" ht="14.25" hidden="false" customHeight="true" outlineLevel="0" collapsed="false">
      <c r="A16" s="16" t="n">
        <f aca="false">Participantes!A44</f>
        <v>43</v>
      </c>
      <c r="B16" s="17" t="n">
        <f aca="false">IF(ROW()=2,1,IF(D16=D15,B15,B15+1))</f>
        <v>5</v>
      </c>
      <c r="C16" s="18" t="str">
        <f aca="false">Participantes!B44</f>
        <v>Peter</v>
      </c>
      <c r="D16" s="19" t="n">
        <f aca="false">Grupo!BS46</f>
        <v>0</v>
      </c>
    </row>
    <row r="17" customFormat="false" ht="14.25" hidden="false" customHeight="true" outlineLevel="0" collapsed="false">
      <c r="A17" s="16" t="n">
        <f aca="false">Participantes!A45</f>
        <v>44</v>
      </c>
      <c r="B17" s="17" t="n">
        <f aca="false">IF(ROW()=2,1,IF(D17=D16,B16,B16+1))</f>
        <v>5</v>
      </c>
      <c r="C17" s="18" t="str">
        <f aca="false">Participantes!B45</f>
        <v>Quinnie</v>
      </c>
      <c r="D17" s="19" t="n">
        <f aca="false">Grupo!BS47</f>
        <v>0</v>
      </c>
    </row>
    <row r="18" customFormat="false" ht="14.25" hidden="false" customHeight="true" outlineLevel="0" collapsed="false">
      <c r="A18" s="16" t="n">
        <f aca="false">Participantes!A46</f>
        <v>45</v>
      </c>
      <c r="B18" s="17" t="n">
        <f aca="false">IF(ROW()=2,1,IF(D18=D17,B17,B17+1))</f>
        <v>5</v>
      </c>
      <c r="C18" s="18" t="str">
        <f aca="false">Participantes!B46</f>
        <v>Radames</v>
      </c>
      <c r="D18" s="19" t="n">
        <f aca="false">Grupo!BS48</f>
        <v>0</v>
      </c>
    </row>
    <row r="19" customFormat="false" ht="14.25" hidden="false" customHeight="true" outlineLevel="0" collapsed="false">
      <c r="A19" s="16" t="n">
        <f aca="false">Participantes!A47</f>
        <v>46</v>
      </c>
      <c r="B19" s="17" t="n">
        <f aca="false">IF(ROW()=2,1,IF(D19=D18,B18,B18+1))</f>
        <v>5</v>
      </c>
      <c r="C19" s="18" t="str">
        <f aca="false">Participantes!B47</f>
        <v>Saul</v>
      </c>
      <c r="D19" s="19" t="n">
        <f aca="false">Grupo!BS49</f>
        <v>0</v>
      </c>
    </row>
    <row r="20" customFormat="false" ht="14.25" hidden="false" customHeight="true" outlineLevel="0" collapsed="false">
      <c r="A20" s="16" t="n">
        <f aca="false">Participantes!A48</f>
        <v>47</v>
      </c>
      <c r="B20" s="17" t="n">
        <f aca="false">IF(ROW()=2,1,IF(D20=D19,B19,B19+1))</f>
        <v>5</v>
      </c>
      <c r="C20" s="18" t="str">
        <f aca="false">Participantes!B48</f>
        <v>Silvia</v>
      </c>
      <c r="D20" s="19" t="n">
        <f aca="false">Grupo!BS50</f>
        <v>0</v>
      </c>
    </row>
    <row r="21" customFormat="false" ht="14.25" hidden="false" customHeight="true" outlineLevel="0" collapsed="false">
      <c r="A21" s="16" t="n">
        <f aca="false">Participantes!A4</f>
        <v>3</v>
      </c>
      <c r="B21" s="17" t="n">
        <f aca="false">IF(ROW()=2,1,IF(D21=D20,B20,B20+1))</f>
        <v>5</v>
      </c>
      <c r="C21" s="18" t="str">
        <f aca="false">Participantes!B4</f>
        <v>Alfredo 1</v>
      </c>
      <c r="D21" s="19" t="n">
        <f aca="false">Grupo!BS6</f>
        <v>0</v>
      </c>
    </row>
    <row r="22" customFormat="false" ht="14.25" hidden="false" customHeight="true" outlineLevel="0" collapsed="false">
      <c r="A22" s="16" t="n">
        <f aca="false">Participantes!A8</f>
        <v>7</v>
      </c>
      <c r="B22" s="17" t="n">
        <f aca="false">IF(ROW()=2,1,IF(D22=D21,B21,B21+1))</f>
        <v>6</v>
      </c>
      <c r="C22" s="18" t="str">
        <f aca="false">Participantes!B8</f>
        <v>Carlos</v>
      </c>
      <c r="D22" s="19" t="n">
        <f aca="false">Grupo!BS10</f>
        <v>1</v>
      </c>
    </row>
    <row r="23" customFormat="false" ht="14.25" hidden="false" customHeight="true" outlineLevel="0" collapsed="false">
      <c r="A23" s="16" t="n">
        <f aca="false">Participantes!A9</f>
        <v>8</v>
      </c>
      <c r="B23" s="17" t="n">
        <f aca="false">IF(ROW()=2,1,IF(D23=D22,B22,B22+1))</f>
        <v>6</v>
      </c>
      <c r="C23" s="18" t="str">
        <f aca="false">Participantes!B9</f>
        <v>Castillo L.</v>
      </c>
      <c r="D23" s="19" t="n">
        <f aca="false">Grupo!BS11</f>
        <v>1</v>
      </c>
    </row>
    <row r="24" customFormat="false" ht="14.25" hidden="false" customHeight="true" outlineLevel="0" collapsed="false">
      <c r="A24" s="16" t="n">
        <f aca="false">Participantes!A13</f>
        <v>12</v>
      </c>
      <c r="B24" s="17" t="n">
        <f aca="false">IF(ROW()=2,1,IF(D24=D23,B23,B23+1))</f>
        <v>6</v>
      </c>
      <c r="C24" s="18" t="str">
        <f aca="false">Participantes!B13</f>
        <v>Espinosa L.</v>
      </c>
      <c r="D24" s="19" t="n">
        <f aca="false">Grupo!BS15</f>
        <v>1</v>
      </c>
    </row>
    <row r="25" customFormat="false" ht="14.25" hidden="false" customHeight="true" outlineLevel="0" collapsed="false">
      <c r="A25" s="16" t="n">
        <f aca="false">Participantes!A14</f>
        <v>13</v>
      </c>
      <c r="B25" s="17" t="n">
        <f aca="false">IF(ROW()=2,1,IF(D25=D24,B24,B24+1))</f>
        <v>6</v>
      </c>
      <c r="C25" s="18" t="str">
        <f aca="false">Participantes!B14</f>
        <v>Freddy</v>
      </c>
      <c r="D25" s="19" t="n">
        <f aca="false">Grupo!BS16</f>
        <v>1</v>
      </c>
    </row>
    <row r="26" customFormat="false" ht="14.25" hidden="false" customHeight="true" outlineLevel="0" collapsed="false">
      <c r="A26" s="16" t="n">
        <f aca="false">Participantes!A15</f>
        <v>15</v>
      </c>
      <c r="B26" s="17" t="n">
        <f aca="false">IF(ROW()=2,1,IF(D26=D25,B25,B25+1))</f>
        <v>7</v>
      </c>
      <c r="C26" s="18" t="str">
        <f aca="false">Participantes!B15</f>
        <v>Isabel 1</v>
      </c>
      <c r="D26" s="19" t="n">
        <f aca="false">Grupo!BS17</f>
        <v>0</v>
      </c>
    </row>
    <row r="27" customFormat="false" ht="14.25" hidden="false" customHeight="true" outlineLevel="0" collapsed="false">
      <c r="A27" s="16" t="n">
        <f aca="false">Participantes!A16</f>
        <v>16</v>
      </c>
      <c r="B27" s="17" t="n">
        <f aca="false">IF(ROW()=2,1,IF(D27=D26,B26,B26+1))</f>
        <v>8</v>
      </c>
      <c r="C27" s="18" t="str">
        <f aca="false">Participantes!B16</f>
        <v>Isabel 2</v>
      </c>
      <c r="D27" s="19" t="n">
        <f aca="false">Grupo!BS18</f>
        <v>5</v>
      </c>
    </row>
    <row r="28" customFormat="false" ht="14.25" hidden="false" customHeight="true" outlineLevel="0" collapsed="false">
      <c r="A28" s="16" t="n">
        <f aca="false">Participantes!A19</f>
        <v>19</v>
      </c>
      <c r="B28" s="17" t="n">
        <f aca="false">IF(ROW()=2,1,IF(D28=D27,B27,B27+1))</f>
        <v>9</v>
      </c>
      <c r="C28" s="18" t="str">
        <f aca="false">Participantes!B19</f>
        <v>Jose C 2</v>
      </c>
      <c r="D28" s="19" t="n">
        <f aca="false">Grupo!BS21</f>
        <v>0</v>
      </c>
    </row>
    <row r="29" customFormat="false" ht="14.25" hidden="false" customHeight="true" outlineLevel="0" collapsed="false">
      <c r="A29" s="16" t="n">
        <f aca="false">Participantes!A20</f>
        <v>20</v>
      </c>
      <c r="B29" s="17" t="n">
        <f aca="false">IF(ROW()=2,1,IF(D29=D28,B28,B28+1))</f>
        <v>9</v>
      </c>
      <c r="C29" s="18" t="str">
        <f aca="false">Participantes!B20</f>
        <v>Jose C Ahiza</v>
      </c>
      <c r="D29" s="19" t="n">
        <f aca="false">Grupo!BS22</f>
        <v>0</v>
      </c>
    </row>
    <row r="30" customFormat="false" ht="14.25" hidden="false" customHeight="true" outlineLevel="0" collapsed="false">
      <c r="A30" s="16" t="n">
        <f aca="false">Participantes!A21</f>
        <v>21</v>
      </c>
      <c r="B30" s="17" t="n">
        <f aca="false">IF(ROW()=2,1,IF(D30=D29,B29,B29+1))</f>
        <v>9</v>
      </c>
      <c r="C30" s="18" t="str">
        <f aca="false">Participantes!B21</f>
        <v>Jose C Ana</v>
      </c>
      <c r="D30" s="19" t="n">
        <f aca="false">Grupo!BS23</f>
        <v>0</v>
      </c>
    </row>
    <row r="31" customFormat="false" ht="14.25" hidden="false" customHeight="true" outlineLevel="0" collapsed="false">
      <c r="A31" s="16" t="n">
        <f aca="false">Participantes!A22</f>
        <v>22</v>
      </c>
      <c r="B31" s="17" t="n">
        <f aca="false">IF(ROW()=2,1,IF(D31=D30,B30,B30+1))</f>
        <v>9</v>
      </c>
      <c r="C31" s="18" t="str">
        <f aca="false">Participantes!B22</f>
        <v>Jose C Judith</v>
      </c>
      <c r="D31" s="19" t="n">
        <f aca="false">Grupo!BS24</f>
        <v>0</v>
      </c>
    </row>
    <row r="32" customFormat="false" ht="14.25" hidden="false" customHeight="true" outlineLevel="0" collapsed="false">
      <c r="A32" s="16" t="n">
        <f aca="false">Participantes!A23</f>
        <v>23</v>
      </c>
      <c r="B32" s="17" t="n">
        <f aca="false">IF(ROW()=2,1,IF(D32=D31,B31,B31+1))</f>
        <v>10</v>
      </c>
      <c r="C32" s="18" t="str">
        <f aca="false">Participantes!B23</f>
        <v>José de León</v>
      </c>
      <c r="D32" s="19" t="n">
        <f aca="false">Grupo!BS25</f>
        <v>2</v>
      </c>
    </row>
    <row r="33" customFormat="false" ht="14.25" hidden="false" customHeight="true" outlineLevel="0" collapsed="false">
      <c r="A33" s="16" t="n">
        <f aca="false">Participantes!A24</f>
        <v>24</v>
      </c>
      <c r="B33" s="17" t="n">
        <f aca="false">IF(ROW()=2,1,IF(D33=D32,B32,B32+1))</f>
        <v>11</v>
      </c>
      <c r="C33" s="18" t="str">
        <f aca="false">Participantes!B24</f>
        <v>Jovanna</v>
      </c>
      <c r="D33" s="19" t="n">
        <f aca="false">Grupo!BS26</f>
        <v>0</v>
      </c>
    </row>
    <row r="34" customFormat="false" ht="14.25" hidden="false" customHeight="true" outlineLevel="0" collapsed="false">
      <c r="A34" s="16" t="n">
        <f aca="false">Participantes!A25</f>
        <v>25</v>
      </c>
      <c r="B34" s="17" t="n">
        <f aca="false">IF(ROW()=2,1,IF(D34=D33,B33,B33+1))</f>
        <v>11</v>
      </c>
      <c r="C34" s="18" t="str">
        <f aca="false">Participantes!B25</f>
        <v>Karina</v>
      </c>
      <c r="D34" s="19" t="n">
        <f aca="false">Grupo!BS27</f>
        <v>0</v>
      </c>
    </row>
    <row r="35" customFormat="false" ht="14.25" hidden="false" customHeight="true" outlineLevel="0" collapsed="false">
      <c r="A35" s="16" t="n">
        <f aca="false">Participantes!A26</f>
        <v>26</v>
      </c>
      <c r="B35" s="17" t="n">
        <f aca="false">IF(ROW()=2,1,IF(D35=D34,B34,B34+1))</f>
        <v>11</v>
      </c>
      <c r="C35" s="18" t="str">
        <f aca="false">Participantes!B26</f>
        <v>Kattia 1</v>
      </c>
      <c r="D35" s="19" t="n">
        <f aca="false">Grupo!BS28</f>
        <v>0</v>
      </c>
    </row>
    <row r="36" customFormat="false" ht="14.25" hidden="false" customHeight="true" outlineLevel="0" collapsed="false">
      <c r="A36" s="16" t="n">
        <f aca="false">Participantes!A31</f>
        <v>31</v>
      </c>
      <c r="B36" s="17" t="n">
        <f aca="false">IF(ROW()=2,1,IF(D36=D35,B35,B35+1))</f>
        <v>11</v>
      </c>
      <c r="C36" s="18" t="str">
        <f aca="false">Participantes!B31</f>
        <v>Marco R.</v>
      </c>
      <c r="D36" s="19" t="n">
        <f aca="false">Grupo!BS33</f>
        <v>0</v>
      </c>
    </row>
    <row r="37" customFormat="false" ht="14.25" hidden="false" customHeight="true" outlineLevel="0" collapsed="false">
      <c r="A37" s="16" t="n">
        <f aca="false">Participantes!A32</f>
        <v>32</v>
      </c>
      <c r="B37" s="17" t="n">
        <f aca="false">IF(ROW()=2,1,IF(D37=D36,B36,B36+1))</f>
        <v>11</v>
      </c>
      <c r="C37" s="18" t="str">
        <f aca="false">Participantes!B32</f>
        <v>Maricela</v>
      </c>
      <c r="D37" s="19" t="n">
        <f aca="false">Grupo!BS34</f>
        <v>0</v>
      </c>
    </row>
    <row r="38" customFormat="false" ht="14.25" hidden="false" customHeight="true" outlineLevel="0" collapsed="false">
      <c r="A38" s="16" t="n">
        <f aca="false">Participantes!A34</f>
        <v>34</v>
      </c>
      <c r="B38" s="17" t="n">
        <f aca="false">IF(ROW()=2,1,IF(D38=D37,B37,B37+1))</f>
        <v>11</v>
      </c>
      <c r="C38" s="18" t="str">
        <f aca="false">Participantes!B34</f>
        <v>Medica</v>
      </c>
      <c r="D38" s="19" t="n">
        <f aca="false">Grupo!BS36</f>
        <v>0</v>
      </c>
    </row>
    <row r="39" customFormat="false" ht="14.25" hidden="false" customHeight="true" outlineLevel="0" collapsed="false">
      <c r="A39" s="16" t="n">
        <f aca="false">Participantes!A36</f>
        <v>36</v>
      </c>
      <c r="B39" s="17" t="n">
        <f aca="false">IF(ROW()=2,1,IF(D39=D38,B38,B38+1))</f>
        <v>11</v>
      </c>
      <c r="C39" s="18" t="str">
        <f aca="false">Participantes!B36</f>
        <v>Mily CF 1</v>
      </c>
      <c r="D39" s="19" t="n">
        <f aca="false">Grupo!BS38</f>
        <v>0</v>
      </c>
    </row>
    <row r="40" customFormat="false" ht="14.25" hidden="false" customHeight="true" outlineLevel="0" collapsed="false">
      <c r="A40" s="16" t="n">
        <f aca="false">Participantes!A37</f>
        <v>37</v>
      </c>
      <c r="B40" s="17" t="n">
        <f aca="false">IF(ROW()=2,1,IF(D40=D39,B39,B39+1))</f>
        <v>11</v>
      </c>
      <c r="C40" s="18" t="str">
        <f aca="false">Participantes!B37</f>
        <v>Mily CF 2</v>
      </c>
      <c r="D40" s="19" t="n">
        <f aca="false">Grupo!BS39</f>
        <v>0</v>
      </c>
    </row>
    <row r="41" customFormat="false" ht="14.25" hidden="false" customHeight="true" outlineLevel="0" collapsed="false">
      <c r="A41" s="16" t="n">
        <f aca="false">Participantes!A40</f>
        <v>39</v>
      </c>
      <c r="B41" s="17" t="n">
        <f aca="false">IF(ROW()=2,1,IF(D41=D40,B40,B40+1))</f>
        <v>11</v>
      </c>
      <c r="C41" s="18" t="str">
        <f aca="false">Participantes!B40</f>
        <v>Mily Zeynneth</v>
      </c>
      <c r="D41" s="19" t="n">
        <f aca="false">Grupo!BS42</f>
        <v>0</v>
      </c>
    </row>
    <row r="42" customFormat="false" ht="14.25" hidden="false" customHeight="true" outlineLevel="0" collapsed="false">
      <c r="A42" s="16" t="n">
        <f aca="false">Participantes!A42</f>
        <v>41</v>
      </c>
      <c r="B42" s="17" t="n">
        <f aca="false">IF(ROW()=2,1,IF(D42=D41,B41,B41+1))</f>
        <v>11</v>
      </c>
      <c r="C42" s="18" t="str">
        <f aca="false">Participantes!B42</f>
        <v>Ninoshka</v>
      </c>
      <c r="D42" s="19" t="n">
        <f aca="false">Grupo!BS44</f>
        <v>0</v>
      </c>
    </row>
    <row r="43" customFormat="false" ht="14.25" hidden="false" customHeight="true" outlineLevel="0" collapsed="false">
      <c r="A43" s="16" t="n">
        <f aca="false">Participantes!A43</f>
        <v>42</v>
      </c>
      <c r="B43" s="17" t="n">
        <f aca="false">IF(ROW()=2,1,IF(D43=D42,B42,B42+1))</f>
        <v>11</v>
      </c>
      <c r="C43" s="18" t="str">
        <f aca="false">Participantes!B43</f>
        <v>Osvaldo</v>
      </c>
      <c r="D43" s="19" t="n">
        <f aca="false">Grupo!BS45</f>
        <v>0</v>
      </c>
    </row>
    <row r="44" customFormat="false" ht="14.25" hidden="false" customHeight="true" outlineLevel="0" collapsed="false">
      <c r="A44" s="16" t="n">
        <f aca="false">Participantes!A49</f>
        <v>48</v>
      </c>
      <c r="B44" s="17" t="n">
        <f aca="false">IF(ROW()=2,1,IF(D44=D43,B43,B43+1))</f>
        <v>11</v>
      </c>
      <c r="C44" s="18" t="str">
        <f aca="false">Participantes!B49</f>
        <v>Walder</v>
      </c>
      <c r="D44" s="19" t="n">
        <f aca="false">Grupo!BS51</f>
        <v>0</v>
      </c>
    </row>
    <row r="45" customFormat="false" ht="14.25" hidden="false" customHeight="true" outlineLevel="0" collapsed="false">
      <c r="A45" s="16" t="n">
        <f aca="false">Participantes!A2</f>
        <v>1</v>
      </c>
      <c r="B45" s="17" t="n">
        <f aca="false">IF(ROW()=2,1,IF(D45=D44,B44,B44+1))</f>
        <v>12</v>
      </c>
      <c r="C45" s="18" t="str">
        <f aca="false">Participantes!B2</f>
        <v>Alberto</v>
      </c>
      <c r="D45" s="19" t="n">
        <f aca="false">Grupo!BS4</f>
        <v>1</v>
      </c>
    </row>
    <row r="46" customFormat="false" ht="14.25" hidden="false" customHeight="true" outlineLevel="0" collapsed="false">
      <c r="A46" s="16" t="n">
        <f aca="false">Participantes!A10</f>
        <v>9</v>
      </c>
      <c r="B46" s="17" t="n">
        <f aca="false">IF(ROW()=2,1,IF(D46=D45,B45,B45+1))</f>
        <v>12</v>
      </c>
      <c r="C46" s="18" t="str">
        <f aca="false">Participantes!B10</f>
        <v>Christofer</v>
      </c>
      <c r="D46" s="19" t="n">
        <f aca="false">Grupo!BS12</f>
        <v>1</v>
      </c>
    </row>
    <row r="47" customFormat="false" ht="14.25" hidden="false" customHeight="true" outlineLevel="0" collapsed="false">
      <c r="A47" s="16" t="n">
        <f aca="false">Participantes!A11</f>
        <v>10</v>
      </c>
      <c r="B47" s="17" t="n">
        <f aca="false">IF(ROW()=2,1,IF(D47=D46,B46,B46+1))</f>
        <v>12</v>
      </c>
      <c r="C47" s="18" t="str">
        <f aca="false">Participantes!B11</f>
        <v>Cynthia</v>
      </c>
      <c r="D47" s="19" t="n">
        <f aca="false">Grupo!BS13</f>
        <v>1</v>
      </c>
    </row>
    <row r="48" customFormat="false" ht="14.25" hidden="false" customHeight="true" outlineLevel="0" collapsed="false">
      <c r="A48" s="16" t="n">
        <f aca="false">Participantes!A18</f>
        <v>18</v>
      </c>
      <c r="B48" s="17" t="n">
        <f aca="false">IF(ROW()=2,1,IF(D48=D47,B47,B47+1))</f>
        <v>13</v>
      </c>
      <c r="C48" s="18" t="str">
        <f aca="false">Participantes!B18</f>
        <v>Jose C 1</v>
      </c>
      <c r="D48" s="19" t="n">
        <f aca="false">Grupo!BS20</f>
        <v>0</v>
      </c>
    </row>
    <row r="49" customFormat="false" ht="14.25" hidden="false" customHeight="true" outlineLevel="0" collapsed="false">
      <c r="A49" s="16" t="n">
        <f aca="false">Participantes!A41</f>
        <v>40</v>
      </c>
      <c r="B49" s="17" t="n">
        <f aca="false">IF(ROW()=2,1,IF(D49=D48,B48,B48+1))</f>
        <v>13</v>
      </c>
      <c r="C49" s="18" t="str">
        <f aca="false">Participantes!B41</f>
        <v>Nefreteri</v>
      </c>
      <c r="D49" s="19" t="n">
        <f aca="false">Grupo!BS43</f>
        <v>0</v>
      </c>
    </row>
    <row r="50" customFormat="false" ht="15" hidden="false" customHeight="true" outlineLevel="0" collapsed="false">
      <c r="A50" s="23" t="n">
        <f aca="false">Participantes!A50</f>
        <v>49</v>
      </c>
      <c r="B50" s="24" t="n">
        <f aca="false">IF(ROW()=2,1,IF(D50=D49,B49,B49+1))</f>
        <v>13</v>
      </c>
      <c r="C50" s="25" t="str">
        <f aca="false">Participantes!B50</f>
        <v>Waldo</v>
      </c>
      <c r="D50" s="26" t="n">
        <f aca="false">Grupo!BS52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P50"/>
  <sheetViews>
    <sheetView showFormulas="false" showGridLines="true" showRowColHeaders="true" showZeros="true" rightToLeft="false" tabSelected="true" showOutlineSymbols="true" defaultGridColor="true" view="normal" topLeftCell="B1" colorId="64" zoomScale="70" zoomScaleNormal="70" zoomScalePageLayoutView="100" workbookViewId="0">
      <pane xSplit="1101" ySplit="0" topLeftCell="AE1" activePane="topRight" state="split"/>
      <selection pane="topLeft" activeCell="B1" activeCellId="0" sqref="B1"/>
      <selection pane="topRight" activeCell="AE21" activeCellId="0" sqref="AE21"/>
    </sheetView>
  </sheetViews>
  <sheetFormatPr defaultColWidth="11.00390625" defaultRowHeight="14.25" zeroHeight="false" outlineLevelRow="0" outlineLevelCol="0"/>
  <cols>
    <col collapsed="false" customWidth="false" hidden="false" outlineLevel="0" max="1" min="1" style="5" width="11"/>
    <col collapsed="false" customWidth="false" hidden="false" outlineLevel="0" max="2" min="2" style="6" width="11"/>
    <col collapsed="false" customWidth="false" hidden="false" outlineLevel="0" max="4" min="3" style="5" width="11"/>
    <col collapsed="false" customWidth="true" hidden="false" outlineLevel="0" max="5" min="5" style="5" width="8.62"/>
    <col collapsed="false" customWidth="false" hidden="false" outlineLevel="0" max="146" min="6" style="5" width="11"/>
  </cols>
  <sheetData>
    <row r="1" customFormat="false" ht="15" hidden="false" customHeight="true" outlineLevel="0" collapsed="false">
      <c r="A1" s="27"/>
      <c r="B1" s="28" t="s">
        <v>191</v>
      </c>
      <c r="C1" s="27" t="s">
        <v>36</v>
      </c>
      <c r="D1" s="27" t="s">
        <v>39</v>
      </c>
      <c r="E1" s="27" t="s">
        <v>193</v>
      </c>
      <c r="F1" s="27" t="s">
        <v>45</v>
      </c>
      <c r="G1" s="27" t="s">
        <v>49</v>
      </c>
      <c r="H1" s="27" t="s">
        <v>194</v>
      </c>
      <c r="I1" s="27" t="s">
        <v>75</v>
      </c>
      <c r="J1" s="27" t="s">
        <v>78</v>
      </c>
      <c r="K1" s="27" t="s">
        <v>68</v>
      </c>
      <c r="L1" s="27" t="s">
        <v>71</v>
      </c>
      <c r="M1" s="27" t="s">
        <v>81</v>
      </c>
      <c r="N1" s="27" t="s">
        <v>84</v>
      </c>
      <c r="O1" s="27" t="s">
        <v>62</v>
      </c>
      <c r="P1" s="27" t="s">
        <v>65</v>
      </c>
      <c r="Q1" s="27" t="s">
        <v>55</v>
      </c>
      <c r="R1" s="27" t="s">
        <v>58</v>
      </c>
      <c r="S1" s="27" t="s">
        <v>94</v>
      </c>
      <c r="T1" s="27" t="s">
        <v>97</v>
      </c>
      <c r="U1" s="27" t="s">
        <v>88</v>
      </c>
      <c r="V1" s="27" t="s">
        <v>91</v>
      </c>
      <c r="W1" s="27" t="s">
        <v>101</v>
      </c>
      <c r="X1" s="27" t="s">
        <v>104</v>
      </c>
      <c r="Y1" s="27" t="s">
        <v>107</v>
      </c>
      <c r="Z1" s="27" t="s">
        <v>110</v>
      </c>
      <c r="AA1" s="27" t="s">
        <v>133</v>
      </c>
      <c r="AB1" s="27" t="s">
        <v>136</v>
      </c>
      <c r="AC1" s="27" t="s">
        <v>127</v>
      </c>
      <c r="AD1" s="27" t="s">
        <v>130</v>
      </c>
      <c r="AE1" s="27" t="s">
        <v>120</v>
      </c>
      <c r="AF1" s="27" t="s">
        <v>123</v>
      </c>
      <c r="AG1" s="27" t="s">
        <v>114</v>
      </c>
      <c r="AH1" s="27" t="s">
        <v>117</v>
      </c>
      <c r="AI1" s="27" t="s">
        <v>140</v>
      </c>
      <c r="AJ1" s="27" t="s">
        <v>143</v>
      </c>
      <c r="AK1" s="27" t="s">
        <v>146</v>
      </c>
      <c r="AL1" s="27" t="s">
        <v>149</v>
      </c>
      <c r="AM1" s="27" t="s">
        <v>153</v>
      </c>
      <c r="AN1" s="27" t="s">
        <v>156</v>
      </c>
      <c r="AO1" s="27" t="s">
        <v>159</v>
      </c>
      <c r="AP1" s="27" t="s">
        <v>162</v>
      </c>
      <c r="AQ1" s="27" t="s">
        <v>185</v>
      </c>
      <c r="AR1" s="27" t="s">
        <v>188</v>
      </c>
      <c r="AS1" s="27" t="s">
        <v>179</v>
      </c>
      <c r="AT1" s="27" t="s">
        <v>182</v>
      </c>
      <c r="AU1" s="27" t="s">
        <v>166</v>
      </c>
      <c r="AV1" s="27" t="s">
        <v>169</v>
      </c>
      <c r="AW1" s="27" t="s">
        <v>172</v>
      </c>
      <c r="AX1" s="27" t="s">
        <v>175</v>
      </c>
      <c r="AY1" s="27" t="s">
        <v>45</v>
      </c>
      <c r="AZ1" s="27" t="s">
        <v>39</v>
      </c>
      <c r="BA1" s="27" t="s">
        <v>58</v>
      </c>
      <c r="BB1" s="27" t="s">
        <v>194</v>
      </c>
      <c r="BC1" s="27" t="s">
        <v>49</v>
      </c>
      <c r="BD1" s="27" t="s">
        <v>55</v>
      </c>
      <c r="BE1" s="27" t="s">
        <v>36</v>
      </c>
      <c r="BF1" s="27" t="s">
        <v>42</v>
      </c>
      <c r="BG1" s="27" t="s">
        <v>62</v>
      </c>
      <c r="BH1" s="27" t="s">
        <v>68</v>
      </c>
      <c r="BI1" s="27" t="s">
        <v>71</v>
      </c>
      <c r="BJ1" s="27" t="s">
        <v>65</v>
      </c>
      <c r="BK1" s="27" t="s">
        <v>84</v>
      </c>
      <c r="BL1" s="27" t="s">
        <v>78</v>
      </c>
      <c r="BM1" s="27" t="s">
        <v>75</v>
      </c>
      <c r="BN1" s="27" t="s">
        <v>81</v>
      </c>
      <c r="BO1" s="27" t="s">
        <v>88</v>
      </c>
      <c r="BP1" s="27" t="s">
        <v>94</v>
      </c>
      <c r="BQ1" s="27" t="s">
        <v>97</v>
      </c>
      <c r="BR1" s="27" t="s">
        <v>91</v>
      </c>
      <c r="BS1" s="27" t="s">
        <v>101</v>
      </c>
      <c r="BT1" s="27" t="s">
        <v>107</v>
      </c>
      <c r="BU1" s="27" t="s">
        <v>110</v>
      </c>
      <c r="BV1" s="27" t="s">
        <v>104</v>
      </c>
      <c r="BW1" s="27" t="s">
        <v>136</v>
      </c>
      <c r="BX1" s="27" t="s">
        <v>130</v>
      </c>
      <c r="BY1" s="27" t="s">
        <v>127</v>
      </c>
      <c r="BZ1" s="27" t="s">
        <v>133</v>
      </c>
      <c r="CA1" s="27" t="s">
        <v>114</v>
      </c>
      <c r="CB1" s="27" t="s">
        <v>120</v>
      </c>
      <c r="CC1" s="27" t="s">
        <v>123</v>
      </c>
      <c r="CD1" s="27" t="s">
        <v>117</v>
      </c>
      <c r="CE1" s="27" t="s">
        <v>149</v>
      </c>
      <c r="CF1" s="27" t="s">
        <v>143</v>
      </c>
      <c r="CG1" s="27" t="s">
        <v>140</v>
      </c>
      <c r="CH1" s="27" t="s">
        <v>146</v>
      </c>
      <c r="CI1" s="27" t="s">
        <v>153</v>
      </c>
      <c r="CJ1" s="27" t="s">
        <v>159</v>
      </c>
      <c r="CK1" s="27" t="s">
        <v>162</v>
      </c>
      <c r="CL1" s="27" t="s">
        <v>156</v>
      </c>
      <c r="CM1" s="27" t="s">
        <v>179</v>
      </c>
      <c r="CN1" s="27" t="s">
        <v>185</v>
      </c>
      <c r="CO1" s="27" t="s">
        <v>188</v>
      </c>
      <c r="CP1" s="27" t="s">
        <v>182</v>
      </c>
      <c r="CQ1" s="27" t="s">
        <v>166</v>
      </c>
      <c r="CR1" s="27" t="s">
        <v>172</v>
      </c>
      <c r="CS1" s="27" t="s">
        <v>175</v>
      </c>
      <c r="CT1" s="27" t="s">
        <v>169</v>
      </c>
      <c r="CU1" s="27" t="s">
        <v>71</v>
      </c>
      <c r="CV1" s="27" t="s">
        <v>62</v>
      </c>
      <c r="CW1" s="27" t="s">
        <v>65</v>
      </c>
      <c r="CX1" s="27" t="s">
        <v>68</v>
      </c>
      <c r="CY1" s="27" t="s">
        <v>58</v>
      </c>
      <c r="CZ1" s="27" t="s">
        <v>49</v>
      </c>
      <c r="DA1" s="27" t="s">
        <v>194</v>
      </c>
      <c r="DB1" s="27" t="s">
        <v>55</v>
      </c>
      <c r="DC1" s="27" t="s">
        <v>45</v>
      </c>
      <c r="DD1" s="27" t="s">
        <v>36</v>
      </c>
      <c r="DE1" s="27" t="s">
        <v>39</v>
      </c>
      <c r="DF1" s="27" t="s">
        <v>42</v>
      </c>
      <c r="DG1" s="27" t="s">
        <v>91</v>
      </c>
      <c r="DH1" s="27" t="s">
        <v>94</v>
      </c>
      <c r="DI1" s="27" t="s">
        <v>97</v>
      </c>
      <c r="DJ1" s="27" t="s">
        <v>88</v>
      </c>
      <c r="DK1" s="27" t="s">
        <v>104</v>
      </c>
      <c r="DL1" s="27" t="s">
        <v>107</v>
      </c>
      <c r="DM1" s="27" t="s">
        <v>110</v>
      </c>
      <c r="DN1" s="27" t="s">
        <v>101</v>
      </c>
      <c r="DO1" s="27" t="s">
        <v>84</v>
      </c>
      <c r="DP1" s="27" t="s">
        <v>75</v>
      </c>
      <c r="DQ1" s="27" t="s">
        <v>78</v>
      </c>
      <c r="DR1" s="27" t="s">
        <v>81</v>
      </c>
      <c r="DS1" s="27" t="s">
        <v>149</v>
      </c>
      <c r="DT1" s="27" t="s">
        <v>140</v>
      </c>
      <c r="DU1" s="27" t="s">
        <v>143</v>
      </c>
      <c r="DV1" s="27" t="s">
        <v>146</v>
      </c>
      <c r="DW1" s="27" t="s">
        <v>117</v>
      </c>
      <c r="DX1" s="27" t="s">
        <v>120</v>
      </c>
      <c r="DY1" s="27" t="s">
        <v>123</v>
      </c>
      <c r="DZ1" s="27" t="s">
        <v>114</v>
      </c>
      <c r="EA1" s="27" t="s">
        <v>130</v>
      </c>
      <c r="EB1" s="27" t="s">
        <v>133</v>
      </c>
      <c r="EC1" s="27" t="s">
        <v>136</v>
      </c>
      <c r="ED1" s="27" t="s">
        <v>127</v>
      </c>
      <c r="EE1" s="27" t="s">
        <v>188</v>
      </c>
      <c r="EF1" s="27" t="s">
        <v>179</v>
      </c>
      <c r="EG1" s="27" t="s">
        <v>182</v>
      </c>
      <c r="EH1" s="27" t="s">
        <v>185</v>
      </c>
      <c r="EI1" s="27" t="s">
        <v>156</v>
      </c>
      <c r="EJ1" s="27" t="s">
        <v>159</v>
      </c>
      <c r="EK1" s="27" t="s">
        <v>162</v>
      </c>
      <c r="EL1" s="27" t="s">
        <v>153</v>
      </c>
      <c r="EM1" s="27" t="s">
        <v>175</v>
      </c>
      <c r="EN1" s="27" t="s">
        <v>166</v>
      </c>
      <c r="EO1" s="27" t="s">
        <v>169</v>
      </c>
      <c r="EP1" s="27" t="s">
        <v>172</v>
      </c>
    </row>
    <row r="2" customFormat="false" ht="14.25" hidden="false" customHeight="true" outlineLevel="0" collapsed="false">
      <c r="A2" s="29" t="n">
        <v>1</v>
      </c>
      <c r="B2" s="30" t="s">
        <v>195</v>
      </c>
      <c r="C2" s="29" t="n">
        <v>1</v>
      </c>
      <c r="D2" s="29" t="n">
        <v>1</v>
      </c>
      <c r="E2" s="29" t="n">
        <v>2</v>
      </c>
      <c r="F2" s="29" t="n">
        <v>0</v>
      </c>
      <c r="G2" s="29" t="n">
        <v>2</v>
      </c>
      <c r="H2" s="29" t="n">
        <v>1</v>
      </c>
      <c r="I2" s="29" t="n">
        <v>1</v>
      </c>
      <c r="J2" s="29" t="n">
        <v>3</v>
      </c>
      <c r="K2" s="29" t="n">
        <v>0</v>
      </c>
      <c r="L2" s="29" t="n">
        <v>2</v>
      </c>
      <c r="M2" s="29" t="n">
        <v>0</v>
      </c>
      <c r="N2" s="29" t="n">
        <v>1</v>
      </c>
      <c r="O2" s="29" t="n">
        <v>1</v>
      </c>
      <c r="P2" s="29" t="n">
        <v>2</v>
      </c>
      <c r="Q2" s="29" t="n">
        <v>0</v>
      </c>
      <c r="R2" s="29" t="n">
        <v>2</v>
      </c>
      <c r="S2" s="29" t="n">
        <v>1</v>
      </c>
      <c r="T2" s="29" t="n">
        <v>2</v>
      </c>
      <c r="U2" s="29" t="n">
        <v>5</v>
      </c>
      <c r="V2" s="29" t="n">
        <v>0</v>
      </c>
      <c r="W2" s="29" t="n">
        <v>3</v>
      </c>
      <c r="X2" s="29" t="n">
        <v>0</v>
      </c>
      <c r="Y2" s="29" t="n">
        <v>1</v>
      </c>
      <c r="Z2" s="29" t="n">
        <v>1</v>
      </c>
      <c r="AA2" s="29" t="n">
        <v>0</v>
      </c>
      <c r="AB2" s="29" t="n">
        <v>2</v>
      </c>
      <c r="AC2" s="29" t="n">
        <v>6</v>
      </c>
      <c r="AD2" s="29" t="n">
        <v>0</v>
      </c>
      <c r="AE2" s="29" t="n">
        <v>0</v>
      </c>
      <c r="AF2" s="29" t="n">
        <v>0</v>
      </c>
      <c r="AG2" s="29" t="n">
        <v>2</v>
      </c>
      <c r="AH2" s="29" t="n">
        <v>0</v>
      </c>
      <c r="AI2" s="29" t="n">
        <v>4</v>
      </c>
      <c r="AJ2" s="29" t="n">
        <v>0</v>
      </c>
      <c r="AK2" s="29" t="n">
        <v>0</v>
      </c>
      <c r="AL2" s="29" t="n">
        <v>4</v>
      </c>
      <c r="AM2" s="29" t="n">
        <v>4</v>
      </c>
      <c r="AN2" s="29" t="n">
        <v>0</v>
      </c>
      <c r="AO2" s="29" t="n">
        <v>1</v>
      </c>
      <c r="AP2" s="29" t="n">
        <v>0</v>
      </c>
      <c r="AQ2" s="29" t="n">
        <v>2</v>
      </c>
      <c r="AR2" s="29" t="n">
        <v>1</v>
      </c>
      <c r="AS2" s="29" t="n">
        <v>4</v>
      </c>
      <c r="AT2" s="29" t="n">
        <v>2</v>
      </c>
      <c r="AU2" s="29" t="n">
        <v>5</v>
      </c>
      <c r="AV2" s="29" t="n">
        <v>0</v>
      </c>
      <c r="AW2" s="29" t="n">
        <v>0</v>
      </c>
      <c r="AX2" s="29" t="n">
        <v>3</v>
      </c>
      <c r="AY2" s="29" t="n">
        <v>0</v>
      </c>
      <c r="AZ2" s="29" t="n">
        <v>1</v>
      </c>
      <c r="BA2" s="29" t="n">
        <v>1</v>
      </c>
      <c r="BB2" s="29" t="n">
        <v>0</v>
      </c>
      <c r="BC2" s="29" t="n">
        <v>3</v>
      </c>
      <c r="BD2" s="29" t="n">
        <v>1</v>
      </c>
      <c r="BE2" s="29" t="n">
        <v>1</v>
      </c>
      <c r="BF2" s="29" t="n">
        <v>0</v>
      </c>
      <c r="BG2" s="29" t="n">
        <v>5</v>
      </c>
      <c r="BH2" s="29" t="n">
        <v>0</v>
      </c>
      <c r="BI2" s="29" t="n">
        <v>0</v>
      </c>
      <c r="BJ2" s="29" t="n">
        <v>3</v>
      </c>
      <c r="BK2" s="29" t="n">
        <v>2</v>
      </c>
      <c r="BL2" s="29" t="n">
        <v>3</v>
      </c>
      <c r="BM2" s="29" t="n">
        <v>2</v>
      </c>
      <c r="BN2" s="29" t="n">
        <v>1</v>
      </c>
      <c r="BO2" s="29" t="n">
        <v>4</v>
      </c>
      <c r="BP2" s="29" t="n">
        <v>0</v>
      </c>
      <c r="BQ2" s="29" t="n">
        <v>4</v>
      </c>
      <c r="BR2" s="29" t="n">
        <v>0</v>
      </c>
      <c r="BS2" s="29" t="n">
        <v>3</v>
      </c>
      <c r="BT2" s="29" t="n">
        <v>1</v>
      </c>
      <c r="BU2" s="29" t="n">
        <v>0</v>
      </c>
      <c r="BV2" s="29" t="n">
        <v>2</v>
      </c>
      <c r="BW2" s="29" t="n">
        <v>4</v>
      </c>
      <c r="BX2" s="29" t="n">
        <v>0</v>
      </c>
      <c r="BY2" s="29" t="n">
        <v>5</v>
      </c>
      <c r="BZ2" s="29" t="n">
        <v>0</v>
      </c>
      <c r="CA2" s="29" t="n">
        <v>3</v>
      </c>
      <c r="CB2" s="29" t="n">
        <v>0</v>
      </c>
      <c r="CC2" s="29" t="n">
        <v>1</v>
      </c>
      <c r="CD2" s="29" t="n">
        <v>2</v>
      </c>
      <c r="CE2" s="29" t="n">
        <v>2</v>
      </c>
      <c r="CF2" s="29" t="n">
        <v>2</v>
      </c>
      <c r="CG2" s="29" t="n">
        <v>5</v>
      </c>
      <c r="CH2" s="29" t="n">
        <v>0</v>
      </c>
      <c r="CI2" s="29" t="n">
        <v>3</v>
      </c>
      <c r="CJ2" s="29" t="n">
        <v>0</v>
      </c>
      <c r="CK2" s="29" t="n">
        <v>0</v>
      </c>
      <c r="CL2" s="29" t="n">
        <v>0</v>
      </c>
      <c r="CM2" s="29" t="n">
        <v>5</v>
      </c>
      <c r="CN2" s="29" t="n">
        <v>0</v>
      </c>
      <c r="CO2" s="29" t="n">
        <v>0</v>
      </c>
      <c r="CP2" s="29" t="n">
        <v>4</v>
      </c>
      <c r="CQ2" s="29" t="n">
        <v>5</v>
      </c>
      <c r="CR2" s="29" t="n">
        <v>0</v>
      </c>
      <c r="CS2" s="29" t="n">
        <v>2</v>
      </c>
      <c r="CT2" s="29" t="n">
        <v>1</v>
      </c>
      <c r="CU2" s="29" t="n">
        <v>0</v>
      </c>
      <c r="CV2" s="29" t="n">
        <v>4</v>
      </c>
      <c r="CW2" s="29" t="n">
        <v>4</v>
      </c>
      <c r="CX2" s="29" t="n">
        <v>0</v>
      </c>
      <c r="CY2" s="29" t="n">
        <v>3</v>
      </c>
      <c r="CZ2" s="29" t="n">
        <v>2</v>
      </c>
      <c r="DA2" s="29" t="n">
        <v>1</v>
      </c>
      <c r="DB2" s="29" t="n">
        <v>1</v>
      </c>
      <c r="DC2" s="29" t="n">
        <v>1</v>
      </c>
      <c r="DD2" s="29" t="n">
        <v>3</v>
      </c>
      <c r="DE2" s="29" t="n">
        <v>0</v>
      </c>
      <c r="DF2" s="29" t="n">
        <v>1</v>
      </c>
      <c r="DG2" s="29" t="n">
        <v>0</v>
      </c>
      <c r="DH2" s="29" t="n">
        <v>2</v>
      </c>
      <c r="DI2" s="29" t="n">
        <v>2</v>
      </c>
      <c r="DJ2" s="29" t="n">
        <v>4</v>
      </c>
      <c r="DK2" s="29" t="n">
        <v>2</v>
      </c>
      <c r="DL2" s="29" t="n">
        <v>2</v>
      </c>
      <c r="DM2" s="29" t="n">
        <v>0</v>
      </c>
      <c r="DN2" s="29" t="n">
        <v>3</v>
      </c>
      <c r="DO2" s="29" t="n">
        <v>1</v>
      </c>
      <c r="DP2" s="29" t="n">
        <v>0</v>
      </c>
      <c r="DQ2" s="29" t="n">
        <v>1</v>
      </c>
      <c r="DR2" s="29" t="n">
        <v>0</v>
      </c>
      <c r="DS2" s="29" t="n">
        <v>1</v>
      </c>
      <c r="DT2" s="29" t="n">
        <v>3</v>
      </c>
      <c r="DU2" s="29" t="n">
        <v>2</v>
      </c>
      <c r="DV2" s="29" t="n">
        <v>0</v>
      </c>
      <c r="DW2" s="29" t="n">
        <v>2</v>
      </c>
      <c r="DX2" s="29" t="n">
        <v>1</v>
      </c>
      <c r="DY2" s="29" t="n">
        <v>0</v>
      </c>
      <c r="DZ2" s="29" t="n">
        <v>4</v>
      </c>
      <c r="EA2" s="29" t="n">
        <v>0</v>
      </c>
      <c r="EB2" s="29" t="n">
        <v>1</v>
      </c>
      <c r="EC2" s="29" t="n">
        <v>1</v>
      </c>
      <c r="ED2" s="29" t="n">
        <v>2</v>
      </c>
      <c r="EE2" s="29" t="n">
        <v>0</v>
      </c>
      <c r="EF2" s="29" t="n">
        <v>6</v>
      </c>
      <c r="EG2" s="29" t="n">
        <v>3</v>
      </c>
      <c r="EH2" s="29" t="n">
        <v>0</v>
      </c>
      <c r="EI2" s="29" t="n">
        <v>0</v>
      </c>
      <c r="EJ2" s="29" t="n">
        <v>0</v>
      </c>
      <c r="EK2" s="29" t="n">
        <v>0</v>
      </c>
      <c r="EL2" s="29" t="n">
        <v>4</v>
      </c>
      <c r="EM2" s="29" t="n">
        <v>0</v>
      </c>
      <c r="EN2" s="29" t="n">
        <v>2</v>
      </c>
      <c r="EO2" s="29" t="n">
        <v>1</v>
      </c>
      <c r="EP2" s="29" t="n">
        <v>1</v>
      </c>
    </row>
    <row r="3" customFormat="false" ht="14.25" hidden="false" customHeight="true" outlineLevel="0" collapsed="false">
      <c r="A3" s="29" t="n">
        <v>2</v>
      </c>
      <c r="B3" s="30" t="s">
        <v>196</v>
      </c>
      <c r="C3" s="29" t="n">
        <v>2</v>
      </c>
      <c r="D3" s="29" t="n">
        <v>0</v>
      </c>
      <c r="E3" s="29" t="n">
        <v>1</v>
      </c>
      <c r="F3" s="29" t="n">
        <v>1</v>
      </c>
      <c r="G3" s="29" t="n">
        <v>1</v>
      </c>
      <c r="H3" s="29" t="n">
        <v>1</v>
      </c>
      <c r="I3" s="29" t="n">
        <v>2</v>
      </c>
      <c r="J3" s="29" t="n">
        <v>0</v>
      </c>
      <c r="K3" s="29" t="n">
        <v>0</v>
      </c>
      <c r="L3" s="29" t="n">
        <v>2</v>
      </c>
      <c r="M3" s="29" t="n">
        <v>1</v>
      </c>
      <c r="N3" s="29" t="n">
        <v>1</v>
      </c>
      <c r="O3" s="29" t="n">
        <v>2</v>
      </c>
      <c r="P3" s="29" t="n">
        <v>0</v>
      </c>
      <c r="Q3" s="29" t="n">
        <v>0</v>
      </c>
      <c r="R3" s="29" t="n">
        <v>1</v>
      </c>
      <c r="S3" s="29" t="n">
        <v>1</v>
      </c>
      <c r="T3" s="29" t="n">
        <v>1</v>
      </c>
      <c r="U3" s="29" t="n">
        <v>3</v>
      </c>
      <c r="V3" s="29" t="n">
        <v>0</v>
      </c>
      <c r="W3" s="29" t="n">
        <v>2</v>
      </c>
      <c r="X3" s="29" t="n">
        <v>1</v>
      </c>
      <c r="Y3" s="29" t="n">
        <v>1</v>
      </c>
      <c r="Z3" s="29" t="n">
        <v>0</v>
      </c>
      <c r="AA3" s="29" t="n">
        <v>1</v>
      </c>
      <c r="AB3" s="29" t="n">
        <v>2</v>
      </c>
      <c r="AC3" s="29" t="n">
        <v>3</v>
      </c>
      <c r="AD3" s="29" t="n">
        <v>0</v>
      </c>
      <c r="AE3" s="29" t="n">
        <v>0</v>
      </c>
      <c r="AF3" s="29" t="n">
        <v>0</v>
      </c>
      <c r="AG3" s="29" t="n">
        <v>2</v>
      </c>
      <c r="AH3" s="29" t="n">
        <v>0</v>
      </c>
      <c r="AI3" s="29" t="n">
        <v>2</v>
      </c>
      <c r="AJ3" s="29" t="n">
        <v>1</v>
      </c>
      <c r="AK3" s="29" t="n">
        <v>0</v>
      </c>
      <c r="AL3" s="29" t="n">
        <v>2</v>
      </c>
      <c r="AM3" s="29" t="n">
        <v>2</v>
      </c>
      <c r="AN3" s="29" t="n">
        <v>0</v>
      </c>
      <c r="AO3" s="29" t="n">
        <v>1</v>
      </c>
      <c r="AP3" s="29" t="n">
        <v>0</v>
      </c>
      <c r="AQ3" s="29" t="n">
        <v>1</v>
      </c>
      <c r="AR3" s="29" t="n">
        <v>2</v>
      </c>
      <c r="AS3" s="29" t="n">
        <v>1</v>
      </c>
      <c r="AT3" s="29" t="n">
        <v>0</v>
      </c>
      <c r="AU3" s="29" t="n">
        <v>2</v>
      </c>
      <c r="AV3" s="29" t="n">
        <v>0</v>
      </c>
      <c r="AW3" s="29" t="n">
        <v>1</v>
      </c>
      <c r="AX3" s="29" t="n">
        <v>1</v>
      </c>
      <c r="AY3" s="29" t="n">
        <v>1</v>
      </c>
      <c r="AZ3" s="29" t="n">
        <v>0</v>
      </c>
      <c r="BA3" s="29" t="n">
        <v>1</v>
      </c>
      <c r="BB3" s="29" t="n">
        <v>1</v>
      </c>
      <c r="BC3" s="29" t="n">
        <v>2</v>
      </c>
      <c r="BD3" s="29" t="n">
        <v>0</v>
      </c>
      <c r="BE3" s="29" t="n">
        <v>2</v>
      </c>
      <c r="BF3" s="29" t="n">
        <v>1</v>
      </c>
      <c r="BG3" s="29" t="n">
        <v>3</v>
      </c>
      <c r="BH3" s="29" t="n">
        <v>1</v>
      </c>
      <c r="BI3" s="29" t="n">
        <v>0</v>
      </c>
      <c r="BJ3" s="29" t="n">
        <v>1</v>
      </c>
      <c r="BK3" s="29" t="n">
        <v>0</v>
      </c>
      <c r="BL3" s="29" t="n">
        <v>1</v>
      </c>
      <c r="BM3" s="29" t="n">
        <v>2</v>
      </c>
      <c r="BN3" s="29" t="n">
        <v>1</v>
      </c>
      <c r="BO3" s="29" t="n">
        <v>2</v>
      </c>
      <c r="BP3" s="29" t="n">
        <v>1</v>
      </c>
      <c r="BQ3" s="29" t="n">
        <v>2</v>
      </c>
      <c r="BR3" s="29" t="n">
        <v>0</v>
      </c>
      <c r="BS3" s="29" t="n">
        <v>2</v>
      </c>
      <c r="BT3" s="29" t="n">
        <v>0</v>
      </c>
      <c r="BU3" s="29" t="n">
        <v>1</v>
      </c>
      <c r="BV3" s="29" t="n">
        <v>1</v>
      </c>
      <c r="BW3" s="29" t="n">
        <v>2</v>
      </c>
      <c r="BX3" s="29" t="n">
        <v>0</v>
      </c>
      <c r="BY3" s="29" t="n">
        <v>2</v>
      </c>
      <c r="BZ3" s="29" t="n">
        <v>0</v>
      </c>
      <c r="CA3" s="29" t="n">
        <v>3</v>
      </c>
      <c r="CB3" s="29" t="n">
        <v>1</v>
      </c>
      <c r="CC3" s="29" t="n">
        <v>0</v>
      </c>
      <c r="CD3" s="29" t="n">
        <v>2</v>
      </c>
      <c r="CE3" s="29" t="n">
        <v>1</v>
      </c>
      <c r="CF3" s="29" t="n">
        <v>2</v>
      </c>
      <c r="CG3" s="29" t="n">
        <v>3</v>
      </c>
      <c r="CH3" s="29" t="n">
        <v>0</v>
      </c>
      <c r="CI3" s="29" t="n">
        <v>3</v>
      </c>
      <c r="CJ3" s="29" t="n">
        <v>1</v>
      </c>
      <c r="CK3" s="29" t="n">
        <v>1</v>
      </c>
      <c r="CL3" s="29" t="n">
        <v>2</v>
      </c>
      <c r="CM3" s="29" t="n">
        <v>2</v>
      </c>
      <c r="CN3" s="29" t="n">
        <v>0</v>
      </c>
      <c r="CO3" s="29" t="n">
        <v>1</v>
      </c>
      <c r="CP3" s="29" t="n">
        <v>1</v>
      </c>
      <c r="CQ3" s="29" t="n">
        <v>3</v>
      </c>
      <c r="CR3" s="29" t="n">
        <v>0</v>
      </c>
      <c r="CS3" s="29" t="n">
        <v>2</v>
      </c>
      <c r="CT3" s="29" t="n">
        <v>1</v>
      </c>
      <c r="CU3" s="29" t="n">
        <v>1</v>
      </c>
      <c r="CV3" s="29" t="n">
        <v>2</v>
      </c>
      <c r="CW3" s="29" t="n">
        <v>2</v>
      </c>
      <c r="CX3" s="29" t="n">
        <v>0</v>
      </c>
      <c r="CY3" s="29" t="n">
        <v>0</v>
      </c>
      <c r="CZ3" s="29" t="n">
        <v>1</v>
      </c>
      <c r="DA3" s="29" t="n">
        <v>2</v>
      </c>
      <c r="DB3" s="29" t="n">
        <v>1</v>
      </c>
      <c r="DC3" s="29" t="n">
        <v>0</v>
      </c>
      <c r="DD3" s="29" t="n">
        <v>1</v>
      </c>
      <c r="DE3" s="29" t="n">
        <v>1</v>
      </c>
      <c r="DF3" s="29" t="n">
        <v>2</v>
      </c>
      <c r="DG3" s="29" t="n">
        <v>1</v>
      </c>
      <c r="DH3" s="29" t="n">
        <v>2</v>
      </c>
      <c r="DI3" s="29" t="n">
        <v>0</v>
      </c>
      <c r="DJ3" s="29" t="n">
        <v>2</v>
      </c>
      <c r="DK3" s="29" t="n">
        <v>2</v>
      </c>
      <c r="DL3" s="29" t="n">
        <v>1</v>
      </c>
      <c r="DM3" s="29" t="n">
        <v>1</v>
      </c>
      <c r="DN3" s="29" t="n">
        <v>3</v>
      </c>
      <c r="DO3" s="29" t="n">
        <v>1</v>
      </c>
      <c r="DP3" s="29" t="n">
        <v>1</v>
      </c>
      <c r="DQ3" s="29" t="n">
        <v>3</v>
      </c>
      <c r="DR3" s="29" t="n">
        <v>0</v>
      </c>
      <c r="DS3" s="29" t="n">
        <v>0</v>
      </c>
      <c r="DT3" s="29" t="n">
        <v>2</v>
      </c>
      <c r="DU3" s="29" t="n">
        <v>2</v>
      </c>
      <c r="DV3" s="29" t="n">
        <v>0</v>
      </c>
      <c r="DW3" s="29" t="n">
        <v>1</v>
      </c>
      <c r="DX3" s="29" t="n">
        <v>1</v>
      </c>
      <c r="DY3" s="29" t="n">
        <v>0</v>
      </c>
      <c r="DZ3" s="29" t="n">
        <v>2</v>
      </c>
      <c r="EA3" s="29" t="n">
        <v>0</v>
      </c>
      <c r="EB3" s="29" t="n">
        <v>2</v>
      </c>
      <c r="EC3" s="29" t="n">
        <v>1</v>
      </c>
      <c r="ED3" s="29" t="n">
        <v>2</v>
      </c>
      <c r="EE3" s="29" t="n">
        <v>1</v>
      </c>
      <c r="EF3" s="29" t="n">
        <v>2</v>
      </c>
      <c r="EG3" s="29" t="n">
        <v>2</v>
      </c>
      <c r="EH3" s="29" t="n">
        <v>0</v>
      </c>
      <c r="EI3" s="29" t="n">
        <v>1</v>
      </c>
      <c r="EJ3" s="29" t="n">
        <v>1</v>
      </c>
      <c r="EK3" s="29" t="n">
        <v>1</v>
      </c>
      <c r="EL3" s="29" t="n">
        <v>0</v>
      </c>
      <c r="EM3" s="29" t="n">
        <v>2</v>
      </c>
      <c r="EN3" s="29" t="n">
        <v>1</v>
      </c>
      <c r="EO3" s="29" t="n">
        <v>2</v>
      </c>
      <c r="EP3" s="29" t="n">
        <v>1</v>
      </c>
    </row>
    <row r="4" customFormat="false" ht="14.25" hidden="false" customHeight="true" outlineLevel="0" collapsed="false">
      <c r="A4" s="29" t="n">
        <v>3</v>
      </c>
      <c r="B4" s="30" t="s">
        <v>197</v>
      </c>
      <c r="C4" s="29" t="n">
        <v>2</v>
      </c>
      <c r="D4" s="29" t="n">
        <v>1</v>
      </c>
      <c r="E4" s="29" t="n">
        <v>1</v>
      </c>
      <c r="F4" s="29" t="n">
        <v>1</v>
      </c>
      <c r="G4" s="29" t="n">
        <v>1</v>
      </c>
      <c r="H4" s="29" t="n">
        <v>0</v>
      </c>
      <c r="I4" s="29" t="n">
        <v>2</v>
      </c>
      <c r="J4" s="29" t="n">
        <v>1</v>
      </c>
      <c r="K4" s="29" t="n">
        <v>1</v>
      </c>
      <c r="L4" s="29" t="n">
        <v>1</v>
      </c>
      <c r="M4" s="29" t="n">
        <v>1</v>
      </c>
      <c r="N4" s="29" t="n">
        <v>2</v>
      </c>
      <c r="O4" s="29" t="n">
        <v>2</v>
      </c>
      <c r="P4" s="29" t="n">
        <v>0</v>
      </c>
      <c r="Q4" s="29" t="n">
        <v>0</v>
      </c>
      <c r="R4" s="29" t="n">
        <v>2</v>
      </c>
      <c r="S4" s="29" t="n">
        <v>1</v>
      </c>
      <c r="T4" s="29" t="n">
        <v>1</v>
      </c>
      <c r="U4" s="29" t="n">
        <v>4</v>
      </c>
      <c r="V4" s="29" t="n">
        <v>0</v>
      </c>
      <c r="W4" s="29" t="n">
        <v>2</v>
      </c>
      <c r="X4" s="29" t="n">
        <v>1</v>
      </c>
      <c r="Y4" s="29" t="n">
        <v>2</v>
      </c>
      <c r="Z4" s="29" t="n">
        <v>0</v>
      </c>
      <c r="AA4" s="29" t="n">
        <v>0</v>
      </c>
      <c r="AB4" s="29" t="n">
        <v>1</v>
      </c>
      <c r="AC4" s="29" t="n">
        <v>2</v>
      </c>
      <c r="AD4" s="29" t="n">
        <v>0</v>
      </c>
      <c r="AE4" s="29" t="n">
        <v>1</v>
      </c>
      <c r="AF4" s="29" t="n">
        <v>0</v>
      </c>
      <c r="AG4" s="29" t="n">
        <v>2</v>
      </c>
      <c r="AH4" s="29" t="n">
        <v>1</v>
      </c>
      <c r="AI4" s="29" t="n">
        <v>3</v>
      </c>
      <c r="AJ4" s="29" t="n">
        <v>1</v>
      </c>
      <c r="AK4" s="29" t="n">
        <v>0</v>
      </c>
      <c r="AL4" s="29" t="n">
        <v>3</v>
      </c>
      <c r="AM4" s="29" t="n">
        <v>2</v>
      </c>
      <c r="AN4" s="29" t="n">
        <v>0</v>
      </c>
      <c r="AO4" s="29" t="n">
        <v>2</v>
      </c>
      <c r="AP4" s="29" t="n">
        <v>0</v>
      </c>
      <c r="AQ4" s="29" t="n">
        <v>1</v>
      </c>
      <c r="AR4" s="29" t="n">
        <v>1</v>
      </c>
      <c r="AS4" s="29" t="n">
        <v>2</v>
      </c>
      <c r="AT4" s="29" t="n">
        <v>1</v>
      </c>
      <c r="AU4" s="29" t="n">
        <v>3</v>
      </c>
      <c r="AV4" s="29" t="n">
        <v>0</v>
      </c>
      <c r="AW4" s="29" t="n">
        <v>0</v>
      </c>
      <c r="AX4" s="29" t="n">
        <v>2</v>
      </c>
      <c r="AY4" s="29" t="n">
        <v>2</v>
      </c>
      <c r="AZ4" s="29" t="n">
        <v>0</v>
      </c>
      <c r="BA4" s="29" t="n">
        <v>2</v>
      </c>
      <c r="BB4" s="29" t="n">
        <v>1</v>
      </c>
      <c r="BC4" s="29" t="n">
        <v>1</v>
      </c>
      <c r="BD4" s="29" t="n">
        <v>0</v>
      </c>
      <c r="BE4" s="29" t="n">
        <v>2</v>
      </c>
      <c r="BF4" s="29" t="n">
        <v>1</v>
      </c>
      <c r="BG4" s="29" t="n">
        <v>3</v>
      </c>
      <c r="BH4" s="29" t="n">
        <v>0</v>
      </c>
      <c r="BI4" s="29" t="n">
        <v>1</v>
      </c>
      <c r="BJ4" s="29" t="n">
        <v>2</v>
      </c>
      <c r="BK4" s="29" t="n">
        <v>2</v>
      </c>
      <c r="BL4" s="29" t="n">
        <v>0</v>
      </c>
      <c r="BM4" s="29" t="n">
        <v>2</v>
      </c>
      <c r="BN4" s="29" t="n">
        <v>0</v>
      </c>
      <c r="BO4" s="29" t="n">
        <v>3</v>
      </c>
      <c r="BP4" s="29" t="n">
        <v>1</v>
      </c>
      <c r="BQ4" s="29" t="n">
        <v>3</v>
      </c>
      <c r="BR4" s="29" t="n">
        <v>0</v>
      </c>
      <c r="BS4" s="29" t="n">
        <v>2</v>
      </c>
      <c r="BT4" s="29" t="n">
        <v>1</v>
      </c>
      <c r="BU4" s="29" t="n">
        <v>0</v>
      </c>
      <c r="BV4" s="29" t="n">
        <v>2</v>
      </c>
      <c r="BW4" s="29" t="n">
        <v>2</v>
      </c>
      <c r="BX4" s="29" t="n">
        <v>1</v>
      </c>
      <c r="BY4" s="29" t="n">
        <v>3</v>
      </c>
      <c r="BZ4" s="29" t="n">
        <v>1</v>
      </c>
      <c r="CA4" s="29" t="n">
        <v>3</v>
      </c>
      <c r="CB4" s="29" t="n">
        <v>0</v>
      </c>
      <c r="CC4" s="29" t="n">
        <v>0</v>
      </c>
      <c r="CD4" s="29" t="n">
        <v>2</v>
      </c>
      <c r="CE4" s="29" t="n">
        <v>2</v>
      </c>
      <c r="CF4" s="29" t="n">
        <v>1</v>
      </c>
      <c r="CG4" s="29" t="n">
        <v>3</v>
      </c>
      <c r="CH4" s="29" t="n">
        <v>0</v>
      </c>
      <c r="CI4" s="29" t="n">
        <v>2</v>
      </c>
      <c r="CJ4" s="29" t="n">
        <v>1</v>
      </c>
      <c r="CK4" s="29" t="n">
        <v>0</v>
      </c>
      <c r="CL4" s="29" t="n">
        <v>1</v>
      </c>
      <c r="CM4" s="29" t="n">
        <v>3</v>
      </c>
      <c r="CN4" s="29" t="n">
        <v>1</v>
      </c>
      <c r="CO4" s="29" t="n">
        <v>1</v>
      </c>
      <c r="CP4" s="29" t="n">
        <v>2</v>
      </c>
      <c r="CQ4" s="29" t="n">
        <v>3</v>
      </c>
      <c r="CR4" s="29" t="n">
        <v>0</v>
      </c>
      <c r="CS4" s="29" t="n">
        <v>2</v>
      </c>
      <c r="CT4" s="29" t="n">
        <v>0</v>
      </c>
      <c r="CU4" s="29" t="n">
        <v>1</v>
      </c>
      <c r="CV4" s="29" t="n">
        <v>3</v>
      </c>
      <c r="CW4" s="29" t="n">
        <v>2</v>
      </c>
      <c r="CX4" s="29" t="n">
        <v>1</v>
      </c>
      <c r="CY4" s="29" t="n">
        <v>2</v>
      </c>
      <c r="CZ4" s="29" t="n">
        <v>1</v>
      </c>
      <c r="DA4" s="29" t="n">
        <v>2</v>
      </c>
      <c r="DB4" s="29" t="n">
        <v>0</v>
      </c>
      <c r="DC4" s="29" t="n">
        <v>0</v>
      </c>
      <c r="DD4" s="29" t="n">
        <v>2</v>
      </c>
      <c r="DE4" s="29" t="n">
        <v>1</v>
      </c>
      <c r="DF4" s="29" t="n">
        <v>1</v>
      </c>
      <c r="DG4" s="29" t="n">
        <v>0</v>
      </c>
      <c r="DH4" s="29" t="n">
        <v>2</v>
      </c>
      <c r="DI4" s="29" t="n">
        <v>1</v>
      </c>
      <c r="DJ4" s="29" t="n">
        <v>3</v>
      </c>
      <c r="DK4" s="29" t="n">
        <v>2</v>
      </c>
      <c r="DL4" s="29" t="n">
        <v>2</v>
      </c>
      <c r="DM4" s="29" t="n">
        <v>0</v>
      </c>
      <c r="DN4" s="29" t="n">
        <v>3</v>
      </c>
      <c r="DO4" s="29" t="n">
        <v>2</v>
      </c>
      <c r="DP4" s="29" t="n">
        <v>1</v>
      </c>
      <c r="DQ4" s="29" t="n">
        <v>1</v>
      </c>
      <c r="DR4" s="29" t="n">
        <v>1</v>
      </c>
      <c r="DS4" s="29" t="n">
        <v>2</v>
      </c>
      <c r="DT4" s="29" t="n">
        <v>2</v>
      </c>
      <c r="DU4" s="29" t="n">
        <v>1</v>
      </c>
      <c r="DV4" s="29" t="n">
        <v>1</v>
      </c>
      <c r="DW4" s="29" t="n">
        <v>3</v>
      </c>
      <c r="DX4" s="29" t="n">
        <v>0</v>
      </c>
      <c r="DY4" s="29" t="n">
        <v>0</v>
      </c>
      <c r="DZ4" s="29" t="n">
        <v>3</v>
      </c>
      <c r="EA4" s="29" t="n">
        <v>0</v>
      </c>
      <c r="EB4" s="29" t="n">
        <v>1</v>
      </c>
      <c r="EC4" s="29" t="n">
        <v>1</v>
      </c>
      <c r="ED4" s="29" t="n">
        <v>2</v>
      </c>
      <c r="EE4" s="29" t="n">
        <v>0</v>
      </c>
      <c r="EF4" s="29" t="n">
        <v>3</v>
      </c>
      <c r="EG4" s="29" t="n">
        <v>2</v>
      </c>
      <c r="EH4" s="29" t="n">
        <v>0</v>
      </c>
      <c r="EI4" s="29" t="n">
        <v>1</v>
      </c>
      <c r="EJ4" s="29" t="n">
        <v>2</v>
      </c>
      <c r="EK4" s="29" t="n">
        <v>0</v>
      </c>
      <c r="EL4" s="29" t="n">
        <v>2</v>
      </c>
      <c r="EM4" s="29" t="n">
        <v>1</v>
      </c>
      <c r="EN4" s="29" t="n">
        <v>1</v>
      </c>
      <c r="EO4" s="29" t="n">
        <v>1</v>
      </c>
      <c r="EP4" s="29" t="n">
        <v>1</v>
      </c>
    </row>
    <row r="5" customFormat="false" ht="14.25" hidden="false" customHeight="true" outlineLevel="0" collapsed="false">
      <c r="A5" s="29" t="n">
        <v>4</v>
      </c>
      <c r="B5" s="30" t="s">
        <v>198</v>
      </c>
      <c r="C5" s="29" t="n">
        <v>2</v>
      </c>
      <c r="D5" s="29" t="n">
        <v>0</v>
      </c>
      <c r="E5" s="29" t="n">
        <v>0</v>
      </c>
      <c r="F5" s="29" t="n">
        <v>1</v>
      </c>
      <c r="G5" s="29" t="n">
        <v>2</v>
      </c>
      <c r="H5" s="29" t="n">
        <v>0</v>
      </c>
      <c r="I5" s="29" t="n">
        <v>2</v>
      </c>
      <c r="J5" s="29" t="n">
        <v>0</v>
      </c>
      <c r="K5" s="29" t="n">
        <v>0</v>
      </c>
      <c r="L5" s="29" t="n">
        <v>1</v>
      </c>
      <c r="M5" s="29" t="n">
        <v>0</v>
      </c>
      <c r="N5" s="29" t="n">
        <v>2</v>
      </c>
      <c r="O5" s="29" t="n">
        <v>2</v>
      </c>
      <c r="P5" s="29" t="n">
        <v>1</v>
      </c>
      <c r="Q5" s="29" t="n">
        <v>0</v>
      </c>
      <c r="R5" s="29" t="n">
        <v>2</v>
      </c>
      <c r="S5" s="29" t="n">
        <v>0</v>
      </c>
      <c r="T5" s="29" t="n">
        <v>1</v>
      </c>
      <c r="U5" s="29" t="n">
        <v>3</v>
      </c>
      <c r="V5" s="29" t="n">
        <v>0</v>
      </c>
      <c r="W5" s="29" t="n">
        <v>2</v>
      </c>
      <c r="X5" s="29" t="n">
        <v>2</v>
      </c>
      <c r="Y5" s="29" t="n">
        <v>2</v>
      </c>
      <c r="Z5" s="29" t="n">
        <v>1</v>
      </c>
      <c r="AA5" s="29" t="n">
        <v>1</v>
      </c>
      <c r="AB5" s="29" t="n">
        <v>1</v>
      </c>
      <c r="AC5" s="29" t="n">
        <v>3</v>
      </c>
      <c r="AD5" s="29" t="n">
        <v>0</v>
      </c>
      <c r="AE5" s="29" t="n">
        <v>0</v>
      </c>
      <c r="AF5" s="29" t="n">
        <v>0</v>
      </c>
      <c r="AG5" s="29" t="n">
        <v>3</v>
      </c>
      <c r="AH5" s="29" t="n">
        <v>1</v>
      </c>
      <c r="AI5" s="29" t="n">
        <v>3</v>
      </c>
      <c r="AJ5" s="29" t="n">
        <v>0</v>
      </c>
      <c r="AK5" s="29" t="n">
        <v>0</v>
      </c>
      <c r="AL5" s="29" t="n">
        <v>2</v>
      </c>
      <c r="AM5" s="29" t="n">
        <v>2</v>
      </c>
      <c r="AN5" s="29" t="n">
        <v>1</v>
      </c>
      <c r="AO5" s="29" t="n">
        <v>1</v>
      </c>
      <c r="AP5" s="29" t="n">
        <v>0</v>
      </c>
      <c r="AQ5" s="29" t="n">
        <v>1</v>
      </c>
      <c r="AR5" s="29" t="n">
        <v>2</v>
      </c>
      <c r="AS5" s="29" t="n">
        <v>1</v>
      </c>
      <c r="AT5" s="29" t="n">
        <v>1</v>
      </c>
      <c r="AU5" s="29" t="n">
        <v>2</v>
      </c>
      <c r="AV5" s="29" t="n">
        <v>0</v>
      </c>
      <c r="AW5" s="29" t="n">
        <v>0</v>
      </c>
      <c r="AX5" s="29" t="n">
        <v>3</v>
      </c>
      <c r="AY5" s="29" t="n">
        <v>2</v>
      </c>
      <c r="AZ5" s="29" t="n">
        <v>1</v>
      </c>
      <c r="BA5" s="29" t="n">
        <v>2</v>
      </c>
      <c r="BB5" s="29" t="n">
        <v>2</v>
      </c>
      <c r="BC5" s="29" t="n">
        <v>2</v>
      </c>
      <c r="BD5" s="29" t="n">
        <v>0</v>
      </c>
      <c r="BE5" s="29" t="n">
        <v>2</v>
      </c>
      <c r="BF5" s="29" t="n">
        <v>0</v>
      </c>
      <c r="BG5" s="29" t="n">
        <v>3</v>
      </c>
      <c r="BH5" s="29" t="n">
        <v>1</v>
      </c>
      <c r="BI5" s="29" t="n">
        <v>0</v>
      </c>
      <c r="BJ5" s="29" t="n">
        <v>2</v>
      </c>
      <c r="BK5" s="29" t="n">
        <v>2</v>
      </c>
      <c r="BL5" s="29" t="n">
        <v>1</v>
      </c>
      <c r="BM5" s="29" t="n">
        <v>3</v>
      </c>
      <c r="BN5" s="29" t="n">
        <v>0</v>
      </c>
      <c r="BO5" s="29" t="n">
        <v>4</v>
      </c>
      <c r="BP5" s="29" t="n">
        <v>1</v>
      </c>
      <c r="BQ5" s="29" t="n">
        <v>2</v>
      </c>
      <c r="BR5" s="29" t="n">
        <v>0</v>
      </c>
      <c r="BS5" s="29" t="n">
        <v>1</v>
      </c>
      <c r="BT5" s="29" t="n">
        <v>1</v>
      </c>
      <c r="BU5" s="29" t="n">
        <v>0</v>
      </c>
      <c r="BV5" s="29" t="n">
        <v>2</v>
      </c>
      <c r="BW5" s="29" t="n">
        <v>2</v>
      </c>
      <c r="BX5" s="29" t="n">
        <v>0</v>
      </c>
      <c r="BY5" s="29" t="n">
        <v>3</v>
      </c>
      <c r="BZ5" s="29" t="n">
        <v>1</v>
      </c>
      <c r="CA5" s="29" t="n">
        <v>3</v>
      </c>
      <c r="CB5" s="29" t="n">
        <v>0</v>
      </c>
      <c r="CC5" s="29" t="n">
        <v>0</v>
      </c>
      <c r="CD5" s="29" t="n">
        <v>3</v>
      </c>
      <c r="CE5" s="29" t="n">
        <v>4</v>
      </c>
      <c r="CF5" s="29" t="n">
        <v>1</v>
      </c>
      <c r="CG5" s="29" t="n">
        <v>3</v>
      </c>
      <c r="CH5" s="29" t="n">
        <v>0</v>
      </c>
      <c r="CI5" s="29" t="n">
        <v>2</v>
      </c>
      <c r="CJ5" s="29" t="n">
        <v>1</v>
      </c>
      <c r="CK5" s="29" t="n">
        <v>0</v>
      </c>
      <c r="CL5" s="29" t="n">
        <v>2</v>
      </c>
      <c r="CM5" s="29" t="n">
        <v>3</v>
      </c>
      <c r="CN5" s="29" t="n">
        <v>0</v>
      </c>
      <c r="CO5" s="29" t="n">
        <v>1</v>
      </c>
      <c r="CP5" s="29" t="n">
        <v>1</v>
      </c>
      <c r="CQ5" s="29" t="n">
        <v>3</v>
      </c>
      <c r="CR5" s="29" t="n">
        <v>0</v>
      </c>
      <c r="CS5" s="29" t="n">
        <v>3</v>
      </c>
      <c r="CT5" s="29" t="n">
        <v>0</v>
      </c>
      <c r="CU5" s="29" t="n">
        <v>0</v>
      </c>
      <c r="CV5" s="29" t="n">
        <v>3</v>
      </c>
      <c r="CW5" s="29" t="n">
        <v>2</v>
      </c>
      <c r="CX5" s="29" t="n">
        <v>0</v>
      </c>
      <c r="CY5" s="29" t="n">
        <v>1</v>
      </c>
      <c r="CZ5" s="29" t="n">
        <v>1</v>
      </c>
      <c r="DA5" s="29" t="n">
        <v>1</v>
      </c>
      <c r="DB5" s="29" t="n">
        <v>0</v>
      </c>
      <c r="DC5" s="29" t="n">
        <v>1</v>
      </c>
      <c r="DD5" s="29" t="n">
        <v>2</v>
      </c>
      <c r="DE5" s="29" t="n">
        <v>0</v>
      </c>
      <c r="DF5" s="29" t="n">
        <v>1</v>
      </c>
      <c r="DG5" s="29" t="n">
        <v>0</v>
      </c>
      <c r="DH5" s="29" t="n">
        <v>1</v>
      </c>
      <c r="DI5" s="29" t="n">
        <v>1</v>
      </c>
      <c r="DJ5" s="29" t="n">
        <v>2</v>
      </c>
      <c r="DK5" s="29" t="n">
        <v>2</v>
      </c>
      <c r="DL5" s="29" t="n">
        <v>2</v>
      </c>
      <c r="DM5" s="29" t="n">
        <v>0</v>
      </c>
      <c r="DN5" s="29" t="n">
        <v>2</v>
      </c>
      <c r="DO5" s="29" t="n">
        <v>1</v>
      </c>
      <c r="DP5" s="29" t="n">
        <v>1</v>
      </c>
      <c r="DQ5" s="29" t="n">
        <v>1</v>
      </c>
      <c r="DR5" s="29" t="n">
        <v>0</v>
      </c>
      <c r="DS5" s="29" t="n">
        <v>2</v>
      </c>
      <c r="DT5" s="29" t="n">
        <v>2</v>
      </c>
      <c r="DU5" s="29" t="n">
        <v>1</v>
      </c>
      <c r="DV5" s="29" t="n">
        <v>0</v>
      </c>
      <c r="DW5" s="29" t="n">
        <v>2</v>
      </c>
      <c r="DX5" s="29" t="n">
        <v>0</v>
      </c>
      <c r="DY5" s="29" t="n">
        <v>0</v>
      </c>
      <c r="DZ5" s="29" t="n">
        <v>4</v>
      </c>
      <c r="EA5" s="29" t="n">
        <v>0</v>
      </c>
      <c r="EB5" s="29" t="n">
        <v>2</v>
      </c>
      <c r="EC5" s="29" t="n">
        <v>1</v>
      </c>
      <c r="ED5" s="29" t="n">
        <v>3</v>
      </c>
      <c r="EE5" s="29" t="n">
        <v>1</v>
      </c>
      <c r="EF5" s="29" t="n">
        <v>4</v>
      </c>
      <c r="EG5" s="29" t="n">
        <v>2</v>
      </c>
      <c r="EH5" s="29" t="n">
        <v>1</v>
      </c>
      <c r="EI5" s="29" t="n">
        <v>1</v>
      </c>
      <c r="EJ5" s="29" t="n">
        <v>1</v>
      </c>
      <c r="EK5" s="29" t="n">
        <v>0</v>
      </c>
      <c r="EL5" s="29" t="n">
        <v>3</v>
      </c>
      <c r="EM5" s="29" t="n">
        <v>2</v>
      </c>
      <c r="EN5" s="29" t="n">
        <v>2</v>
      </c>
      <c r="EO5" s="29" t="n">
        <v>0</v>
      </c>
      <c r="EP5" s="29" t="n">
        <v>0</v>
      </c>
    </row>
    <row r="6" customFormat="false" ht="14.25" hidden="false" customHeight="true" outlineLevel="0" collapsed="false">
      <c r="A6" s="29" t="n">
        <v>5</v>
      </c>
      <c r="B6" s="30" t="s">
        <v>199</v>
      </c>
      <c r="C6" s="29" t="n">
        <v>2</v>
      </c>
      <c r="D6" s="29" t="n">
        <v>0</v>
      </c>
      <c r="E6" s="29" t="n">
        <v>1</v>
      </c>
      <c r="F6" s="29" t="n">
        <v>1</v>
      </c>
      <c r="G6" s="29" t="n">
        <v>2</v>
      </c>
      <c r="H6" s="29" t="n">
        <v>1</v>
      </c>
      <c r="I6" s="29" t="n">
        <v>2</v>
      </c>
      <c r="J6" s="29" t="n">
        <v>1</v>
      </c>
      <c r="K6" s="29" t="n">
        <v>2</v>
      </c>
      <c r="L6" s="29" t="n">
        <v>0</v>
      </c>
      <c r="M6" s="29" t="n">
        <v>1</v>
      </c>
      <c r="N6" s="29" t="n">
        <v>1</v>
      </c>
      <c r="O6" s="29" t="n">
        <v>2</v>
      </c>
      <c r="P6" s="29" t="n">
        <v>1</v>
      </c>
      <c r="Q6" s="29" t="n">
        <v>2</v>
      </c>
      <c r="R6" s="29" t="n">
        <v>0</v>
      </c>
      <c r="S6" s="29" t="n">
        <v>1</v>
      </c>
      <c r="T6" s="29" t="n">
        <v>1</v>
      </c>
      <c r="U6" s="29" t="n">
        <v>4</v>
      </c>
      <c r="V6" s="29" t="n">
        <v>0</v>
      </c>
      <c r="W6" s="29" t="n">
        <v>2</v>
      </c>
      <c r="X6" s="29" t="n">
        <v>1</v>
      </c>
      <c r="Y6" s="29" t="n">
        <v>1</v>
      </c>
      <c r="Z6" s="29" t="n">
        <v>0</v>
      </c>
      <c r="AA6" s="29" t="n">
        <v>3</v>
      </c>
      <c r="AB6" s="29" t="n">
        <v>0</v>
      </c>
      <c r="AC6" s="29" t="n">
        <v>3</v>
      </c>
      <c r="AD6" s="29" t="n">
        <v>0</v>
      </c>
      <c r="AE6" s="29" t="n">
        <v>2</v>
      </c>
      <c r="AF6" s="29" t="n">
        <v>0</v>
      </c>
      <c r="AG6" s="29" t="n">
        <v>2</v>
      </c>
      <c r="AH6" s="29" t="n">
        <v>1</v>
      </c>
      <c r="AI6" s="29" t="n">
        <v>2</v>
      </c>
      <c r="AJ6" s="29" t="n">
        <v>1</v>
      </c>
      <c r="AK6" s="29" t="n">
        <v>2</v>
      </c>
      <c r="AL6" s="29" t="n">
        <v>0</v>
      </c>
      <c r="AM6" s="29" t="n">
        <v>3</v>
      </c>
      <c r="AN6" s="29" t="n">
        <v>0</v>
      </c>
      <c r="AO6" s="29" t="n">
        <v>2</v>
      </c>
      <c r="AP6" s="29" t="n">
        <v>0</v>
      </c>
      <c r="AQ6" s="29" t="n">
        <v>1</v>
      </c>
      <c r="AR6" s="29" t="n">
        <v>1</v>
      </c>
      <c r="AS6" s="29" t="n">
        <v>2</v>
      </c>
      <c r="AT6" s="29" t="n">
        <v>1</v>
      </c>
      <c r="AU6" s="29" t="n">
        <v>3</v>
      </c>
      <c r="AV6" s="29" t="n">
        <v>0</v>
      </c>
      <c r="AW6" s="29" t="n">
        <v>2</v>
      </c>
      <c r="AX6" s="29" t="n">
        <v>0</v>
      </c>
      <c r="AY6" s="29" t="n">
        <v>2</v>
      </c>
      <c r="AZ6" s="29" t="n">
        <v>1</v>
      </c>
      <c r="BA6" s="29" t="n">
        <v>2</v>
      </c>
      <c r="BB6" s="29" t="n">
        <v>0</v>
      </c>
      <c r="BC6" s="29" t="n">
        <v>1</v>
      </c>
      <c r="BD6" s="29" t="n">
        <v>1</v>
      </c>
      <c r="BE6" s="29" t="n">
        <v>2</v>
      </c>
      <c r="BF6" s="29" t="n">
        <v>1</v>
      </c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</row>
    <row r="7" customFormat="false" ht="14.25" hidden="false" customHeight="true" outlineLevel="0" collapsed="false">
      <c r="A7" s="29" t="n">
        <v>6</v>
      </c>
      <c r="B7" s="30" t="s">
        <v>200</v>
      </c>
      <c r="C7" s="29" t="n">
        <v>2</v>
      </c>
      <c r="D7" s="29" t="n">
        <v>0</v>
      </c>
      <c r="E7" s="29" t="n">
        <v>1</v>
      </c>
      <c r="F7" s="29" t="n">
        <v>1</v>
      </c>
      <c r="G7" s="29" t="n">
        <v>3</v>
      </c>
      <c r="H7" s="29" t="n">
        <v>1</v>
      </c>
      <c r="I7" s="29" t="n">
        <v>2</v>
      </c>
      <c r="J7" s="29" t="n">
        <v>0</v>
      </c>
      <c r="K7" s="29" t="n">
        <v>0</v>
      </c>
      <c r="L7" s="29" t="n">
        <v>3</v>
      </c>
      <c r="M7" s="29" t="n">
        <v>1</v>
      </c>
      <c r="N7" s="29" t="n">
        <v>2</v>
      </c>
      <c r="O7" s="29" t="n">
        <v>2</v>
      </c>
      <c r="P7" s="29" t="n">
        <v>2</v>
      </c>
      <c r="Q7" s="29" t="n">
        <v>0</v>
      </c>
      <c r="R7" s="29" t="n">
        <v>2</v>
      </c>
      <c r="S7" s="29" t="n">
        <v>1</v>
      </c>
      <c r="T7" s="29" t="n">
        <v>1</v>
      </c>
      <c r="U7" s="29" t="n">
        <v>4</v>
      </c>
      <c r="V7" s="29" t="n">
        <v>0</v>
      </c>
      <c r="W7" s="29" t="n">
        <v>3</v>
      </c>
      <c r="X7" s="29" t="n">
        <v>0</v>
      </c>
      <c r="Y7" s="29" t="n">
        <v>2</v>
      </c>
      <c r="Z7" s="29" t="n">
        <v>1</v>
      </c>
      <c r="AA7" s="29" t="n">
        <v>0</v>
      </c>
      <c r="AB7" s="29" t="n">
        <v>1</v>
      </c>
      <c r="AC7" s="29" t="n">
        <v>3</v>
      </c>
      <c r="AD7" s="29" t="n">
        <v>0</v>
      </c>
      <c r="AE7" s="29" t="n">
        <v>0</v>
      </c>
      <c r="AF7" s="29" t="n">
        <v>2</v>
      </c>
      <c r="AG7" s="29" t="n">
        <v>3</v>
      </c>
      <c r="AH7" s="29" t="n">
        <v>1</v>
      </c>
      <c r="AI7" s="29" t="n">
        <v>4</v>
      </c>
      <c r="AJ7" s="29" t="n">
        <v>0</v>
      </c>
      <c r="AK7" s="29" t="n">
        <v>0</v>
      </c>
      <c r="AL7" s="29" t="n">
        <v>1</v>
      </c>
      <c r="AM7" s="29" t="n">
        <v>3</v>
      </c>
      <c r="AN7" s="29" t="n">
        <v>1</v>
      </c>
      <c r="AO7" s="29" t="n">
        <v>2</v>
      </c>
      <c r="AP7" s="29" t="n">
        <v>1</v>
      </c>
      <c r="AQ7" s="29" t="n">
        <v>0</v>
      </c>
      <c r="AR7" s="29" t="n">
        <v>1</v>
      </c>
      <c r="AS7" s="29" t="n">
        <v>3</v>
      </c>
      <c r="AT7" s="29" t="n">
        <v>2</v>
      </c>
      <c r="AU7" s="29" t="n">
        <v>4</v>
      </c>
      <c r="AV7" s="29" t="n">
        <v>0</v>
      </c>
      <c r="AW7" s="29" t="n">
        <v>0</v>
      </c>
      <c r="AX7" s="29" t="n">
        <v>4</v>
      </c>
      <c r="AY7" s="29" t="n">
        <v>0</v>
      </c>
      <c r="AZ7" s="29" t="n">
        <v>1</v>
      </c>
      <c r="BA7" s="29" t="n">
        <v>3</v>
      </c>
      <c r="BB7" s="29" t="n">
        <v>2</v>
      </c>
      <c r="BC7" s="29" t="n">
        <v>2</v>
      </c>
      <c r="BD7" s="29" t="n">
        <v>1</v>
      </c>
      <c r="BE7" s="29" t="n">
        <v>3</v>
      </c>
      <c r="BF7" s="29" t="n">
        <v>1</v>
      </c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</row>
    <row r="8" customFormat="false" ht="14.25" hidden="false" customHeight="true" outlineLevel="0" collapsed="false">
      <c r="A8" s="29" t="n">
        <v>7</v>
      </c>
      <c r="B8" s="30" t="s">
        <v>201</v>
      </c>
      <c r="C8" s="29" t="n">
        <v>2</v>
      </c>
      <c r="D8" s="29" t="n">
        <v>1</v>
      </c>
      <c r="E8" s="29" t="n">
        <v>1</v>
      </c>
      <c r="F8" s="29" t="n">
        <v>1</v>
      </c>
      <c r="G8" s="29" t="n">
        <v>2</v>
      </c>
      <c r="H8" s="29" t="n">
        <v>1</v>
      </c>
      <c r="I8" s="29" t="n">
        <v>2</v>
      </c>
      <c r="J8" s="29" t="n">
        <v>0</v>
      </c>
      <c r="K8" s="29" t="n">
        <v>0</v>
      </c>
      <c r="L8" s="29" t="n">
        <v>2</v>
      </c>
      <c r="M8" s="29" t="n">
        <v>1</v>
      </c>
      <c r="N8" s="29" t="n">
        <v>2</v>
      </c>
      <c r="O8" s="29" t="n">
        <v>2</v>
      </c>
      <c r="P8" s="29" t="n">
        <v>1</v>
      </c>
      <c r="Q8" s="29" t="n">
        <v>0</v>
      </c>
      <c r="R8" s="29" t="n">
        <v>2</v>
      </c>
      <c r="S8" s="29" t="n">
        <v>1</v>
      </c>
      <c r="T8" s="29" t="n">
        <v>1</v>
      </c>
      <c r="U8" s="29" t="n">
        <v>5</v>
      </c>
      <c r="V8" s="29" t="n">
        <v>0</v>
      </c>
      <c r="W8" s="29" t="n">
        <v>2</v>
      </c>
      <c r="X8" s="29" t="n">
        <v>1</v>
      </c>
      <c r="Y8" s="29" t="n">
        <v>2</v>
      </c>
      <c r="Z8" s="29" t="n">
        <v>0</v>
      </c>
      <c r="AA8" s="29" t="n">
        <v>0</v>
      </c>
      <c r="AB8" s="29" t="n">
        <v>2</v>
      </c>
      <c r="AC8" s="29" t="n">
        <v>4</v>
      </c>
      <c r="AD8" s="29" t="n">
        <v>0</v>
      </c>
      <c r="AE8" s="29" t="n">
        <v>2</v>
      </c>
      <c r="AF8" s="29" t="n">
        <v>0</v>
      </c>
      <c r="AG8" s="29" t="n">
        <v>2</v>
      </c>
      <c r="AH8" s="29" t="n">
        <v>0</v>
      </c>
      <c r="AI8" s="29" t="n">
        <v>2</v>
      </c>
      <c r="AJ8" s="29" t="n">
        <v>1</v>
      </c>
      <c r="AK8" s="29" t="n">
        <v>0</v>
      </c>
      <c r="AL8" s="29" t="n">
        <v>3</v>
      </c>
      <c r="AM8" s="29" t="n">
        <v>3</v>
      </c>
      <c r="AN8" s="29" t="n">
        <v>0</v>
      </c>
      <c r="AO8" s="29" t="n">
        <v>2</v>
      </c>
      <c r="AP8" s="29" t="n">
        <v>0</v>
      </c>
      <c r="AQ8" s="29" t="n">
        <v>1</v>
      </c>
      <c r="AR8" s="29" t="n">
        <v>2</v>
      </c>
      <c r="AS8" s="29" t="n">
        <v>2</v>
      </c>
      <c r="AT8" s="29" t="n">
        <v>1</v>
      </c>
      <c r="AU8" s="29" t="n">
        <v>3</v>
      </c>
      <c r="AV8" s="29" t="n">
        <v>0</v>
      </c>
      <c r="AW8" s="29" t="n">
        <v>0</v>
      </c>
      <c r="AX8" s="29" t="n">
        <v>2</v>
      </c>
      <c r="AY8" s="29" t="n">
        <v>2</v>
      </c>
      <c r="AZ8" s="29" t="n">
        <v>1</v>
      </c>
      <c r="BA8" s="29" t="n">
        <v>1</v>
      </c>
      <c r="BB8" s="29" t="n">
        <v>1</v>
      </c>
      <c r="BC8" s="29" t="n">
        <v>3</v>
      </c>
      <c r="BD8" s="29" t="n">
        <v>1</v>
      </c>
      <c r="BE8" s="29" t="n">
        <v>2</v>
      </c>
      <c r="BF8" s="29" t="n">
        <v>1</v>
      </c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</row>
    <row r="9" customFormat="false" ht="14.25" hidden="false" customHeight="true" outlineLevel="0" collapsed="false">
      <c r="A9" s="29" t="n">
        <v>8</v>
      </c>
      <c r="B9" s="30" t="s">
        <v>202</v>
      </c>
      <c r="C9" s="29" t="n">
        <v>2</v>
      </c>
      <c r="D9" s="29" t="n">
        <v>1</v>
      </c>
      <c r="E9" s="29" t="n">
        <v>2</v>
      </c>
      <c r="F9" s="29" t="n">
        <v>1</v>
      </c>
      <c r="G9" s="29" t="n">
        <v>1</v>
      </c>
      <c r="H9" s="29" t="n">
        <v>1</v>
      </c>
      <c r="I9" s="29" t="n">
        <v>2</v>
      </c>
      <c r="J9" s="29" t="n">
        <v>1</v>
      </c>
      <c r="K9" s="29" t="n">
        <v>0</v>
      </c>
      <c r="L9" s="29" t="n">
        <v>2</v>
      </c>
      <c r="M9" s="29" t="n">
        <v>1</v>
      </c>
      <c r="N9" s="29" t="n">
        <v>3</v>
      </c>
      <c r="O9" s="29" t="n">
        <v>2</v>
      </c>
      <c r="P9" s="29" t="n">
        <v>1</v>
      </c>
      <c r="Q9" s="29" t="n">
        <v>0</v>
      </c>
      <c r="R9" s="29" t="n">
        <v>3</v>
      </c>
      <c r="S9" s="29" t="n">
        <v>1</v>
      </c>
      <c r="T9" s="29" t="n">
        <v>1</v>
      </c>
      <c r="U9" s="29" t="n">
        <v>4</v>
      </c>
      <c r="V9" s="29" t="n">
        <v>0</v>
      </c>
      <c r="W9" s="29" t="n">
        <v>2</v>
      </c>
      <c r="X9" s="29" t="n">
        <v>2</v>
      </c>
      <c r="Y9" s="29" t="n">
        <v>2</v>
      </c>
      <c r="Z9" s="29" t="n">
        <v>11</v>
      </c>
      <c r="AA9" s="29" t="n">
        <v>0</v>
      </c>
      <c r="AB9" s="29" t="n">
        <v>2</v>
      </c>
      <c r="AC9" s="29" t="n">
        <v>4</v>
      </c>
      <c r="AD9" s="29" t="n">
        <v>0</v>
      </c>
      <c r="AE9" s="29" t="n">
        <v>2</v>
      </c>
      <c r="AF9" s="29" t="n">
        <v>0</v>
      </c>
      <c r="AG9" s="29" t="n">
        <v>3</v>
      </c>
      <c r="AH9" s="29" t="n">
        <v>1</v>
      </c>
      <c r="AI9" s="29" t="n">
        <v>2</v>
      </c>
      <c r="AJ9" s="29" t="n">
        <v>1</v>
      </c>
      <c r="AK9" s="29" t="n">
        <v>0</v>
      </c>
      <c r="AL9" s="29" t="n">
        <v>3</v>
      </c>
      <c r="AM9" s="29" t="n">
        <v>3</v>
      </c>
      <c r="AN9" s="29" t="n">
        <v>0</v>
      </c>
      <c r="AO9" s="29" t="n">
        <v>2</v>
      </c>
      <c r="AP9" s="29" t="n">
        <v>1</v>
      </c>
      <c r="AQ9" s="29" t="n">
        <v>2</v>
      </c>
      <c r="AR9" s="29" t="n">
        <v>1</v>
      </c>
      <c r="AS9" s="29" t="n">
        <v>2</v>
      </c>
      <c r="AT9" s="29" t="n">
        <v>2</v>
      </c>
      <c r="AU9" s="29" t="n">
        <v>3</v>
      </c>
      <c r="AV9" s="29" t="n">
        <v>0</v>
      </c>
      <c r="AW9" s="29" t="n">
        <v>1</v>
      </c>
      <c r="AX9" s="29" t="n">
        <v>1</v>
      </c>
      <c r="AY9" s="29" t="n">
        <v>3</v>
      </c>
      <c r="AZ9" s="29" t="n">
        <v>0</v>
      </c>
      <c r="BA9" s="29" t="n">
        <v>2</v>
      </c>
      <c r="BB9" s="29" t="n">
        <v>0</v>
      </c>
      <c r="BC9" s="29" t="n">
        <v>3</v>
      </c>
      <c r="BD9" s="29" t="n">
        <v>1</v>
      </c>
      <c r="BE9" s="29" t="n">
        <v>1</v>
      </c>
      <c r="BF9" s="29" t="n">
        <v>2</v>
      </c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</row>
    <row r="10" customFormat="false" ht="14.25" hidden="false" customHeight="true" outlineLevel="0" collapsed="false">
      <c r="A10" s="29" t="n">
        <v>9</v>
      </c>
      <c r="B10" s="30" t="s">
        <v>203</v>
      </c>
      <c r="C10" s="29" t="n">
        <v>2</v>
      </c>
      <c r="D10" s="29" t="n">
        <v>3</v>
      </c>
      <c r="E10" s="29" t="n">
        <v>1</v>
      </c>
      <c r="F10" s="29" t="n">
        <v>1</v>
      </c>
      <c r="G10" s="29" t="n">
        <v>1</v>
      </c>
      <c r="H10" s="29" t="n">
        <v>2</v>
      </c>
      <c r="I10" s="29" t="n">
        <v>2</v>
      </c>
      <c r="J10" s="29" t="n">
        <v>4</v>
      </c>
      <c r="K10" s="29" t="n">
        <v>3</v>
      </c>
      <c r="L10" s="29" t="n">
        <v>4</v>
      </c>
      <c r="M10" s="29" t="n">
        <v>2</v>
      </c>
      <c r="N10" s="29" t="n">
        <v>1</v>
      </c>
      <c r="O10" s="29" t="n">
        <v>5</v>
      </c>
      <c r="P10" s="29" t="n">
        <v>1</v>
      </c>
      <c r="Q10" s="29" t="n">
        <v>2</v>
      </c>
      <c r="R10" s="29" t="n">
        <v>1</v>
      </c>
      <c r="S10" s="29" t="n">
        <v>0</v>
      </c>
      <c r="T10" s="29" t="n">
        <v>3</v>
      </c>
      <c r="U10" s="29" t="n">
        <v>2</v>
      </c>
      <c r="V10" s="29" t="n">
        <v>2</v>
      </c>
      <c r="W10" s="29" t="n">
        <v>2</v>
      </c>
      <c r="X10" s="29" t="n">
        <v>5</v>
      </c>
      <c r="Y10" s="29" t="n">
        <v>4</v>
      </c>
      <c r="Z10" s="29" t="n">
        <v>1</v>
      </c>
      <c r="AA10" s="29" t="n">
        <v>1</v>
      </c>
      <c r="AB10" s="29" t="n">
        <v>2</v>
      </c>
      <c r="AC10" s="29" t="n">
        <v>3</v>
      </c>
      <c r="AD10" s="29" t="n">
        <v>1</v>
      </c>
      <c r="AE10" s="29" t="n">
        <v>1</v>
      </c>
      <c r="AF10" s="29" t="n">
        <v>1</v>
      </c>
      <c r="AG10" s="29" t="n">
        <v>2</v>
      </c>
      <c r="AH10" s="29" t="n">
        <v>0</v>
      </c>
      <c r="AI10" s="29" t="n">
        <v>1</v>
      </c>
      <c r="AJ10" s="29" t="n">
        <v>3</v>
      </c>
      <c r="AK10" s="29" t="n">
        <v>1</v>
      </c>
      <c r="AL10" s="29" t="n">
        <v>4</v>
      </c>
      <c r="AM10" s="29" t="n">
        <v>3</v>
      </c>
      <c r="AN10" s="29" t="n">
        <v>2</v>
      </c>
      <c r="AO10" s="29" t="n">
        <v>1</v>
      </c>
      <c r="AP10" s="29" t="n">
        <v>1</v>
      </c>
      <c r="AQ10" s="29" t="n">
        <v>1</v>
      </c>
      <c r="AR10" s="29" t="n">
        <v>3</v>
      </c>
      <c r="AS10" s="29" t="n">
        <v>2</v>
      </c>
      <c r="AT10" s="29" t="n">
        <v>1</v>
      </c>
      <c r="AU10" s="29" t="n">
        <v>7</v>
      </c>
      <c r="AV10" s="29" t="n">
        <v>4</v>
      </c>
      <c r="AW10" s="29" t="n">
        <v>1</v>
      </c>
      <c r="AX10" s="29" t="n">
        <v>2</v>
      </c>
      <c r="AY10" s="29" t="n">
        <v>2</v>
      </c>
      <c r="AZ10" s="29" t="n">
        <v>2</v>
      </c>
      <c r="BA10" s="29" t="n">
        <v>3</v>
      </c>
      <c r="BB10" s="29" t="n">
        <v>4</v>
      </c>
      <c r="BC10" s="29" t="n">
        <v>2</v>
      </c>
      <c r="BD10" s="29" t="n">
        <v>3</v>
      </c>
      <c r="BE10" s="29" t="n">
        <v>1</v>
      </c>
      <c r="BF10" s="29" t="n">
        <v>2</v>
      </c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</row>
    <row r="11" customFormat="false" ht="14.25" hidden="false" customHeight="true" outlineLevel="0" collapsed="false">
      <c r="A11" s="29" t="n">
        <v>10</v>
      </c>
      <c r="B11" s="30" t="s">
        <v>204</v>
      </c>
      <c r="C11" s="29" t="n">
        <v>1</v>
      </c>
      <c r="D11" s="29" t="n">
        <v>2</v>
      </c>
      <c r="E11" s="29" t="n">
        <v>1</v>
      </c>
      <c r="F11" s="29" t="n">
        <v>0</v>
      </c>
      <c r="G11" s="29" t="n">
        <v>2</v>
      </c>
      <c r="H11" s="29" t="n">
        <v>1</v>
      </c>
      <c r="I11" s="29" t="n">
        <v>0</v>
      </c>
      <c r="J11" s="29" t="n">
        <v>0</v>
      </c>
      <c r="K11" s="29" t="n">
        <v>1</v>
      </c>
      <c r="L11" s="29" t="n">
        <v>3</v>
      </c>
      <c r="M11" s="29" t="n">
        <v>1</v>
      </c>
      <c r="N11" s="29" t="n">
        <v>1</v>
      </c>
      <c r="O11" s="29" t="n">
        <v>2</v>
      </c>
      <c r="P11" s="29" t="n">
        <v>2</v>
      </c>
      <c r="Q11" s="29" t="n">
        <v>0</v>
      </c>
      <c r="R11" s="29" t="n">
        <v>1</v>
      </c>
      <c r="S11" s="29" t="n">
        <v>0</v>
      </c>
      <c r="T11" s="29" t="n">
        <v>1</v>
      </c>
      <c r="U11" s="29" t="n">
        <v>3</v>
      </c>
      <c r="V11" s="29" t="n">
        <v>1</v>
      </c>
      <c r="W11" s="29" t="n">
        <v>2</v>
      </c>
      <c r="X11" s="29" t="n">
        <v>2</v>
      </c>
      <c r="Y11" s="29" t="n">
        <v>3</v>
      </c>
      <c r="Z11" s="29" t="n">
        <v>1</v>
      </c>
      <c r="AA11" s="29" t="n">
        <v>2</v>
      </c>
      <c r="AB11" s="29" t="n">
        <v>2</v>
      </c>
      <c r="AC11" s="29" t="n">
        <v>3</v>
      </c>
      <c r="AD11" s="29" t="n">
        <v>1</v>
      </c>
      <c r="AE11" s="29" t="n">
        <v>1</v>
      </c>
      <c r="AF11" s="29" t="n">
        <v>1</v>
      </c>
      <c r="AG11" s="29" t="n">
        <v>0</v>
      </c>
      <c r="AH11" s="29" t="n">
        <v>0</v>
      </c>
      <c r="AI11" s="29" t="n">
        <v>2</v>
      </c>
      <c r="AJ11" s="29" t="n">
        <v>1</v>
      </c>
      <c r="AK11" s="29" t="n">
        <v>1</v>
      </c>
      <c r="AL11" s="29" t="n">
        <v>0</v>
      </c>
      <c r="AM11" s="29" t="n">
        <v>3</v>
      </c>
      <c r="AN11" s="29" t="n">
        <v>1</v>
      </c>
      <c r="AO11" s="29" t="n">
        <v>2</v>
      </c>
      <c r="AP11" s="29" t="n">
        <v>1</v>
      </c>
      <c r="AQ11" s="29" t="n">
        <v>0</v>
      </c>
      <c r="AR11" s="29" t="n">
        <v>1</v>
      </c>
      <c r="AS11" s="29" t="n">
        <v>3</v>
      </c>
      <c r="AT11" s="29" t="n">
        <v>1</v>
      </c>
      <c r="AU11" s="29" t="n">
        <v>2</v>
      </c>
      <c r="AV11" s="29" t="n">
        <v>1</v>
      </c>
      <c r="AW11" s="29" t="n">
        <v>1</v>
      </c>
      <c r="AX11" s="29" t="n">
        <v>3</v>
      </c>
      <c r="AY11" s="29" t="n">
        <v>1</v>
      </c>
      <c r="AZ11" s="29" t="n">
        <v>2</v>
      </c>
      <c r="BA11" s="29" t="n">
        <v>1</v>
      </c>
      <c r="BB11" s="29" t="n">
        <v>0</v>
      </c>
      <c r="BC11" s="29" t="n">
        <v>1</v>
      </c>
      <c r="BD11" s="29" t="n">
        <v>1</v>
      </c>
      <c r="BE11" s="29" t="n">
        <v>1</v>
      </c>
      <c r="BF11" s="29" t="n">
        <v>1</v>
      </c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</row>
    <row r="12" customFormat="false" ht="14.25" hidden="false" customHeight="true" outlineLevel="0" collapsed="false">
      <c r="A12" s="29" t="n">
        <v>11</v>
      </c>
      <c r="B12" s="30" t="s">
        <v>205</v>
      </c>
      <c r="C12" s="29" t="n">
        <v>2</v>
      </c>
      <c r="D12" s="29" t="n">
        <v>0</v>
      </c>
      <c r="E12" s="29" t="n">
        <v>2</v>
      </c>
      <c r="F12" s="29" t="n">
        <v>1</v>
      </c>
      <c r="G12" s="29" t="n">
        <v>2</v>
      </c>
      <c r="H12" s="29" t="n">
        <v>1</v>
      </c>
      <c r="I12" s="29" t="n">
        <v>2</v>
      </c>
      <c r="J12" s="29" t="n">
        <v>1</v>
      </c>
      <c r="K12" s="29" t="n">
        <v>0</v>
      </c>
      <c r="L12" s="29" t="n">
        <v>2</v>
      </c>
      <c r="M12" s="29" t="n">
        <v>0</v>
      </c>
      <c r="N12" s="29" t="n">
        <v>1</v>
      </c>
      <c r="O12" s="29" t="n">
        <v>2</v>
      </c>
      <c r="P12" s="29" t="n">
        <v>1</v>
      </c>
      <c r="Q12" s="29" t="n">
        <v>0</v>
      </c>
      <c r="R12" s="29" t="n">
        <v>2</v>
      </c>
      <c r="S12" s="29" t="n">
        <v>1</v>
      </c>
      <c r="T12" s="29" t="n">
        <v>1</v>
      </c>
      <c r="U12" s="29" t="n">
        <v>3</v>
      </c>
      <c r="V12" s="29" t="n">
        <v>0</v>
      </c>
      <c r="W12" s="29" t="n">
        <v>2</v>
      </c>
      <c r="X12" s="29" t="n">
        <v>1</v>
      </c>
      <c r="Y12" s="29" t="n">
        <v>2</v>
      </c>
      <c r="Z12" s="29" t="n">
        <v>0</v>
      </c>
      <c r="AA12" s="29" t="n">
        <v>1</v>
      </c>
      <c r="AB12" s="29" t="n">
        <v>2</v>
      </c>
      <c r="AC12" s="29" t="n">
        <v>4</v>
      </c>
      <c r="AD12" s="29" t="n">
        <v>0</v>
      </c>
      <c r="AE12" s="29" t="n">
        <v>1</v>
      </c>
      <c r="AF12" s="29" t="n">
        <v>0</v>
      </c>
      <c r="AG12" s="29" t="n">
        <v>2</v>
      </c>
      <c r="AH12" s="29" t="n">
        <v>1</v>
      </c>
      <c r="AI12" s="29" t="n">
        <v>2</v>
      </c>
      <c r="AJ12" s="29" t="n">
        <v>1</v>
      </c>
      <c r="AK12" s="29" t="n">
        <v>0</v>
      </c>
      <c r="AL12" s="29" t="n">
        <v>2</v>
      </c>
      <c r="AM12" s="29" t="n">
        <v>2</v>
      </c>
      <c r="AN12" s="29" t="n">
        <v>0</v>
      </c>
      <c r="AO12" s="29" t="n">
        <v>2</v>
      </c>
      <c r="AP12" s="29" t="n">
        <v>0</v>
      </c>
      <c r="AQ12" s="29" t="n">
        <v>1</v>
      </c>
      <c r="AR12" s="29" t="n">
        <v>2</v>
      </c>
      <c r="AS12" s="29" t="n">
        <v>2</v>
      </c>
      <c r="AT12" s="29" t="n">
        <v>1</v>
      </c>
      <c r="AU12" s="29" t="n">
        <v>2</v>
      </c>
      <c r="AV12" s="29" t="n">
        <v>1</v>
      </c>
      <c r="AW12" s="29" t="n">
        <v>1</v>
      </c>
      <c r="AX12" s="29" t="n">
        <v>2</v>
      </c>
      <c r="AY12" s="29" t="n">
        <v>2</v>
      </c>
      <c r="AZ12" s="29" t="n">
        <v>0</v>
      </c>
      <c r="BA12" s="29" t="n">
        <v>2</v>
      </c>
      <c r="BB12" s="29" t="n">
        <v>1</v>
      </c>
      <c r="BC12" s="29" t="n">
        <v>2</v>
      </c>
      <c r="BD12" s="29" t="n">
        <v>0</v>
      </c>
      <c r="BE12" s="29" t="n">
        <v>1</v>
      </c>
      <c r="BF12" s="29" t="n">
        <v>1</v>
      </c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</row>
    <row r="13" customFormat="false" ht="14.25" hidden="false" customHeight="true" outlineLevel="0" collapsed="false">
      <c r="A13" s="29" t="n">
        <v>12</v>
      </c>
      <c r="B13" s="30" t="s">
        <v>206</v>
      </c>
      <c r="C13" s="29" t="n">
        <v>2</v>
      </c>
      <c r="D13" s="29" t="n">
        <v>1</v>
      </c>
      <c r="E13" s="29" t="n">
        <v>1</v>
      </c>
      <c r="F13" s="29" t="n">
        <v>0</v>
      </c>
      <c r="G13" s="29" t="n">
        <v>3</v>
      </c>
      <c r="H13" s="29" t="n">
        <v>0</v>
      </c>
      <c r="I13" s="29" t="n">
        <v>2</v>
      </c>
      <c r="J13" s="29" t="n">
        <v>1</v>
      </c>
      <c r="K13" s="29" t="n">
        <v>3</v>
      </c>
      <c r="L13" s="29" t="n">
        <v>1</v>
      </c>
      <c r="M13" s="29" t="n">
        <v>1</v>
      </c>
      <c r="N13" s="29" t="n">
        <v>1</v>
      </c>
      <c r="O13" s="29" t="n">
        <v>2</v>
      </c>
      <c r="P13" s="29" t="n">
        <v>0</v>
      </c>
      <c r="Q13" s="29" t="n">
        <v>0</v>
      </c>
      <c r="R13" s="29" t="n">
        <v>0</v>
      </c>
      <c r="S13" s="29" t="n">
        <v>1</v>
      </c>
      <c r="T13" s="29" t="n">
        <v>2</v>
      </c>
      <c r="U13" s="29" t="n">
        <v>3</v>
      </c>
      <c r="V13" s="29" t="n">
        <v>0</v>
      </c>
      <c r="W13" s="29" t="n">
        <v>0</v>
      </c>
      <c r="X13" s="29" t="n">
        <v>2</v>
      </c>
      <c r="Y13" s="29" t="n">
        <v>1</v>
      </c>
      <c r="Z13" s="29" t="n">
        <v>1</v>
      </c>
      <c r="AA13" s="29" t="n">
        <v>0</v>
      </c>
      <c r="AB13" s="29" t="n">
        <v>1</v>
      </c>
      <c r="AC13" s="29" t="n">
        <v>2</v>
      </c>
      <c r="AD13" s="29" t="n">
        <v>0</v>
      </c>
      <c r="AE13" s="29" t="n">
        <v>2</v>
      </c>
      <c r="AF13" s="29" t="n">
        <v>0</v>
      </c>
      <c r="AG13" s="29" t="n">
        <v>1</v>
      </c>
      <c r="AH13" s="29" t="n">
        <v>0</v>
      </c>
      <c r="AI13" s="29" t="n">
        <v>3</v>
      </c>
      <c r="AJ13" s="29" t="n">
        <v>0</v>
      </c>
      <c r="AK13" s="29" t="n">
        <v>1</v>
      </c>
      <c r="AL13" s="29" t="n">
        <v>1</v>
      </c>
      <c r="AM13" s="29" t="n">
        <v>2</v>
      </c>
      <c r="AN13" s="29" t="n">
        <v>0</v>
      </c>
      <c r="AO13" s="29" t="n">
        <v>1</v>
      </c>
      <c r="AP13" s="29" t="n">
        <v>1</v>
      </c>
      <c r="AQ13" s="29" t="n">
        <v>0</v>
      </c>
      <c r="AR13" s="29" t="n">
        <v>1</v>
      </c>
      <c r="AS13" s="29" t="n">
        <v>1</v>
      </c>
      <c r="AT13" s="29" t="n">
        <v>0</v>
      </c>
      <c r="AU13" s="29" t="n">
        <v>2</v>
      </c>
      <c r="AV13" s="29" t="n">
        <v>0</v>
      </c>
      <c r="AW13" s="29" t="n">
        <v>1</v>
      </c>
      <c r="AX13" s="29" t="n">
        <v>2</v>
      </c>
      <c r="AY13" s="29" t="n">
        <v>1</v>
      </c>
      <c r="AZ13" s="29" t="n">
        <v>1</v>
      </c>
      <c r="BA13" s="29" t="n">
        <v>0</v>
      </c>
      <c r="BB13" s="29" t="n">
        <v>1</v>
      </c>
      <c r="BC13" s="29" t="n">
        <v>2</v>
      </c>
      <c r="BD13" s="29" t="n">
        <v>0</v>
      </c>
      <c r="BE13" s="29" t="n">
        <v>2</v>
      </c>
      <c r="BF13" s="29" t="n">
        <v>0</v>
      </c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</row>
    <row r="14" customFormat="false" ht="14.25" hidden="false" customHeight="true" outlineLevel="0" collapsed="false">
      <c r="A14" s="29" t="n">
        <v>13</v>
      </c>
      <c r="B14" s="30" t="s">
        <v>207</v>
      </c>
      <c r="C14" s="29" t="n">
        <v>3</v>
      </c>
      <c r="D14" s="29" t="n">
        <v>1</v>
      </c>
      <c r="E14" s="29" t="n">
        <v>1</v>
      </c>
      <c r="F14" s="29" t="n">
        <v>1</v>
      </c>
      <c r="G14" s="29" t="n">
        <v>3</v>
      </c>
      <c r="H14" s="29" t="n">
        <v>1</v>
      </c>
      <c r="I14" s="29" t="n">
        <v>2</v>
      </c>
      <c r="J14" s="29" t="n">
        <v>0</v>
      </c>
      <c r="K14" s="29" t="n">
        <v>0</v>
      </c>
      <c r="L14" s="29" t="n">
        <v>1</v>
      </c>
      <c r="M14" s="29" t="n">
        <v>1</v>
      </c>
      <c r="N14" s="29" t="n">
        <v>2</v>
      </c>
      <c r="O14" s="29" t="n">
        <v>2</v>
      </c>
      <c r="P14" s="29" t="n">
        <v>2</v>
      </c>
      <c r="Q14" s="29" t="n">
        <v>1</v>
      </c>
      <c r="R14" s="29" t="n">
        <v>2</v>
      </c>
      <c r="S14" s="29" t="n">
        <v>0</v>
      </c>
      <c r="T14" s="29" t="n">
        <v>1</v>
      </c>
      <c r="U14" s="29" t="n">
        <v>6</v>
      </c>
      <c r="V14" s="29" t="n">
        <v>0</v>
      </c>
      <c r="W14" s="29" t="n">
        <v>1</v>
      </c>
      <c r="X14" s="29" t="n">
        <v>0</v>
      </c>
      <c r="Y14" s="29" t="n">
        <v>3</v>
      </c>
      <c r="Z14" s="29" t="n">
        <v>0</v>
      </c>
      <c r="AA14" s="29" t="n">
        <v>0</v>
      </c>
      <c r="AB14" s="29" t="n">
        <v>2</v>
      </c>
      <c r="AC14" s="29" t="n">
        <v>5</v>
      </c>
      <c r="AD14" s="29" t="n">
        <v>0</v>
      </c>
      <c r="AE14" s="29" t="n">
        <v>0</v>
      </c>
      <c r="AF14" s="29" t="n">
        <v>1</v>
      </c>
      <c r="AG14" s="29" t="n">
        <v>4</v>
      </c>
      <c r="AH14" s="29" t="n">
        <v>1</v>
      </c>
      <c r="AI14" s="29" t="n">
        <v>4</v>
      </c>
      <c r="AJ14" s="29" t="n">
        <v>0</v>
      </c>
      <c r="AK14" s="29" t="n">
        <v>0</v>
      </c>
      <c r="AL14" s="29" t="n">
        <v>3</v>
      </c>
      <c r="AM14" s="29" t="n">
        <v>4</v>
      </c>
      <c r="AN14" s="29" t="n">
        <v>1</v>
      </c>
      <c r="AO14" s="29" t="n">
        <v>3</v>
      </c>
      <c r="AP14" s="29" t="n">
        <v>0</v>
      </c>
      <c r="AQ14" s="29" t="n">
        <v>1</v>
      </c>
      <c r="AR14" s="29" t="n">
        <v>1</v>
      </c>
      <c r="AS14" s="29" t="n">
        <v>2</v>
      </c>
      <c r="AT14" s="29" t="n">
        <v>1</v>
      </c>
      <c r="AU14" s="29" t="n">
        <v>5</v>
      </c>
      <c r="AV14" s="29" t="n">
        <v>0</v>
      </c>
      <c r="AW14" s="29" t="n">
        <v>1</v>
      </c>
      <c r="AX14" s="29" t="n">
        <v>2</v>
      </c>
      <c r="AY14" s="29" t="n">
        <v>0</v>
      </c>
      <c r="AZ14" s="29" t="n">
        <v>0</v>
      </c>
      <c r="BA14" s="29" t="n">
        <v>1</v>
      </c>
      <c r="BB14" s="29" t="n">
        <v>0</v>
      </c>
      <c r="BC14" s="29" t="n">
        <v>2</v>
      </c>
      <c r="BD14" s="29" t="n">
        <v>0</v>
      </c>
      <c r="BE14" s="29" t="n">
        <v>1</v>
      </c>
      <c r="BF14" s="29" t="n">
        <v>1</v>
      </c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</row>
    <row r="15" customFormat="false" ht="14.25" hidden="false" customHeight="true" outlineLevel="0" collapsed="false">
      <c r="A15" s="29" t="n">
        <v>15</v>
      </c>
      <c r="B15" s="30" t="s">
        <v>208</v>
      </c>
      <c r="C15" s="29" t="n">
        <v>3</v>
      </c>
      <c r="D15" s="29" t="n">
        <v>1</v>
      </c>
      <c r="E15" s="29" t="n">
        <v>1</v>
      </c>
      <c r="F15" s="29" t="n">
        <v>1</v>
      </c>
      <c r="G15" s="29" t="n">
        <v>2</v>
      </c>
      <c r="H15" s="29" t="n">
        <v>1</v>
      </c>
      <c r="I15" s="29" t="n">
        <v>2</v>
      </c>
      <c r="J15" s="29" t="n">
        <v>2</v>
      </c>
      <c r="K15" s="29" t="n">
        <v>1</v>
      </c>
      <c r="L15" s="29" t="n">
        <v>3</v>
      </c>
      <c r="M15" s="29" t="n">
        <v>1</v>
      </c>
      <c r="N15" s="29" t="n">
        <v>2</v>
      </c>
      <c r="O15" s="29" t="n">
        <v>3</v>
      </c>
      <c r="P15" s="29" t="n">
        <v>2</v>
      </c>
      <c r="Q15" s="29" t="n">
        <v>0</v>
      </c>
      <c r="R15" s="29" t="n">
        <v>2</v>
      </c>
      <c r="S15" s="29" t="n">
        <v>1</v>
      </c>
      <c r="T15" s="29" t="n">
        <v>2</v>
      </c>
      <c r="U15" s="29" t="n">
        <v>5</v>
      </c>
      <c r="V15" s="29" t="n">
        <v>1</v>
      </c>
      <c r="W15" s="29" t="n">
        <v>2</v>
      </c>
      <c r="X15" s="29" t="n">
        <v>2</v>
      </c>
      <c r="Y15" s="29" t="n">
        <v>1</v>
      </c>
      <c r="Z15" s="29" t="n">
        <v>1</v>
      </c>
      <c r="AA15" s="29" t="n">
        <v>1</v>
      </c>
      <c r="AB15" s="29" t="n">
        <v>2</v>
      </c>
      <c r="AC15" s="29" t="n">
        <v>4</v>
      </c>
      <c r="AD15" s="29" t="n">
        <v>0</v>
      </c>
      <c r="AE15" s="29" t="n">
        <v>2</v>
      </c>
      <c r="AF15" s="29" t="n">
        <v>0</v>
      </c>
      <c r="AG15" s="29" t="n">
        <v>2</v>
      </c>
      <c r="AH15" s="29" t="n">
        <v>2</v>
      </c>
      <c r="AI15" s="29" t="n">
        <v>3</v>
      </c>
      <c r="AJ15" s="29" t="n">
        <v>1</v>
      </c>
      <c r="AK15" s="29" t="n">
        <v>0</v>
      </c>
      <c r="AL15" s="29" t="n">
        <v>2</v>
      </c>
      <c r="AM15" s="29" t="n">
        <v>3</v>
      </c>
      <c r="AN15" s="29" t="n">
        <v>1</v>
      </c>
      <c r="AO15" s="29" t="n">
        <v>2</v>
      </c>
      <c r="AP15" s="29" t="n">
        <v>0</v>
      </c>
      <c r="AQ15" s="29" t="n">
        <v>1</v>
      </c>
      <c r="AR15" s="29" t="n">
        <v>1</v>
      </c>
      <c r="AS15" s="29" t="n">
        <v>1</v>
      </c>
      <c r="AT15" s="29" t="n">
        <v>2</v>
      </c>
      <c r="AU15" s="29" t="n">
        <v>3</v>
      </c>
      <c r="AV15" s="29" t="n">
        <v>1</v>
      </c>
      <c r="AW15" s="29" t="n">
        <v>1</v>
      </c>
      <c r="AX15" s="29" t="n">
        <v>2</v>
      </c>
      <c r="AY15" s="29" t="n">
        <v>1</v>
      </c>
      <c r="AZ15" s="29" t="n">
        <v>1</v>
      </c>
      <c r="BA15" s="29" t="n">
        <v>2</v>
      </c>
      <c r="BB15" s="29" t="n">
        <v>1</v>
      </c>
      <c r="BC15" s="29" t="n">
        <v>2</v>
      </c>
      <c r="BD15" s="29" t="n">
        <v>1</v>
      </c>
      <c r="BE15" s="29" t="n">
        <v>2</v>
      </c>
      <c r="BF15" s="29" t="n">
        <v>2</v>
      </c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</row>
    <row r="16" customFormat="false" ht="14.25" hidden="false" customHeight="true" outlineLevel="0" collapsed="false">
      <c r="A16" s="29" t="n">
        <v>16</v>
      </c>
      <c r="B16" s="30" t="s">
        <v>209</v>
      </c>
      <c r="C16" s="29" t="n">
        <v>1</v>
      </c>
      <c r="D16" s="29" t="n">
        <v>0</v>
      </c>
      <c r="E16" s="29" t="n">
        <v>2</v>
      </c>
      <c r="F16" s="29" t="n">
        <v>0</v>
      </c>
      <c r="G16" s="29" t="n">
        <v>2</v>
      </c>
      <c r="H16" s="29" t="n">
        <v>1</v>
      </c>
      <c r="I16" s="29" t="n">
        <v>3</v>
      </c>
      <c r="J16" s="29" t="n">
        <v>1</v>
      </c>
      <c r="K16" s="29" t="n">
        <v>0</v>
      </c>
      <c r="L16" s="29" t="n">
        <v>2</v>
      </c>
      <c r="M16" s="29" t="n">
        <v>0</v>
      </c>
      <c r="N16" s="29" t="n">
        <v>3</v>
      </c>
      <c r="O16" s="29" t="n">
        <v>4</v>
      </c>
      <c r="P16" s="29" t="n">
        <v>1</v>
      </c>
      <c r="Q16" s="29" t="n">
        <v>0</v>
      </c>
      <c r="R16" s="29" t="n">
        <v>1</v>
      </c>
      <c r="S16" s="29" t="n">
        <v>1</v>
      </c>
      <c r="T16" s="29" t="n">
        <v>1</v>
      </c>
      <c r="U16" s="29" t="n">
        <v>4</v>
      </c>
      <c r="V16" s="29" t="n">
        <v>0</v>
      </c>
      <c r="W16" s="29" t="n">
        <v>2</v>
      </c>
      <c r="X16" s="29" t="n">
        <v>1</v>
      </c>
      <c r="Y16" s="29" t="n">
        <v>3</v>
      </c>
      <c r="Z16" s="29" t="n">
        <v>0</v>
      </c>
      <c r="AA16" s="29" t="n">
        <v>0</v>
      </c>
      <c r="AB16" s="29" t="n">
        <v>1</v>
      </c>
      <c r="AC16" s="29" t="n">
        <v>5</v>
      </c>
      <c r="AD16" s="29" t="n">
        <v>0</v>
      </c>
      <c r="AE16" s="29" t="n">
        <v>1</v>
      </c>
      <c r="AF16" s="29" t="n">
        <v>0</v>
      </c>
      <c r="AG16" s="29" t="n">
        <v>2</v>
      </c>
      <c r="AH16" s="29" t="n">
        <v>0</v>
      </c>
      <c r="AI16" s="29" t="n">
        <v>3</v>
      </c>
      <c r="AJ16" s="29" t="n">
        <v>1</v>
      </c>
      <c r="AK16" s="29" t="n">
        <v>0</v>
      </c>
      <c r="AL16" s="29" t="n">
        <v>2</v>
      </c>
      <c r="AM16" s="29" t="n">
        <v>2</v>
      </c>
      <c r="AN16" s="29" t="n">
        <v>0</v>
      </c>
      <c r="AO16" s="29" t="n">
        <v>1</v>
      </c>
      <c r="AP16" s="29" t="n">
        <v>0</v>
      </c>
      <c r="AQ16" s="29" t="n">
        <v>1</v>
      </c>
      <c r="AR16" s="29" t="n">
        <v>2</v>
      </c>
      <c r="AS16" s="29" t="n">
        <v>3</v>
      </c>
      <c r="AT16" s="29" t="n">
        <v>2</v>
      </c>
      <c r="AU16" s="29" t="n">
        <v>3</v>
      </c>
      <c r="AV16" s="29" t="n">
        <v>0</v>
      </c>
      <c r="AW16" s="29" t="n">
        <v>0</v>
      </c>
      <c r="AX16" s="29" t="n">
        <v>4</v>
      </c>
      <c r="AY16" s="29" t="n">
        <v>1</v>
      </c>
      <c r="AZ16" s="29" t="n">
        <v>1</v>
      </c>
      <c r="BA16" s="29" t="n">
        <v>2</v>
      </c>
      <c r="BB16" s="29" t="n">
        <v>1</v>
      </c>
      <c r="BC16" s="29" t="n">
        <v>2</v>
      </c>
      <c r="BD16" s="29" t="n">
        <v>1</v>
      </c>
      <c r="BE16" s="29" t="n">
        <v>1</v>
      </c>
      <c r="BF16" s="29" t="n">
        <v>1</v>
      </c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</row>
    <row r="17" customFormat="false" ht="14.25" hidden="false" customHeight="true" outlineLevel="0" collapsed="false">
      <c r="A17" s="29" t="n">
        <v>17</v>
      </c>
      <c r="B17" s="30" t="s">
        <v>210</v>
      </c>
      <c r="C17" s="29" t="n">
        <v>2</v>
      </c>
      <c r="D17" s="29" t="n">
        <v>0</v>
      </c>
      <c r="E17" s="29" t="n">
        <v>3</v>
      </c>
      <c r="F17" s="29" t="n">
        <v>1</v>
      </c>
      <c r="G17" s="29" t="n">
        <v>2</v>
      </c>
      <c r="H17" s="29" t="n">
        <v>1</v>
      </c>
      <c r="I17" s="29" t="n">
        <v>2</v>
      </c>
      <c r="J17" s="29" t="n">
        <v>1</v>
      </c>
      <c r="K17" s="29" t="n">
        <v>1</v>
      </c>
      <c r="L17" s="29" t="n">
        <v>1</v>
      </c>
      <c r="M17" s="29" t="n">
        <v>1</v>
      </c>
      <c r="N17" s="29" t="n">
        <v>2</v>
      </c>
      <c r="O17" s="29" t="n">
        <v>2</v>
      </c>
      <c r="P17" s="29" t="n">
        <v>1</v>
      </c>
      <c r="Q17" s="29" t="n">
        <v>1</v>
      </c>
      <c r="R17" s="29" t="n">
        <v>1</v>
      </c>
      <c r="S17" s="29" t="n">
        <v>1</v>
      </c>
      <c r="T17" s="29" t="n">
        <v>1</v>
      </c>
      <c r="U17" s="29" t="n">
        <v>3</v>
      </c>
      <c r="V17" s="29" t="n">
        <v>1</v>
      </c>
      <c r="W17" s="29" t="n">
        <v>2</v>
      </c>
      <c r="X17" s="29" t="n">
        <v>1</v>
      </c>
      <c r="Y17" s="29" t="n">
        <v>1</v>
      </c>
      <c r="Z17" s="29" t="n">
        <v>1</v>
      </c>
      <c r="AA17" s="29" t="n">
        <v>5</v>
      </c>
      <c r="AB17" s="29" t="n">
        <v>2</v>
      </c>
      <c r="AC17" s="29" t="n">
        <v>3</v>
      </c>
      <c r="AD17" s="29" t="n">
        <v>0</v>
      </c>
      <c r="AE17" s="29" t="n">
        <v>1</v>
      </c>
      <c r="AF17" s="29" t="n">
        <v>2</v>
      </c>
      <c r="AG17" s="29" t="n">
        <v>2</v>
      </c>
      <c r="AH17" s="29" t="n">
        <v>1</v>
      </c>
      <c r="AI17" s="29" t="n">
        <v>2</v>
      </c>
      <c r="AJ17" s="29" t="n">
        <v>1</v>
      </c>
      <c r="AK17" s="29" t="n">
        <v>3</v>
      </c>
      <c r="AL17" s="29" t="n">
        <v>2</v>
      </c>
      <c r="AM17" s="29" t="n">
        <v>3</v>
      </c>
      <c r="AN17" s="29" t="n">
        <v>0</v>
      </c>
      <c r="AO17" s="29" t="n">
        <v>3</v>
      </c>
      <c r="AP17" s="29" t="n">
        <v>1</v>
      </c>
      <c r="AQ17" s="29" t="n">
        <v>1</v>
      </c>
      <c r="AR17" s="29" t="n">
        <v>2</v>
      </c>
      <c r="AS17" s="29" t="n">
        <v>3</v>
      </c>
      <c r="AT17" s="29" t="n">
        <v>2</v>
      </c>
      <c r="AU17" s="29" t="n">
        <v>4</v>
      </c>
      <c r="AV17" s="29" t="n">
        <v>0</v>
      </c>
      <c r="AW17" s="29" t="n">
        <v>5</v>
      </c>
      <c r="AX17" s="29" t="n">
        <v>2</v>
      </c>
      <c r="AY17" s="29" t="n">
        <v>1</v>
      </c>
      <c r="AZ17" s="29" t="n">
        <v>1</v>
      </c>
      <c r="BA17" s="29" t="n">
        <v>4</v>
      </c>
      <c r="BB17" s="29" t="n">
        <v>1</v>
      </c>
      <c r="BC17" s="29" t="n">
        <v>2</v>
      </c>
      <c r="BD17" s="29" t="n">
        <v>1</v>
      </c>
      <c r="BE17" s="29" t="n">
        <v>1</v>
      </c>
      <c r="BF17" s="29" t="n">
        <v>2</v>
      </c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</row>
    <row r="18" customFormat="false" ht="14.25" hidden="false" customHeight="true" outlineLevel="0" collapsed="false">
      <c r="A18" s="29" t="n">
        <v>18</v>
      </c>
      <c r="B18" s="30" t="s">
        <v>211</v>
      </c>
      <c r="C18" s="29" t="n">
        <v>0</v>
      </c>
      <c r="D18" s="29" t="n">
        <v>1</v>
      </c>
      <c r="E18" s="29" t="n">
        <v>1</v>
      </c>
      <c r="F18" s="29" t="n">
        <v>1</v>
      </c>
      <c r="G18" s="29" t="n">
        <v>2</v>
      </c>
      <c r="H18" s="29" t="n">
        <v>1</v>
      </c>
      <c r="I18" s="29" t="n">
        <v>2</v>
      </c>
      <c r="J18" s="29" t="n">
        <v>2</v>
      </c>
      <c r="K18" s="29" t="n">
        <v>1</v>
      </c>
      <c r="L18" s="29" t="n">
        <v>0</v>
      </c>
      <c r="M18" s="29" t="n">
        <v>0</v>
      </c>
      <c r="N18" s="29" t="n">
        <v>2</v>
      </c>
      <c r="O18" s="29" t="n">
        <v>3</v>
      </c>
      <c r="P18" s="29" t="n">
        <v>2</v>
      </c>
      <c r="Q18" s="29" t="n">
        <v>0</v>
      </c>
      <c r="R18" s="29" t="n">
        <v>2</v>
      </c>
      <c r="S18" s="29" t="n">
        <v>1</v>
      </c>
      <c r="T18" s="29" t="n">
        <v>1</v>
      </c>
      <c r="U18" s="29" t="n">
        <v>3</v>
      </c>
      <c r="V18" s="29" t="n">
        <v>0</v>
      </c>
      <c r="W18" s="29" t="n">
        <v>2</v>
      </c>
      <c r="X18" s="29" t="n">
        <v>1</v>
      </c>
      <c r="Y18" s="29" t="n">
        <v>2</v>
      </c>
      <c r="Z18" s="29" t="n">
        <v>0</v>
      </c>
      <c r="AA18" s="29" t="n">
        <v>0</v>
      </c>
      <c r="AB18" s="29" t="n">
        <v>2</v>
      </c>
      <c r="AC18" s="29" t="n">
        <v>3</v>
      </c>
      <c r="AD18" s="29" t="n">
        <v>0</v>
      </c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</row>
    <row r="19" customFormat="false" ht="14.25" hidden="false" customHeight="true" outlineLevel="0" collapsed="false">
      <c r="A19" s="29" t="n">
        <v>19</v>
      </c>
      <c r="B19" s="30" t="s">
        <v>212</v>
      </c>
      <c r="C19" s="29" t="n">
        <v>1</v>
      </c>
      <c r="D19" s="29" t="n">
        <v>0</v>
      </c>
      <c r="E19" s="29" t="n">
        <v>2</v>
      </c>
      <c r="F19" s="29" t="n">
        <v>1</v>
      </c>
      <c r="G19" s="29" t="n">
        <v>1</v>
      </c>
      <c r="H19" s="29" t="n">
        <v>1</v>
      </c>
      <c r="I19" s="29" t="n">
        <v>2</v>
      </c>
      <c r="J19" s="29" t="n">
        <v>2</v>
      </c>
      <c r="K19" s="29" t="n">
        <v>2</v>
      </c>
      <c r="L19" s="29" t="n">
        <v>0</v>
      </c>
      <c r="M19" s="29" t="n">
        <v>1</v>
      </c>
      <c r="N19" s="29" t="n">
        <v>2</v>
      </c>
      <c r="O19" s="29" t="n">
        <v>1</v>
      </c>
      <c r="P19" s="29" t="n">
        <v>2</v>
      </c>
      <c r="Q19" s="29" t="n">
        <v>1</v>
      </c>
      <c r="R19" s="29" t="n">
        <v>1</v>
      </c>
      <c r="S19" s="29" t="n">
        <v>2</v>
      </c>
      <c r="T19" s="29" t="n">
        <v>1</v>
      </c>
      <c r="U19" s="29" t="n">
        <v>4</v>
      </c>
      <c r="V19" s="29" t="n">
        <v>1</v>
      </c>
      <c r="W19" s="29"/>
      <c r="X19" s="29" t="n">
        <v>2</v>
      </c>
      <c r="Y19" s="29" t="n">
        <v>1</v>
      </c>
      <c r="Z19" s="29" t="n">
        <v>0</v>
      </c>
      <c r="AA19" s="29"/>
      <c r="AB19" s="29" t="n">
        <v>3</v>
      </c>
      <c r="AC19" s="29" t="n">
        <v>5</v>
      </c>
      <c r="AD19" s="29" t="n">
        <v>1</v>
      </c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</row>
    <row r="20" customFormat="false" ht="14.25" hidden="false" customHeight="true" outlineLevel="0" collapsed="false">
      <c r="A20" s="29" t="n">
        <v>20</v>
      </c>
      <c r="B20" s="30" t="s">
        <v>213</v>
      </c>
      <c r="C20" s="29" t="n">
        <v>2</v>
      </c>
      <c r="D20" s="29" t="n">
        <v>1</v>
      </c>
      <c r="E20" s="29" t="n">
        <v>2</v>
      </c>
      <c r="F20" s="29" t="n">
        <v>1</v>
      </c>
      <c r="G20" s="29" t="n">
        <v>2</v>
      </c>
      <c r="H20" s="29" t="n">
        <v>0</v>
      </c>
      <c r="I20" s="29" t="n">
        <v>3</v>
      </c>
      <c r="J20" s="29" t="n">
        <v>1</v>
      </c>
      <c r="K20" s="29" t="n">
        <v>0</v>
      </c>
      <c r="L20" s="29" t="n">
        <v>2</v>
      </c>
      <c r="M20" s="29" t="n">
        <v>1</v>
      </c>
      <c r="N20" s="29" t="n">
        <v>2</v>
      </c>
      <c r="O20" s="29" t="n">
        <v>2</v>
      </c>
      <c r="P20" s="29" t="n">
        <v>0</v>
      </c>
      <c r="Q20" s="29" t="n">
        <v>1</v>
      </c>
      <c r="R20" s="29" t="n">
        <v>2</v>
      </c>
      <c r="S20" s="29" t="n">
        <v>1</v>
      </c>
      <c r="T20" s="29" t="n">
        <v>1</v>
      </c>
      <c r="U20" s="29" t="n">
        <v>3</v>
      </c>
      <c r="V20" s="29" t="n">
        <v>0</v>
      </c>
      <c r="W20" s="29" t="n">
        <v>2</v>
      </c>
      <c r="X20" s="29" t="n">
        <v>0</v>
      </c>
      <c r="Y20" s="29" t="n">
        <v>2</v>
      </c>
      <c r="Z20" s="29" t="n">
        <v>1</v>
      </c>
      <c r="AA20" s="29" t="n">
        <v>0</v>
      </c>
      <c r="AB20" s="29" t="n">
        <v>2</v>
      </c>
      <c r="AC20" s="29" t="n">
        <v>3</v>
      </c>
      <c r="AD20" s="29" t="n">
        <v>0</v>
      </c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</row>
    <row r="21" customFormat="false" ht="14.25" hidden="false" customHeight="true" outlineLevel="0" collapsed="false">
      <c r="A21" s="29" t="n">
        <v>21</v>
      </c>
      <c r="B21" s="30" t="s">
        <v>214</v>
      </c>
      <c r="C21" s="29" t="n">
        <v>4</v>
      </c>
      <c r="D21" s="29" t="n">
        <v>2</v>
      </c>
      <c r="E21" s="29" t="n">
        <v>3</v>
      </c>
      <c r="F21" s="29" t="n">
        <v>1</v>
      </c>
      <c r="G21" s="29" t="n">
        <v>4</v>
      </c>
      <c r="H21" s="29" t="n">
        <v>0</v>
      </c>
      <c r="I21" s="29" t="n">
        <v>1</v>
      </c>
      <c r="J21" s="29" t="n">
        <v>2</v>
      </c>
      <c r="K21" s="29" t="n">
        <v>1</v>
      </c>
      <c r="L21" s="29" t="n">
        <v>1</v>
      </c>
      <c r="M21" s="29" t="n">
        <v>2</v>
      </c>
      <c r="N21" s="29" t="n">
        <v>1</v>
      </c>
      <c r="O21" s="29" t="n">
        <v>2</v>
      </c>
      <c r="P21" s="29" t="n">
        <v>0</v>
      </c>
      <c r="Q21" s="29" t="n">
        <v>0</v>
      </c>
      <c r="R21" s="29" t="n">
        <v>2</v>
      </c>
      <c r="S21" s="29" t="n">
        <v>2</v>
      </c>
      <c r="T21" s="29" t="n">
        <v>3</v>
      </c>
      <c r="U21" s="29" t="n">
        <v>6</v>
      </c>
      <c r="V21" s="29" t="n">
        <v>0</v>
      </c>
      <c r="W21" s="29" t="n">
        <v>3</v>
      </c>
      <c r="X21" s="29" t="n">
        <v>1</v>
      </c>
      <c r="Y21" s="29" t="n">
        <v>2</v>
      </c>
      <c r="Z21" s="29" t="n">
        <v>1</v>
      </c>
      <c r="AA21" s="29" t="n">
        <v>1</v>
      </c>
      <c r="AB21" s="29" t="n">
        <v>3</v>
      </c>
      <c r="AC21" s="29" t="n">
        <v>7</v>
      </c>
      <c r="AD21" s="29" t="n">
        <v>0</v>
      </c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</row>
    <row r="22" customFormat="false" ht="14.25" hidden="false" customHeight="true" outlineLevel="0" collapsed="false">
      <c r="A22" s="29" t="n">
        <v>22</v>
      </c>
      <c r="B22" s="30" t="s">
        <v>215</v>
      </c>
      <c r="C22" s="29" t="n">
        <v>3</v>
      </c>
      <c r="D22" s="29" t="n">
        <v>2</v>
      </c>
      <c r="E22" s="29" t="n">
        <v>2</v>
      </c>
      <c r="F22" s="29" t="n">
        <v>2</v>
      </c>
      <c r="G22" s="29" t="n">
        <v>3</v>
      </c>
      <c r="H22" s="29" t="n">
        <v>1</v>
      </c>
      <c r="I22" s="29" t="n">
        <v>3</v>
      </c>
      <c r="J22" s="29" t="n">
        <v>2</v>
      </c>
      <c r="K22" s="29" t="n">
        <v>1</v>
      </c>
      <c r="L22" s="29" t="n">
        <v>1</v>
      </c>
      <c r="M22" s="29" t="n">
        <v>2</v>
      </c>
      <c r="N22" s="29" t="n">
        <v>1</v>
      </c>
      <c r="O22" s="29" t="n">
        <v>3</v>
      </c>
      <c r="P22" s="29" t="n">
        <v>0</v>
      </c>
      <c r="Q22" s="29" t="n">
        <v>1</v>
      </c>
      <c r="R22" s="29" t="n">
        <v>2</v>
      </c>
      <c r="S22" s="29" t="n">
        <v>2</v>
      </c>
      <c r="T22" s="29" t="n">
        <v>2</v>
      </c>
      <c r="U22" s="29" t="n">
        <v>4</v>
      </c>
      <c r="V22" s="29" t="n">
        <v>0</v>
      </c>
      <c r="W22" s="29" t="n">
        <v>2</v>
      </c>
      <c r="X22" s="29" t="n">
        <v>0</v>
      </c>
      <c r="Y22" s="29" t="n">
        <v>3</v>
      </c>
      <c r="Z22" s="29" t="n">
        <v>1</v>
      </c>
      <c r="AA22" s="29" t="n">
        <v>0</v>
      </c>
      <c r="AB22" s="29" t="n">
        <v>2</v>
      </c>
      <c r="AC22" s="29" t="n">
        <v>5</v>
      </c>
      <c r="AD22" s="29" t="n">
        <v>0</v>
      </c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29"/>
    </row>
    <row r="23" customFormat="false" ht="14.25" hidden="false" customHeight="true" outlineLevel="0" collapsed="false">
      <c r="A23" s="29" t="n">
        <v>23</v>
      </c>
      <c r="B23" s="30" t="s">
        <v>216</v>
      </c>
      <c r="C23" s="29" t="n">
        <v>2</v>
      </c>
      <c r="D23" s="29" t="n">
        <v>1</v>
      </c>
      <c r="E23" s="29" t="n">
        <v>2</v>
      </c>
      <c r="F23" s="29" t="n">
        <v>1</v>
      </c>
      <c r="G23" s="29" t="n">
        <v>1</v>
      </c>
      <c r="H23" s="29" t="n">
        <v>0</v>
      </c>
      <c r="I23" s="29" t="n">
        <v>3</v>
      </c>
      <c r="J23" s="29" t="n">
        <v>0</v>
      </c>
      <c r="K23" s="29" t="n">
        <v>0</v>
      </c>
      <c r="L23" s="29" t="n">
        <v>3</v>
      </c>
      <c r="M23" s="29" t="n">
        <v>2</v>
      </c>
      <c r="N23" s="29" t="n">
        <v>2</v>
      </c>
      <c r="O23" s="29" t="n">
        <v>0</v>
      </c>
      <c r="P23" s="29" t="n">
        <v>2</v>
      </c>
      <c r="Q23" s="29" t="n">
        <v>1</v>
      </c>
      <c r="R23" s="29" t="n">
        <v>2</v>
      </c>
      <c r="S23" s="29" t="n">
        <v>4</v>
      </c>
      <c r="T23" s="29" t="n">
        <v>0</v>
      </c>
      <c r="U23" s="29" t="n">
        <v>1</v>
      </c>
      <c r="V23" s="29" t="n">
        <v>1</v>
      </c>
      <c r="W23" s="29" t="n">
        <v>1</v>
      </c>
      <c r="X23" s="29" t="n">
        <v>0</v>
      </c>
      <c r="Y23" s="29" t="n">
        <v>0</v>
      </c>
      <c r="Z23" s="29" t="n">
        <v>1</v>
      </c>
      <c r="AA23" s="29" t="n">
        <v>4</v>
      </c>
      <c r="AB23" s="29" t="n">
        <v>0</v>
      </c>
      <c r="AC23" s="29" t="n">
        <v>2</v>
      </c>
      <c r="AD23" s="29" t="n">
        <v>1</v>
      </c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  <c r="EP23" s="29"/>
    </row>
    <row r="24" customFormat="false" ht="14.25" hidden="false" customHeight="true" outlineLevel="0" collapsed="false">
      <c r="A24" s="29" t="n">
        <v>24</v>
      </c>
      <c r="B24" s="30" t="s">
        <v>217</v>
      </c>
      <c r="C24" s="29" t="n">
        <v>5</v>
      </c>
      <c r="D24" s="29" t="n">
        <v>2</v>
      </c>
      <c r="E24" s="29" t="n">
        <v>1</v>
      </c>
      <c r="F24" s="29" t="n">
        <v>3</v>
      </c>
      <c r="G24" s="29" t="n">
        <v>0</v>
      </c>
      <c r="H24" s="29" t="n">
        <v>2</v>
      </c>
      <c r="I24" s="29" t="n">
        <v>1</v>
      </c>
      <c r="J24" s="29" t="n">
        <v>1</v>
      </c>
      <c r="K24" s="29" t="n">
        <v>0</v>
      </c>
      <c r="L24" s="29" t="n">
        <v>3</v>
      </c>
      <c r="M24" s="29" t="n">
        <v>0</v>
      </c>
      <c r="N24" s="29" t="n">
        <v>1</v>
      </c>
      <c r="O24" s="29" t="n">
        <v>3</v>
      </c>
      <c r="P24" s="29" t="n">
        <v>2</v>
      </c>
      <c r="Q24" s="29" t="n">
        <v>0</v>
      </c>
      <c r="R24" s="29" t="n">
        <v>4</v>
      </c>
      <c r="S24" s="29" t="n">
        <v>2</v>
      </c>
      <c r="T24" s="29" t="n">
        <v>1</v>
      </c>
      <c r="U24" s="29" t="n">
        <v>6</v>
      </c>
      <c r="V24" s="29" t="n">
        <v>1</v>
      </c>
      <c r="W24" s="29" t="n">
        <v>0</v>
      </c>
      <c r="X24" s="29" t="n">
        <v>2</v>
      </c>
      <c r="Y24" s="29" t="n">
        <v>3</v>
      </c>
      <c r="Z24" s="29" t="n">
        <v>1</v>
      </c>
      <c r="AA24" s="29" t="n">
        <v>1</v>
      </c>
      <c r="AB24" s="29" t="n">
        <v>0</v>
      </c>
      <c r="AC24" s="29" t="n">
        <v>2</v>
      </c>
      <c r="AD24" s="29" t="n">
        <v>0</v>
      </c>
      <c r="AE24" s="29" t="n">
        <v>0</v>
      </c>
      <c r="AF24" s="29" t="n">
        <v>1</v>
      </c>
      <c r="AG24" s="29" t="n">
        <v>3</v>
      </c>
      <c r="AH24" s="29" t="n">
        <v>3</v>
      </c>
      <c r="AI24" s="29" t="n">
        <v>1</v>
      </c>
      <c r="AJ24" s="29" t="n">
        <v>1</v>
      </c>
      <c r="AK24" s="29" t="n">
        <v>0</v>
      </c>
      <c r="AL24" s="29" t="n">
        <v>3</v>
      </c>
      <c r="AM24" s="29" t="n">
        <v>1</v>
      </c>
      <c r="AN24" s="29" t="n">
        <v>2</v>
      </c>
      <c r="AO24" s="29" t="n">
        <v>4</v>
      </c>
      <c r="AP24" s="29" t="n">
        <v>1</v>
      </c>
      <c r="AQ24" s="29" t="n">
        <v>0</v>
      </c>
      <c r="AR24" s="29" t="n">
        <v>1</v>
      </c>
      <c r="AS24" s="29" t="n">
        <v>3</v>
      </c>
      <c r="AT24" s="29" t="n">
        <v>5</v>
      </c>
      <c r="AU24" s="29" t="n">
        <v>2</v>
      </c>
      <c r="AV24" s="29" t="n">
        <v>0</v>
      </c>
      <c r="AW24" s="29" t="n">
        <v>2</v>
      </c>
      <c r="AX24" s="29" t="n">
        <v>4</v>
      </c>
      <c r="AY24" s="29" t="n">
        <v>2</v>
      </c>
      <c r="AZ24" s="29" t="n">
        <v>1</v>
      </c>
      <c r="BA24" s="29" t="n">
        <v>2</v>
      </c>
      <c r="BB24" s="29" t="n">
        <v>0</v>
      </c>
      <c r="BC24" s="29" t="n">
        <v>3</v>
      </c>
      <c r="BD24" s="29" t="n">
        <v>0</v>
      </c>
      <c r="BE24" s="29" t="n">
        <v>1</v>
      </c>
      <c r="BF24" s="29" t="n">
        <v>1</v>
      </c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</row>
    <row r="25" customFormat="false" ht="14.25" hidden="false" customHeight="true" outlineLevel="0" collapsed="false">
      <c r="A25" s="29" t="n">
        <v>25</v>
      </c>
      <c r="B25" s="30" t="s">
        <v>218</v>
      </c>
      <c r="C25" s="29" t="n">
        <v>3</v>
      </c>
      <c r="D25" s="29" t="n">
        <v>1</v>
      </c>
      <c r="E25" s="29" t="n">
        <v>1</v>
      </c>
      <c r="F25" s="29" t="n">
        <v>2</v>
      </c>
      <c r="G25" s="29" t="n">
        <v>2</v>
      </c>
      <c r="H25" s="29" t="n">
        <v>1</v>
      </c>
      <c r="I25" s="29" t="n">
        <v>2</v>
      </c>
      <c r="J25" s="29" t="n">
        <v>1</v>
      </c>
      <c r="K25" s="29" t="n">
        <v>1</v>
      </c>
      <c r="L25" s="29" t="n">
        <v>3</v>
      </c>
      <c r="M25" s="29" t="n">
        <v>1</v>
      </c>
      <c r="N25" s="29" t="n">
        <v>1</v>
      </c>
      <c r="O25" s="29" t="n">
        <v>3</v>
      </c>
      <c r="P25" s="29" t="n">
        <v>2</v>
      </c>
      <c r="Q25" s="29" t="n">
        <v>1</v>
      </c>
      <c r="R25" s="29" t="n">
        <v>2</v>
      </c>
      <c r="S25" s="29" t="n">
        <v>2</v>
      </c>
      <c r="T25" s="29" t="n">
        <v>2</v>
      </c>
      <c r="U25" s="29" t="n">
        <v>3</v>
      </c>
      <c r="V25" s="29" t="n">
        <v>1</v>
      </c>
      <c r="W25" s="29" t="n">
        <v>3</v>
      </c>
      <c r="X25" s="29" t="n">
        <v>1</v>
      </c>
      <c r="Y25" s="29" t="n">
        <v>2</v>
      </c>
      <c r="Z25" s="29" t="n">
        <v>1</v>
      </c>
      <c r="AA25" s="29" t="n">
        <v>1</v>
      </c>
      <c r="AB25" s="29" t="n">
        <v>3</v>
      </c>
      <c r="AC25" s="29" t="n">
        <v>5</v>
      </c>
      <c r="AD25" s="29" t="n">
        <v>1</v>
      </c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</row>
    <row r="26" customFormat="false" ht="14.25" hidden="false" customHeight="true" outlineLevel="0" collapsed="false">
      <c r="A26" s="29" t="n">
        <v>26</v>
      </c>
      <c r="B26" s="30" t="s">
        <v>219</v>
      </c>
      <c r="C26" s="29" t="n">
        <v>2</v>
      </c>
      <c r="D26" s="29" t="n">
        <v>1</v>
      </c>
      <c r="E26" s="29" t="n">
        <v>2</v>
      </c>
      <c r="F26" s="29" t="n">
        <v>0</v>
      </c>
      <c r="G26" s="29" t="n">
        <v>3</v>
      </c>
      <c r="H26" s="29" t="n">
        <v>0</v>
      </c>
      <c r="I26" s="29" t="n">
        <v>2</v>
      </c>
      <c r="J26" s="29" t="n">
        <v>1</v>
      </c>
      <c r="K26" s="29" t="n">
        <v>0</v>
      </c>
      <c r="L26" s="29" t="n">
        <v>2</v>
      </c>
      <c r="M26" s="29" t="n">
        <v>2</v>
      </c>
      <c r="N26" s="29" t="n">
        <v>0</v>
      </c>
      <c r="O26" s="29" t="n">
        <v>2</v>
      </c>
      <c r="P26" s="29" t="n">
        <v>2</v>
      </c>
      <c r="Q26" s="29" t="n">
        <v>0</v>
      </c>
      <c r="R26" s="29" t="n">
        <v>2</v>
      </c>
      <c r="S26" s="29" t="n">
        <v>2</v>
      </c>
      <c r="T26" s="29" t="n">
        <v>1</v>
      </c>
      <c r="U26" s="29" t="n">
        <v>3</v>
      </c>
      <c r="V26" s="29" t="n">
        <v>1</v>
      </c>
      <c r="W26" s="29" t="n">
        <v>4</v>
      </c>
      <c r="X26" s="29" t="n">
        <v>0</v>
      </c>
      <c r="Y26" s="29" t="n">
        <v>2</v>
      </c>
      <c r="Z26" s="29" t="n">
        <v>0</v>
      </c>
      <c r="AA26" s="29" t="n">
        <v>1</v>
      </c>
      <c r="AB26" s="29" t="n">
        <v>3</v>
      </c>
      <c r="AC26" s="29" t="n">
        <v>3</v>
      </c>
      <c r="AD26" s="29" t="n">
        <v>1</v>
      </c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</row>
    <row r="27" customFormat="false" ht="14.25" hidden="false" customHeight="true" outlineLevel="0" collapsed="false">
      <c r="A27" s="29" t="n">
        <v>27</v>
      </c>
      <c r="B27" s="30" t="s">
        <v>220</v>
      </c>
      <c r="C27" s="29" t="n">
        <v>2</v>
      </c>
      <c r="D27" s="29" t="n">
        <v>0</v>
      </c>
      <c r="E27" s="29" t="n">
        <v>1</v>
      </c>
      <c r="F27" s="29" t="n">
        <v>1</v>
      </c>
      <c r="G27" s="29" t="n">
        <v>2</v>
      </c>
      <c r="H27" s="29" t="n">
        <v>1</v>
      </c>
      <c r="I27" s="29" t="n">
        <v>2</v>
      </c>
      <c r="J27" s="29" t="n">
        <v>1</v>
      </c>
      <c r="K27" s="29" t="n">
        <v>0</v>
      </c>
      <c r="L27" s="29" t="n">
        <v>3</v>
      </c>
      <c r="M27" s="29" t="n">
        <v>1</v>
      </c>
      <c r="N27" s="29" t="n">
        <v>1</v>
      </c>
      <c r="O27" s="29" t="n">
        <v>3</v>
      </c>
      <c r="P27" s="29" t="n">
        <v>2</v>
      </c>
      <c r="Q27" s="29" t="n">
        <v>0</v>
      </c>
      <c r="R27" s="29" t="n">
        <v>2</v>
      </c>
      <c r="S27" s="29" t="n">
        <v>2</v>
      </c>
      <c r="T27" s="29" t="n">
        <v>2</v>
      </c>
      <c r="U27" s="29" t="n">
        <v>4</v>
      </c>
      <c r="V27" s="29" t="n">
        <v>0</v>
      </c>
      <c r="W27" s="29" t="n">
        <v>2</v>
      </c>
      <c r="X27" s="29" t="n">
        <v>2</v>
      </c>
      <c r="Y27" s="29" t="n">
        <v>2</v>
      </c>
      <c r="Z27" s="29" t="n">
        <v>0</v>
      </c>
      <c r="AA27" s="29" t="n">
        <v>0</v>
      </c>
      <c r="AB27" s="29" t="n">
        <v>2</v>
      </c>
      <c r="AC27" s="29" t="n">
        <v>3</v>
      </c>
      <c r="AD27" s="29" t="n">
        <v>0</v>
      </c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</row>
    <row r="28" customFormat="false" ht="14.25" hidden="false" customHeight="true" outlineLevel="0" collapsed="false">
      <c r="A28" s="29" t="n">
        <v>28</v>
      </c>
      <c r="B28" s="30" t="s">
        <v>221</v>
      </c>
      <c r="C28" s="29" t="n">
        <v>2</v>
      </c>
      <c r="D28" s="29" t="n">
        <v>0</v>
      </c>
      <c r="E28" s="29" t="n">
        <v>1</v>
      </c>
      <c r="F28" s="29" t="n">
        <v>1</v>
      </c>
      <c r="G28" s="29" t="n">
        <v>1</v>
      </c>
      <c r="H28" s="29" t="n">
        <v>2</v>
      </c>
      <c r="I28" s="29" t="n">
        <v>2</v>
      </c>
      <c r="J28" s="29" t="n">
        <v>1</v>
      </c>
      <c r="K28" s="29" t="n">
        <v>0</v>
      </c>
      <c r="L28" s="29" t="n">
        <v>2</v>
      </c>
      <c r="M28" s="29" t="n">
        <v>1</v>
      </c>
      <c r="N28" s="29" t="n">
        <v>1</v>
      </c>
      <c r="O28" s="29" t="n">
        <v>3</v>
      </c>
      <c r="P28" s="29" t="n">
        <v>1</v>
      </c>
      <c r="Q28" s="29" t="n">
        <v>0</v>
      </c>
      <c r="R28" s="29" t="n">
        <v>2</v>
      </c>
      <c r="S28" s="29" t="n">
        <v>2</v>
      </c>
      <c r="T28" s="29" t="n">
        <v>2</v>
      </c>
      <c r="U28" s="29" t="n">
        <v>4</v>
      </c>
      <c r="V28" s="29" t="n">
        <v>0</v>
      </c>
      <c r="W28" s="29" t="n">
        <v>2</v>
      </c>
      <c r="X28" s="29" t="n">
        <v>1</v>
      </c>
      <c r="Y28" s="29" t="n">
        <v>1</v>
      </c>
      <c r="Z28" s="29" t="n">
        <v>0</v>
      </c>
      <c r="AA28" s="29" t="n">
        <v>0</v>
      </c>
      <c r="AB28" s="29" t="n">
        <v>2</v>
      </c>
      <c r="AC28" s="29" t="n">
        <v>3</v>
      </c>
      <c r="AD28" s="29" t="n">
        <v>0</v>
      </c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</row>
    <row r="29" customFormat="false" ht="14.25" hidden="false" customHeight="true" outlineLevel="0" collapsed="false">
      <c r="A29" s="29" t="n">
        <v>29</v>
      </c>
      <c r="B29" s="30" t="s">
        <v>222</v>
      </c>
      <c r="C29" s="29" t="n">
        <v>2</v>
      </c>
      <c r="D29" s="29" t="n">
        <v>0</v>
      </c>
      <c r="E29" s="29" t="n">
        <v>1</v>
      </c>
      <c r="F29" s="29" t="n">
        <v>1</v>
      </c>
      <c r="G29" s="29" t="n">
        <v>2</v>
      </c>
      <c r="H29" s="29" t="n">
        <v>1</v>
      </c>
      <c r="I29" s="29" t="n">
        <v>2</v>
      </c>
      <c r="J29" s="29" t="n">
        <v>1</v>
      </c>
      <c r="K29" s="29" t="n">
        <v>1</v>
      </c>
      <c r="L29" s="29" t="n">
        <v>2</v>
      </c>
      <c r="M29" s="29" t="n">
        <v>1</v>
      </c>
      <c r="N29" s="29" t="n">
        <v>2</v>
      </c>
      <c r="O29" s="29" t="n">
        <v>2</v>
      </c>
      <c r="P29" s="29" t="n">
        <v>1</v>
      </c>
      <c r="Q29" s="29" t="n">
        <v>0</v>
      </c>
      <c r="R29" s="29" t="n">
        <v>2</v>
      </c>
      <c r="S29" s="29" t="n">
        <v>1</v>
      </c>
      <c r="T29" s="29" t="n">
        <v>1</v>
      </c>
      <c r="U29" s="29" t="n">
        <v>3</v>
      </c>
      <c r="V29" s="29" t="n">
        <v>1</v>
      </c>
      <c r="W29" s="29" t="n">
        <v>2</v>
      </c>
      <c r="X29" s="29" t="n">
        <v>1</v>
      </c>
      <c r="Y29" s="29" t="n">
        <v>2</v>
      </c>
      <c r="Z29" s="29" t="n">
        <v>1</v>
      </c>
      <c r="AA29" s="29" t="n">
        <v>0</v>
      </c>
      <c r="AB29" s="29" t="n">
        <v>3</v>
      </c>
      <c r="AC29" s="29" t="n">
        <v>4</v>
      </c>
      <c r="AD29" s="29" t="n">
        <v>0</v>
      </c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</row>
    <row r="30" customFormat="false" ht="14.25" hidden="false" customHeight="true" outlineLevel="0" collapsed="false">
      <c r="A30" s="29" t="n">
        <v>30</v>
      </c>
      <c r="B30" s="30" t="s">
        <v>223</v>
      </c>
      <c r="C30" s="29" t="n">
        <v>2</v>
      </c>
      <c r="D30" s="29" t="n">
        <v>0</v>
      </c>
      <c r="E30" s="29" t="n">
        <v>2</v>
      </c>
      <c r="F30" s="29" t="n">
        <v>1</v>
      </c>
      <c r="G30" s="29" t="n">
        <v>1</v>
      </c>
      <c r="H30" s="29" t="n">
        <v>0</v>
      </c>
      <c r="I30" s="29" t="n">
        <v>2</v>
      </c>
      <c r="J30" s="29" t="n">
        <v>1</v>
      </c>
      <c r="K30" s="29" t="n">
        <v>1</v>
      </c>
      <c r="L30" s="29" t="n">
        <v>3</v>
      </c>
      <c r="M30" s="29" t="n">
        <v>0</v>
      </c>
      <c r="N30" s="29" t="n">
        <v>2</v>
      </c>
      <c r="O30" s="29" t="n">
        <v>2</v>
      </c>
      <c r="P30" s="29" t="n">
        <v>1</v>
      </c>
      <c r="Q30" s="29" t="n">
        <v>0</v>
      </c>
      <c r="R30" s="29" t="n">
        <v>4</v>
      </c>
      <c r="S30" s="29" t="n">
        <v>0</v>
      </c>
      <c r="T30" s="29" t="n">
        <v>2</v>
      </c>
      <c r="U30" s="29" t="n">
        <v>4</v>
      </c>
      <c r="V30" s="29" t="n">
        <v>0</v>
      </c>
      <c r="W30" s="29" t="n">
        <v>2</v>
      </c>
      <c r="X30" s="29" t="n">
        <v>2</v>
      </c>
      <c r="Y30" s="29" t="n">
        <v>2</v>
      </c>
      <c r="Z30" s="29" t="n">
        <v>0</v>
      </c>
      <c r="AA30" s="29" t="n">
        <v>0</v>
      </c>
      <c r="AB30" s="29" t="n">
        <v>2</v>
      </c>
      <c r="AC30" s="29" t="n">
        <v>7</v>
      </c>
      <c r="AD30" s="29" t="n">
        <v>0</v>
      </c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</row>
    <row r="31" customFormat="false" ht="14.25" hidden="false" customHeight="true" outlineLevel="0" collapsed="false">
      <c r="A31" s="29" t="n">
        <v>31</v>
      </c>
      <c r="B31" s="30" t="s">
        <v>224</v>
      </c>
      <c r="C31" s="29" t="n">
        <v>2</v>
      </c>
      <c r="D31" s="29" t="n">
        <v>1</v>
      </c>
      <c r="E31" s="29" t="n">
        <v>1</v>
      </c>
      <c r="F31" s="29" t="n">
        <v>1</v>
      </c>
      <c r="G31" s="29" t="n">
        <v>1</v>
      </c>
      <c r="H31" s="29" t="n">
        <v>1</v>
      </c>
      <c r="I31" s="29" t="n">
        <v>2</v>
      </c>
      <c r="J31" s="29" t="n">
        <v>1</v>
      </c>
      <c r="K31" s="29" t="n">
        <v>1</v>
      </c>
      <c r="L31" s="29" t="n">
        <v>2</v>
      </c>
      <c r="M31" s="29" t="n">
        <v>0</v>
      </c>
      <c r="N31" s="29" t="n">
        <v>1</v>
      </c>
      <c r="O31" s="29" t="n">
        <v>2</v>
      </c>
      <c r="P31" s="29" t="n">
        <v>1</v>
      </c>
      <c r="Q31" s="29" t="n">
        <v>0</v>
      </c>
      <c r="R31" s="29" t="n">
        <v>2</v>
      </c>
      <c r="S31" s="29" t="n">
        <v>1</v>
      </c>
      <c r="T31" s="29" t="n">
        <v>1</v>
      </c>
      <c r="U31" s="29" t="n">
        <v>4</v>
      </c>
      <c r="V31" s="29" t="n">
        <v>0</v>
      </c>
      <c r="W31" s="29" t="n">
        <v>1</v>
      </c>
      <c r="X31" s="29" t="n">
        <v>1</v>
      </c>
      <c r="Y31" s="29" t="n">
        <v>1</v>
      </c>
      <c r="Z31" s="29" t="n">
        <v>1</v>
      </c>
      <c r="AA31" s="29" t="n">
        <v>0</v>
      </c>
      <c r="AB31" s="29" t="n">
        <v>2</v>
      </c>
      <c r="AC31" s="29" t="n">
        <v>4</v>
      </c>
      <c r="AD31" s="29" t="n">
        <v>0</v>
      </c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</row>
    <row r="32" customFormat="false" ht="14.25" hidden="false" customHeight="true" outlineLevel="0" collapsed="false">
      <c r="A32" s="29" t="n">
        <v>32</v>
      </c>
      <c r="B32" s="30" t="s">
        <v>225</v>
      </c>
      <c r="C32" s="29" t="n">
        <v>3</v>
      </c>
      <c r="D32" s="29" t="n">
        <v>1</v>
      </c>
      <c r="E32" s="29" t="n">
        <v>2</v>
      </c>
      <c r="F32" s="29" t="n">
        <v>2</v>
      </c>
      <c r="G32" s="29" t="n">
        <v>3</v>
      </c>
      <c r="H32" s="29" t="n">
        <v>1</v>
      </c>
      <c r="I32" s="29" t="n">
        <v>2</v>
      </c>
      <c r="J32" s="29" t="n">
        <v>1</v>
      </c>
      <c r="K32" s="29" t="n">
        <v>0</v>
      </c>
      <c r="L32" s="29" t="n">
        <v>3</v>
      </c>
      <c r="M32" s="29" t="n">
        <v>1</v>
      </c>
      <c r="N32" s="29" t="n">
        <v>3</v>
      </c>
      <c r="O32" s="29" t="n">
        <v>4</v>
      </c>
      <c r="P32" s="29" t="n">
        <v>2</v>
      </c>
      <c r="Q32" s="29" t="n">
        <v>1</v>
      </c>
      <c r="R32" s="29" t="n">
        <v>2</v>
      </c>
      <c r="S32" s="29" t="n">
        <v>1</v>
      </c>
      <c r="T32" s="29" t="n">
        <v>3</v>
      </c>
      <c r="U32" s="29" t="n">
        <v>5</v>
      </c>
      <c r="V32" s="29" t="n">
        <v>0</v>
      </c>
      <c r="W32" s="29" t="n">
        <v>4</v>
      </c>
      <c r="X32" s="29" t="n">
        <v>1</v>
      </c>
      <c r="Y32" s="29" t="n">
        <v>2</v>
      </c>
      <c r="Z32" s="29" t="n">
        <v>2</v>
      </c>
      <c r="AA32" s="29" t="n">
        <v>1</v>
      </c>
      <c r="AB32" s="29" t="n">
        <v>3</v>
      </c>
      <c r="AC32" s="29" t="n">
        <v>5</v>
      </c>
      <c r="AD32" s="29" t="n">
        <v>0</v>
      </c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</row>
    <row r="33" customFormat="false" ht="14.25" hidden="false" customHeight="true" outlineLevel="0" collapsed="false">
      <c r="A33" s="29" t="n">
        <v>33</v>
      </c>
      <c r="B33" s="30" t="s">
        <v>226</v>
      </c>
      <c r="C33" s="29" t="n">
        <v>2</v>
      </c>
      <c r="D33" s="29" t="n">
        <v>0</v>
      </c>
      <c r="E33" s="29" t="n">
        <v>2</v>
      </c>
      <c r="F33" s="29" t="n">
        <v>1</v>
      </c>
      <c r="G33" s="29" t="n">
        <v>3</v>
      </c>
      <c r="H33" s="29" t="n">
        <v>0</v>
      </c>
      <c r="I33" s="29" t="n">
        <v>2</v>
      </c>
      <c r="J33" s="29" t="n">
        <v>0</v>
      </c>
      <c r="K33" s="29" t="n">
        <v>0</v>
      </c>
      <c r="L33" s="29" t="n">
        <v>2</v>
      </c>
      <c r="M33" s="29" t="n">
        <v>1</v>
      </c>
      <c r="N33" s="29" t="n">
        <v>1</v>
      </c>
      <c r="O33" s="29" t="n">
        <v>1</v>
      </c>
      <c r="P33" s="29" t="n">
        <v>1</v>
      </c>
      <c r="Q33" s="29" t="n">
        <v>1</v>
      </c>
      <c r="R33" s="29" t="n">
        <v>2</v>
      </c>
      <c r="S33" s="29" t="n">
        <v>3</v>
      </c>
      <c r="T33" s="29" t="n">
        <v>0</v>
      </c>
      <c r="U33" s="29" t="n">
        <v>2</v>
      </c>
      <c r="V33" s="29" t="n">
        <v>1</v>
      </c>
      <c r="W33" s="29" t="n">
        <v>2</v>
      </c>
      <c r="X33" s="29" t="n">
        <v>2</v>
      </c>
      <c r="Y33" s="29" t="n">
        <v>3</v>
      </c>
      <c r="Z33" s="29" t="n">
        <v>1</v>
      </c>
      <c r="AA33" s="29" t="n">
        <v>1</v>
      </c>
      <c r="AB33" s="29" t="n">
        <v>2</v>
      </c>
      <c r="AC33" s="29" t="n">
        <v>3</v>
      </c>
      <c r="AD33" s="29" t="n">
        <v>0</v>
      </c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</row>
    <row r="34" customFormat="false" ht="14.25" hidden="false" customHeight="true" outlineLevel="0" collapsed="false">
      <c r="A34" s="29" t="n">
        <v>34</v>
      </c>
      <c r="B34" s="30" t="s">
        <v>227</v>
      </c>
      <c r="C34" s="29" t="n">
        <v>2</v>
      </c>
      <c r="D34" s="29" t="n">
        <v>1</v>
      </c>
      <c r="E34" s="29" t="n">
        <v>1</v>
      </c>
      <c r="F34" s="29" t="n">
        <v>1</v>
      </c>
      <c r="G34" s="29" t="n">
        <v>1</v>
      </c>
      <c r="H34" s="29" t="n">
        <v>1</v>
      </c>
      <c r="I34" s="29" t="n">
        <v>1</v>
      </c>
      <c r="J34" s="29" t="n">
        <v>0</v>
      </c>
      <c r="K34" s="29" t="n">
        <v>0</v>
      </c>
      <c r="L34" s="29" t="n">
        <v>3</v>
      </c>
      <c r="M34" s="29" t="n">
        <v>0</v>
      </c>
      <c r="N34" s="29" t="n">
        <v>1</v>
      </c>
      <c r="O34" s="29" t="n">
        <v>2</v>
      </c>
      <c r="P34" s="29" t="n">
        <v>2</v>
      </c>
      <c r="Q34" s="29" t="n">
        <v>0</v>
      </c>
      <c r="R34" s="29" t="n">
        <v>2</v>
      </c>
      <c r="S34" s="29" t="n">
        <v>1</v>
      </c>
      <c r="T34" s="29" t="n">
        <v>1</v>
      </c>
      <c r="U34" s="29" t="n">
        <v>3</v>
      </c>
      <c r="V34" s="29" t="n">
        <v>1</v>
      </c>
      <c r="W34" s="29" t="n">
        <v>2</v>
      </c>
      <c r="X34" s="29" t="n">
        <v>2</v>
      </c>
      <c r="Y34" s="29" t="n">
        <v>2</v>
      </c>
      <c r="Z34" s="29" t="n">
        <v>0</v>
      </c>
      <c r="AA34" s="29" t="n">
        <v>0</v>
      </c>
      <c r="AB34" s="29" t="n">
        <v>1</v>
      </c>
      <c r="AC34" s="29" t="n">
        <v>4</v>
      </c>
      <c r="AD34" s="29" t="n">
        <v>0</v>
      </c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9"/>
    </row>
    <row r="35" customFormat="false" ht="14.25" hidden="false" customHeight="true" outlineLevel="0" collapsed="false">
      <c r="A35" s="29" t="n">
        <v>35</v>
      </c>
      <c r="B35" s="30" t="s">
        <v>228</v>
      </c>
      <c r="C35" s="29" t="n">
        <v>2</v>
      </c>
      <c r="D35" s="29" t="n">
        <v>0</v>
      </c>
      <c r="E35" s="29" t="n">
        <v>3</v>
      </c>
      <c r="F35" s="29" t="n">
        <v>1</v>
      </c>
      <c r="G35" s="29" t="n">
        <v>2</v>
      </c>
      <c r="H35" s="29" t="n">
        <v>1</v>
      </c>
      <c r="I35" s="29" t="n">
        <v>2</v>
      </c>
      <c r="J35" s="29" t="n">
        <v>1</v>
      </c>
      <c r="K35" s="29" t="n">
        <v>1</v>
      </c>
      <c r="L35" s="29" t="n">
        <v>1</v>
      </c>
      <c r="M35" s="29" t="n">
        <v>1</v>
      </c>
      <c r="N35" s="29" t="n">
        <v>2</v>
      </c>
      <c r="O35" s="29" t="n">
        <v>2</v>
      </c>
      <c r="P35" s="29" t="n">
        <v>1</v>
      </c>
      <c r="Q35" s="29" t="n">
        <v>1</v>
      </c>
      <c r="R35" s="29" t="n">
        <v>1</v>
      </c>
      <c r="S35" s="29" t="n">
        <v>1</v>
      </c>
      <c r="T35" s="29" t="n">
        <v>1</v>
      </c>
      <c r="U35" s="29" t="n">
        <v>3</v>
      </c>
      <c r="V35" s="29" t="n">
        <v>1</v>
      </c>
      <c r="W35" s="29" t="n">
        <v>2</v>
      </c>
      <c r="X35" s="29" t="n">
        <v>1</v>
      </c>
      <c r="Y35" s="29" t="n">
        <v>1</v>
      </c>
      <c r="Z35" s="29" t="n">
        <v>1</v>
      </c>
      <c r="AA35" s="29" t="n">
        <v>1</v>
      </c>
      <c r="AB35" s="29" t="n">
        <v>2</v>
      </c>
      <c r="AC35" s="29" t="n">
        <v>3</v>
      </c>
      <c r="AD35" s="29" t="n">
        <v>0</v>
      </c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  <c r="EP35" s="29"/>
    </row>
    <row r="36" customFormat="false" ht="14.25" hidden="false" customHeight="true" outlineLevel="0" collapsed="false">
      <c r="A36" s="29" t="n">
        <v>36</v>
      </c>
      <c r="B36" s="30" t="s">
        <v>229</v>
      </c>
      <c r="C36" s="29" t="n">
        <v>3</v>
      </c>
      <c r="D36" s="29" t="n">
        <v>1</v>
      </c>
      <c r="E36" s="29" t="n">
        <v>2</v>
      </c>
      <c r="F36" s="29" t="n">
        <v>1</v>
      </c>
      <c r="G36" s="29" t="n">
        <v>2</v>
      </c>
      <c r="H36" s="29" t="n">
        <v>2</v>
      </c>
      <c r="I36" s="29" t="n">
        <v>3</v>
      </c>
      <c r="J36" s="29" t="n">
        <v>2</v>
      </c>
      <c r="K36" s="29" t="n">
        <v>2</v>
      </c>
      <c r="L36" s="29" t="n">
        <v>3</v>
      </c>
      <c r="M36" s="29" t="n">
        <v>3</v>
      </c>
      <c r="N36" s="29" t="n">
        <v>4</v>
      </c>
      <c r="O36" s="29" t="n">
        <v>4</v>
      </c>
      <c r="P36" s="29" t="n">
        <v>4</v>
      </c>
      <c r="Q36" s="29" t="n">
        <v>1</v>
      </c>
      <c r="R36" s="29" t="n">
        <v>2</v>
      </c>
      <c r="S36" s="29" t="n">
        <v>1</v>
      </c>
      <c r="T36" s="29" t="n">
        <v>3</v>
      </c>
      <c r="U36" s="29" t="n">
        <v>3</v>
      </c>
      <c r="V36" s="29" t="n">
        <v>1</v>
      </c>
      <c r="W36" s="29" t="n">
        <v>2</v>
      </c>
      <c r="X36" s="29" t="n">
        <v>2</v>
      </c>
      <c r="Y36" s="29" t="n">
        <v>2</v>
      </c>
      <c r="Z36" s="29" t="n">
        <v>1</v>
      </c>
      <c r="AA36" s="29" t="n">
        <v>2</v>
      </c>
      <c r="AB36" s="29" t="n">
        <v>2</v>
      </c>
      <c r="AC36" s="29" t="n">
        <v>3</v>
      </c>
      <c r="AD36" s="29" t="n">
        <v>1</v>
      </c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  <c r="EP36" s="29"/>
    </row>
    <row r="37" customFormat="false" ht="14.25" hidden="false" customHeight="true" outlineLevel="0" collapsed="false">
      <c r="A37" s="29" t="n">
        <v>37</v>
      </c>
      <c r="B37" s="30" t="s">
        <v>230</v>
      </c>
      <c r="C37" s="29" t="n">
        <v>2</v>
      </c>
      <c r="D37" s="29" t="n">
        <v>1</v>
      </c>
      <c r="E37" s="29" t="n">
        <v>2</v>
      </c>
      <c r="F37" s="29" t="n">
        <v>0</v>
      </c>
      <c r="G37" s="29" t="n">
        <v>1</v>
      </c>
      <c r="H37" s="29" t="n">
        <v>0</v>
      </c>
      <c r="I37" s="29" t="n">
        <v>2</v>
      </c>
      <c r="J37" s="29" t="n">
        <v>1</v>
      </c>
      <c r="K37" s="29"/>
      <c r="L37" s="29" t="n">
        <v>1</v>
      </c>
      <c r="M37" s="29" t="n">
        <v>1</v>
      </c>
      <c r="N37" s="29" t="n">
        <v>2</v>
      </c>
      <c r="O37" s="29" t="n">
        <v>2</v>
      </c>
      <c r="P37" s="29" t="n">
        <v>1</v>
      </c>
      <c r="Q37" s="29" t="n">
        <v>0</v>
      </c>
      <c r="R37" s="29" t="n">
        <v>1</v>
      </c>
      <c r="S37" s="29" t="n">
        <v>2</v>
      </c>
      <c r="T37" s="29" t="n">
        <v>3</v>
      </c>
      <c r="U37" s="29" t="n">
        <v>3</v>
      </c>
      <c r="V37" s="29" t="n">
        <v>1</v>
      </c>
      <c r="W37" s="29" t="n">
        <v>2</v>
      </c>
      <c r="X37" s="29" t="n">
        <v>1</v>
      </c>
      <c r="Y37" s="29" t="n">
        <v>1</v>
      </c>
      <c r="Z37" s="29" t="n">
        <v>1</v>
      </c>
      <c r="AA37" s="29" t="n">
        <v>1</v>
      </c>
      <c r="AB37" s="29" t="n">
        <v>2</v>
      </c>
      <c r="AC37" s="29" t="n">
        <v>3</v>
      </c>
      <c r="AD37" s="29" t="n">
        <v>0</v>
      </c>
      <c r="AE37" s="29" t="n">
        <v>1</v>
      </c>
      <c r="AF37" s="29" t="n">
        <v>0</v>
      </c>
      <c r="AG37" s="29" t="n">
        <v>2</v>
      </c>
      <c r="AH37" s="29" t="n">
        <v>0</v>
      </c>
      <c r="AI37" s="29" t="n">
        <v>2</v>
      </c>
      <c r="AJ37" s="29" t="n">
        <v>1</v>
      </c>
      <c r="AK37" s="29" t="n">
        <v>0</v>
      </c>
      <c r="AL37" s="29" t="n">
        <v>2</v>
      </c>
      <c r="AM37" s="29" t="n">
        <v>2</v>
      </c>
      <c r="AN37" s="29" t="n">
        <v>0</v>
      </c>
      <c r="AO37" s="29" t="n">
        <v>1</v>
      </c>
      <c r="AP37" s="29" t="n">
        <v>0</v>
      </c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29"/>
      <c r="EG37" s="29"/>
      <c r="EH37" s="29"/>
      <c r="EI37" s="29"/>
      <c r="EJ37" s="29"/>
      <c r="EK37" s="29"/>
      <c r="EL37" s="29"/>
      <c r="EM37" s="29"/>
      <c r="EN37" s="29"/>
      <c r="EO37" s="29"/>
      <c r="EP37" s="29"/>
    </row>
    <row r="38" customFormat="false" ht="14.25" hidden="false" customHeight="true" outlineLevel="0" collapsed="false">
      <c r="A38" s="29" t="n">
        <v>14</v>
      </c>
      <c r="B38" s="30" t="s">
        <v>231</v>
      </c>
      <c r="C38" s="29" t="n">
        <v>2</v>
      </c>
      <c r="D38" s="29" t="n">
        <v>0</v>
      </c>
      <c r="E38" s="29" t="n">
        <v>1</v>
      </c>
      <c r="F38" s="29" t="n">
        <v>1</v>
      </c>
      <c r="G38" s="29" t="n">
        <v>0</v>
      </c>
      <c r="H38" s="29" t="n">
        <v>1</v>
      </c>
      <c r="I38" s="29" t="n">
        <v>0</v>
      </c>
      <c r="J38" s="29" t="n">
        <v>1</v>
      </c>
      <c r="K38" s="29" t="n">
        <v>0</v>
      </c>
      <c r="L38" s="29"/>
      <c r="M38" s="29" t="n">
        <v>1</v>
      </c>
      <c r="N38" s="29" t="n">
        <v>0</v>
      </c>
      <c r="O38" s="29" t="n">
        <v>3</v>
      </c>
      <c r="P38" s="29" t="n">
        <v>1</v>
      </c>
      <c r="Q38" s="29" t="n">
        <v>0</v>
      </c>
      <c r="R38" s="29" t="n">
        <v>1</v>
      </c>
      <c r="S38" s="29" t="n">
        <v>1</v>
      </c>
      <c r="T38" s="29" t="n">
        <v>0</v>
      </c>
      <c r="U38" s="29" t="n">
        <v>2</v>
      </c>
      <c r="V38" s="29" t="n">
        <v>0</v>
      </c>
      <c r="W38" s="29" t="n">
        <v>2</v>
      </c>
      <c r="X38" s="29" t="n">
        <v>1</v>
      </c>
      <c r="Y38" s="29" t="n">
        <v>2</v>
      </c>
      <c r="Z38" s="29" t="n">
        <v>1</v>
      </c>
      <c r="AA38" s="29" t="n">
        <v>1</v>
      </c>
      <c r="AB38" s="29" t="n">
        <v>2</v>
      </c>
      <c r="AC38" s="29" t="n">
        <v>2</v>
      </c>
      <c r="AD38" s="29" t="n">
        <v>0</v>
      </c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  <c r="EM38" s="29"/>
      <c r="EN38" s="29"/>
      <c r="EO38" s="29"/>
      <c r="EP38" s="29"/>
    </row>
    <row r="39" customFormat="false" ht="14.25" hidden="false" customHeight="true" outlineLevel="0" collapsed="false">
      <c r="A39" s="29" t="n">
        <v>38</v>
      </c>
      <c r="B39" s="30" t="s">
        <v>232</v>
      </c>
      <c r="C39" s="29" t="n">
        <v>2</v>
      </c>
      <c r="D39" s="29" t="n">
        <v>0</v>
      </c>
      <c r="E39" s="29" t="n">
        <v>1</v>
      </c>
      <c r="F39" s="29" t="n">
        <v>1</v>
      </c>
      <c r="G39" s="29" t="n">
        <v>2</v>
      </c>
      <c r="H39" s="29" t="n">
        <v>1</v>
      </c>
      <c r="I39" s="29" t="n">
        <v>2</v>
      </c>
      <c r="J39" s="29" t="n">
        <v>0</v>
      </c>
      <c r="K39" s="29" t="n">
        <v>0</v>
      </c>
      <c r="L39" s="29" t="n">
        <v>0</v>
      </c>
      <c r="M39" s="29" t="n">
        <v>1</v>
      </c>
      <c r="N39" s="29" t="n">
        <v>2</v>
      </c>
      <c r="O39" s="29" t="n">
        <v>2</v>
      </c>
      <c r="P39" s="29" t="n">
        <v>1</v>
      </c>
      <c r="Q39" s="29" t="n">
        <v>0</v>
      </c>
      <c r="R39" s="29" t="n">
        <v>2</v>
      </c>
      <c r="S39" s="29" t="n">
        <v>1</v>
      </c>
      <c r="T39" s="29" t="n">
        <v>1</v>
      </c>
      <c r="U39" s="29" t="n">
        <v>3</v>
      </c>
      <c r="V39" s="29" t="n">
        <v>0</v>
      </c>
      <c r="W39" s="29" t="n">
        <v>2</v>
      </c>
      <c r="X39" s="29" t="n">
        <v>1</v>
      </c>
      <c r="Y39" s="29" t="n">
        <v>1</v>
      </c>
      <c r="Z39" s="29" t="n">
        <v>0</v>
      </c>
      <c r="AA39" s="29" t="n">
        <v>1</v>
      </c>
      <c r="AB39" s="29" t="n">
        <v>2</v>
      </c>
      <c r="AC39" s="29" t="n">
        <v>3</v>
      </c>
      <c r="AD39" s="29" t="n">
        <v>0</v>
      </c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29"/>
      <c r="EG39" s="29"/>
      <c r="EH39" s="29"/>
      <c r="EI39" s="29"/>
      <c r="EJ39" s="29"/>
      <c r="EK39" s="29"/>
      <c r="EL39" s="29"/>
      <c r="EM39" s="29"/>
      <c r="EN39" s="29"/>
      <c r="EO39" s="29"/>
      <c r="EP39" s="29"/>
    </row>
    <row r="40" customFormat="false" ht="14.25" hidden="false" customHeight="true" outlineLevel="0" collapsed="false">
      <c r="A40" s="29" t="n">
        <v>39</v>
      </c>
      <c r="B40" s="30" t="s">
        <v>233</v>
      </c>
      <c r="C40" s="29" t="n">
        <v>3</v>
      </c>
      <c r="D40" s="29" t="n">
        <v>1</v>
      </c>
      <c r="E40" s="29" t="n">
        <v>2</v>
      </c>
      <c r="F40" s="29" t="n">
        <v>2</v>
      </c>
      <c r="G40" s="29" t="n">
        <v>3</v>
      </c>
      <c r="H40" s="29" t="n">
        <v>1</v>
      </c>
      <c r="I40" s="29" t="n">
        <v>3</v>
      </c>
      <c r="J40" s="29" t="n">
        <v>0</v>
      </c>
      <c r="K40" s="29" t="n">
        <v>0</v>
      </c>
      <c r="L40" s="29" t="n">
        <v>1</v>
      </c>
      <c r="M40" s="29" t="n">
        <v>2</v>
      </c>
      <c r="N40" s="29" t="n">
        <v>3</v>
      </c>
      <c r="O40" s="29" t="n">
        <v>3</v>
      </c>
      <c r="P40" s="29" t="n">
        <v>1</v>
      </c>
      <c r="Q40" s="29" t="n">
        <v>0</v>
      </c>
      <c r="R40" s="29"/>
      <c r="S40" s="29" t="n">
        <v>1</v>
      </c>
      <c r="T40" s="29" t="n">
        <v>2</v>
      </c>
      <c r="U40" s="29" t="n">
        <v>4</v>
      </c>
      <c r="V40" s="29" t="n">
        <v>0</v>
      </c>
      <c r="W40" s="29" t="n">
        <v>3</v>
      </c>
      <c r="X40" s="29" t="n">
        <v>1</v>
      </c>
      <c r="Y40" s="29" t="n">
        <v>2</v>
      </c>
      <c r="Z40" s="29" t="n">
        <v>1</v>
      </c>
      <c r="AA40" s="29" t="n">
        <v>2</v>
      </c>
      <c r="AB40" s="29" t="n">
        <v>3</v>
      </c>
      <c r="AC40" s="29" t="n">
        <v>4</v>
      </c>
      <c r="AD40" s="29" t="n">
        <v>1</v>
      </c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29"/>
      <c r="EI40" s="29"/>
      <c r="EJ40" s="29"/>
      <c r="EK40" s="29"/>
      <c r="EL40" s="29"/>
      <c r="EM40" s="29"/>
      <c r="EN40" s="29"/>
      <c r="EO40" s="29"/>
      <c r="EP40" s="29"/>
    </row>
    <row r="41" customFormat="false" ht="14.25" hidden="false" customHeight="true" outlineLevel="0" collapsed="false">
      <c r="A41" s="29" t="n">
        <v>40</v>
      </c>
      <c r="B41" s="30" t="s">
        <v>234</v>
      </c>
      <c r="C41" s="29" t="n">
        <v>1</v>
      </c>
      <c r="D41" s="29" t="n">
        <v>2</v>
      </c>
      <c r="E41" s="29" t="n">
        <v>3</v>
      </c>
      <c r="F41" s="29" t="n">
        <v>0</v>
      </c>
      <c r="G41" s="29" t="n">
        <v>2</v>
      </c>
      <c r="H41" s="29" t="n">
        <v>0</v>
      </c>
      <c r="I41" s="29" t="n">
        <v>1</v>
      </c>
      <c r="J41" s="29" t="n">
        <v>2</v>
      </c>
      <c r="K41" s="29" t="n">
        <v>0</v>
      </c>
      <c r="L41" s="29" t="n">
        <v>1</v>
      </c>
      <c r="M41" s="29" t="n">
        <v>2</v>
      </c>
      <c r="N41" s="29" t="n">
        <v>2</v>
      </c>
      <c r="O41" s="29" t="n">
        <v>1</v>
      </c>
      <c r="P41" s="29" t="n">
        <v>1</v>
      </c>
      <c r="Q41" s="29" t="n">
        <v>0</v>
      </c>
      <c r="R41" s="29" t="n">
        <v>2</v>
      </c>
      <c r="S41" s="29" t="n">
        <v>2</v>
      </c>
      <c r="T41" s="29" t="n">
        <v>1</v>
      </c>
      <c r="U41" s="29" t="n">
        <v>3</v>
      </c>
      <c r="V41" s="29" t="n">
        <v>0</v>
      </c>
      <c r="W41" s="29" t="n">
        <v>2</v>
      </c>
      <c r="X41" s="29" t="n">
        <v>1</v>
      </c>
      <c r="Y41" s="29" t="n">
        <v>2</v>
      </c>
      <c r="Z41" s="29" t="n">
        <v>0</v>
      </c>
      <c r="AA41" s="29" t="n">
        <v>1</v>
      </c>
      <c r="AB41" s="29" t="n">
        <v>3</v>
      </c>
      <c r="AC41" s="29" t="n">
        <v>3</v>
      </c>
      <c r="AD41" s="29" t="n">
        <v>0</v>
      </c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9"/>
      <c r="DK41" s="29"/>
      <c r="DL41" s="29"/>
      <c r="DM41" s="29"/>
      <c r="DN41" s="29"/>
      <c r="DO41" s="29"/>
      <c r="DP41" s="29"/>
      <c r="DQ41" s="29"/>
      <c r="DR41" s="29"/>
      <c r="DS41" s="29"/>
      <c r="DT41" s="29"/>
      <c r="DU41" s="29"/>
      <c r="DV41" s="29"/>
      <c r="DW41" s="29"/>
      <c r="DX41" s="29"/>
      <c r="DY41" s="29"/>
      <c r="DZ41" s="29"/>
      <c r="EA41" s="29"/>
      <c r="EB41" s="29"/>
      <c r="EC41" s="29"/>
      <c r="ED41" s="29"/>
      <c r="EE41" s="29"/>
      <c r="EF41" s="29"/>
      <c r="EG41" s="29"/>
      <c r="EH41" s="29"/>
      <c r="EI41" s="29"/>
      <c r="EJ41" s="29"/>
      <c r="EK41" s="29"/>
      <c r="EL41" s="29"/>
      <c r="EM41" s="29"/>
      <c r="EN41" s="29"/>
      <c r="EO41" s="29"/>
      <c r="EP41" s="29"/>
    </row>
    <row r="42" customFormat="false" ht="14.25" hidden="false" customHeight="true" outlineLevel="0" collapsed="false">
      <c r="A42" s="29" t="n">
        <v>41</v>
      </c>
      <c r="B42" s="30" t="s">
        <v>235</v>
      </c>
      <c r="C42" s="29" t="n">
        <v>2</v>
      </c>
      <c r="D42" s="29" t="n">
        <v>1</v>
      </c>
      <c r="E42" s="29" t="n">
        <v>1</v>
      </c>
      <c r="F42" s="29" t="n">
        <v>1</v>
      </c>
      <c r="G42" s="29" t="n">
        <v>2</v>
      </c>
      <c r="H42" s="29" t="n">
        <v>0</v>
      </c>
      <c r="I42" s="29" t="n">
        <v>1</v>
      </c>
      <c r="J42" s="29" t="n">
        <v>2</v>
      </c>
      <c r="K42" s="29" t="n">
        <v>0</v>
      </c>
      <c r="L42" s="29" t="n">
        <v>2</v>
      </c>
      <c r="M42" s="29" t="n">
        <v>1</v>
      </c>
      <c r="N42" s="29" t="n">
        <v>2</v>
      </c>
      <c r="O42" s="29" t="n">
        <v>3</v>
      </c>
      <c r="P42" s="29" t="n">
        <v>1</v>
      </c>
      <c r="Q42" s="29" t="n">
        <v>0</v>
      </c>
      <c r="R42" s="29" t="n">
        <v>2</v>
      </c>
      <c r="S42" s="29" t="n">
        <v>1</v>
      </c>
      <c r="T42" s="29" t="n">
        <v>1</v>
      </c>
      <c r="U42" s="29" t="n">
        <v>4</v>
      </c>
      <c r="V42" s="29" t="n">
        <v>0</v>
      </c>
      <c r="W42" s="29" t="n">
        <v>2</v>
      </c>
      <c r="X42" s="29" t="n">
        <v>1</v>
      </c>
      <c r="Y42" s="29" t="n">
        <v>2</v>
      </c>
      <c r="Z42" s="29" t="n">
        <v>0</v>
      </c>
      <c r="AA42" s="29" t="n">
        <v>0</v>
      </c>
      <c r="AB42" s="29" t="n">
        <v>2</v>
      </c>
      <c r="AC42" s="29" t="n">
        <v>3</v>
      </c>
      <c r="AD42" s="29" t="n">
        <v>0</v>
      </c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29"/>
      <c r="EG42" s="29"/>
      <c r="EH42" s="29"/>
      <c r="EI42" s="29"/>
      <c r="EJ42" s="29"/>
      <c r="EK42" s="29"/>
      <c r="EL42" s="29"/>
      <c r="EM42" s="29"/>
      <c r="EN42" s="29"/>
      <c r="EO42" s="29"/>
      <c r="EP42" s="29"/>
    </row>
    <row r="43" customFormat="false" ht="14.25" hidden="false" customHeight="true" outlineLevel="0" collapsed="false">
      <c r="A43" s="29" t="n">
        <v>42</v>
      </c>
      <c r="B43" s="30" t="s">
        <v>236</v>
      </c>
      <c r="C43" s="29" t="n">
        <v>2</v>
      </c>
      <c r="D43" s="29" t="n">
        <v>1</v>
      </c>
      <c r="E43" s="29" t="n">
        <v>2</v>
      </c>
      <c r="F43" s="29" t="n">
        <v>1</v>
      </c>
      <c r="G43" s="29" t="n">
        <v>2</v>
      </c>
      <c r="H43" s="29" t="n">
        <v>1</v>
      </c>
      <c r="I43" s="29" t="n">
        <v>2</v>
      </c>
      <c r="J43" s="29" t="n">
        <v>1</v>
      </c>
      <c r="K43" s="29" t="n">
        <v>1</v>
      </c>
      <c r="L43" s="29" t="n">
        <v>1</v>
      </c>
      <c r="M43" s="29" t="n">
        <v>0</v>
      </c>
      <c r="N43" s="29" t="n">
        <v>2</v>
      </c>
      <c r="O43" s="29" t="n">
        <v>3</v>
      </c>
      <c r="P43" s="29" t="n">
        <v>2</v>
      </c>
      <c r="Q43" s="29" t="n">
        <v>1</v>
      </c>
      <c r="R43" s="29" t="n">
        <v>1</v>
      </c>
      <c r="S43" s="29" t="n">
        <v>1</v>
      </c>
      <c r="T43" s="29" t="n">
        <v>3</v>
      </c>
      <c r="U43" s="29" t="n">
        <v>3</v>
      </c>
      <c r="V43" s="29" t="n">
        <v>1</v>
      </c>
      <c r="W43" s="29" t="n">
        <v>2</v>
      </c>
      <c r="X43" s="29" t="n">
        <v>0</v>
      </c>
      <c r="Y43" s="29" t="n">
        <v>3</v>
      </c>
      <c r="Z43" s="29" t="n">
        <v>1</v>
      </c>
      <c r="AA43" s="29" t="n">
        <v>0</v>
      </c>
      <c r="AB43" s="29" t="n">
        <v>1</v>
      </c>
      <c r="AC43" s="29" t="n">
        <v>4</v>
      </c>
      <c r="AD43" s="29" t="n">
        <v>0</v>
      </c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29"/>
      <c r="EG43" s="29"/>
      <c r="EH43" s="29"/>
      <c r="EI43" s="29"/>
      <c r="EJ43" s="29"/>
      <c r="EK43" s="29"/>
      <c r="EL43" s="29"/>
      <c r="EM43" s="29"/>
      <c r="EN43" s="29"/>
      <c r="EO43" s="29"/>
      <c r="EP43" s="29"/>
    </row>
    <row r="44" customFormat="false" ht="14.25" hidden="false" customHeight="true" outlineLevel="0" collapsed="false">
      <c r="A44" s="29" t="n">
        <v>43</v>
      </c>
      <c r="B44" s="30" t="s">
        <v>237</v>
      </c>
      <c r="C44" s="29" t="n">
        <v>2</v>
      </c>
      <c r="D44" s="29" t="n">
        <v>0</v>
      </c>
      <c r="E44" s="29" t="n">
        <v>1</v>
      </c>
      <c r="F44" s="29" t="n">
        <v>0</v>
      </c>
      <c r="G44" s="29" t="n">
        <v>1</v>
      </c>
      <c r="H44" s="29" t="n">
        <v>1</v>
      </c>
      <c r="I44" s="29" t="n">
        <v>2</v>
      </c>
      <c r="J44" s="29" t="n">
        <v>2</v>
      </c>
      <c r="K44" s="29" t="n">
        <v>0</v>
      </c>
      <c r="L44" s="29" t="n">
        <v>3</v>
      </c>
      <c r="M44" s="29" t="n">
        <v>1</v>
      </c>
      <c r="N44" s="29" t="n">
        <v>2</v>
      </c>
      <c r="O44" s="29" t="n">
        <v>1</v>
      </c>
      <c r="P44" s="29" t="n">
        <v>2</v>
      </c>
      <c r="Q44" s="29"/>
      <c r="R44" s="29" t="n">
        <v>2</v>
      </c>
      <c r="S44" s="29" t="n">
        <v>0</v>
      </c>
      <c r="T44" s="29" t="n">
        <v>2</v>
      </c>
      <c r="U44" s="29" t="n">
        <v>4</v>
      </c>
      <c r="V44" s="29" t="n">
        <v>0</v>
      </c>
      <c r="W44" s="29" t="n">
        <v>2</v>
      </c>
      <c r="X44" s="29" t="n">
        <v>2</v>
      </c>
      <c r="Y44" s="29" t="n">
        <v>2</v>
      </c>
      <c r="Z44" s="29" t="n">
        <v>0</v>
      </c>
      <c r="AA44" s="29" t="n">
        <v>1</v>
      </c>
      <c r="AB44" s="29" t="n">
        <v>3</v>
      </c>
      <c r="AC44" s="29" t="n">
        <v>3</v>
      </c>
      <c r="AD44" s="29" t="n">
        <v>0</v>
      </c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  <c r="DM44" s="29"/>
      <c r="DN44" s="29"/>
      <c r="DO44" s="29"/>
      <c r="DP44" s="29"/>
      <c r="DQ44" s="29"/>
      <c r="DR44" s="29"/>
      <c r="DS44" s="29"/>
      <c r="DT44" s="29"/>
      <c r="DU44" s="29"/>
      <c r="DV44" s="29"/>
      <c r="DW44" s="29"/>
      <c r="DX44" s="29"/>
      <c r="DY44" s="29"/>
      <c r="DZ44" s="29"/>
      <c r="EA44" s="29"/>
      <c r="EB44" s="29"/>
      <c r="EC44" s="29"/>
      <c r="ED44" s="29"/>
      <c r="EE44" s="29"/>
      <c r="EF44" s="29"/>
      <c r="EG44" s="29"/>
      <c r="EH44" s="29"/>
      <c r="EI44" s="29"/>
      <c r="EJ44" s="29"/>
      <c r="EK44" s="29"/>
      <c r="EL44" s="29"/>
      <c r="EM44" s="29"/>
      <c r="EN44" s="29"/>
      <c r="EO44" s="29"/>
      <c r="EP44" s="29"/>
    </row>
    <row r="45" customFormat="false" ht="14.25" hidden="false" customHeight="true" outlineLevel="0" collapsed="false">
      <c r="A45" s="29" t="n">
        <v>44</v>
      </c>
      <c r="B45" s="31" t="s">
        <v>238</v>
      </c>
      <c r="C45" s="32" t="n">
        <v>2</v>
      </c>
      <c r="D45" s="32" t="n">
        <v>0</v>
      </c>
      <c r="E45" s="32" t="n">
        <v>1</v>
      </c>
      <c r="F45" s="32" t="n">
        <v>1</v>
      </c>
      <c r="G45" s="32" t="n">
        <v>2</v>
      </c>
      <c r="H45" s="32" t="n">
        <v>1</v>
      </c>
      <c r="I45" s="32" t="n">
        <v>1</v>
      </c>
      <c r="J45" s="32" t="n">
        <v>1</v>
      </c>
      <c r="K45" s="32" t="n">
        <v>0</v>
      </c>
      <c r="L45" s="32" t="n">
        <v>2</v>
      </c>
      <c r="M45" s="32" t="n">
        <v>1</v>
      </c>
      <c r="N45" s="32" t="n">
        <v>2</v>
      </c>
      <c r="O45" s="32" t="n">
        <v>2</v>
      </c>
      <c r="P45" s="32" t="n">
        <v>1</v>
      </c>
      <c r="Q45" s="32" t="n">
        <v>0</v>
      </c>
      <c r="R45" s="32" t="n">
        <v>2</v>
      </c>
      <c r="S45" s="32" t="n">
        <v>1</v>
      </c>
      <c r="T45" s="32" t="n">
        <v>1</v>
      </c>
      <c r="U45" s="32" t="n">
        <v>5</v>
      </c>
      <c r="V45" s="32" t="n">
        <v>0</v>
      </c>
      <c r="W45" s="32" t="n">
        <v>2</v>
      </c>
      <c r="X45" s="32" t="n">
        <v>2</v>
      </c>
      <c r="Y45" s="32" t="n">
        <v>3</v>
      </c>
      <c r="Z45" s="32" t="n">
        <v>0</v>
      </c>
      <c r="AA45" s="32" t="n">
        <v>0</v>
      </c>
      <c r="AB45" s="32" t="n">
        <v>2</v>
      </c>
      <c r="AC45" s="32" t="n">
        <v>5</v>
      </c>
      <c r="AD45" s="32" t="n">
        <v>0</v>
      </c>
    </row>
    <row r="46" customFormat="false" ht="14.25" hidden="false" customHeight="true" outlineLevel="0" collapsed="false">
      <c r="A46" s="29" t="n">
        <v>45</v>
      </c>
      <c r="B46" s="31" t="s">
        <v>239</v>
      </c>
      <c r="C46" s="32" t="n">
        <v>2</v>
      </c>
      <c r="D46" s="32" t="n">
        <v>0</v>
      </c>
      <c r="E46" s="32" t="n">
        <v>0</v>
      </c>
      <c r="F46" s="32" t="n">
        <v>1</v>
      </c>
      <c r="G46" s="32" t="n">
        <v>1</v>
      </c>
      <c r="H46" s="32" t="n">
        <v>0</v>
      </c>
      <c r="I46" s="32" t="n">
        <v>2</v>
      </c>
      <c r="J46" s="32" t="n">
        <v>0</v>
      </c>
      <c r="K46" s="32" t="n">
        <v>1</v>
      </c>
      <c r="L46" s="32" t="n">
        <v>3</v>
      </c>
      <c r="M46" s="32" t="n">
        <v>2</v>
      </c>
      <c r="N46" s="32" t="n">
        <v>2</v>
      </c>
      <c r="O46" s="32" t="n">
        <v>3</v>
      </c>
      <c r="P46" s="32" t="n">
        <v>0</v>
      </c>
      <c r="Q46" s="32" t="n">
        <v>1</v>
      </c>
      <c r="R46" s="32" t="n">
        <v>2</v>
      </c>
      <c r="S46" s="32" t="n">
        <v>1</v>
      </c>
      <c r="T46" s="32" t="n">
        <v>1</v>
      </c>
      <c r="U46" s="32" t="n">
        <v>4</v>
      </c>
      <c r="V46" s="32" t="n">
        <v>0</v>
      </c>
      <c r="W46" s="32" t="n">
        <v>3</v>
      </c>
      <c r="X46" s="32" t="n">
        <v>2</v>
      </c>
      <c r="Y46" s="32" t="n">
        <v>2</v>
      </c>
      <c r="Z46" s="32" t="n">
        <v>0</v>
      </c>
      <c r="AA46" s="32" t="n">
        <v>1</v>
      </c>
      <c r="AB46" s="32" t="n">
        <v>2</v>
      </c>
      <c r="AC46" s="32" t="n">
        <v>3</v>
      </c>
      <c r="AD46" s="32" t="n">
        <v>1</v>
      </c>
    </row>
    <row r="47" customFormat="false" ht="14.25" hidden="false" customHeight="true" outlineLevel="0" collapsed="false">
      <c r="A47" s="29" t="n">
        <v>46</v>
      </c>
      <c r="B47" s="31" t="s">
        <v>240</v>
      </c>
      <c r="C47" s="32" t="n">
        <v>2</v>
      </c>
      <c r="D47" s="32" t="n">
        <v>0</v>
      </c>
      <c r="E47" s="32" t="n">
        <v>1</v>
      </c>
      <c r="F47" s="32" t="n">
        <v>1</v>
      </c>
      <c r="G47" s="32" t="n">
        <v>1</v>
      </c>
      <c r="H47" s="32" t="n">
        <v>0</v>
      </c>
      <c r="I47" s="32" t="n">
        <v>2</v>
      </c>
      <c r="J47" s="32" t="n">
        <v>1</v>
      </c>
      <c r="K47" s="32" t="n">
        <v>0</v>
      </c>
      <c r="L47" s="32" t="n">
        <v>1</v>
      </c>
      <c r="M47" s="32" t="n">
        <v>1</v>
      </c>
      <c r="N47" s="32" t="n">
        <v>2</v>
      </c>
      <c r="O47" s="32" t="n">
        <v>3</v>
      </c>
      <c r="P47" s="32" t="n">
        <v>1</v>
      </c>
      <c r="Q47" s="32" t="n">
        <v>0</v>
      </c>
      <c r="R47" s="32" t="n">
        <v>2</v>
      </c>
      <c r="S47" s="32" t="n">
        <v>1</v>
      </c>
      <c r="T47" s="32" t="n">
        <v>1</v>
      </c>
      <c r="U47" s="32" t="n">
        <v>2</v>
      </c>
      <c r="V47" s="32" t="n">
        <v>0</v>
      </c>
      <c r="W47" s="32" t="n">
        <v>2</v>
      </c>
      <c r="X47" s="32" t="n">
        <v>1</v>
      </c>
      <c r="Y47" s="32" t="n">
        <v>1</v>
      </c>
      <c r="Z47" s="32" t="n">
        <v>0</v>
      </c>
      <c r="AA47" s="32" t="n">
        <v>0</v>
      </c>
      <c r="AB47" s="32" t="n">
        <v>2</v>
      </c>
      <c r="AC47" s="32" t="n">
        <v>3</v>
      </c>
      <c r="AD47" s="32" t="n">
        <v>0</v>
      </c>
    </row>
    <row r="48" customFormat="false" ht="14.25" hidden="false" customHeight="true" outlineLevel="0" collapsed="false">
      <c r="A48" s="29" t="n">
        <v>47</v>
      </c>
      <c r="B48" s="31" t="s">
        <v>241</v>
      </c>
      <c r="C48" s="32" t="n">
        <v>2</v>
      </c>
      <c r="D48" s="32" t="n">
        <v>0</v>
      </c>
      <c r="E48" s="32" t="n">
        <v>1</v>
      </c>
      <c r="F48" s="32" t="n">
        <v>1</v>
      </c>
      <c r="G48" s="32" t="n">
        <v>2</v>
      </c>
      <c r="H48" s="32" t="n">
        <v>0</v>
      </c>
      <c r="I48" s="32" t="n">
        <v>2</v>
      </c>
      <c r="J48" s="32" t="n">
        <v>1</v>
      </c>
      <c r="K48" s="32" t="n">
        <v>1</v>
      </c>
      <c r="L48" s="32" t="n">
        <v>2</v>
      </c>
      <c r="M48" s="32" t="n">
        <v>1</v>
      </c>
      <c r="N48" s="32" t="n">
        <v>1</v>
      </c>
      <c r="O48" s="32" t="n">
        <v>2</v>
      </c>
      <c r="P48" s="32" t="n">
        <v>1</v>
      </c>
      <c r="Q48" s="32" t="n">
        <v>1</v>
      </c>
      <c r="R48" s="32" t="n">
        <v>2</v>
      </c>
      <c r="S48" s="32" t="n">
        <v>1</v>
      </c>
      <c r="T48" s="32" t="n">
        <v>1</v>
      </c>
      <c r="U48" s="32" t="n">
        <v>3</v>
      </c>
      <c r="V48" s="32" t="n">
        <v>0</v>
      </c>
      <c r="W48" s="32" t="n">
        <v>2</v>
      </c>
      <c r="X48" s="32" t="n">
        <v>1</v>
      </c>
      <c r="Y48" s="32" t="n">
        <v>2</v>
      </c>
      <c r="Z48" s="32" t="n">
        <v>0</v>
      </c>
      <c r="AA48" s="32" t="n">
        <v>0</v>
      </c>
      <c r="AB48" s="32" t="n">
        <v>2</v>
      </c>
      <c r="AC48" s="32" t="n">
        <v>3</v>
      </c>
      <c r="AD48" s="32" t="n">
        <v>0</v>
      </c>
    </row>
    <row r="49" customFormat="false" ht="14.25" hidden="false" customHeight="true" outlineLevel="0" collapsed="false">
      <c r="A49" s="29" t="n">
        <v>48</v>
      </c>
      <c r="B49" s="31" t="s">
        <v>242</v>
      </c>
      <c r="C49" s="32" t="n">
        <v>3</v>
      </c>
      <c r="D49" s="32" t="n">
        <v>1</v>
      </c>
      <c r="E49" s="32" t="n">
        <v>2</v>
      </c>
      <c r="F49" s="32" t="n">
        <v>2</v>
      </c>
      <c r="G49" s="32" t="n">
        <v>1</v>
      </c>
      <c r="H49" s="32" t="n">
        <v>2</v>
      </c>
      <c r="I49" s="32" t="n">
        <v>1</v>
      </c>
      <c r="J49" s="32" t="n">
        <v>0</v>
      </c>
      <c r="K49" s="32" t="n">
        <v>0</v>
      </c>
      <c r="L49" s="32" t="n">
        <v>1</v>
      </c>
      <c r="M49" s="32" t="n">
        <v>1</v>
      </c>
      <c r="N49" s="32" t="n">
        <v>2</v>
      </c>
      <c r="O49" s="32" t="n">
        <v>2</v>
      </c>
      <c r="P49" s="32" t="n">
        <v>2</v>
      </c>
      <c r="Q49" s="32" t="n">
        <v>0</v>
      </c>
      <c r="R49" s="32" t="n">
        <v>3</v>
      </c>
      <c r="S49" s="32" t="n">
        <v>1</v>
      </c>
      <c r="T49" s="32" t="n">
        <v>1</v>
      </c>
      <c r="U49" s="32" t="n">
        <v>4</v>
      </c>
      <c r="V49" s="32" t="n">
        <v>0</v>
      </c>
      <c r="W49" s="32" t="n">
        <v>2</v>
      </c>
      <c r="X49" s="32" t="n">
        <v>1</v>
      </c>
      <c r="Y49" s="32" t="n">
        <v>3</v>
      </c>
      <c r="Z49" s="32" t="n">
        <v>1</v>
      </c>
      <c r="AA49" s="32" t="n">
        <v>0</v>
      </c>
      <c r="AB49" s="32" t="n">
        <v>3</v>
      </c>
      <c r="AC49" s="32" t="n">
        <v>8</v>
      </c>
      <c r="AD49" s="32" t="n">
        <v>0</v>
      </c>
    </row>
    <row r="50" customFormat="false" ht="14.25" hidden="false" customHeight="true" outlineLevel="0" collapsed="false">
      <c r="A50" s="29" t="n">
        <v>49</v>
      </c>
      <c r="B50" s="6" t="s">
        <v>243</v>
      </c>
      <c r="C50" s="5" t="n">
        <v>2</v>
      </c>
      <c r="D50" s="5" t="n">
        <v>0</v>
      </c>
      <c r="E50" s="5" t="n">
        <v>1</v>
      </c>
      <c r="F50" s="5" t="n">
        <v>1</v>
      </c>
      <c r="G50" s="5" t="n">
        <v>2</v>
      </c>
      <c r="H50" s="5" t="n">
        <v>1</v>
      </c>
      <c r="I50" s="5" t="n">
        <v>1</v>
      </c>
      <c r="J50" s="5" t="n">
        <v>1</v>
      </c>
      <c r="K50" s="5" t="n">
        <v>1</v>
      </c>
      <c r="L50" s="5" t="n">
        <v>2</v>
      </c>
      <c r="M50" s="5" t="n">
        <v>1</v>
      </c>
      <c r="N50" s="5" t="n">
        <v>2</v>
      </c>
      <c r="O50" s="5" t="n">
        <v>1</v>
      </c>
      <c r="P50" s="5" t="n">
        <v>2</v>
      </c>
      <c r="Q50" s="5" t="n">
        <v>0</v>
      </c>
      <c r="R50" s="5" t="n">
        <v>3</v>
      </c>
      <c r="S50" s="5" t="n">
        <v>2</v>
      </c>
      <c r="T50" s="5" t="n">
        <v>1</v>
      </c>
      <c r="U50" s="5" t="n">
        <v>4</v>
      </c>
      <c r="V50" s="5" t="n">
        <v>0</v>
      </c>
      <c r="W50" s="5" t="n">
        <v>2</v>
      </c>
      <c r="X50" s="5" t="n">
        <v>2</v>
      </c>
      <c r="Y50" s="5" t="n">
        <v>2</v>
      </c>
      <c r="Z50" s="5" t="n">
        <v>1</v>
      </c>
      <c r="AA50" s="5" t="n">
        <v>0</v>
      </c>
      <c r="AB50" s="5" t="n">
        <v>2</v>
      </c>
      <c r="AC50" s="5" t="n">
        <v>3</v>
      </c>
      <c r="AD50" s="5" t="n">
        <v>0</v>
      </c>
    </row>
  </sheetData>
  <conditionalFormatting sqref="AE6:BF13">
    <cfRule type="expression" priority="2" aboveAverage="0" equalAverage="0" bottom="0" percent="0" rank="0" text="" dxfId="3">
      <formula>MOD(ROW(),2)=1</formula>
    </cfRule>
  </conditionalFormatting>
  <conditionalFormatting sqref="AE3:EP5">
    <cfRule type="expression" priority="3" aboveAverage="0" equalAverage="0" bottom="0" percent="0" rank="0" text="" dxfId="3">
      <formula>MOD(ROW(),2)=1</formula>
    </cfRule>
  </conditionalFormatting>
  <conditionalFormatting sqref="AE2:EP2">
    <cfRule type="expression" priority="4" aboveAverage="0" equalAverage="0" bottom="0" percent="0" rank="0" text="" dxfId="3">
      <formula>MOD(ROW(),2)=1</formula>
    </cfRule>
  </conditionalFormatting>
  <conditionalFormatting sqref="B37:XFD44 B45:AD49">
    <cfRule type="expression" priority="5" aboveAverage="0" equalAverage="0" bottom="0" percent="0" rank="0" text="" dxfId="3">
      <formula>MOD(ROW(),2)=1</formula>
    </cfRule>
  </conditionalFormatting>
  <conditionalFormatting sqref="A2:AD4 A5:A50 B5:AD13 B14:XFD36 BG6:XFD13 EQ2:XFD5">
    <cfRule type="expression" priority="6" aboveAverage="0" equalAverage="0" bottom="0" percent="0" rank="0" text="" dxfId="3">
      <formula>MOD(ROW(),2)=1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7" min="6" style="1" width="22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1" min="10" style="1" width="24"/>
    <col collapsed="false" customWidth="true" hidden="false" outlineLevel="0" max="13" min="12" style="1" width="12"/>
    <col collapsed="false" customWidth="true" hidden="false" outlineLevel="0" max="14" min="14" style="1" width="14"/>
    <col collapsed="false" customWidth="true" hidden="false" outlineLevel="0" max="15" min="15" style="1" width="16"/>
    <col collapsed="false" customWidth="true" hidden="false" outlineLevel="0" max="16" min="16" style="1" width="18"/>
    <col collapsed="false" customWidth="true" hidden="false" outlineLevel="0" max="17" min="17" style="1" width="38"/>
  </cols>
  <sheetData>
    <row r="1" customFormat="false" ht="24" hidden="false" customHeight="true" outlineLevel="0" collapsed="false">
      <c r="A1" s="4" t="s">
        <v>244</v>
      </c>
      <c r="B1" s="33" t="s">
        <v>245</v>
      </c>
      <c r="C1" s="4" t="s">
        <v>246</v>
      </c>
      <c r="D1" s="4" t="s">
        <v>247</v>
      </c>
      <c r="E1" s="4" t="s">
        <v>29</v>
      </c>
      <c r="F1" s="4" t="s">
        <v>248</v>
      </c>
      <c r="G1" s="4" t="s">
        <v>249</v>
      </c>
      <c r="H1" s="4" t="s">
        <v>250</v>
      </c>
      <c r="I1" s="4" t="s">
        <v>251</v>
      </c>
      <c r="J1" s="4" t="s">
        <v>252</v>
      </c>
      <c r="K1" s="4" t="s">
        <v>253</v>
      </c>
      <c r="L1" s="4" t="s">
        <v>254</v>
      </c>
      <c r="M1" s="4" t="s">
        <v>255</v>
      </c>
      <c r="N1" s="4" t="s">
        <v>256</v>
      </c>
      <c r="O1" s="4" t="s">
        <v>257</v>
      </c>
      <c r="P1" s="4" t="s">
        <v>258</v>
      </c>
      <c r="Q1" s="4" t="s">
        <v>259</v>
      </c>
      <c r="R1" s="4"/>
      <c r="S1" s="4"/>
      <c r="T1" s="4"/>
      <c r="U1" s="4"/>
      <c r="V1" s="4"/>
      <c r="W1" s="4"/>
      <c r="X1" s="4"/>
      <c r="Y1" s="4"/>
      <c r="Z1" s="4"/>
    </row>
    <row r="2" customFormat="false" ht="71.25" hidden="false" customHeight="true" outlineLevel="0" collapsed="false">
      <c r="A2" s="1" t="n">
        <v>1</v>
      </c>
      <c r="B2" s="1" t="n">
        <v>46184</v>
      </c>
      <c r="C2" s="1" t="s">
        <v>260</v>
      </c>
      <c r="D2" s="1" t="s">
        <v>29</v>
      </c>
      <c r="E2" s="1" t="s">
        <v>33</v>
      </c>
      <c r="F2" s="1" t="s">
        <v>36</v>
      </c>
      <c r="G2" s="1" t="s">
        <v>39</v>
      </c>
      <c r="H2" s="1" t="n">
        <v>2</v>
      </c>
      <c r="I2" s="1" t="n">
        <v>0</v>
      </c>
      <c r="J2" s="1" t="str">
        <f aca="false">IF(OR(H2="",I2=""),"",IF(H2&gt;I2,F2,IF(I2&gt;H2,G2,"Empate")))</f>
        <v>México</v>
      </c>
      <c r="K2" s="1" t="s">
        <v>261</v>
      </c>
      <c r="L2" s="1" t="s">
        <v>35</v>
      </c>
      <c r="M2" s="1" t="s">
        <v>38</v>
      </c>
      <c r="N2" s="1" t="s">
        <v>34</v>
      </c>
      <c r="O2" s="1" t="s">
        <v>37</v>
      </c>
      <c r="P2" s="1" t="s">
        <v>262</v>
      </c>
      <c r="Q2" s="34" t="s">
        <v>263</v>
      </c>
    </row>
    <row r="3" customFormat="false" ht="14.25" hidden="false" customHeight="true" outlineLevel="0" collapsed="false">
      <c r="A3" s="1" t="n">
        <v>2</v>
      </c>
      <c r="B3" s="1" t="n">
        <v>46184</v>
      </c>
      <c r="C3" s="1" t="s">
        <v>264</v>
      </c>
      <c r="D3" s="1" t="s">
        <v>29</v>
      </c>
      <c r="E3" s="1" t="s">
        <v>33</v>
      </c>
      <c r="F3" s="1" t="s">
        <v>42</v>
      </c>
      <c r="G3" s="1" t="s">
        <v>45</v>
      </c>
      <c r="J3" s="1" t="str">
        <f aca="false">IF(OR(H3="",I3=""),"",IF(H3&gt;I3,F3,IF(I3&gt;H3,G3,"Empate")))</f>
        <v/>
      </c>
      <c r="K3" s="1" t="s">
        <v>265</v>
      </c>
      <c r="L3" s="1" t="s">
        <v>41</v>
      </c>
      <c r="M3" s="1" t="s">
        <v>44</v>
      </c>
      <c r="N3" s="1" t="s">
        <v>40</v>
      </c>
      <c r="O3" s="1" t="s">
        <v>43</v>
      </c>
      <c r="P3" s="1" t="s">
        <v>262</v>
      </c>
    </row>
    <row r="4" customFormat="false" ht="14.25" hidden="false" customHeight="true" outlineLevel="0" collapsed="false">
      <c r="A4" s="1" t="n">
        <v>3</v>
      </c>
      <c r="B4" s="1" t="n">
        <v>46185</v>
      </c>
      <c r="C4" s="1" t="s">
        <v>260</v>
      </c>
      <c r="D4" s="1" t="s">
        <v>29</v>
      </c>
      <c r="E4" s="1" t="s">
        <v>46</v>
      </c>
      <c r="F4" s="1" t="s">
        <v>49</v>
      </c>
      <c r="G4" s="1" t="s">
        <v>52</v>
      </c>
      <c r="J4" s="1" t="str">
        <f aca="false">IF(OR(H4="",I4=""),"",IF(H4&gt;I4,F4,IF(I4&gt;H4,G4,"Empate")))</f>
        <v/>
      </c>
      <c r="K4" s="1" t="s">
        <v>266</v>
      </c>
      <c r="L4" s="1" t="s">
        <v>48</v>
      </c>
      <c r="M4" s="1" t="s">
        <v>51</v>
      </c>
      <c r="N4" s="1" t="s">
        <v>47</v>
      </c>
      <c r="O4" s="1" t="s">
        <v>50</v>
      </c>
      <c r="P4" s="1" t="s">
        <v>262</v>
      </c>
    </row>
    <row r="5" customFormat="false" ht="14.25" hidden="false" customHeight="true" outlineLevel="0" collapsed="false">
      <c r="A5" s="1" t="n">
        <v>4</v>
      </c>
      <c r="B5" s="1" t="n">
        <v>46185</v>
      </c>
      <c r="C5" s="1" t="s">
        <v>267</v>
      </c>
      <c r="D5" s="1" t="s">
        <v>29</v>
      </c>
      <c r="E5" s="1" t="s">
        <v>72</v>
      </c>
      <c r="F5" s="1" t="s">
        <v>75</v>
      </c>
      <c r="G5" s="1" t="s">
        <v>78</v>
      </c>
      <c r="J5" s="1" t="str">
        <f aca="false">IF(OR(H5="",I5=""),"",IF(H5&gt;I5,F5,IF(I5&gt;H5,G5,"Empate")))</f>
        <v/>
      </c>
      <c r="K5" s="1" t="s">
        <v>268</v>
      </c>
      <c r="L5" s="1" t="s">
        <v>74</v>
      </c>
      <c r="M5" s="1" t="s">
        <v>77</v>
      </c>
      <c r="N5" s="1" t="s">
        <v>73</v>
      </c>
      <c r="O5" s="1" t="s">
        <v>76</v>
      </c>
      <c r="P5" s="1" t="s">
        <v>262</v>
      </c>
    </row>
    <row r="6" customFormat="false" ht="14.25" hidden="false" customHeight="true" outlineLevel="0" collapsed="false">
      <c r="A6" s="1" t="n">
        <v>5</v>
      </c>
      <c r="B6" s="1" t="n">
        <v>46186</v>
      </c>
      <c r="C6" s="1" t="s">
        <v>267</v>
      </c>
      <c r="D6" s="1" t="s">
        <v>29</v>
      </c>
      <c r="E6" s="1" t="s">
        <v>59</v>
      </c>
      <c r="F6" s="1" t="s">
        <v>68</v>
      </c>
      <c r="G6" s="1" t="s">
        <v>71</v>
      </c>
      <c r="J6" s="1" t="str">
        <f aca="false">IF(OR(H6="",I6=""),"",IF(H6&gt;I6,F6,IF(I6&gt;H6,G6,"Empate")))</f>
        <v/>
      </c>
      <c r="K6" s="1" t="s">
        <v>269</v>
      </c>
      <c r="L6" s="1" t="s">
        <v>67</v>
      </c>
      <c r="M6" s="1" t="s">
        <v>70</v>
      </c>
      <c r="N6" s="1" t="s">
        <v>66</v>
      </c>
      <c r="O6" s="1" t="s">
        <v>69</v>
      </c>
      <c r="P6" s="1" t="s">
        <v>262</v>
      </c>
    </row>
    <row r="7" customFormat="false" ht="14.25" hidden="false" customHeight="true" outlineLevel="0" collapsed="false">
      <c r="A7" s="1" t="n">
        <v>6</v>
      </c>
      <c r="B7" s="1" t="n">
        <v>46186</v>
      </c>
      <c r="C7" s="1" t="s">
        <v>270</v>
      </c>
      <c r="D7" s="1" t="s">
        <v>29</v>
      </c>
      <c r="E7" s="1" t="s">
        <v>72</v>
      </c>
      <c r="F7" s="1" t="s">
        <v>81</v>
      </c>
      <c r="G7" s="1" t="s">
        <v>84</v>
      </c>
      <c r="J7" s="1" t="str">
        <f aca="false">IF(OR(H7="",I7=""),"",IF(H7&gt;I7,F7,IF(I7&gt;H7,G7,"Empate")))</f>
        <v/>
      </c>
      <c r="K7" s="1" t="s">
        <v>271</v>
      </c>
      <c r="L7" s="1" t="s">
        <v>80</v>
      </c>
      <c r="M7" s="1" t="s">
        <v>83</v>
      </c>
      <c r="N7" s="1" t="s">
        <v>79</v>
      </c>
      <c r="O7" s="1" t="s">
        <v>82</v>
      </c>
      <c r="P7" s="1" t="s">
        <v>262</v>
      </c>
    </row>
    <row r="8" customFormat="false" ht="14.25" hidden="false" customHeight="true" outlineLevel="0" collapsed="false">
      <c r="A8" s="1" t="n">
        <v>7</v>
      </c>
      <c r="B8" s="1" t="n">
        <v>46186</v>
      </c>
      <c r="C8" s="1" t="s">
        <v>272</v>
      </c>
      <c r="D8" s="1" t="s">
        <v>29</v>
      </c>
      <c r="E8" s="1" t="s">
        <v>59</v>
      </c>
      <c r="F8" s="1" t="s">
        <v>62</v>
      </c>
      <c r="G8" s="1" t="s">
        <v>65</v>
      </c>
      <c r="J8" s="1" t="str">
        <f aca="false">IF(OR(H8="",I8=""),"",IF(H8&gt;I8,F8,IF(I8&gt;H8,G8,"Empate")))</f>
        <v/>
      </c>
      <c r="K8" s="1" t="s">
        <v>273</v>
      </c>
      <c r="L8" s="1" t="s">
        <v>61</v>
      </c>
      <c r="M8" s="1" t="s">
        <v>64</v>
      </c>
      <c r="N8" s="1" t="s">
        <v>60</v>
      </c>
      <c r="O8" s="1" t="s">
        <v>63</v>
      </c>
      <c r="P8" s="1" t="s">
        <v>262</v>
      </c>
    </row>
    <row r="9" customFormat="false" ht="14.25" hidden="false" customHeight="true" outlineLevel="0" collapsed="false">
      <c r="A9" s="1" t="n">
        <v>8</v>
      </c>
      <c r="B9" s="1" t="n">
        <v>46186</v>
      </c>
      <c r="C9" s="1" t="s">
        <v>260</v>
      </c>
      <c r="D9" s="1" t="s">
        <v>29</v>
      </c>
      <c r="E9" s="1" t="s">
        <v>46</v>
      </c>
      <c r="F9" s="1" t="s">
        <v>55</v>
      </c>
      <c r="G9" s="1" t="s">
        <v>58</v>
      </c>
      <c r="J9" s="1" t="str">
        <f aca="false">IF(OR(H9="",I9=""),"",IF(H9&gt;I9,F9,IF(I9&gt;H9,G9,"Empate")))</f>
        <v/>
      </c>
      <c r="K9" s="1" t="s">
        <v>274</v>
      </c>
      <c r="L9" s="1" t="s">
        <v>54</v>
      </c>
      <c r="M9" s="1" t="s">
        <v>57</v>
      </c>
      <c r="N9" s="1" t="s">
        <v>53</v>
      </c>
      <c r="O9" s="1" t="s">
        <v>56</v>
      </c>
      <c r="P9" s="1" t="s">
        <v>262</v>
      </c>
    </row>
    <row r="10" customFormat="false" ht="14.25" hidden="false" customHeight="true" outlineLevel="0" collapsed="false">
      <c r="A10" s="1" t="n">
        <v>9</v>
      </c>
      <c r="B10" s="1" t="n">
        <v>46187</v>
      </c>
      <c r="C10" s="1" t="s">
        <v>275</v>
      </c>
      <c r="D10" s="1" t="s">
        <v>29</v>
      </c>
      <c r="E10" s="1" t="s">
        <v>85</v>
      </c>
      <c r="F10" s="1" t="s">
        <v>94</v>
      </c>
      <c r="G10" s="1" t="s">
        <v>97</v>
      </c>
      <c r="J10" s="1" t="str">
        <f aca="false">IF(OR(H10="",I10=""),"",IF(H10&gt;I10,F10,IF(I10&gt;H10,G10,"Empate")))</f>
        <v/>
      </c>
      <c r="K10" s="1" t="s">
        <v>276</v>
      </c>
      <c r="L10" s="1" t="s">
        <v>93</v>
      </c>
      <c r="M10" s="1" t="s">
        <v>96</v>
      </c>
      <c r="N10" s="1" t="s">
        <v>92</v>
      </c>
      <c r="O10" s="1" t="s">
        <v>95</v>
      </c>
      <c r="P10" s="1" t="s">
        <v>262</v>
      </c>
    </row>
    <row r="11" customFormat="false" ht="14.25" hidden="false" customHeight="true" outlineLevel="0" collapsed="false">
      <c r="A11" s="1" t="n">
        <v>10</v>
      </c>
      <c r="B11" s="1" t="n">
        <v>46187</v>
      </c>
      <c r="C11" s="1" t="s">
        <v>277</v>
      </c>
      <c r="D11" s="1" t="s">
        <v>29</v>
      </c>
      <c r="E11" s="1" t="s">
        <v>85</v>
      </c>
      <c r="F11" s="1" t="s">
        <v>88</v>
      </c>
      <c r="G11" s="1" t="s">
        <v>91</v>
      </c>
      <c r="J11" s="1" t="str">
        <f aca="false">IF(OR(H11="",I11=""),"",IF(H11&gt;I11,F11,IF(I11&gt;H11,G11,"Empate")))</f>
        <v/>
      </c>
      <c r="K11" s="1" t="s">
        <v>278</v>
      </c>
      <c r="L11" s="1" t="s">
        <v>87</v>
      </c>
      <c r="M11" s="1" t="s">
        <v>90</v>
      </c>
      <c r="N11" s="1" t="s">
        <v>86</v>
      </c>
      <c r="O11" s="1" t="s">
        <v>89</v>
      </c>
      <c r="P11" s="1" t="s">
        <v>262</v>
      </c>
    </row>
    <row r="12" customFormat="false" ht="14.25" hidden="false" customHeight="true" outlineLevel="0" collapsed="false">
      <c r="A12" s="1" t="n">
        <v>11</v>
      </c>
      <c r="B12" s="1" t="n">
        <v>46187</v>
      </c>
      <c r="C12" s="1" t="s">
        <v>279</v>
      </c>
      <c r="D12" s="1" t="s">
        <v>29</v>
      </c>
      <c r="E12" s="1" t="s">
        <v>98</v>
      </c>
      <c r="F12" s="1" t="s">
        <v>101</v>
      </c>
      <c r="G12" s="1" t="s">
        <v>104</v>
      </c>
      <c r="J12" s="1" t="str">
        <f aca="false">IF(OR(H12="",I12=""),"",IF(H12&gt;I12,F12,IF(I12&gt;H12,G12,"Empate")))</f>
        <v/>
      </c>
      <c r="K12" s="1" t="s">
        <v>280</v>
      </c>
      <c r="L12" s="1" t="s">
        <v>100</v>
      </c>
      <c r="M12" s="1" t="s">
        <v>103</v>
      </c>
      <c r="N12" s="1" t="s">
        <v>99</v>
      </c>
      <c r="O12" s="1" t="s">
        <v>102</v>
      </c>
      <c r="P12" s="1" t="s">
        <v>262</v>
      </c>
    </row>
    <row r="13" customFormat="false" ht="14.25" hidden="false" customHeight="true" outlineLevel="0" collapsed="false">
      <c r="A13" s="1" t="n">
        <v>12</v>
      </c>
      <c r="B13" s="1" t="n">
        <v>46187</v>
      </c>
      <c r="C13" s="1" t="s">
        <v>264</v>
      </c>
      <c r="D13" s="1" t="s">
        <v>29</v>
      </c>
      <c r="E13" s="1" t="s">
        <v>98</v>
      </c>
      <c r="F13" s="1" t="s">
        <v>107</v>
      </c>
      <c r="G13" s="1" t="s">
        <v>110</v>
      </c>
      <c r="J13" s="1" t="str">
        <f aca="false">IF(OR(H13="",I13=""),"",IF(H13&gt;I13,F13,IF(I13&gt;H13,G13,"Empate")))</f>
        <v/>
      </c>
      <c r="K13" s="1" t="s">
        <v>281</v>
      </c>
      <c r="L13" s="1" t="s">
        <v>106</v>
      </c>
      <c r="M13" s="1" t="s">
        <v>109</v>
      </c>
      <c r="N13" s="1" t="s">
        <v>105</v>
      </c>
      <c r="O13" s="1" t="s">
        <v>108</v>
      </c>
      <c r="P13" s="1" t="s">
        <v>262</v>
      </c>
    </row>
    <row r="14" customFormat="false" ht="14.25" hidden="false" customHeight="true" outlineLevel="0" collapsed="false">
      <c r="A14" s="1" t="n">
        <v>13</v>
      </c>
      <c r="B14" s="1" t="n">
        <v>46188</v>
      </c>
      <c r="C14" s="1" t="s">
        <v>272</v>
      </c>
      <c r="D14" s="1" t="s">
        <v>29</v>
      </c>
      <c r="E14" s="1" t="s">
        <v>124</v>
      </c>
      <c r="F14" s="1" t="s">
        <v>133</v>
      </c>
      <c r="G14" s="1" t="s">
        <v>136</v>
      </c>
      <c r="J14" s="1" t="str">
        <f aca="false">IF(OR(H14="",I14=""),"",IF(H14&gt;I14,F14,IF(I14&gt;H14,G14,"Empate")))</f>
        <v/>
      </c>
      <c r="K14" s="1" t="s">
        <v>282</v>
      </c>
      <c r="L14" s="1" t="s">
        <v>132</v>
      </c>
      <c r="M14" s="1" t="s">
        <v>135</v>
      </c>
      <c r="N14" s="1" t="s">
        <v>131</v>
      </c>
      <c r="O14" s="1" t="s">
        <v>134</v>
      </c>
      <c r="P14" s="1" t="s">
        <v>262</v>
      </c>
    </row>
    <row r="15" customFormat="false" ht="14.25" hidden="false" customHeight="true" outlineLevel="0" collapsed="false">
      <c r="A15" s="1" t="n">
        <v>14</v>
      </c>
      <c r="B15" s="1" t="n">
        <v>46188</v>
      </c>
      <c r="C15" s="1" t="s">
        <v>283</v>
      </c>
      <c r="D15" s="1" t="s">
        <v>29</v>
      </c>
      <c r="E15" s="1" t="s">
        <v>124</v>
      </c>
      <c r="F15" s="1" t="s">
        <v>127</v>
      </c>
      <c r="G15" s="1" t="s">
        <v>130</v>
      </c>
      <c r="J15" s="1" t="str">
        <f aca="false">IF(OR(H15="",I15=""),"",IF(H15&gt;I15,F15,IF(I15&gt;H15,G15,"Empate")))</f>
        <v/>
      </c>
      <c r="K15" s="1" t="s">
        <v>284</v>
      </c>
      <c r="L15" s="1" t="s">
        <v>126</v>
      </c>
      <c r="M15" s="1" t="s">
        <v>129</v>
      </c>
      <c r="N15" s="1" t="s">
        <v>125</v>
      </c>
      <c r="O15" s="1" t="s">
        <v>128</v>
      </c>
      <c r="P15" s="1" t="s">
        <v>262</v>
      </c>
    </row>
    <row r="16" customFormat="false" ht="14.25" hidden="false" customHeight="true" outlineLevel="0" collapsed="false">
      <c r="A16" s="1" t="n">
        <v>15</v>
      </c>
      <c r="B16" s="1" t="n">
        <v>46188</v>
      </c>
      <c r="C16" s="1" t="s">
        <v>267</v>
      </c>
      <c r="D16" s="1" t="s">
        <v>29</v>
      </c>
      <c r="E16" s="1" t="s">
        <v>111</v>
      </c>
      <c r="F16" s="1" t="s">
        <v>120</v>
      </c>
      <c r="G16" s="1" t="s">
        <v>123</v>
      </c>
      <c r="J16" s="1" t="str">
        <f aca="false">IF(OR(H16="",I16=""),"",IF(H16&gt;I16,F16,IF(I16&gt;H16,G16,"Empate")))</f>
        <v/>
      </c>
      <c r="K16" s="1" t="s">
        <v>268</v>
      </c>
      <c r="L16" s="1" t="s">
        <v>119</v>
      </c>
      <c r="M16" s="1" t="s">
        <v>122</v>
      </c>
      <c r="N16" s="1" t="s">
        <v>118</v>
      </c>
      <c r="O16" s="1" t="s">
        <v>121</v>
      </c>
      <c r="P16" s="1" t="s">
        <v>262</v>
      </c>
    </row>
    <row r="17" customFormat="false" ht="14.25" hidden="false" customHeight="true" outlineLevel="0" collapsed="false">
      <c r="A17" s="1" t="n">
        <v>16</v>
      </c>
      <c r="B17" s="1" t="n">
        <v>46188</v>
      </c>
      <c r="C17" s="1" t="s">
        <v>260</v>
      </c>
      <c r="D17" s="1" t="s">
        <v>29</v>
      </c>
      <c r="E17" s="1" t="s">
        <v>111</v>
      </c>
      <c r="F17" s="1" t="s">
        <v>114</v>
      </c>
      <c r="G17" s="1" t="s">
        <v>117</v>
      </c>
      <c r="J17" s="1" t="str">
        <f aca="false">IF(OR(H17="",I17=""),"",IF(H17&gt;I17,F17,IF(I17&gt;H17,G17,"Empate")))</f>
        <v/>
      </c>
      <c r="K17" s="1" t="s">
        <v>285</v>
      </c>
      <c r="L17" s="1" t="s">
        <v>113</v>
      </c>
      <c r="M17" s="1" t="s">
        <v>116</v>
      </c>
      <c r="N17" s="1" t="s">
        <v>112</v>
      </c>
      <c r="O17" s="1" t="s">
        <v>115</v>
      </c>
      <c r="P17" s="1" t="s">
        <v>262</v>
      </c>
    </row>
    <row r="18" customFormat="false" ht="14.25" hidden="false" customHeight="true" outlineLevel="0" collapsed="false">
      <c r="A18" s="1" t="n">
        <v>17</v>
      </c>
      <c r="B18" s="1" t="n">
        <v>46189</v>
      </c>
      <c r="C18" s="1" t="s">
        <v>260</v>
      </c>
      <c r="D18" s="1" t="s">
        <v>29</v>
      </c>
      <c r="E18" s="1" t="s">
        <v>137</v>
      </c>
      <c r="F18" s="1" t="s">
        <v>140</v>
      </c>
      <c r="G18" s="1" t="s">
        <v>143</v>
      </c>
      <c r="J18" s="1" t="str">
        <f aca="false">IF(OR(H18="",I18=""),"",IF(H18&gt;I18,F18,IF(I18&gt;H18,G18,"Empate")))</f>
        <v/>
      </c>
      <c r="K18" s="1" t="s">
        <v>273</v>
      </c>
      <c r="L18" s="1" t="s">
        <v>139</v>
      </c>
      <c r="M18" s="1" t="s">
        <v>142</v>
      </c>
      <c r="N18" s="1" t="s">
        <v>138</v>
      </c>
      <c r="O18" s="1" t="s">
        <v>141</v>
      </c>
      <c r="P18" s="1" t="s">
        <v>262</v>
      </c>
    </row>
    <row r="19" customFormat="false" ht="14.25" hidden="false" customHeight="true" outlineLevel="0" collapsed="false">
      <c r="A19" s="1" t="n">
        <v>18</v>
      </c>
      <c r="B19" s="1" t="n">
        <v>46189</v>
      </c>
      <c r="C19" s="1" t="s">
        <v>272</v>
      </c>
      <c r="D19" s="1" t="s">
        <v>29</v>
      </c>
      <c r="E19" s="1" t="s">
        <v>137</v>
      </c>
      <c r="F19" s="1" t="s">
        <v>146</v>
      </c>
      <c r="G19" s="1" t="s">
        <v>149</v>
      </c>
      <c r="J19" s="1" t="str">
        <f aca="false">IF(OR(H19="",I19=""),"",IF(H19&gt;I19,F19,IF(I19&gt;H19,G19,"Empate")))</f>
        <v/>
      </c>
      <c r="K19" s="1" t="s">
        <v>269</v>
      </c>
      <c r="L19" s="1" t="s">
        <v>145</v>
      </c>
      <c r="M19" s="1" t="s">
        <v>148</v>
      </c>
      <c r="N19" s="1" t="s">
        <v>144</v>
      </c>
      <c r="O19" s="1" t="s">
        <v>147</v>
      </c>
      <c r="P19" s="1" t="s">
        <v>262</v>
      </c>
    </row>
    <row r="20" customFormat="false" ht="14.25" hidden="false" customHeight="true" outlineLevel="0" collapsed="false">
      <c r="A20" s="1" t="n">
        <v>19</v>
      </c>
      <c r="B20" s="1" t="n">
        <v>46189</v>
      </c>
      <c r="C20" s="1" t="s">
        <v>267</v>
      </c>
      <c r="D20" s="1" t="s">
        <v>29</v>
      </c>
      <c r="E20" s="1" t="s">
        <v>150</v>
      </c>
      <c r="F20" s="1" t="s">
        <v>153</v>
      </c>
      <c r="G20" s="1" t="s">
        <v>156</v>
      </c>
      <c r="J20" s="1" t="str">
        <f aca="false">IF(OR(H20="",I20=""),"",IF(H20&gt;I20,F20,IF(I20&gt;H20,G20,"Empate")))</f>
        <v/>
      </c>
      <c r="K20" s="1" t="s">
        <v>286</v>
      </c>
      <c r="L20" s="1" t="s">
        <v>152</v>
      </c>
      <c r="M20" s="1" t="s">
        <v>155</v>
      </c>
      <c r="N20" s="1" t="s">
        <v>151</v>
      </c>
      <c r="O20" s="1" t="s">
        <v>154</v>
      </c>
      <c r="P20" s="1" t="s">
        <v>262</v>
      </c>
    </row>
    <row r="21" customFormat="false" ht="14.25" hidden="false" customHeight="true" outlineLevel="0" collapsed="false">
      <c r="A21" s="1" t="n">
        <v>20</v>
      </c>
      <c r="B21" s="1" t="n">
        <v>46189</v>
      </c>
      <c r="C21" s="1" t="s">
        <v>270</v>
      </c>
      <c r="D21" s="1" t="s">
        <v>29</v>
      </c>
      <c r="E21" s="1" t="s">
        <v>150</v>
      </c>
      <c r="F21" s="1" t="s">
        <v>159</v>
      </c>
      <c r="G21" s="1" t="s">
        <v>162</v>
      </c>
      <c r="J21" s="1" t="str">
        <f aca="false">IF(OR(H21="",I21=""),"",IF(H21&gt;I21,F21,IF(I21&gt;H21,G21,"Empate")))</f>
        <v/>
      </c>
      <c r="K21" s="1" t="s">
        <v>274</v>
      </c>
      <c r="L21" s="1" t="s">
        <v>158</v>
      </c>
      <c r="M21" s="1" t="s">
        <v>161</v>
      </c>
      <c r="N21" s="1" t="s">
        <v>157</v>
      </c>
      <c r="O21" s="1" t="s">
        <v>160</v>
      </c>
      <c r="P21" s="1" t="s">
        <v>262</v>
      </c>
    </row>
    <row r="22" customFormat="false" ht="14.25" hidden="false" customHeight="true" outlineLevel="0" collapsed="false">
      <c r="A22" s="1" t="n">
        <v>21</v>
      </c>
      <c r="B22" s="1" t="n">
        <v>46190</v>
      </c>
      <c r="C22" s="1" t="s">
        <v>275</v>
      </c>
      <c r="D22" s="1" t="s">
        <v>29</v>
      </c>
      <c r="E22" s="1" t="s">
        <v>176</v>
      </c>
      <c r="F22" s="1" t="s">
        <v>185</v>
      </c>
      <c r="G22" s="1" t="s">
        <v>188</v>
      </c>
      <c r="J22" s="1" t="str">
        <f aca="false">IF(OR(H22="",I22=""),"",IF(H22&gt;I22,F22,IF(I22&gt;H22,G22,"Empate")))</f>
        <v/>
      </c>
      <c r="K22" s="1" t="s">
        <v>266</v>
      </c>
      <c r="L22" s="1" t="s">
        <v>184</v>
      </c>
      <c r="M22" s="1" t="s">
        <v>187</v>
      </c>
      <c r="N22" s="1" t="s">
        <v>183</v>
      </c>
      <c r="O22" s="1" t="s">
        <v>186</v>
      </c>
      <c r="P22" s="1" t="s">
        <v>262</v>
      </c>
    </row>
    <row r="23" customFormat="false" ht="14.25" hidden="false" customHeight="true" outlineLevel="0" collapsed="false">
      <c r="A23" s="1" t="n">
        <v>22</v>
      </c>
      <c r="B23" s="1" t="n">
        <v>46190</v>
      </c>
      <c r="C23" s="1" t="s">
        <v>279</v>
      </c>
      <c r="D23" s="1" t="s">
        <v>29</v>
      </c>
      <c r="E23" s="1" t="s">
        <v>176</v>
      </c>
      <c r="F23" s="1" t="s">
        <v>179</v>
      </c>
      <c r="G23" s="1" t="s">
        <v>182</v>
      </c>
      <c r="J23" s="1" t="str">
        <f aca="false">IF(OR(H23="",I23=""),"",IF(H23&gt;I23,F23,IF(I23&gt;H23,G23,"Empate")))</f>
        <v/>
      </c>
      <c r="K23" s="1" t="s">
        <v>280</v>
      </c>
      <c r="L23" s="1" t="s">
        <v>178</v>
      </c>
      <c r="M23" s="1" t="s">
        <v>181</v>
      </c>
      <c r="N23" s="1" t="s">
        <v>177</v>
      </c>
      <c r="O23" s="1" t="s">
        <v>180</v>
      </c>
      <c r="P23" s="1" t="s">
        <v>262</v>
      </c>
    </row>
    <row r="24" customFormat="false" ht="14.25" hidden="false" customHeight="true" outlineLevel="0" collapsed="false">
      <c r="A24" s="1" t="n">
        <v>23</v>
      </c>
      <c r="B24" s="1" t="n">
        <v>46190</v>
      </c>
      <c r="C24" s="1" t="s">
        <v>277</v>
      </c>
      <c r="D24" s="1" t="s">
        <v>29</v>
      </c>
      <c r="E24" s="1" t="s">
        <v>163</v>
      </c>
      <c r="F24" s="1" t="s">
        <v>166</v>
      </c>
      <c r="G24" s="1" t="s">
        <v>169</v>
      </c>
      <c r="J24" s="1" t="str">
        <f aca="false">IF(OR(H24="",I24=""),"",IF(H24&gt;I24,F24,IF(I24&gt;H24,G24,"Empate")))</f>
        <v/>
      </c>
      <c r="K24" s="1" t="s">
        <v>278</v>
      </c>
      <c r="L24" s="1" t="s">
        <v>165</v>
      </c>
      <c r="M24" s="1" t="s">
        <v>168</v>
      </c>
      <c r="N24" s="1" t="s">
        <v>164</v>
      </c>
      <c r="O24" s="1" t="s">
        <v>167</v>
      </c>
      <c r="P24" s="1" t="s">
        <v>262</v>
      </c>
    </row>
    <row r="25" customFormat="false" ht="14.25" hidden="false" customHeight="true" outlineLevel="0" collapsed="false">
      <c r="A25" s="1" t="n">
        <v>24</v>
      </c>
      <c r="B25" s="1" t="n">
        <v>46190</v>
      </c>
      <c r="C25" s="1" t="s">
        <v>264</v>
      </c>
      <c r="D25" s="1" t="s">
        <v>29</v>
      </c>
      <c r="E25" s="1" t="s">
        <v>163</v>
      </c>
      <c r="F25" s="1" t="s">
        <v>172</v>
      </c>
      <c r="G25" s="1" t="s">
        <v>175</v>
      </c>
      <c r="J25" s="1" t="str">
        <f aca="false">IF(OR(H25="",I25=""),"",IF(H25&gt;I25,F25,IF(I25&gt;H25,G25,"Empate")))</f>
        <v/>
      </c>
      <c r="K25" s="1" t="s">
        <v>261</v>
      </c>
      <c r="L25" s="1" t="s">
        <v>171</v>
      </c>
      <c r="M25" s="1" t="s">
        <v>174</v>
      </c>
      <c r="N25" s="1" t="s">
        <v>170</v>
      </c>
      <c r="O25" s="1" t="s">
        <v>173</v>
      </c>
      <c r="P25" s="1" t="s">
        <v>262</v>
      </c>
    </row>
    <row r="26" customFormat="false" ht="14.25" hidden="false" customHeight="true" outlineLevel="0" collapsed="false">
      <c r="A26" s="1" t="n">
        <v>25</v>
      </c>
      <c r="B26" s="1" t="n">
        <v>46191</v>
      </c>
      <c r="C26" s="1" t="s">
        <v>283</v>
      </c>
      <c r="D26" s="1" t="s">
        <v>29</v>
      </c>
      <c r="E26" s="1" t="s">
        <v>33</v>
      </c>
      <c r="F26" s="1" t="s">
        <v>45</v>
      </c>
      <c r="G26" s="1" t="s">
        <v>39</v>
      </c>
      <c r="J26" s="1" t="str">
        <f aca="false">IF(OR(H26="",I26=""),"",IF(H26&gt;I26,F26,IF(I26&gt;H26,G26,"Empate")))</f>
        <v/>
      </c>
      <c r="K26" s="1" t="s">
        <v>284</v>
      </c>
      <c r="L26" s="1" t="s">
        <v>44</v>
      </c>
      <c r="M26" s="1" t="s">
        <v>38</v>
      </c>
      <c r="N26" s="1" t="s">
        <v>43</v>
      </c>
      <c r="O26" s="1" t="s">
        <v>37</v>
      </c>
      <c r="P26" s="1" t="s">
        <v>262</v>
      </c>
    </row>
    <row r="27" customFormat="false" ht="14.25" hidden="false" customHeight="true" outlineLevel="0" collapsed="false">
      <c r="A27" s="1" t="n">
        <v>26</v>
      </c>
      <c r="B27" s="1" t="n">
        <v>46191</v>
      </c>
      <c r="C27" s="1" t="s">
        <v>260</v>
      </c>
      <c r="D27" s="1" t="s">
        <v>29</v>
      </c>
      <c r="E27" s="1" t="s">
        <v>46</v>
      </c>
      <c r="F27" s="1" t="s">
        <v>58</v>
      </c>
      <c r="G27" s="1" t="s">
        <v>52</v>
      </c>
      <c r="J27" s="1" t="str">
        <f aca="false">IF(OR(H27="",I27=""),"",IF(H27&gt;I27,F27,IF(I27&gt;H27,G27,"Empate")))</f>
        <v/>
      </c>
      <c r="K27" s="1" t="s">
        <v>268</v>
      </c>
      <c r="L27" s="1" t="s">
        <v>57</v>
      </c>
      <c r="M27" s="1" t="s">
        <v>51</v>
      </c>
      <c r="N27" s="1" t="s">
        <v>56</v>
      </c>
      <c r="O27" s="1" t="s">
        <v>50</v>
      </c>
      <c r="P27" s="1" t="s">
        <v>262</v>
      </c>
    </row>
    <row r="28" customFormat="false" ht="14.25" hidden="false" customHeight="true" outlineLevel="0" collapsed="false">
      <c r="A28" s="1" t="n">
        <v>27</v>
      </c>
      <c r="B28" s="1" t="n">
        <v>46191</v>
      </c>
      <c r="C28" s="1" t="s">
        <v>272</v>
      </c>
      <c r="D28" s="1" t="s">
        <v>29</v>
      </c>
      <c r="E28" s="1" t="s">
        <v>46</v>
      </c>
      <c r="F28" s="1" t="s">
        <v>49</v>
      </c>
      <c r="G28" s="1" t="s">
        <v>55</v>
      </c>
      <c r="J28" s="1" t="str">
        <f aca="false">IF(OR(H28="",I28=""),"",IF(H28&gt;I28,F28,IF(I28&gt;H28,G28,"Empate")))</f>
        <v/>
      </c>
      <c r="K28" s="1" t="s">
        <v>271</v>
      </c>
      <c r="L28" s="1" t="s">
        <v>48</v>
      </c>
      <c r="M28" s="1" t="s">
        <v>54</v>
      </c>
      <c r="N28" s="1" t="s">
        <v>47</v>
      </c>
      <c r="O28" s="1" t="s">
        <v>53</v>
      </c>
      <c r="P28" s="1" t="s">
        <v>262</v>
      </c>
    </row>
    <row r="29" customFormat="false" ht="14.25" hidden="false" customHeight="true" outlineLevel="0" collapsed="false">
      <c r="A29" s="1" t="n">
        <v>28</v>
      </c>
      <c r="B29" s="1" t="n">
        <v>46191</v>
      </c>
      <c r="C29" s="1" t="s">
        <v>267</v>
      </c>
      <c r="D29" s="1" t="s">
        <v>29</v>
      </c>
      <c r="E29" s="1" t="s">
        <v>33</v>
      </c>
      <c r="F29" s="1" t="s">
        <v>36</v>
      </c>
      <c r="G29" s="1" t="s">
        <v>42</v>
      </c>
      <c r="J29" s="1" t="str">
        <f aca="false">IF(OR(H29="",I29=""),"",IF(H29&gt;I29,F29,IF(I29&gt;H29,G29,"Empate")))</f>
        <v/>
      </c>
      <c r="K29" s="1" t="s">
        <v>265</v>
      </c>
      <c r="L29" s="1" t="s">
        <v>35</v>
      </c>
      <c r="M29" s="1" t="s">
        <v>41</v>
      </c>
      <c r="N29" s="1" t="s">
        <v>34</v>
      </c>
      <c r="O29" s="1" t="s">
        <v>40</v>
      </c>
      <c r="P29" s="1" t="s">
        <v>262</v>
      </c>
    </row>
    <row r="30" customFormat="false" ht="14.25" hidden="false" customHeight="true" outlineLevel="0" collapsed="false">
      <c r="A30" s="1" t="n">
        <v>29</v>
      </c>
      <c r="B30" s="1" t="n">
        <v>46192</v>
      </c>
      <c r="C30" s="1" t="s">
        <v>287</v>
      </c>
      <c r="D30" s="1" t="s">
        <v>29</v>
      </c>
      <c r="E30" s="1" t="s">
        <v>59</v>
      </c>
      <c r="F30" s="1" t="s">
        <v>62</v>
      </c>
      <c r="G30" s="1" t="s">
        <v>68</v>
      </c>
      <c r="J30" s="1" t="str">
        <f aca="false">IF(OR(H30="",I30=""),"",IF(H30&gt;I30,F30,IF(I30&gt;H30,G30,"Empate")))</f>
        <v/>
      </c>
      <c r="K30" s="1" t="s">
        <v>276</v>
      </c>
      <c r="L30" s="1" t="s">
        <v>61</v>
      </c>
      <c r="M30" s="1" t="s">
        <v>67</v>
      </c>
      <c r="N30" s="1" t="s">
        <v>60</v>
      </c>
      <c r="O30" s="1" t="s">
        <v>66</v>
      </c>
      <c r="P30" s="1" t="s">
        <v>262</v>
      </c>
    </row>
    <row r="31" customFormat="false" ht="14.25" hidden="false" customHeight="true" outlineLevel="0" collapsed="false">
      <c r="A31" s="1" t="n">
        <v>30</v>
      </c>
      <c r="B31" s="1" t="n">
        <v>46192</v>
      </c>
      <c r="C31" s="1" t="s">
        <v>272</v>
      </c>
      <c r="D31" s="1" t="s">
        <v>29</v>
      </c>
      <c r="E31" s="1" t="s">
        <v>59</v>
      </c>
      <c r="F31" s="1" t="s">
        <v>71</v>
      </c>
      <c r="G31" s="1" t="s">
        <v>65</v>
      </c>
      <c r="J31" s="1" t="str">
        <f aca="false">IF(OR(H31="",I31=""),"",IF(H31&gt;I31,F31,IF(I31&gt;H31,G31,"Empate")))</f>
        <v/>
      </c>
      <c r="K31" s="1" t="s">
        <v>269</v>
      </c>
      <c r="L31" s="1" t="s">
        <v>70</v>
      </c>
      <c r="M31" s="1" t="s">
        <v>64</v>
      </c>
      <c r="N31" s="1" t="s">
        <v>69</v>
      </c>
      <c r="O31" s="1" t="s">
        <v>63</v>
      </c>
      <c r="P31" s="1" t="s">
        <v>262</v>
      </c>
    </row>
    <row r="32" customFormat="false" ht="14.25" hidden="false" customHeight="true" outlineLevel="0" collapsed="false">
      <c r="A32" s="1" t="n">
        <v>31</v>
      </c>
      <c r="B32" s="1" t="n">
        <v>46192</v>
      </c>
      <c r="C32" s="1" t="s">
        <v>288</v>
      </c>
      <c r="D32" s="1" t="s">
        <v>29</v>
      </c>
      <c r="E32" s="1" t="s">
        <v>72</v>
      </c>
      <c r="F32" s="1" t="s">
        <v>84</v>
      </c>
      <c r="G32" s="1" t="s">
        <v>78</v>
      </c>
      <c r="J32" s="1" t="str">
        <f aca="false">IF(OR(H32="",I32=""),"",IF(H32&gt;I32,F32,IF(I32&gt;H32,G32,"Empate")))</f>
        <v/>
      </c>
      <c r="K32" s="1" t="s">
        <v>274</v>
      </c>
      <c r="L32" s="1" t="s">
        <v>83</v>
      </c>
      <c r="M32" s="1" t="s">
        <v>77</v>
      </c>
      <c r="N32" s="1" t="s">
        <v>82</v>
      </c>
      <c r="O32" s="1" t="s">
        <v>76</v>
      </c>
      <c r="P32" s="1" t="s">
        <v>262</v>
      </c>
    </row>
    <row r="33" customFormat="false" ht="14.25" hidden="false" customHeight="true" outlineLevel="0" collapsed="false">
      <c r="A33" s="1" t="n">
        <v>32</v>
      </c>
      <c r="B33" s="1" t="n">
        <v>46192</v>
      </c>
      <c r="C33" s="1" t="s">
        <v>260</v>
      </c>
      <c r="D33" s="1" t="s">
        <v>29</v>
      </c>
      <c r="E33" s="1" t="s">
        <v>72</v>
      </c>
      <c r="F33" s="1" t="s">
        <v>75</v>
      </c>
      <c r="G33" s="1" t="s">
        <v>81</v>
      </c>
      <c r="J33" s="1" t="str">
        <f aca="false">IF(OR(H33="",I33=""),"",IF(H33&gt;I33,F33,IF(I33&gt;H33,G33,"Empate")))</f>
        <v/>
      </c>
      <c r="K33" s="1" t="s">
        <v>285</v>
      </c>
      <c r="L33" s="1" t="s">
        <v>74</v>
      </c>
      <c r="M33" s="1" t="s">
        <v>80</v>
      </c>
      <c r="N33" s="1" t="s">
        <v>73</v>
      </c>
      <c r="O33" s="1" t="s">
        <v>79</v>
      </c>
      <c r="P33" s="1" t="s">
        <v>262</v>
      </c>
    </row>
    <row r="34" customFormat="false" ht="14.25" hidden="false" customHeight="true" outlineLevel="0" collapsed="false">
      <c r="A34" s="1" t="n">
        <v>33</v>
      </c>
      <c r="B34" s="1" t="n">
        <v>46193</v>
      </c>
      <c r="C34" s="1" t="s">
        <v>279</v>
      </c>
      <c r="D34" s="1" t="s">
        <v>29</v>
      </c>
      <c r="E34" s="1" t="s">
        <v>85</v>
      </c>
      <c r="F34" s="1" t="s">
        <v>88</v>
      </c>
      <c r="G34" s="1" t="s">
        <v>94</v>
      </c>
      <c r="J34" s="1" t="str">
        <f aca="false">IF(OR(H34="",I34=""),"",IF(H34&gt;I34,F34,IF(I34&gt;H34,G34,"Empate")))</f>
        <v/>
      </c>
      <c r="K34" s="1" t="s">
        <v>266</v>
      </c>
      <c r="L34" s="1" t="s">
        <v>87</v>
      </c>
      <c r="M34" s="1" t="s">
        <v>93</v>
      </c>
      <c r="N34" s="1" t="s">
        <v>86</v>
      </c>
      <c r="O34" s="1" t="s">
        <v>92</v>
      </c>
      <c r="P34" s="1" t="s">
        <v>262</v>
      </c>
    </row>
    <row r="35" customFormat="false" ht="14.25" hidden="false" customHeight="true" outlineLevel="0" collapsed="false">
      <c r="A35" s="1" t="n">
        <v>34</v>
      </c>
      <c r="B35" s="1" t="n">
        <v>46193</v>
      </c>
      <c r="C35" s="1" t="s">
        <v>289</v>
      </c>
      <c r="D35" s="1" t="s">
        <v>29</v>
      </c>
      <c r="E35" s="1" t="s">
        <v>85</v>
      </c>
      <c r="F35" s="1" t="s">
        <v>97</v>
      </c>
      <c r="G35" s="1" t="s">
        <v>91</v>
      </c>
      <c r="J35" s="1" t="str">
        <f aca="false">IF(OR(H35="",I35=""),"",IF(H35&gt;I35,F35,IF(I35&gt;H35,G35,"Empate")))</f>
        <v/>
      </c>
      <c r="K35" s="1" t="s">
        <v>286</v>
      </c>
      <c r="L35" s="1" t="s">
        <v>96</v>
      </c>
      <c r="M35" s="1" t="s">
        <v>90</v>
      </c>
      <c r="N35" s="1" t="s">
        <v>95</v>
      </c>
      <c r="O35" s="1" t="s">
        <v>89</v>
      </c>
      <c r="P35" s="1" t="s">
        <v>262</v>
      </c>
    </row>
    <row r="36" customFormat="false" ht="14.25" hidden="false" customHeight="true" outlineLevel="0" collapsed="false">
      <c r="A36" s="1" t="n">
        <v>35</v>
      </c>
      <c r="B36" s="1" t="n">
        <v>46193</v>
      </c>
      <c r="C36" s="1" t="s">
        <v>277</v>
      </c>
      <c r="D36" s="1" t="s">
        <v>29</v>
      </c>
      <c r="E36" s="1" t="s">
        <v>98</v>
      </c>
      <c r="F36" s="1" t="s">
        <v>101</v>
      </c>
      <c r="G36" s="1" t="s">
        <v>107</v>
      </c>
      <c r="J36" s="1" t="str">
        <f aca="false">IF(OR(H36="",I36=""),"",IF(H36&gt;I36,F36,IF(I36&gt;H36,G36,"Empate")))</f>
        <v/>
      </c>
      <c r="K36" s="1" t="s">
        <v>278</v>
      </c>
      <c r="L36" s="1" t="s">
        <v>100</v>
      </c>
      <c r="M36" s="1" t="s">
        <v>106</v>
      </c>
      <c r="N36" s="1" t="s">
        <v>99</v>
      </c>
      <c r="O36" s="1" t="s">
        <v>105</v>
      </c>
      <c r="P36" s="1" t="s">
        <v>262</v>
      </c>
    </row>
    <row r="37" customFormat="false" ht="14.25" hidden="false" customHeight="true" outlineLevel="0" collapsed="false">
      <c r="A37" s="1" t="n">
        <v>36</v>
      </c>
      <c r="B37" s="1" t="n">
        <v>46193</v>
      </c>
      <c r="C37" s="1" t="s">
        <v>270</v>
      </c>
      <c r="D37" s="1" t="s">
        <v>29</v>
      </c>
      <c r="E37" s="1" t="s">
        <v>98</v>
      </c>
      <c r="F37" s="1" t="s">
        <v>110</v>
      </c>
      <c r="G37" s="1" t="s">
        <v>104</v>
      </c>
      <c r="J37" s="1" t="str">
        <f aca="false">IF(OR(H37="",I37=""),"",IF(H37&gt;I37,F37,IF(I37&gt;H37,G37,"Empate")))</f>
        <v/>
      </c>
      <c r="K37" s="1" t="s">
        <v>281</v>
      </c>
      <c r="L37" s="1" t="s">
        <v>109</v>
      </c>
      <c r="M37" s="1" t="s">
        <v>103</v>
      </c>
      <c r="N37" s="1" t="s">
        <v>108</v>
      </c>
      <c r="O37" s="1" t="s">
        <v>102</v>
      </c>
      <c r="P37" s="1" t="s">
        <v>262</v>
      </c>
    </row>
    <row r="38" customFormat="false" ht="14.25" hidden="false" customHeight="true" outlineLevel="0" collapsed="false">
      <c r="A38" s="1" t="n">
        <v>37</v>
      </c>
      <c r="B38" s="1" t="n">
        <v>46194</v>
      </c>
      <c r="C38" s="1" t="s">
        <v>272</v>
      </c>
      <c r="D38" s="1" t="s">
        <v>29</v>
      </c>
      <c r="E38" s="1" t="s">
        <v>124</v>
      </c>
      <c r="F38" s="1" t="s">
        <v>136</v>
      </c>
      <c r="G38" s="1" t="s">
        <v>130</v>
      </c>
      <c r="J38" s="1" t="str">
        <f aca="false">IF(OR(H38="",I38=""),"",IF(H38&gt;I38,F38,IF(I38&gt;H38,G38,"Empate")))</f>
        <v/>
      </c>
      <c r="K38" s="1" t="s">
        <v>282</v>
      </c>
      <c r="L38" s="1" t="s">
        <v>135</v>
      </c>
      <c r="M38" s="1" t="s">
        <v>129</v>
      </c>
      <c r="N38" s="1" t="s">
        <v>134</v>
      </c>
      <c r="O38" s="1" t="s">
        <v>128</v>
      </c>
      <c r="P38" s="1" t="s">
        <v>262</v>
      </c>
    </row>
    <row r="39" customFormat="false" ht="14.25" hidden="false" customHeight="true" outlineLevel="0" collapsed="false">
      <c r="A39" s="1" t="n">
        <v>38</v>
      </c>
      <c r="B39" s="1" t="n">
        <v>46194</v>
      </c>
      <c r="C39" s="1" t="s">
        <v>283</v>
      </c>
      <c r="D39" s="1" t="s">
        <v>29</v>
      </c>
      <c r="E39" s="1" t="s">
        <v>124</v>
      </c>
      <c r="F39" s="1" t="s">
        <v>127</v>
      </c>
      <c r="G39" s="1" t="s">
        <v>133</v>
      </c>
      <c r="J39" s="1" t="str">
        <f aca="false">IF(OR(H39="",I39=""),"",IF(H39&gt;I39,F39,IF(I39&gt;H39,G39,"Empate")))</f>
        <v/>
      </c>
      <c r="K39" s="1" t="s">
        <v>284</v>
      </c>
      <c r="L39" s="1" t="s">
        <v>126</v>
      </c>
      <c r="M39" s="1" t="s">
        <v>132</v>
      </c>
      <c r="N39" s="1" t="s">
        <v>125</v>
      </c>
      <c r="O39" s="1" t="s">
        <v>131</v>
      </c>
      <c r="P39" s="1" t="s">
        <v>262</v>
      </c>
    </row>
    <row r="40" customFormat="false" ht="14.25" hidden="false" customHeight="true" outlineLevel="0" collapsed="false">
      <c r="A40" s="1" t="n">
        <v>39</v>
      </c>
      <c r="B40" s="1" t="n">
        <v>46194</v>
      </c>
      <c r="C40" s="1" t="s">
        <v>260</v>
      </c>
      <c r="D40" s="1" t="s">
        <v>29</v>
      </c>
      <c r="E40" s="1" t="s">
        <v>111</v>
      </c>
      <c r="F40" s="1" t="s">
        <v>114</v>
      </c>
      <c r="G40" s="1" t="s">
        <v>120</v>
      </c>
      <c r="J40" s="1" t="str">
        <f aca="false">IF(OR(H40="",I40=""),"",IF(H40&gt;I40,F40,IF(I40&gt;H40,G40,"Empate")))</f>
        <v/>
      </c>
      <c r="K40" s="1" t="s">
        <v>268</v>
      </c>
      <c r="L40" s="1" t="s">
        <v>113</v>
      </c>
      <c r="M40" s="1" t="s">
        <v>119</v>
      </c>
      <c r="N40" s="1" t="s">
        <v>112</v>
      </c>
      <c r="O40" s="1" t="s">
        <v>118</v>
      </c>
      <c r="P40" s="1" t="s">
        <v>262</v>
      </c>
    </row>
    <row r="41" customFormat="false" ht="14.25" hidden="false" customHeight="true" outlineLevel="0" collapsed="false">
      <c r="A41" s="1" t="n">
        <v>40</v>
      </c>
      <c r="B41" s="1" t="n">
        <v>46194</v>
      </c>
      <c r="C41" s="1" t="s">
        <v>267</v>
      </c>
      <c r="D41" s="1" t="s">
        <v>29</v>
      </c>
      <c r="E41" s="1" t="s">
        <v>111</v>
      </c>
      <c r="F41" s="1" t="s">
        <v>123</v>
      </c>
      <c r="G41" s="1" t="s">
        <v>117</v>
      </c>
      <c r="J41" s="1" t="str">
        <f aca="false">IF(OR(H41="",I41=""),"",IF(H41&gt;I41,F41,IF(I41&gt;H41,G41,"Empate")))</f>
        <v/>
      </c>
      <c r="K41" s="1" t="s">
        <v>271</v>
      </c>
      <c r="L41" s="1" t="s">
        <v>122</v>
      </c>
      <c r="M41" s="1" t="s">
        <v>116</v>
      </c>
      <c r="N41" s="1" t="s">
        <v>121</v>
      </c>
      <c r="O41" s="1" t="s">
        <v>115</v>
      </c>
      <c r="P41" s="1" t="s">
        <v>262</v>
      </c>
    </row>
    <row r="42" customFormat="false" ht="14.25" hidden="false" customHeight="true" outlineLevel="0" collapsed="false">
      <c r="A42" s="1" t="n">
        <v>41</v>
      </c>
      <c r="B42" s="1" t="n">
        <v>46195</v>
      </c>
      <c r="C42" s="1" t="s">
        <v>289</v>
      </c>
      <c r="D42" s="1" t="s">
        <v>29</v>
      </c>
      <c r="E42" s="1" t="s">
        <v>137</v>
      </c>
      <c r="F42" s="1" t="s">
        <v>149</v>
      </c>
      <c r="G42" s="1" t="s">
        <v>143</v>
      </c>
      <c r="J42" s="1" t="str">
        <f aca="false">IF(OR(H42="",I42=""),"",IF(H42&gt;I42,F42,IF(I42&gt;H42,G42,"Empate")))</f>
        <v/>
      </c>
      <c r="K42" s="1" t="s">
        <v>273</v>
      </c>
      <c r="L42" s="1" t="s">
        <v>148</v>
      </c>
      <c r="M42" s="1" t="s">
        <v>142</v>
      </c>
      <c r="N42" s="1" t="s">
        <v>147</v>
      </c>
      <c r="O42" s="1" t="s">
        <v>141</v>
      </c>
      <c r="P42" s="1" t="s">
        <v>262</v>
      </c>
    </row>
    <row r="43" customFormat="false" ht="14.25" hidden="false" customHeight="true" outlineLevel="0" collapsed="false">
      <c r="A43" s="1" t="n">
        <v>42</v>
      </c>
      <c r="B43" s="1" t="n">
        <v>46195</v>
      </c>
      <c r="C43" s="1" t="s">
        <v>290</v>
      </c>
      <c r="D43" s="1" t="s">
        <v>29</v>
      </c>
      <c r="E43" s="1" t="s">
        <v>137</v>
      </c>
      <c r="F43" s="1" t="s">
        <v>140</v>
      </c>
      <c r="G43" s="1" t="s">
        <v>146</v>
      </c>
      <c r="J43" s="1" t="str">
        <f aca="false">IF(OR(H43="",I43=""),"",IF(H43&gt;I43,F43,IF(I43&gt;H43,G43,"Empate")))</f>
        <v/>
      </c>
      <c r="K43" s="1" t="s">
        <v>276</v>
      </c>
      <c r="L43" s="1" t="s">
        <v>139</v>
      </c>
      <c r="M43" s="1" t="s">
        <v>145</v>
      </c>
      <c r="N43" s="1" t="s">
        <v>138</v>
      </c>
      <c r="O43" s="1" t="s">
        <v>144</v>
      </c>
      <c r="P43" s="1" t="s">
        <v>262</v>
      </c>
    </row>
    <row r="44" customFormat="false" ht="14.25" hidden="false" customHeight="true" outlineLevel="0" collapsed="false">
      <c r="A44" s="1" t="n">
        <v>43</v>
      </c>
      <c r="B44" s="1" t="n">
        <v>46195</v>
      </c>
      <c r="C44" s="1" t="s">
        <v>277</v>
      </c>
      <c r="D44" s="1" t="s">
        <v>29</v>
      </c>
      <c r="E44" s="1" t="s">
        <v>150</v>
      </c>
      <c r="F44" s="1" t="s">
        <v>153</v>
      </c>
      <c r="G44" s="1" t="s">
        <v>159</v>
      </c>
      <c r="J44" s="1" t="str">
        <f aca="false">IF(OR(H44="",I44=""),"",IF(H44&gt;I44,F44,IF(I44&gt;H44,G44,"Empate")))</f>
        <v/>
      </c>
      <c r="K44" s="1" t="s">
        <v>280</v>
      </c>
      <c r="L44" s="1" t="s">
        <v>152</v>
      </c>
      <c r="M44" s="1" t="s">
        <v>158</v>
      </c>
      <c r="N44" s="1" t="s">
        <v>151</v>
      </c>
      <c r="O44" s="1" t="s">
        <v>157</v>
      </c>
      <c r="P44" s="1" t="s">
        <v>262</v>
      </c>
    </row>
    <row r="45" customFormat="false" ht="14.25" hidden="false" customHeight="true" outlineLevel="0" collapsed="false">
      <c r="A45" s="1" t="n">
        <v>44</v>
      </c>
      <c r="B45" s="1" t="n">
        <v>46195</v>
      </c>
      <c r="C45" s="1" t="s">
        <v>288</v>
      </c>
      <c r="D45" s="1" t="s">
        <v>29</v>
      </c>
      <c r="E45" s="1" t="s">
        <v>150</v>
      </c>
      <c r="F45" s="1" t="s">
        <v>162</v>
      </c>
      <c r="G45" s="1" t="s">
        <v>156</v>
      </c>
      <c r="J45" s="1" t="str">
        <f aca="false">IF(OR(H45="",I45=""),"",IF(H45&gt;I45,F45,IF(I45&gt;H45,G45,"Empate")))</f>
        <v/>
      </c>
      <c r="K45" s="1" t="s">
        <v>274</v>
      </c>
      <c r="L45" s="1" t="s">
        <v>161</v>
      </c>
      <c r="M45" s="1" t="s">
        <v>155</v>
      </c>
      <c r="N45" s="1" t="s">
        <v>160</v>
      </c>
      <c r="O45" s="1" t="s">
        <v>154</v>
      </c>
      <c r="P45" s="1" t="s">
        <v>262</v>
      </c>
    </row>
    <row r="46" customFormat="false" ht="14.25" hidden="false" customHeight="true" outlineLevel="0" collapsed="false">
      <c r="A46" s="1" t="n">
        <v>45</v>
      </c>
      <c r="B46" s="1" t="n">
        <v>46196</v>
      </c>
      <c r="C46" s="1" t="s">
        <v>279</v>
      </c>
      <c r="D46" s="1" t="s">
        <v>29</v>
      </c>
      <c r="E46" s="1" t="s">
        <v>176</v>
      </c>
      <c r="F46" s="1" t="s">
        <v>179</v>
      </c>
      <c r="G46" s="1" t="s">
        <v>185</v>
      </c>
      <c r="J46" s="1" t="str">
        <f aca="false">IF(OR(H46="",I46=""),"",IF(H46&gt;I46,F46,IF(I46&gt;H46,G46,"Empate")))</f>
        <v/>
      </c>
      <c r="K46" s="1" t="s">
        <v>269</v>
      </c>
      <c r="L46" s="1" t="s">
        <v>178</v>
      </c>
      <c r="M46" s="1" t="s">
        <v>184</v>
      </c>
      <c r="N46" s="1" t="s">
        <v>177</v>
      </c>
      <c r="O46" s="1" t="s">
        <v>183</v>
      </c>
      <c r="P46" s="1" t="s">
        <v>262</v>
      </c>
    </row>
    <row r="47" customFormat="false" ht="14.25" hidden="false" customHeight="true" outlineLevel="0" collapsed="false">
      <c r="A47" s="1" t="n">
        <v>46</v>
      </c>
      <c r="B47" s="1" t="n">
        <v>46196</v>
      </c>
      <c r="C47" s="1" t="s">
        <v>275</v>
      </c>
      <c r="D47" s="1" t="s">
        <v>29</v>
      </c>
      <c r="E47" s="1" t="s">
        <v>176</v>
      </c>
      <c r="F47" s="1" t="s">
        <v>188</v>
      </c>
      <c r="G47" s="1" t="s">
        <v>182</v>
      </c>
      <c r="J47" s="1" t="str">
        <f aca="false">IF(OR(H47="",I47=""),"",IF(H47&gt;I47,F47,IF(I47&gt;H47,G47,"Empate")))</f>
        <v/>
      </c>
      <c r="K47" s="1" t="s">
        <v>266</v>
      </c>
      <c r="L47" s="1" t="s">
        <v>187</v>
      </c>
      <c r="M47" s="1" t="s">
        <v>181</v>
      </c>
      <c r="N47" s="1" t="s">
        <v>186</v>
      </c>
      <c r="O47" s="1" t="s">
        <v>180</v>
      </c>
      <c r="P47" s="1" t="s">
        <v>262</v>
      </c>
    </row>
    <row r="48" customFormat="false" ht="14.25" hidden="false" customHeight="true" outlineLevel="0" collapsed="false">
      <c r="A48" s="1" t="n">
        <v>47</v>
      </c>
      <c r="B48" s="1" t="n">
        <v>46196</v>
      </c>
      <c r="C48" s="1" t="s">
        <v>277</v>
      </c>
      <c r="D48" s="1" t="s">
        <v>29</v>
      </c>
      <c r="E48" s="1" t="s">
        <v>163</v>
      </c>
      <c r="F48" s="1" t="s">
        <v>166</v>
      </c>
      <c r="G48" s="1" t="s">
        <v>172</v>
      </c>
      <c r="J48" s="1" t="str">
        <f aca="false">IF(OR(H48="",I48=""),"",IF(H48&gt;I48,F48,IF(I48&gt;H48,G48,"Empate")))</f>
        <v/>
      </c>
      <c r="K48" s="1" t="s">
        <v>278</v>
      </c>
      <c r="L48" s="1" t="s">
        <v>165</v>
      </c>
      <c r="M48" s="1" t="s">
        <v>171</v>
      </c>
      <c r="N48" s="1" t="s">
        <v>164</v>
      </c>
      <c r="O48" s="1" t="s">
        <v>170</v>
      </c>
      <c r="P48" s="1" t="s">
        <v>262</v>
      </c>
    </row>
    <row r="49" customFormat="false" ht="14.25" hidden="false" customHeight="true" outlineLevel="0" collapsed="false">
      <c r="A49" s="1" t="n">
        <v>48</v>
      </c>
      <c r="B49" s="1" t="n">
        <v>46196</v>
      </c>
      <c r="C49" s="1" t="s">
        <v>264</v>
      </c>
      <c r="D49" s="1" t="s">
        <v>29</v>
      </c>
      <c r="E49" s="1" t="s">
        <v>163</v>
      </c>
      <c r="F49" s="1" t="s">
        <v>175</v>
      </c>
      <c r="G49" s="1" t="s">
        <v>169</v>
      </c>
      <c r="J49" s="1" t="str">
        <f aca="false">IF(OR(H49="",I49=""),"",IF(H49&gt;I49,F49,IF(I49&gt;H49,G49,"Empate")))</f>
        <v/>
      </c>
      <c r="K49" s="1" t="s">
        <v>265</v>
      </c>
      <c r="L49" s="1" t="s">
        <v>174</v>
      </c>
      <c r="M49" s="1" t="s">
        <v>168</v>
      </c>
      <c r="N49" s="1" t="s">
        <v>173</v>
      </c>
      <c r="O49" s="1" t="s">
        <v>167</v>
      </c>
      <c r="P49" s="1" t="s">
        <v>262</v>
      </c>
    </row>
    <row r="50" customFormat="false" ht="14.25" hidden="false" customHeight="true" outlineLevel="0" collapsed="false">
      <c r="A50" s="1" t="n">
        <v>49</v>
      </c>
      <c r="B50" s="1" t="n">
        <v>46197</v>
      </c>
      <c r="C50" s="1" t="s">
        <v>272</v>
      </c>
      <c r="D50" s="1" t="s">
        <v>29</v>
      </c>
      <c r="E50" s="1" t="s">
        <v>59</v>
      </c>
      <c r="F50" s="1" t="s">
        <v>71</v>
      </c>
      <c r="G50" s="1" t="s">
        <v>62</v>
      </c>
      <c r="J50" s="1" t="str">
        <f aca="false">IF(OR(H50="",I50=""),"",IF(H50&gt;I50,F50,IF(I50&gt;H50,G50,"Empate")))</f>
        <v/>
      </c>
      <c r="K50" s="1" t="s">
        <v>282</v>
      </c>
      <c r="L50" s="1" t="s">
        <v>70</v>
      </c>
      <c r="M50" s="1" t="s">
        <v>61</v>
      </c>
      <c r="N50" s="1" t="s">
        <v>69</v>
      </c>
      <c r="O50" s="1" t="s">
        <v>60</v>
      </c>
      <c r="P50" s="1" t="s">
        <v>262</v>
      </c>
    </row>
    <row r="51" customFormat="false" ht="14.25" hidden="false" customHeight="true" outlineLevel="0" collapsed="false">
      <c r="A51" s="1" t="n">
        <v>50</v>
      </c>
      <c r="B51" s="1" t="n">
        <v>46197</v>
      </c>
      <c r="C51" s="1" t="s">
        <v>272</v>
      </c>
      <c r="D51" s="1" t="s">
        <v>29</v>
      </c>
      <c r="E51" s="1" t="s">
        <v>59</v>
      </c>
      <c r="F51" s="1" t="s">
        <v>65</v>
      </c>
      <c r="G51" s="1" t="s">
        <v>68</v>
      </c>
      <c r="J51" s="1" t="str">
        <f aca="false">IF(OR(H51="",I51=""),"",IF(H51&gt;I51,F51,IF(I51&gt;H51,G51,"Empate")))</f>
        <v/>
      </c>
      <c r="K51" s="1" t="s">
        <v>284</v>
      </c>
      <c r="L51" s="1" t="s">
        <v>64</v>
      </c>
      <c r="M51" s="1" t="s">
        <v>67</v>
      </c>
      <c r="N51" s="1" t="s">
        <v>63</v>
      </c>
      <c r="O51" s="1" t="s">
        <v>66</v>
      </c>
      <c r="P51" s="1" t="s">
        <v>262</v>
      </c>
    </row>
    <row r="52" customFormat="false" ht="14.25" hidden="false" customHeight="true" outlineLevel="0" collapsed="false">
      <c r="A52" s="1" t="n">
        <v>51</v>
      </c>
      <c r="B52" s="1" t="n">
        <v>46197</v>
      </c>
      <c r="C52" s="1" t="s">
        <v>260</v>
      </c>
      <c r="D52" s="1" t="s">
        <v>29</v>
      </c>
      <c r="E52" s="1" t="s">
        <v>46</v>
      </c>
      <c r="F52" s="1" t="s">
        <v>58</v>
      </c>
      <c r="G52" s="1" t="s">
        <v>49</v>
      </c>
      <c r="J52" s="1" t="str">
        <f aca="false">IF(OR(H52="",I52=""),"",IF(H52&gt;I52,F52,IF(I52&gt;H52,G52,"Empate")))</f>
        <v/>
      </c>
      <c r="K52" s="1" t="s">
        <v>271</v>
      </c>
      <c r="L52" s="1" t="s">
        <v>57</v>
      </c>
      <c r="M52" s="1" t="s">
        <v>48</v>
      </c>
      <c r="N52" s="1" t="s">
        <v>56</v>
      </c>
      <c r="O52" s="1" t="s">
        <v>47</v>
      </c>
      <c r="P52" s="1" t="s">
        <v>262</v>
      </c>
    </row>
    <row r="53" customFormat="false" ht="14.25" hidden="false" customHeight="true" outlineLevel="0" collapsed="false">
      <c r="A53" s="1" t="n">
        <v>52</v>
      </c>
      <c r="B53" s="1" t="n">
        <v>46197</v>
      </c>
      <c r="C53" s="1" t="s">
        <v>260</v>
      </c>
      <c r="D53" s="1" t="s">
        <v>29</v>
      </c>
      <c r="E53" s="1" t="s">
        <v>46</v>
      </c>
      <c r="F53" s="1" t="s">
        <v>52</v>
      </c>
      <c r="G53" s="1" t="s">
        <v>55</v>
      </c>
      <c r="J53" s="1" t="str">
        <f aca="false">IF(OR(H53="",I53=""),"",IF(H53&gt;I53,F53,IF(I53&gt;H53,G53,"Empate")))</f>
        <v/>
      </c>
      <c r="K53" s="1" t="s">
        <v>285</v>
      </c>
      <c r="L53" s="1" t="s">
        <v>51</v>
      </c>
      <c r="M53" s="1" t="s">
        <v>54</v>
      </c>
      <c r="N53" s="1" t="s">
        <v>50</v>
      </c>
      <c r="O53" s="1" t="s">
        <v>53</v>
      </c>
      <c r="P53" s="1" t="s">
        <v>262</v>
      </c>
    </row>
    <row r="54" customFormat="false" ht="14.25" hidden="false" customHeight="true" outlineLevel="0" collapsed="false">
      <c r="A54" s="1" t="n">
        <v>53</v>
      </c>
      <c r="B54" s="1" t="n">
        <v>46197</v>
      </c>
      <c r="C54" s="1" t="s">
        <v>267</v>
      </c>
      <c r="D54" s="1" t="s">
        <v>29</v>
      </c>
      <c r="E54" s="1" t="s">
        <v>33</v>
      </c>
      <c r="F54" s="1" t="s">
        <v>45</v>
      </c>
      <c r="G54" s="1" t="s">
        <v>36</v>
      </c>
      <c r="J54" s="1" t="str">
        <f aca="false">IF(OR(H54="",I54=""),"",IF(H54&gt;I54,F54,IF(I54&gt;H54,G54,"Empate")))</f>
        <v/>
      </c>
      <c r="K54" s="1" t="s">
        <v>261</v>
      </c>
      <c r="L54" s="1" t="s">
        <v>44</v>
      </c>
      <c r="M54" s="1" t="s">
        <v>35</v>
      </c>
      <c r="N54" s="1" t="s">
        <v>43</v>
      </c>
      <c r="O54" s="1" t="s">
        <v>34</v>
      </c>
      <c r="P54" s="1" t="s">
        <v>262</v>
      </c>
    </row>
    <row r="55" customFormat="false" ht="14.25" hidden="false" customHeight="true" outlineLevel="0" collapsed="false">
      <c r="A55" s="1" t="n">
        <v>54</v>
      </c>
      <c r="B55" s="1" t="n">
        <v>46197</v>
      </c>
      <c r="C55" s="1" t="s">
        <v>267</v>
      </c>
      <c r="D55" s="1" t="s">
        <v>29</v>
      </c>
      <c r="E55" s="1" t="s">
        <v>33</v>
      </c>
      <c r="F55" s="1" t="s">
        <v>39</v>
      </c>
      <c r="G55" s="1" t="s">
        <v>42</v>
      </c>
      <c r="J55" s="1" t="str">
        <f aca="false">IF(OR(H55="",I55=""),"",IF(H55&gt;I55,F55,IF(I55&gt;H55,G55,"Empate")))</f>
        <v/>
      </c>
      <c r="K55" s="1" t="s">
        <v>281</v>
      </c>
      <c r="L55" s="1" t="s">
        <v>38</v>
      </c>
      <c r="M55" s="1" t="s">
        <v>41</v>
      </c>
      <c r="N55" s="1" t="s">
        <v>37</v>
      </c>
      <c r="O55" s="1" t="s">
        <v>40</v>
      </c>
      <c r="P55" s="1" t="s">
        <v>262</v>
      </c>
    </row>
    <row r="56" customFormat="false" ht="14.25" hidden="false" customHeight="true" outlineLevel="0" collapsed="false">
      <c r="A56" s="1" t="n">
        <v>55</v>
      </c>
      <c r="B56" s="1" t="n">
        <v>46198</v>
      </c>
      <c r="C56" s="1" t="s">
        <v>279</v>
      </c>
      <c r="D56" s="1" t="s">
        <v>29</v>
      </c>
      <c r="E56" s="1" t="s">
        <v>85</v>
      </c>
      <c r="F56" s="1" t="s">
        <v>91</v>
      </c>
      <c r="G56" s="1" t="s">
        <v>94</v>
      </c>
      <c r="J56" s="1" t="str">
        <f aca="false">IF(OR(H56="",I56=""),"",IF(H56&gt;I56,F56,IF(I56&gt;H56,G56,"Empate")))</f>
        <v/>
      </c>
      <c r="K56" s="1" t="s">
        <v>276</v>
      </c>
      <c r="L56" s="1" t="s">
        <v>90</v>
      </c>
      <c r="M56" s="1" t="s">
        <v>93</v>
      </c>
      <c r="N56" s="1" t="s">
        <v>89</v>
      </c>
      <c r="O56" s="1" t="s">
        <v>92</v>
      </c>
      <c r="P56" s="1" t="s">
        <v>262</v>
      </c>
    </row>
    <row r="57" customFormat="false" ht="14.25" hidden="false" customHeight="true" outlineLevel="0" collapsed="false">
      <c r="A57" s="1" t="n">
        <v>56</v>
      </c>
      <c r="B57" s="1" t="n">
        <v>46198</v>
      </c>
      <c r="C57" s="1" t="s">
        <v>279</v>
      </c>
      <c r="D57" s="1" t="s">
        <v>29</v>
      </c>
      <c r="E57" s="1" t="s">
        <v>85</v>
      </c>
      <c r="F57" s="1" t="s">
        <v>97</v>
      </c>
      <c r="G57" s="1" t="s">
        <v>88</v>
      </c>
      <c r="J57" s="1" t="str">
        <f aca="false">IF(OR(H57="",I57=""),"",IF(H57&gt;I57,F57,IF(I57&gt;H57,G57,"Empate")))</f>
        <v/>
      </c>
      <c r="K57" s="1" t="s">
        <v>273</v>
      </c>
      <c r="L57" s="1" t="s">
        <v>96</v>
      </c>
      <c r="M57" s="1" t="s">
        <v>87</v>
      </c>
      <c r="N57" s="1" t="s">
        <v>95</v>
      </c>
      <c r="O57" s="1" t="s">
        <v>86</v>
      </c>
      <c r="P57" s="1" t="s">
        <v>262</v>
      </c>
    </row>
    <row r="58" customFormat="false" ht="14.25" hidden="false" customHeight="true" outlineLevel="0" collapsed="false">
      <c r="A58" s="1" t="n">
        <v>57</v>
      </c>
      <c r="B58" s="1" t="n">
        <v>46198</v>
      </c>
      <c r="C58" s="1" t="s">
        <v>275</v>
      </c>
      <c r="D58" s="1" t="s">
        <v>29</v>
      </c>
      <c r="E58" s="1" t="s">
        <v>98</v>
      </c>
      <c r="F58" s="1" t="s">
        <v>104</v>
      </c>
      <c r="G58" s="1" t="s">
        <v>107</v>
      </c>
      <c r="J58" s="1" t="str">
        <f aca="false">IF(OR(H58="",I58=""),"",IF(H58&gt;I58,F58,IF(I58&gt;H58,G58,"Empate")))</f>
        <v/>
      </c>
      <c r="K58" s="1" t="s">
        <v>280</v>
      </c>
      <c r="L58" s="1" t="s">
        <v>103</v>
      </c>
      <c r="M58" s="1" t="s">
        <v>106</v>
      </c>
      <c r="N58" s="1" t="s">
        <v>102</v>
      </c>
      <c r="O58" s="1" t="s">
        <v>105</v>
      </c>
      <c r="P58" s="1" t="s">
        <v>262</v>
      </c>
    </row>
    <row r="59" customFormat="false" ht="14.25" hidden="false" customHeight="true" outlineLevel="0" collapsed="false">
      <c r="A59" s="1" t="n">
        <v>58</v>
      </c>
      <c r="B59" s="1" t="n">
        <v>46198</v>
      </c>
      <c r="C59" s="1" t="s">
        <v>275</v>
      </c>
      <c r="D59" s="1" t="s">
        <v>29</v>
      </c>
      <c r="E59" s="1" t="s">
        <v>98</v>
      </c>
      <c r="F59" s="1" t="s">
        <v>110</v>
      </c>
      <c r="G59" s="1" t="s">
        <v>101</v>
      </c>
      <c r="J59" s="1" t="str">
        <f aca="false">IF(OR(H59="",I59=""),"",IF(H59&gt;I59,F59,IF(I59&gt;H59,G59,"Empate")))</f>
        <v/>
      </c>
      <c r="K59" s="1" t="s">
        <v>286</v>
      </c>
      <c r="L59" s="1" t="s">
        <v>109</v>
      </c>
      <c r="M59" s="1" t="s">
        <v>100</v>
      </c>
      <c r="N59" s="1" t="s">
        <v>108</v>
      </c>
      <c r="O59" s="1" t="s">
        <v>99</v>
      </c>
      <c r="P59" s="1" t="s">
        <v>262</v>
      </c>
    </row>
    <row r="60" customFormat="false" ht="14.25" hidden="false" customHeight="true" outlineLevel="0" collapsed="false">
      <c r="A60" s="1" t="n">
        <v>59</v>
      </c>
      <c r="B60" s="1" t="n">
        <v>46198</v>
      </c>
      <c r="C60" s="1" t="s">
        <v>264</v>
      </c>
      <c r="D60" s="1" t="s">
        <v>29</v>
      </c>
      <c r="E60" s="1" t="s">
        <v>72</v>
      </c>
      <c r="F60" s="1" t="s">
        <v>84</v>
      </c>
      <c r="G60" s="1" t="s">
        <v>75</v>
      </c>
      <c r="J60" s="1" t="str">
        <f aca="false">IF(OR(H60="",I60=""),"",IF(H60&gt;I60,F60,IF(I60&gt;H60,G60,"Empate")))</f>
        <v/>
      </c>
      <c r="K60" s="1" t="s">
        <v>268</v>
      </c>
      <c r="L60" s="1" t="s">
        <v>83</v>
      </c>
      <c r="M60" s="1" t="s">
        <v>74</v>
      </c>
      <c r="N60" s="1" t="s">
        <v>82</v>
      </c>
      <c r="O60" s="1" t="s">
        <v>73</v>
      </c>
      <c r="P60" s="1" t="s">
        <v>262</v>
      </c>
    </row>
    <row r="61" customFormat="false" ht="14.25" hidden="false" customHeight="true" outlineLevel="0" collapsed="false">
      <c r="A61" s="1" t="n">
        <v>60</v>
      </c>
      <c r="B61" s="1" t="n">
        <v>46198</v>
      </c>
      <c r="C61" s="1" t="s">
        <v>264</v>
      </c>
      <c r="D61" s="1" t="s">
        <v>29</v>
      </c>
      <c r="E61" s="1" t="s">
        <v>72</v>
      </c>
      <c r="F61" s="1" t="s">
        <v>78</v>
      </c>
      <c r="G61" s="1" t="s">
        <v>81</v>
      </c>
      <c r="J61" s="1" t="str">
        <f aca="false">IF(OR(H61="",I61=""),"",IF(H61&gt;I61,F61,IF(I61&gt;H61,G61,"Empate")))</f>
        <v/>
      </c>
      <c r="K61" s="1" t="s">
        <v>274</v>
      </c>
      <c r="L61" s="1" t="s">
        <v>77</v>
      </c>
      <c r="M61" s="1" t="s">
        <v>80</v>
      </c>
      <c r="N61" s="1" t="s">
        <v>76</v>
      </c>
      <c r="O61" s="1" t="s">
        <v>79</v>
      </c>
      <c r="P61" s="1" t="s">
        <v>262</v>
      </c>
    </row>
    <row r="62" customFormat="false" ht="14.25" hidden="false" customHeight="true" outlineLevel="0" collapsed="false">
      <c r="A62" s="1" t="n">
        <v>61</v>
      </c>
      <c r="B62" s="1" t="n">
        <v>46199</v>
      </c>
      <c r="C62" s="1" t="s">
        <v>260</v>
      </c>
      <c r="D62" s="1" t="s">
        <v>29</v>
      </c>
      <c r="E62" s="1" t="s">
        <v>137</v>
      </c>
      <c r="F62" s="1" t="s">
        <v>149</v>
      </c>
      <c r="G62" s="1" t="s">
        <v>140</v>
      </c>
      <c r="J62" s="1" t="str">
        <f aca="false">IF(OR(H62="",I62=""),"",IF(H62&gt;I62,F62,IF(I62&gt;H62,G62,"Empate")))</f>
        <v/>
      </c>
      <c r="K62" s="1" t="s">
        <v>269</v>
      </c>
      <c r="L62" s="1" t="s">
        <v>148</v>
      </c>
      <c r="M62" s="1" t="s">
        <v>139</v>
      </c>
      <c r="N62" s="1" t="s">
        <v>147</v>
      </c>
      <c r="O62" s="1" t="s">
        <v>138</v>
      </c>
      <c r="P62" s="1" t="s">
        <v>262</v>
      </c>
    </row>
    <row r="63" customFormat="false" ht="14.25" hidden="false" customHeight="true" outlineLevel="0" collapsed="false">
      <c r="A63" s="1" t="n">
        <v>62</v>
      </c>
      <c r="B63" s="1" t="n">
        <v>46199</v>
      </c>
      <c r="C63" s="1" t="s">
        <v>260</v>
      </c>
      <c r="D63" s="1" t="s">
        <v>29</v>
      </c>
      <c r="E63" s="1" t="s">
        <v>137</v>
      </c>
      <c r="F63" s="1" t="s">
        <v>143</v>
      </c>
      <c r="G63" s="1" t="s">
        <v>146</v>
      </c>
      <c r="J63" s="1" t="str">
        <f aca="false">IF(OR(H63="",I63=""),"",IF(H63&gt;I63,F63,IF(I63&gt;H63,G63,"Empate")))</f>
        <v/>
      </c>
      <c r="K63" s="1" t="s">
        <v>266</v>
      </c>
      <c r="L63" s="1" t="s">
        <v>142</v>
      </c>
      <c r="M63" s="1" t="s">
        <v>145</v>
      </c>
      <c r="N63" s="1" t="s">
        <v>141</v>
      </c>
      <c r="O63" s="1" t="s">
        <v>144</v>
      </c>
      <c r="P63" s="1" t="s">
        <v>262</v>
      </c>
    </row>
    <row r="64" customFormat="false" ht="14.25" hidden="false" customHeight="true" outlineLevel="0" collapsed="false">
      <c r="A64" s="1" t="n">
        <v>63</v>
      </c>
      <c r="B64" s="1" t="n">
        <v>46199</v>
      </c>
      <c r="C64" s="1" t="s">
        <v>288</v>
      </c>
      <c r="D64" s="1" t="s">
        <v>29</v>
      </c>
      <c r="E64" s="1" t="s">
        <v>111</v>
      </c>
      <c r="F64" s="1" t="s">
        <v>117</v>
      </c>
      <c r="G64" s="1" t="s">
        <v>120</v>
      </c>
      <c r="J64" s="1" t="str">
        <f aca="false">IF(OR(H64="",I64=""),"",IF(H64&gt;I64,F64,IF(I64&gt;H64,G64,"Empate")))</f>
        <v/>
      </c>
      <c r="K64" s="1" t="s">
        <v>285</v>
      </c>
      <c r="L64" s="1" t="s">
        <v>116</v>
      </c>
      <c r="M64" s="1" t="s">
        <v>119</v>
      </c>
      <c r="N64" s="1" t="s">
        <v>115</v>
      </c>
      <c r="O64" s="1" t="s">
        <v>118</v>
      </c>
      <c r="P64" s="1" t="s">
        <v>262</v>
      </c>
    </row>
    <row r="65" customFormat="false" ht="14.25" hidden="false" customHeight="true" outlineLevel="0" collapsed="false">
      <c r="A65" s="1" t="n">
        <v>64</v>
      </c>
      <c r="B65" s="1" t="n">
        <v>46199</v>
      </c>
      <c r="C65" s="1" t="s">
        <v>288</v>
      </c>
      <c r="D65" s="1" t="s">
        <v>29</v>
      </c>
      <c r="E65" s="1" t="s">
        <v>111</v>
      </c>
      <c r="F65" s="1" t="s">
        <v>123</v>
      </c>
      <c r="G65" s="1" t="s">
        <v>114</v>
      </c>
      <c r="J65" s="1" t="str">
        <f aca="false">IF(OR(H65="",I65=""),"",IF(H65&gt;I65,F65,IF(I65&gt;H65,G65,"Empate")))</f>
        <v/>
      </c>
      <c r="K65" s="1" t="s">
        <v>271</v>
      </c>
      <c r="L65" s="1" t="s">
        <v>122</v>
      </c>
      <c r="M65" s="1" t="s">
        <v>113</v>
      </c>
      <c r="N65" s="1" t="s">
        <v>121</v>
      </c>
      <c r="O65" s="1" t="s">
        <v>112</v>
      </c>
      <c r="P65" s="1" t="s">
        <v>262</v>
      </c>
    </row>
    <row r="66" customFormat="false" ht="14.25" hidden="false" customHeight="true" outlineLevel="0" collapsed="false">
      <c r="A66" s="1" t="n">
        <v>65</v>
      </c>
      <c r="B66" s="1" t="n">
        <v>46199</v>
      </c>
      <c r="C66" s="1" t="s">
        <v>289</v>
      </c>
      <c r="D66" s="1" t="s">
        <v>29</v>
      </c>
      <c r="E66" s="1" t="s">
        <v>124</v>
      </c>
      <c r="F66" s="1" t="s">
        <v>130</v>
      </c>
      <c r="G66" s="1" t="s">
        <v>133</v>
      </c>
      <c r="J66" s="1" t="str">
        <f aca="false">IF(OR(H66="",I66=""),"",IF(H66&gt;I66,F66,IF(I66&gt;H66,G66,"Empate")))</f>
        <v/>
      </c>
      <c r="K66" s="1" t="s">
        <v>278</v>
      </c>
      <c r="L66" s="1" t="s">
        <v>129</v>
      </c>
      <c r="M66" s="1" t="s">
        <v>132</v>
      </c>
      <c r="N66" s="1" t="s">
        <v>128</v>
      </c>
      <c r="O66" s="1" t="s">
        <v>131</v>
      </c>
      <c r="P66" s="1" t="s">
        <v>262</v>
      </c>
    </row>
    <row r="67" customFormat="false" ht="14.25" hidden="false" customHeight="true" outlineLevel="0" collapsed="false">
      <c r="A67" s="1" t="n">
        <v>66</v>
      </c>
      <c r="B67" s="1" t="n">
        <v>46199</v>
      </c>
      <c r="C67" s="1" t="s">
        <v>289</v>
      </c>
      <c r="D67" s="1" t="s">
        <v>29</v>
      </c>
      <c r="E67" s="1" t="s">
        <v>124</v>
      </c>
      <c r="F67" s="1" t="s">
        <v>136</v>
      </c>
      <c r="G67" s="1" t="s">
        <v>127</v>
      </c>
      <c r="J67" s="1" t="str">
        <f aca="false">IF(OR(H67="",I67=""),"",IF(H67&gt;I67,F67,IF(I67&gt;H67,G67,"Empate")))</f>
        <v/>
      </c>
      <c r="K67" s="1" t="s">
        <v>265</v>
      </c>
      <c r="L67" s="1" t="s">
        <v>135</v>
      </c>
      <c r="M67" s="1" t="s">
        <v>126</v>
      </c>
      <c r="N67" s="1" t="s">
        <v>134</v>
      </c>
      <c r="O67" s="1" t="s">
        <v>125</v>
      </c>
      <c r="P67" s="1" t="s">
        <v>262</v>
      </c>
    </row>
    <row r="68" customFormat="false" ht="14.25" hidden="false" customHeight="true" outlineLevel="0" collapsed="false">
      <c r="A68" s="1" t="n">
        <v>67</v>
      </c>
      <c r="B68" s="1" t="n">
        <v>46200</v>
      </c>
      <c r="C68" s="1" t="s">
        <v>290</v>
      </c>
      <c r="D68" s="1" t="s">
        <v>29</v>
      </c>
      <c r="E68" s="1" t="s">
        <v>176</v>
      </c>
      <c r="F68" s="1" t="s">
        <v>188</v>
      </c>
      <c r="G68" s="1" t="s">
        <v>179</v>
      </c>
      <c r="J68" s="1" t="str">
        <f aca="false">IF(OR(H68="",I68=""),"",IF(H68&gt;I68,F68,IF(I68&gt;H68,G68,"Empate")))</f>
        <v/>
      </c>
      <c r="K68" s="1" t="s">
        <v>273</v>
      </c>
      <c r="L68" s="1" t="s">
        <v>187</v>
      </c>
      <c r="M68" s="1" t="s">
        <v>178</v>
      </c>
      <c r="N68" s="1" t="s">
        <v>186</v>
      </c>
      <c r="O68" s="1" t="s">
        <v>177</v>
      </c>
      <c r="P68" s="1" t="s">
        <v>262</v>
      </c>
    </row>
    <row r="69" customFormat="false" ht="14.25" hidden="false" customHeight="true" outlineLevel="0" collapsed="false">
      <c r="A69" s="1" t="n">
        <v>68</v>
      </c>
      <c r="B69" s="1" t="n">
        <v>46200</v>
      </c>
      <c r="C69" s="1" t="s">
        <v>290</v>
      </c>
      <c r="D69" s="1" t="s">
        <v>29</v>
      </c>
      <c r="E69" s="1" t="s">
        <v>176</v>
      </c>
      <c r="F69" s="1" t="s">
        <v>182</v>
      </c>
      <c r="G69" s="1" t="s">
        <v>185</v>
      </c>
      <c r="J69" s="1" t="str">
        <f aca="false">IF(OR(H69="",I69=""),"",IF(H69&gt;I69,F69,IF(I69&gt;H69,G69,"Empate")))</f>
        <v/>
      </c>
      <c r="K69" s="1" t="s">
        <v>276</v>
      </c>
      <c r="L69" s="1" t="s">
        <v>181</v>
      </c>
      <c r="M69" s="1" t="s">
        <v>184</v>
      </c>
      <c r="N69" s="1" t="s">
        <v>180</v>
      </c>
      <c r="O69" s="1" t="s">
        <v>183</v>
      </c>
      <c r="P69" s="1" t="s">
        <v>262</v>
      </c>
    </row>
    <row r="70" customFormat="false" ht="14.25" hidden="false" customHeight="true" outlineLevel="0" collapsed="false">
      <c r="A70" s="1" t="n">
        <v>69</v>
      </c>
      <c r="B70" s="1" t="n">
        <v>46200</v>
      </c>
      <c r="C70" s="1" t="s">
        <v>264</v>
      </c>
      <c r="D70" s="1" t="s">
        <v>29</v>
      </c>
      <c r="E70" s="1" t="s">
        <v>150</v>
      </c>
      <c r="F70" s="1" t="s">
        <v>156</v>
      </c>
      <c r="G70" s="1" t="s">
        <v>159</v>
      </c>
      <c r="J70" s="1" t="str">
        <f aca="false">IF(OR(H70="",I70=""),"",IF(H70&gt;I70,F70,IF(I70&gt;H70,G70,"Empate")))</f>
        <v/>
      </c>
      <c r="K70" s="1" t="s">
        <v>286</v>
      </c>
      <c r="L70" s="1" t="s">
        <v>155</v>
      </c>
      <c r="M70" s="1" t="s">
        <v>158</v>
      </c>
      <c r="N70" s="1" t="s">
        <v>154</v>
      </c>
      <c r="O70" s="1" t="s">
        <v>157</v>
      </c>
      <c r="P70" s="1" t="s">
        <v>262</v>
      </c>
    </row>
    <row r="71" customFormat="false" ht="14.25" hidden="false" customHeight="true" outlineLevel="0" collapsed="false">
      <c r="A71" s="1" t="n">
        <v>70</v>
      </c>
      <c r="B71" s="1" t="n">
        <v>46200</v>
      </c>
      <c r="C71" s="1" t="s">
        <v>264</v>
      </c>
      <c r="D71" s="1" t="s">
        <v>29</v>
      </c>
      <c r="E71" s="1" t="s">
        <v>150</v>
      </c>
      <c r="F71" s="1" t="s">
        <v>162</v>
      </c>
      <c r="G71" s="1" t="s">
        <v>153</v>
      </c>
      <c r="J71" s="1" t="str">
        <f aca="false">IF(OR(H71="",I71=""),"",IF(H71&gt;I71,F71,IF(I71&gt;H71,G71,"Empate")))</f>
        <v/>
      </c>
      <c r="K71" s="1" t="s">
        <v>280</v>
      </c>
      <c r="L71" s="1" t="s">
        <v>161</v>
      </c>
      <c r="M71" s="1" t="s">
        <v>152</v>
      </c>
      <c r="N71" s="1" t="s">
        <v>160</v>
      </c>
      <c r="O71" s="1" t="s">
        <v>151</v>
      </c>
      <c r="P71" s="1" t="s">
        <v>262</v>
      </c>
    </row>
    <row r="72" customFormat="false" ht="14.25" hidden="false" customHeight="true" outlineLevel="0" collapsed="false">
      <c r="A72" s="1" t="n">
        <v>71</v>
      </c>
      <c r="B72" s="1" t="n">
        <v>46200</v>
      </c>
      <c r="C72" s="1" t="s">
        <v>291</v>
      </c>
      <c r="D72" s="1" t="s">
        <v>29</v>
      </c>
      <c r="E72" s="1" t="s">
        <v>163</v>
      </c>
      <c r="F72" s="1" t="s">
        <v>175</v>
      </c>
      <c r="G72" s="1" t="s">
        <v>166</v>
      </c>
      <c r="J72" s="1" t="str">
        <f aca="false">IF(OR(H72="",I72=""),"",IF(H72&gt;I72,F72,IF(I72&gt;H72,G72,"Empate")))</f>
        <v/>
      </c>
      <c r="K72" s="1" t="s">
        <v>282</v>
      </c>
      <c r="L72" s="1" t="s">
        <v>174</v>
      </c>
      <c r="M72" s="1" t="s">
        <v>165</v>
      </c>
      <c r="N72" s="1" t="s">
        <v>173</v>
      </c>
      <c r="O72" s="1" t="s">
        <v>164</v>
      </c>
      <c r="P72" s="1" t="s">
        <v>262</v>
      </c>
    </row>
    <row r="73" customFormat="false" ht="14.25" hidden="false" customHeight="true" outlineLevel="0" collapsed="false">
      <c r="A73" s="1" t="n">
        <v>72</v>
      </c>
      <c r="B73" s="1" t="n">
        <v>46200</v>
      </c>
      <c r="C73" s="1" t="s">
        <v>291</v>
      </c>
      <c r="D73" s="1" t="s">
        <v>29</v>
      </c>
      <c r="E73" s="1" t="s">
        <v>163</v>
      </c>
      <c r="F73" s="1" t="s">
        <v>169</v>
      </c>
      <c r="G73" s="1" t="s">
        <v>172</v>
      </c>
      <c r="J73" s="1" t="str">
        <f aca="false">IF(OR(H73="",I73=""),"",IF(H73&gt;I73,F73,IF(I73&gt;H73,G73,"Empate")))</f>
        <v/>
      </c>
      <c r="K73" s="1" t="s">
        <v>284</v>
      </c>
      <c r="L73" s="1" t="s">
        <v>168</v>
      </c>
      <c r="M73" s="1" t="s">
        <v>171</v>
      </c>
      <c r="N73" s="1" t="s">
        <v>167</v>
      </c>
      <c r="O73" s="1" t="s">
        <v>170</v>
      </c>
      <c r="P73" s="1" t="s">
        <v>262</v>
      </c>
    </row>
    <row r="74" customFormat="false" ht="14.25" hidden="false" customHeight="true" outlineLevel="0" collapsed="false">
      <c r="A74" s="1" t="n">
        <v>73</v>
      </c>
      <c r="B74" s="1" t="n">
        <v>46201</v>
      </c>
      <c r="C74" s="1" t="s">
        <v>260</v>
      </c>
      <c r="D74" s="1" t="s">
        <v>292</v>
      </c>
      <c r="F74" s="1" t="str">
        <f aca="false">IF(N74="","",IF(LEFT(N74,1)="3",IFERROR(IF(VLOOKUP($A74&amp;"L",Asignacion_3ros!$A$2:$G$9,6,FALSE())="",N74,VLOOKUP($A74&amp;"L",Asignacion_3ros!$A$2:$G$9,6,FALSE())),N74),IF(LEFT(N74,1)="W",IFERROR(IF(INDEX($J$2:$J$73,MATCH(VALUE(MID(N74,2,3)),$A$2:$A$73,0))="",N74,INDEX($J$2:$J$73,MATCH(VALUE(MID(N74,2,3)),$A$2:$A$73,0))),N74),IF(LEFT(N74,1)="L",IFERROR(IF(INDEX($J$2:$J$73,MATCH(VALUE(MID(N74,2,3)),$A$2:$A$73,0))=INDEX($F$2:$F$73,MATCH(VALUE(MID(N74,2,3)),$A$2:$A$73,0)),INDEX($G$2:$G$73,MATCH(VALUE(MID(N74,2,3)),$A$2:$A$73,0)),IF(INDEX($J$2:$J$73,MATCH(VALUE(MID(N74,2,3)),$A$2:$A$73,0))=INDEX($G$2:$G$73,MATCH(VALUE(MID(N74,2,3)),$A$2:$A$73,0)),INDEX($F$2:$F$73,MATCH(VALUE(MID(N74,2,3)),$A$2:$A$73,0)),N74)),N74),IFERROR(IF(VLOOKUP(RIGHT(N74,1)&amp;LEFT(N74,1),Clasificacion!$O$2:$Q$49,2,FALSE())="",N74,VLOOKUP(RIGHT(N74,1)&amp;LEFT(N74,1),Clasificacion!$O$2:$Q$49,2,FALSE())),N74)))))</f>
        <v>2A</v>
      </c>
      <c r="G74" s="1" t="str">
        <f aca="false">IF(O74="","",IF(LEFT(O74,1)="3",IFERROR(IF(VLOOKUP($A74&amp;"V",Asignacion_3ros!$A$2:$G$9,6,FALSE())="",O74,VLOOKUP($A74&amp;"V",Asignacion_3ros!$A$2:$G$9,6,FALSE())),O74),IF(LEFT(O74,1)="W",IFERROR(IF(INDEX($J$2:$J$73,MATCH(VALUE(MID(O74,2,3)),$A$2:$A$73,0))="",O74,INDEX($J$2:$J$73,MATCH(VALUE(MID(O74,2,3)),$A$2:$A$73,0))),O74),IF(LEFT(O74,1)="L",IFERROR(IF(INDEX($J$2:$J$73,MATCH(VALUE(MID(O74,2,3)),$A$2:$A$73,0))=INDEX($F$2:$F$73,MATCH(VALUE(MID(O74,2,3)),$A$2:$A$73,0)),INDEX($G$2:$G$73,MATCH(VALUE(MID(O74,2,3)),$A$2:$A$73,0)),IF(INDEX($J$2:$J$73,MATCH(VALUE(MID(O74,2,3)),$A$2:$A$73,0))=INDEX($G$2:$G$73,MATCH(VALUE(MID(O74,2,3)),$A$2:$A$73,0)),INDEX($F$2:$F$73,MATCH(VALUE(MID(O74,2,3)),$A$2:$A$73,0)),O74)),O74),IFERROR(IF(VLOOKUP(RIGHT(O74,1)&amp;LEFT(O74,1),Clasificacion!$O$2:$Q$49,2,FALSE())="",O74,VLOOKUP(RIGHT(O74,1)&amp;LEFT(O74,1),Clasificacion!$O$2:$Q$49,2,FALSE())),O74)))))</f>
        <v>2B</v>
      </c>
      <c r="J74" s="1" t="str">
        <f aca="false">IF(OR(H74="",I74=""),"",IF(H74&gt;I74,F74,IF(I74&gt;H74,G74,"Empate")))</f>
        <v/>
      </c>
      <c r="K74" s="1" t="s">
        <v>268</v>
      </c>
      <c r="L74" s="1" t="str">
        <f aca="false">IF(N74="","",IF(LEFT(N74,1)="3",IFERROR(IF(VLOOKUP($A74&amp;"L",Asignacion_3ros!$A$2:$G$9,7,FALSE())="",N74,VLOOKUP($A74&amp;"L",Asignacion_3ros!$A$2:$G$9,7,FALSE())),N74),IF(LEFT(N74,1)="W",IFERROR(IF(INDEX($J$2:$J$73,MATCH(VALUE(MID(N74,2,3)),$A$2:$A$73,0))=INDEX($F$2:$F$73,MATCH(VALUE(MID(N74,2,3)),$A$2:$A$73,0)),INDEX($L$2:$L$73,MATCH(VALUE(MID(N74,2,3)),$A$2:$A$73,0)),IF(INDEX($J$2:$J$73,MATCH(VALUE(MID(N74,2,3)),$A$2:$A$73,0))=INDEX($G$2:$G$73,MATCH(VALUE(MID(N74,2,3)),$A$2:$A$73,0)),INDEX($M$2:$M$73,MATCH(VALUE(MID(N74,2,3)),$A$2:$A$73,0)),N74)),N74),IF(LEFT(N74,1)="L",IFERROR(IF(INDEX($J$2:$J$73,MATCH(VALUE(MID(N74,2,3)),$A$2:$A$73,0))=INDEX($F$2:$F$73,MATCH(VALUE(MID(N74,2,3)),$A$2:$A$73,0)),INDEX($M$2:$M$73,MATCH(VALUE(MID(N74,2,3)),$A$2:$A$73,0)),IF(INDEX($J$2:$J$73,MATCH(VALUE(MID(N74,2,3)),$A$2:$A$73,0))=INDEX($G$2:$G$73,MATCH(VALUE(MID(N74,2,3)),$A$2:$A$73,0)),INDEX($L$2:$L$73,MATCH(VALUE(MID(N74,2,3)),$A$2:$A$73,0)),N74)),N74),IFERROR(IF(VLOOKUP(RIGHT(N74,1)&amp;LEFT(N74,1),Clasificacion!$O$2:$Q$49,3,FALSE())="",N74,VLOOKUP(RIGHT(N74,1)&amp;LEFT(N74,1),Clasificacion!$O$2:$Q$49,3,FALSE())),N74)))))</f>
        <v>2A</v>
      </c>
      <c r="M74" s="1" t="str">
        <f aca="false">IF(O74="","",IF(LEFT(O74,1)="3",IFERROR(IF(VLOOKUP($A74&amp;"V",Asignacion_3ros!$A$2:$G$9,7,FALSE())="",O74,VLOOKUP($A74&amp;"V",Asignacion_3ros!$A$2:$G$9,7,FALSE())),O74),IF(LEFT(O74,1)="W",IFERROR(IF(INDEX($J$2:$J$73,MATCH(VALUE(MID(O74,2,3)),$A$2:$A$73,0))=INDEX($F$2:$F$73,MATCH(VALUE(MID(O74,2,3)),$A$2:$A$73,0)),INDEX($L$2:$L$73,MATCH(VALUE(MID(O74,2,3)),$A$2:$A$73,0)),IF(INDEX($J$2:$J$73,MATCH(VALUE(MID(O74,2,3)),$A$2:$A$73,0))=INDEX($G$2:$G$73,MATCH(VALUE(MID(O74,2,3)),$A$2:$A$73,0)),INDEX($M$2:$M$73,MATCH(VALUE(MID(O74,2,3)),$A$2:$A$73,0)),O74)),O74),IF(LEFT(O74,1)="L",IFERROR(IF(INDEX($J$2:$J$73,MATCH(VALUE(MID(O74,2,3)),$A$2:$A$73,0))=INDEX($F$2:$F$73,MATCH(VALUE(MID(O74,2,3)),$A$2:$A$73,0)),INDEX($M$2:$M$73,MATCH(VALUE(MID(O74,2,3)),$A$2:$A$73,0)),IF(INDEX($J$2:$J$73,MATCH(VALUE(MID(O74,2,3)),$A$2:$A$73,0))=INDEX($G$2:$G$73,MATCH(VALUE(MID(O74,2,3)),$A$2:$A$73,0)),INDEX($L$2:$L$73,MATCH(VALUE(MID(O74,2,3)),$A$2:$A$73,0)),O74)),O74),IFERROR(IF(VLOOKUP(RIGHT(O74,1)&amp;LEFT(O74,1),Clasificacion!$O$2:$Q$49,3,FALSE())="",O74,VLOOKUP(RIGHT(O74,1)&amp;LEFT(O74,1),Clasificacion!$O$2:$Q$49,3,FALSE())),O74)))))</f>
        <v>2B</v>
      </c>
      <c r="N74" s="1" t="s">
        <v>293</v>
      </c>
      <c r="O74" s="1" t="s">
        <v>294</v>
      </c>
      <c r="P74" s="1" t="s">
        <v>262</v>
      </c>
    </row>
    <row r="75" customFormat="false" ht="14.25" hidden="false" customHeight="true" outlineLevel="0" collapsed="false">
      <c r="A75" s="1" t="n">
        <v>74</v>
      </c>
      <c r="B75" s="1" t="n">
        <v>46201</v>
      </c>
      <c r="C75" s="1" t="s">
        <v>295</v>
      </c>
      <c r="D75" s="1" t="s">
        <v>292</v>
      </c>
      <c r="F75" s="1" t="str">
        <f aca="false">IF(N75="","",IF(LEFT(N75,1)="3",IFERROR(IF(VLOOKUP($A75&amp;"L",Asignacion_3ros!$A$2:$G$9,6,FALSE())="",N75,VLOOKUP($A75&amp;"L",Asignacion_3ros!$A$2:$G$9,6,FALSE())),N75),IF(LEFT(N75,1)="W",IFERROR(IF(INDEX($J$2:$J$74,MATCH(VALUE(MID(N75,2,3)),$A$2:$A$74,0))="",N75,INDEX($J$2:$J$74,MATCH(VALUE(MID(N75,2,3)),$A$2:$A$74,0))),N75),IF(LEFT(N75,1)="L",IFERROR(IF(INDEX($J$2:$J$74,MATCH(VALUE(MID(N75,2,3)),$A$2:$A$74,0))=INDEX($F$2:$F$74,MATCH(VALUE(MID(N75,2,3)),$A$2:$A$74,0)),INDEX($G$2:$G$74,MATCH(VALUE(MID(N75,2,3)),$A$2:$A$74,0)),IF(INDEX($J$2:$J$74,MATCH(VALUE(MID(N75,2,3)),$A$2:$A$74,0))=INDEX($G$2:$G$74,MATCH(VALUE(MID(N75,2,3)),$A$2:$A$74,0)),INDEX($F$2:$F$74,MATCH(VALUE(MID(N75,2,3)),$A$2:$A$74,0)),N75)),N75),IFERROR(IF(VLOOKUP(RIGHT(N75,1)&amp;LEFT(N75,1),Clasificacion!$O$2:$Q$49,2,FALSE())="",N75,VLOOKUP(RIGHT(N75,1)&amp;LEFT(N75,1),Clasificacion!$O$2:$Q$49,2,FALSE())),N75)))))</f>
        <v>1E</v>
      </c>
      <c r="G75" s="1" t="str">
        <f aca="false">IF(O75="","",IF(LEFT(O75,1)="3",IFERROR(IF(VLOOKUP($A75&amp;"V",Asignacion_3ros!$A$2:$G$9,6,FALSE())="",O75,VLOOKUP($A75&amp;"V",Asignacion_3ros!$A$2:$G$9,6,FALSE())),O75),IF(LEFT(O75,1)="W",IFERROR(IF(INDEX($J$2:$J$74,MATCH(VALUE(MID(O75,2,3)),$A$2:$A$74,0))="",O75,INDEX($J$2:$J$74,MATCH(VALUE(MID(O75,2,3)),$A$2:$A$74,0))),O75),IF(LEFT(O75,1)="L",IFERROR(IF(INDEX($J$2:$J$74,MATCH(VALUE(MID(O75,2,3)),$A$2:$A$74,0))=INDEX($F$2:$F$74,MATCH(VALUE(MID(O75,2,3)),$A$2:$A$74,0)),INDEX($G$2:$G$74,MATCH(VALUE(MID(O75,2,3)),$A$2:$A$74,0)),IF(INDEX($J$2:$J$74,MATCH(VALUE(MID(O75,2,3)),$A$2:$A$74,0))=INDEX($G$2:$G$74,MATCH(VALUE(MID(O75,2,3)),$A$2:$A$74,0)),INDEX($F$2:$F$74,MATCH(VALUE(MID(O75,2,3)),$A$2:$A$74,0)),O75)),O75),IFERROR(IF(VLOOKUP(RIGHT(O75,1)&amp;LEFT(O75,1),Clasificacion!$O$2:$Q$49,2,FALSE())="",O75,VLOOKUP(RIGHT(O75,1)&amp;LEFT(O75,1),Clasificacion!$O$2:$Q$49,2,FALSE())),O75)))))</f>
        <v>México</v>
      </c>
      <c r="J75" s="1" t="str">
        <f aca="false">IF(OR(H75="",I75=""),"",IF(H75&gt;I75,F75,IF(I75&gt;H75,G75,"Empate")))</f>
        <v/>
      </c>
      <c r="K75" s="1" t="s">
        <v>269</v>
      </c>
      <c r="L75" s="1" t="str">
        <f aca="false">IF(N75="","",IF(LEFT(N75,1)="3",IFERROR(IF(VLOOKUP($A75&amp;"L",Asignacion_3ros!$A$2:$G$9,7,FALSE())="",N75,VLOOKUP($A75&amp;"L",Asignacion_3ros!$A$2:$G$9,7,FALSE())),N75),IF(LEFT(N75,1)="W",IFERROR(IF(INDEX($J$2:$J$74,MATCH(VALUE(MID(N75,2,3)),$A$2:$A$74,0))=INDEX($F$2:$F$74,MATCH(VALUE(MID(N75,2,3)),$A$2:$A$74,0)),INDEX($L$2:$L$74,MATCH(VALUE(MID(N75,2,3)),$A$2:$A$74,0)),IF(INDEX($J$2:$J$74,MATCH(VALUE(MID(N75,2,3)),$A$2:$A$74,0))=INDEX($G$2:$G$74,MATCH(VALUE(MID(N75,2,3)),$A$2:$A$74,0)),INDEX($M$2:$M$74,MATCH(VALUE(MID(N75,2,3)),$A$2:$A$74,0)),N75)),N75),IF(LEFT(N75,1)="L",IFERROR(IF(INDEX($J$2:$J$74,MATCH(VALUE(MID(N75,2,3)),$A$2:$A$74,0))=INDEX($F$2:$F$74,MATCH(VALUE(MID(N75,2,3)),$A$2:$A$74,0)),INDEX($M$2:$M$74,MATCH(VALUE(MID(N75,2,3)),$A$2:$A$74,0)),IF(INDEX($J$2:$J$74,MATCH(VALUE(MID(N75,2,3)),$A$2:$A$74,0))=INDEX($G$2:$G$74,MATCH(VALUE(MID(N75,2,3)),$A$2:$A$74,0)),INDEX($L$2:$L$74,MATCH(VALUE(MID(N75,2,3)),$A$2:$A$74,0)),N75)),N75),IFERROR(IF(VLOOKUP(RIGHT(N75,1)&amp;LEFT(N75,1),Clasificacion!$O$2:$Q$49,3,FALSE())="",N75,VLOOKUP(RIGHT(N75,1)&amp;LEFT(N75,1),Clasificacion!$O$2:$Q$49,3,FALSE())),N75)))))</f>
        <v>1E</v>
      </c>
      <c r="M75" s="1" t="str">
        <f aca="false">IF(O75="","",IF(LEFT(O75,1)="3",IFERROR(IF(VLOOKUP($A75&amp;"V",Asignacion_3ros!$A$2:$G$9,7,FALSE())="",O75,VLOOKUP($A75&amp;"V",Asignacion_3ros!$A$2:$G$9,7,FALSE())),O75),IF(LEFT(O75,1)="W",IFERROR(IF(INDEX($J$2:$J$74,MATCH(VALUE(MID(O75,2,3)),$A$2:$A$74,0))=INDEX($F$2:$F$74,MATCH(VALUE(MID(O75,2,3)),$A$2:$A$74,0)),INDEX($L$2:$L$74,MATCH(VALUE(MID(O75,2,3)),$A$2:$A$74,0)),IF(INDEX($J$2:$J$74,MATCH(VALUE(MID(O75,2,3)),$A$2:$A$74,0))=INDEX($G$2:$G$74,MATCH(VALUE(MID(O75,2,3)),$A$2:$A$74,0)),INDEX($M$2:$M$74,MATCH(VALUE(MID(O75,2,3)),$A$2:$A$74,0)),O75)),O75),IF(LEFT(O75,1)="L",IFERROR(IF(INDEX($J$2:$J$74,MATCH(VALUE(MID(O75,2,3)),$A$2:$A$74,0))=INDEX($F$2:$F$74,MATCH(VALUE(MID(O75,2,3)),$A$2:$A$74,0)),INDEX($M$2:$M$74,MATCH(VALUE(MID(O75,2,3)),$A$2:$A$74,0)),IF(INDEX($J$2:$J$74,MATCH(VALUE(MID(O75,2,3)),$A$2:$A$74,0))=INDEX($G$2:$G$74,MATCH(VALUE(MID(O75,2,3)),$A$2:$A$74,0)),INDEX($L$2:$L$74,MATCH(VALUE(MID(O75,2,3)),$A$2:$A$74,0)),O75)),O75),IFERROR(IF(VLOOKUP(RIGHT(O75,1)&amp;LEFT(O75,1),Clasificacion!$O$2:$Q$49,3,FALSE())="",O75,VLOOKUP(RIGHT(O75,1)&amp;LEFT(O75,1),Clasificacion!$O$2:$Q$49,3,FALSE())),O75)))))</f>
        <v>MEX</v>
      </c>
      <c r="N75" s="1" t="s">
        <v>296</v>
      </c>
      <c r="O75" s="1" t="s">
        <v>297</v>
      </c>
      <c r="P75" s="1" t="s">
        <v>262</v>
      </c>
    </row>
    <row r="76" customFormat="false" ht="14.25" hidden="false" customHeight="true" outlineLevel="0" collapsed="false">
      <c r="A76" s="1" t="n">
        <v>75</v>
      </c>
      <c r="B76" s="1" t="n">
        <v>46202</v>
      </c>
      <c r="C76" s="1" t="s">
        <v>267</v>
      </c>
      <c r="D76" s="1" t="s">
        <v>292</v>
      </c>
      <c r="F76" s="1" t="str">
        <f aca="false">IF(N76="","",IF(LEFT(N76,1)="3",IFERROR(IF(VLOOKUP($A76&amp;"L",Asignacion_3ros!$A$2:$G$9,6,FALSE())="",N76,VLOOKUP($A76&amp;"L",Asignacion_3ros!$A$2:$G$9,6,FALSE())),N76),IF(LEFT(N76,1)="W",IFERROR(IF(INDEX($J$2:$J$75,MATCH(VALUE(MID(N76,2,3)),$A$2:$A$75,0))="",N76,INDEX($J$2:$J$75,MATCH(VALUE(MID(N76,2,3)),$A$2:$A$75,0))),N76),IF(LEFT(N76,1)="L",IFERROR(IF(INDEX($J$2:$J$75,MATCH(VALUE(MID(N76,2,3)),$A$2:$A$75,0))=INDEX($F$2:$F$75,MATCH(VALUE(MID(N76,2,3)),$A$2:$A$75,0)),INDEX($G$2:$G$75,MATCH(VALUE(MID(N76,2,3)),$A$2:$A$75,0)),IF(INDEX($J$2:$J$75,MATCH(VALUE(MID(N76,2,3)),$A$2:$A$75,0))=INDEX($G$2:$G$75,MATCH(VALUE(MID(N76,2,3)),$A$2:$A$75,0)),INDEX($F$2:$F$75,MATCH(VALUE(MID(N76,2,3)),$A$2:$A$75,0)),N76)),N76),IFERROR(IF(VLOOKUP(RIGHT(N76,1)&amp;LEFT(N76,1),Clasificacion!$O$2:$Q$49,2,FALSE())="",N76,VLOOKUP(RIGHT(N76,1)&amp;LEFT(N76,1),Clasificacion!$O$2:$Q$49,2,FALSE())),N76)))))</f>
        <v>1F</v>
      </c>
      <c r="G76" s="1" t="str">
        <f aca="false">IF(O76="","",IF(LEFT(O76,1)="3",IFERROR(IF(VLOOKUP($A76&amp;"V",Asignacion_3ros!$A$2:$G$9,6,FALSE())="",O76,VLOOKUP($A76&amp;"V",Asignacion_3ros!$A$2:$G$9,6,FALSE())),O76),IF(LEFT(O76,1)="W",IFERROR(IF(INDEX($J$2:$J$75,MATCH(VALUE(MID(O76,2,3)),$A$2:$A$75,0))="",O76,INDEX($J$2:$J$75,MATCH(VALUE(MID(O76,2,3)),$A$2:$A$75,0))),O76),IF(LEFT(O76,1)="L",IFERROR(IF(INDEX($J$2:$J$75,MATCH(VALUE(MID(O76,2,3)),$A$2:$A$75,0))=INDEX($F$2:$F$75,MATCH(VALUE(MID(O76,2,3)),$A$2:$A$75,0)),INDEX($G$2:$G$75,MATCH(VALUE(MID(O76,2,3)),$A$2:$A$75,0)),IF(INDEX($J$2:$J$75,MATCH(VALUE(MID(O76,2,3)),$A$2:$A$75,0))=INDEX($G$2:$G$75,MATCH(VALUE(MID(O76,2,3)),$A$2:$A$75,0)),INDEX($F$2:$F$75,MATCH(VALUE(MID(O76,2,3)),$A$2:$A$75,0)),O76)),O76),IFERROR(IF(VLOOKUP(RIGHT(O76,1)&amp;LEFT(O76,1),Clasificacion!$O$2:$Q$49,2,FALSE())="",O76,VLOOKUP(RIGHT(O76,1)&amp;LEFT(O76,1),Clasificacion!$O$2:$Q$49,2,FALSE())),O76)))))</f>
        <v>2C</v>
      </c>
      <c r="J76" s="1" t="str">
        <f aca="false">IF(OR(H76="",I76=""),"",IF(H76&gt;I76,F76,IF(I76&gt;H76,G76,"Empate")))</f>
        <v/>
      </c>
      <c r="K76" s="1" t="s">
        <v>281</v>
      </c>
      <c r="L76" s="1" t="str">
        <f aca="false">IF(N76="","",IF(LEFT(N76,1)="3",IFERROR(IF(VLOOKUP($A76&amp;"L",Asignacion_3ros!$A$2:$G$9,7,FALSE())="",N76,VLOOKUP($A76&amp;"L",Asignacion_3ros!$A$2:$G$9,7,FALSE())),N76),IF(LEFT(N76,1)="W",IFERROR(IF(INDEX($J$2:$J$75,MATCH(VALUE(MID(N76,2,3)),$A$2:$A$75,0))=INDEX($F$2:$F$75,MATCH(VALUE(MID(N76,2,3)),$A$2:$A$75,0)),INDEX($L$2:$L$75,MATCH(VALUE(MID(N76,2,3)),$A$2:$A$75,0)),IF(INDEX($J$2:$J$75,MATCH(VALUE(MID(N76,2,3)),$A$2:$A$75,0))=INDEX($G$2:$G$75,MATCH(VALUE(MID(N76,2,3)),$A$2:$A$75,0)),INDEX($M$2:$M$75,MATCH(VALUE(MID(N76,2,3)),$A$2:$A$75,0)),N76)),N76),IF(LEFT(N76,1)="L",IFERROR(IF(INDEX($J$2:$J$75,MATCH(VALUE(MID(N76,2,3)),$A$2:$A$75,0))=INDEX($F$2:$F$75,MATCH(VALUE(MID(N76,2,3)),$A$2:$A$75,0)),INDEX($M$2:$M$75,MATCH(VALUE(MID(N76,2,3)),$A$2:$A$75,0)),IF(INDEX($J$2:$J$75,MATCH(VALUE(MID(N76,2,3)),$A$2:$A$75,0))=INDEX($G$2:$G$75,MATCH(VALUE(MID(N76,2,3)),$A$2:$A$75,0)),INDEX($L$2:$L$75,MATCH(VALUE(MID(N76,2,3)),$A$2:$A$75,0)),N76)),N76),IFERROR(IF(VLOOKUP(RIGHT(N76,1)&amp;LEFT(N76,1),Clasificacion!$O$2:$Q$49,3,FALSE())="",N76,VLOOKUP(RIGHT(N76,1)&amp;LEFT(N76,1),Clasificacion!$O$2:$Q$49,3,FALSE())),N76)))))</f>
        <v>1F</v>
      </c>
      <c r="M76" s="1" t="str">
        <f aca="false">IF(O76="","",IF(LEFT(O76,1)="3",IFERROR(IF(VLOOKUP($A76&amp;"V",Asignacion_3ros!$A$2:$G$9,7,FALSE())="",O76,VLOOKUP($A76&amp;"V",Asignacion_3ros!$A$2:$G$9,7,FALSE())),O76),IF(LEFT(O76,1)="W",IFERROR(IF(INDEX($J$2:$J$75,MATCH(VALUE(MID(O76,2,3)),$A$2:$A$75,0))=INDEX($F$2:$F$75,MATCH(VALUE(MID(O76,2,3)),$A$2:$A$75,0)),INDEX($L$2:$L$75,MATCH(VALUE(MID(O76,2,3)),$A$2:$A$75,0)),IF(INDEX($J$2:$J$75,MATCH(VALUE(MID(O76,2,3)),$A$2:$A$75,0))=INDEX($G$2:$G$75,MATCH(VALUE(MID(O76,2,3)),$A$2:$A$75,0)),INDEX($M$2:$M$75,MATCH(VALUE(MID(O76,2,3)),$A$2:$A$75,0)),O76)),O76),IF(LEFT(O76,1)="L",IFERROR(IF(INDEX($J$2:$J$75,MATCH(VALUE(MID(O76,2,3)),$A$2:$A$75,0))=INDEX($F$2:$F$75,MATCH(VALUE(MID(O76,2,3)),$A$2:$A$75,0)),INDEX($M$2:$M$75,MATCH(VALUE(MID(O76,2,3)),$A$2:$A$75,0)),IF(INDEX($J$2:$J$75,MATCH(VALUE(MID(O76,2,3)),$A$2:$A$75,0))=INDEX($G$2:$G$75,MATCH(VALUE(MID(O76,2,3)),$A$2:$A$75,0)),INDEX($L$2:$L$75,MATCH(VALUE(MID(O76,2,3)),$A$2:$A$75,0)),O76)),O76),IFERROR(IF(VLOOKUP(RIGHT(O76,1)&amp;LEFT(O76,1),Clasificacion!$O$2:$Q$49,3,FALSE())="",O76,VLOOKUP(RIGHT(O76,1)&amp;LEFT(O76,1),Clasificacion!$O$2:$Q$49,3,FALSE())),O76)))))</f>
        <v>2C</v>
      </c>
      <c r="N76" s="1" t="s">
        <v>298</v>
      </c>
      <c r="O76" s="1" t="s">
        <v>299</v>
      </c>
      <c r="P76" s="1" t="s">
        <v>262</v>
      </c>
    </row>
    <row r="77" customFormat="false" ht="14.25" hidden="false" customHeight="true" outlineLevel="0" collapsed="false">
      <c r="A77" s="1" t="n">
        <v>76</v>
      </c>
      <c r="B77" s="1" t="n">
        <v>46202</v>
      </c>
      <c r="C77" s="1" t="s">
        <v>277</v>
      </c>
      <c r="D77" s="1" t="s">
        <v>292</v>
      </c>
      <c r="F77" s="1" t="str">
        <f aca="false">IF(N77="","",IF(LEFT(N77,1)="3",IFERROR(IF(VLOOKUP($A77&amp;"L",Asignacion_3ros!$A$2:$G$9,6,FALSE())="",N77,VLOOKUP($A77&amp;"L",Asignacion_3ros!$A$2:$G$9,6,FALSE())),N77),IF(LEFT(N77,1)="W",IFERROR(IF(INDEX($J$2:$J$76,MATCH(VALUE(MID(N77,2,3)),$A$2:$A$76,0))="",N77,INDEX($J$2:$J$76,MATCH(VALUE(MID(N77,2,3)),$A$2:$A$76,0))),N77),IF(LEFT(N77,1)="L",IFERROR(IF(INDEX($J$2:$J$76,MATCH(VALUE(MID(N77,2,3)),$A$2:$A$76,0))=INDEX($F$2:$F$76,MATCH(VALUE(MID(N77,2,3)),$A$2:$A$76,0)),INDEX($G$2:$G$76,MATCH(VALUE(MID(N77,2,3)),$A$2:$A$76,0)),IF(INDEX($J$2:$J$76,MATCH(VALUE(MID(N77,2,3)),$A$2:$A$76,0))=INDEX($G$2:$G$76,MATCH(VALUE(MID(N77,2,3)),$A$2:$A$76,0)),INDEX($F$2:$F$76,MATCH(VALUE(MID(N77,2,3)),$A$2:$A$76,0)),N77)),N77),IFERROR(IF(VLOOKUP(RIGHT(N77,1)&amp;LEFT(N77,1),Clasificacion!$O$2:$Q$49,2,FALSE())="",N77,VLOOKUP(RIGHT(N77,1)&amp;LEFT(N77,1),Clasificacion!$O$2:$Q$49,2,FALSE())),N77)))))</f>
        <v>1C</v>
      </c>
      <c r="G77" s="1" t="str">
        <f aca="false">IF(O77="","",IF(LEFT(O77,1)="3",IFERROR(IF(VLOOKUP($A77&amp;"V",Asignacion_3ros!$A$2:$G$9,6,FALSE())="",O77,VLOOKUP($A77&amp;"V",Asignacion_3ros!$A$2:$G$9,6,FALSE())),O77),IF(LEFT(O77,1)="W",IFERROR(IF(INDEX($J$2:$J$76,MATCH(VALUE(MID(O77,2,3)),$A$2:$A$76,0))="",O77,INDEX($J$2:$J$76,MATCH(VALUE(MID(O77,2,3)),$A$2:$A$76,0))),O77),IF(LEFT(O77,1)="L",IFERROR(IF(INDEX($J$2:$J$76,MATCH(VALUE(MID(O77,2,3)),$A$2:$A$76,0))=INDEX($F$2:$F$76,MATCH(VALUE(MID(O77,2,3)),$A$2:$A$76,0)),INDEX($G$2:$G$76,MATCH(VALUE(MID(O77,2,3)),$A$2:$A$76,0)),IF(INDEX($J$2:$J$76,MATCH(VALUE(MID(O77,2,3)),$A$2:$A$76,0))=INDEX($G$2:$G$76,MATCH(VALUE(MID(O77,2,3)),$A$2:$A$76,0)),INDEX($F$2:$F$76,MATCH(VALUE(MID(O77,2,3)),$A$2:$A$76,0)),O77)),O77),IFERROR(IF(VLOOKUP(RIGHT(O77,1)&amp;LEFT(O77,1),Clasificacion!$O$2:$Q$49,2,FALSE())="",O77,VLOOKUP(RIGHT(O77,1)&amp;LEFT(O77,1),Clasificacion!$O$2:$Q$49,2,FALSE())),O77)))))</f>
        <v>2F</v>
      </c>
      <c r="J77" s="1" t="str">
        <f aca="false">IF(OR(H77="",I77=""),"",IF(H77&gt;I77,F77,IF(I77&gt;H77,G77,"Empate")))</f>
        <v/>
      </c>
      <c r="K77" s="1" t="s">
        <v>278</v>
      </c>
      <c r="L77" s="1" t="str">
        <f aca="false">IF(N77="","",IF(LEFT(N77,1)="3",IFERROR(IF(VLOOKUP($A77&amp;"L",Asignacion_3ros!$A$2:$G$9,7,FALSE())="",N77,VLOOKUP($A77&amp;"L",Asignacion_3ros!$A$2:$G$9,7,FALSE())),N77),IF(LEFT(N77,1)="W",IFERROR(IF(INDEX($J$2:$J$76,MATCH(VALUE(MID(N77,2,3)),$A$2:$A$76,0))=INDEX($F$2:$F$76,MATCH(VALUE(MID(N77,2,3)),$A$2:$A$76,0)),INDEX($L$2:$L$76,MATCH(VALUE(MID(N77,2,3)),$A$2:$A$76,0)),IF(INDEX($J$2:$J$76,MATCH(VALUE(MID(N77,2,3)),$A$2:$A$76,0))=INDEX($G$2:$G$76,MATCH(VALUE(MID(N77,2,3)),$A$2:$A$76,0)),INDEX($M$2:$M$76,MATCH(VALUE(MID(N77,2,3)),$A$2:$A$76,0)),N77)),N77),IF(LEFT(N77,1)="L",IFERROR(IF(INDEX($J$2:$J$76,MATCH(VALUE(MID(N77,2,3)),$A$2:$A$76,0))=INDEX($F$2:$F$76,MATCH(VALUE(MID(N77,2,3)),$A$2:$A$76,0)),INDEX($M$2:$M$76,MATCH(VALUE(MID(N77,2,3)),$A$2:$A$76,0)),IF(INDEX($J$2:$J$76,MATCH(VALUE(MID(N77,2,3)),$A$2:$A$76,0))=INDEX($G$2:$G$76,MATCH(VALUE(MID(N77,2,3)),$A$2:$A$76,0)),INDEX($L$2:$L$76,MATCH(VALUE(MID(N77,2,3)),$A$2:$A$76,0)),N77)),N77),IFERROR(IF(VLOOKUP(RIGHT(N77,1)&amp;LEFT(N77,1),Clasificacion!$O$2:$Q$49,3,FALSE())="",N77,VLOOKUP(RIGHT(N77,1)&amp;LEFT(N77,1),Clasificacion!$O$2:$Q$49,3,FALSE())),N77)))))</f>
        <v>1C</v>
      </c>
      <c r="M77" s="1" t="str">
        <f aca="false">IF(O77="","",IF(LEFT(O77,1)="3",IFERROR(IF(VLOOKUP($A77&amp;"V",Asignacion_3ros!$A$2:$G$9,7,FALSE())="",O77,VLOOKUP($A77&amp;"V",Asignacion_3ros!$A$2:$G$9,7,FALSE())),O77),IF(LEFT(O77,1)="W",IFERROR(IF(INDEX($J$2:$J$76,MATCH(VALUE(MID(O77,2,3)),$A$2:$A$76,0))=INDEX($F$2:$F$76,MATCH(VALUE(MID(O77,2,3)),$A$2:$A$76,0)),INDEX($L$2:$L$76,MATCH(VALUE(MID(O77,2,3)),$A$2:$A$76,0)),IF(INDEX($J$2:$J$76,MATCH(VALUE(MID(O77,2,3)),$A$2:$A$76,0))=INDEX($G$2:$G$76,MATCH(VALUE(MID(O77,2,3)),$A$2:$A$76,0)),INDEX($M$2:$M$76,MATCH(VALUE(MID(O77,2,3)),$A$2:$A$76,0)),O77)),O77),IF(LEFT(O77,1)="L",IFERROR(IF(INDEX($J$2:$J$76,MATCH(VALUE(MID(O77,2,3)),$A$2:$A$76,0))=INDEX($F$2:$F$76,MATCH(VALUE(MID(O77,2,3)),$A$2:$A$76,0)),INDEX($M$2:$M$76,MATCH(VALUE(MID(O77,2,3)),$A$2:$A$76,0)),IF(INDEX($J$2:$J$76,MATCH(VALUE(MID(O77,2,3)),$A$2:$A$76,0))=INDEX($G$2:$G$76,MATCH(VALUE(MID(O77,2,3)),$A$2:$A$76,0)),INDEX($L$2:$L$76,MATCH(VALUE(MID(O77,2,3)),$A$2:$A$76,0)),O77)),O77),IFERROR(IF(VLOOKUP(RIGHT(O77,1)&amp;LEFT(O77,1),Clasificacion!$O$2:$Q$49,3,FALSE())="",O77,VLOOKUP(RIGHT(O77,1)&amp;LEFT(O77,1),Clasificacion!$O$2:$Q$49,3,FALSE())),O77)))))</f>
        <v>2F</v>
      </c>
      <c r="N77" s="1" t="s">
        <v>300</v>
      </c>
      <c r="O77" s="1" t="s">
        <v>301</v>
      </c>
      <c r="P77" s="1" t="s">
        <v>262</v>
      </c>
    </row>
    <row r="78" customFormat="false" ht="14.25" hidden="false" customHeight="true" outlineLevel="0" collapsed="false">
      <c r="A78" s="1" t="n">
        <v>77</v>
      </c>
      <c r="B78" s="1" t="n">
        <v>46202</v>
      </c>
      <c r="C78" s="1" t="s">
        <v>290</v>
      </c>
      <c r="D78" s="1" t="s">
        <v>292</v>
      </c>
      <c r="F78" s="1" t="str">
        <f aca="false">IF(N78="","",IF(LEFT(N78,1)="3",IFERROR(IF(VLOOKUP($A78&amp;"L",Asignacion_3ros!$A$2:$G$9,6,FALSE())="",N78,VLOOKUP($A78&amp;"L",Asignacion_3ros!$A$2:$G$9,6,FALSE())),N78),IF(LEFT(N78,1)="W",IFERROR(IF(INDEX($J$2:$J$77,MATCH(VALUE(MID(N78,2,3)),$A$2:$A$77,0))="",N78,INDEX($J$2:$J$77,MATCH(VALUE(MID(N78,2,3)),$A$2:$A$77,0))),N78),IF(LEFT(N78,1)="L",IFERROR(IF(INDEX($J$2:$J$77,MATCH(VALUE(MID(N78,2,3)),$A$2:$A$77,0))=INDEX($F$2:$F$77,MATCH(VALUE(MID(N78,2,3)),$A$2:$A$77,0)),INDEX($G$2:$G$77,MATCH(VALUE(MID(N78,2,3)),$A$2:$A$77,0)),IF(INDEX($J$2:$J$77,MATCH(VALUE(MID(N78,2,3)),$A$2:$A$77,0))=INDEX($G$2:$G$77,MATCH(VALUE(MID(N78,2,3)),$A$2:$A$77,0)),INDEX($F$2:$F$77,MATCH(VALUE(MID(N78,2,3)),$A$2:$A$77,0)),N78)),N78),IFERROR(IF(VLOOKUP(RIGHT(N78,1)&amp;LEFT(N78,1),Clasificacion!$O$2:$Q$49,2,FALSE())="",N78,VLOOKUP(RIGHT(N78,1)&amp;LEFT(N78,1),Clasificacion!$O$2:$Q$49,2,FALSE())),N78)))))</f>
        <v>1I</v>
      </c>
      <c r="G78" s="1" t="str">
        <f aca="false">IF(O78="","",IF(LEFT(O78,1)="3",IFERROR(IF(VLOOKUP($A78&amp;"V",Asignacion_3ros!$A$2:$G$9,6,FALSE())="",O78,VLOOKUP($A78&amp;"V",Asignacion_3ros!$A$2:$G$9,6,FALSE())),O78),IF(LEFT(O78,1)="W",IFERROR(IF(INDEX($J$2:$J$77,MATCH(VALUE(MID(O78,2,3)),$A$2:$A$77,0))="",O78,INDEX($J$2:$J$77,MATCH(VALUE(MID(O78,2,3)),$A$2:$A$77,0))),O78),IF(LEFT(O78,1)="L",IFERROR(IF(INDEX($J$2:$J$77,MATCH(VALUE(MID(O78,2,3)),$A$2:$A$77,0))=INDEX($F$2:$F$77,MATCH(VALUE(MID(O78,2,3)),$A$2:$A$77,0)),INDEX($G$2:$G$77,MATCH(VALUE(MID(O78,2,3)),$A$2:$A$77,0)),IF(INDEX($J$2:$J$77,MATCH(VALUE(MID(O78,2,3)),$A$2:$A$77,0))=INDEX($G$2:$G$77,MATCH(VALUE(MID(O78,2,3)),$A$2:$A$77,0)),INDEX($F$2:$F$77,MATCH(VALUE(MID(O78,2,3)),$A$2:$A$77,0)),O78)),O78),IFERROR(IF(VLOOKUP(RIGHT(O78,1)&amp;LEFT(O78,1),Clasificacion!$O$2:$Q$49,2,FALSE())="",O78,VLOOKUP(RIGHT(O78,1)&amp;LEFT(O78,1),Clasificacion!$O$2:$Q$49,2,FALSE())),O78)))))</f>
        <v>Corea República</v>
      </c>
      <c r="J78" s="1" t="str">
        <f aca="false">IF(OR(H78="",I78=""),"",IF(H78&gt;I78,F78,IF(I78&gt;H78,G78,"Empate")))</f>
        <v/>
      </c>
      <c r="K78" s="1" t="s">
        <v>273</v>
      </c>
      <c r="L78" s="1" t="str">
        <f aca="false">IF(N78="","",IF(LEFT(N78,1)="3",IFERROR(IF(VLOOKUP($A78&amp;"L",Asignacion_3ros!$A$2:$G$9,7,FALSE())="",N78,VLOOKUP($A78&amp;"L",Asignacion_3ros!$A$2:$G$9,7,FALSE())),N78),IF(LEFT(N78,1)="W",IFERROR(IF(INDEX($J$2:$J$77,MATCH(VALUE(MID(N78,2,3)),$A$2:$A$77,0))=INDEX($F$2:$F$77,MATCH(VALUE(MID(N78,2,3)),$A$2:$A$77,0)),INDEX($L$2:$L$77,MATCH(VALUE(MID(N78,2,3)),$A$2:$A$77,0)),IF(INDEX($J$2:$J$77,MATCH(VALUE(MID(N78,2,3)),$A$2:$A$77,0))=INDEX($G$2:$G$77,MATCH(VALUE(MID(N78,2,3)),$A$2:$A$77,0)),INDEX($M$2:$M$77,MATCH(VALUE(MID(N78,2,3)),$A$2:$A$77,0)),N78)),N78),IF(LEFT(N78,1)="L",IFERROR(IF(INDEX($J$2:$J$77,MATCH(VALUE(MID(N78,2,3)),$A$2:$A$77,0))=INDEX($F$2:$F$77,MATCH(VALUE(MID(N78,2,3)),$A$2:$A$77,0)),INDEX($M$2:$M$77,MATCH(VALUE(MID(N78,2,3)),$A$2:$A$77,0)),IF(INDEX($J$2:$J$77,MATCH(VALUE(MID(N78,2,3)),$A$2:$A$77,0))=INDEX($G$2:$G$77,MATCH(VALUE(MID(N78,2,3)),$A$2:$A$77,0)),INDEX($L$2:$L$77,MATCH(VALUE(MID(N78,2,3)),$A$2:$A$77,0)),N78)),N78),IFERROR(IF(VLOOKUP(RIGHT(N78,1)&amp;LEFT(N78,1),Clasificacion!$O$2:$Q$49,3,FALSE())="",N78,VLOOKUP(RIGHT(N78,1)&amp;LEFT(N78,1),Clasificacion!$O$2:$Q$49,3,FALSE())),N78)))))</f>
        <v>1I</v>
      </c>
      <c r="M78" s="1" t="str">
        <f aca="false">IF(O78="","",IF(LEFT(O78,1)="3",IFERROR(IF(VLOOKUP($A78&amp;"V",Asignacion_3ros!$A$2:$G$9,7,FALSE())="",O78,VLOOKUP($A78&amp;"V",Asignacion_3ros!$A$2:$G$9,7,FALSE())),O78),IF(LEFT(O78,1)="W",IFERROR(IF(INDEX($J$2:$J$77,MATCH(VALUE(MID(O78,2,3)),$A$2:$A$77,0))=INDEX($F$2:$F$77,MATCH(VALUE(MID(O78,2,3)),$A$2:$A$77,0)),INDEX($L$2:$L$77,MATCH(VALUE(MID(O78,2,3)),$A$2:$A$77,0)),IF(INDEX($J$2:$J$77,MATCH(VALUE(MID(O78,2,3)),$A$2:$A$77,0))=INDEX($G$2:$G$77,MATCH(VALUE(MID(O78,2,3)),$A$2:$A$77,0)),INDEX($M$2:$M$77,MATCH(VALUE(MID(O78,2,3)),$A$2:$A$77,0)),O78)),O78),IF(LEFT(O78,1)="L",IFERROR(IF(INDEX($J$2:$J$77,MATCH(VALUE(MID(O78,2,3)),$A$2:$A$77,0))=INDEX($F$2:$F$77,MATCH(VALUE(MID(O78,2,3)),$A$2:$A$77,0)),INDEX($M$2:$M$77,MATCH(VALUE(MID(O78,2,3)),$A$2:$A$77,0)),IF(INDEX($J$2:$J$77,MATCH(VALUE(MID(O78,2,3)),$A$2:$A$77,0))=INDEX($G$2:$G$77,MATCH(VALUE(MID(O78,2,3)),$A$2:$A$77,0)),INDEX($L$2:$L$77,MATCH(VALUE(MID(O78,2,3)),$A$2:$A$77,0)),O78)),O78),IFERROR(IF(VLOOKUP(RIGHT(O78,1)&amp;LEFT(O78,1),Clasificacion!$O$2:$Q$49,3,FALSE())="",O78,VLOOKUP(RIGHT(O78,1)&amp;LEFT(O78,1),Clasificacion!$O$2:$Q$49,3,FALSE())),O78)))))</f>
        <v>KOR</v>
      </c>
      <c r="N78" s="1" t="s">
        <v>302</v>
      </c>
      <c r="O78" s="1" t="s">
        <v>303</v>
      </c>
      <c r="P78" s="1" t="s">
        <v>262</v>
      </c>
    </row>
    <row r="79" customFormat="false" ht="14.25" hidden="false" customHeight="true" outlineLevel="0" collapsed="false">
      <c r="A79" s="1" t="n">
        <v>78</v>
      </c>
      <c r="B79" s="1" t="n">
        <v>46203</v>
      </c>
      <c r="C79" s="1" t="s">
        <v>277</v>
      </c>
      <c r="D79" s="1" t="s">
        <v>292</v>
      </c>
      <c r="F79" s="1" t="str">
        <f aca="false">IF(N79="","",IF(LEFT(N79,1)="3",IFERROR(IF(VLOOKUP($A79&amp;"L",Asignacion_3ros!$A$2:$G$9,6,FALSE())="",N79,VLOOKUP($A79&amp;"L",Asignacion_3ros!$A$2:$G$9,6,FALSE())),N79),IF(LEFT(N79,1)="W",IFERROR(IF(INDEX($J$2:$J$78,MATCH(VALUE(MID(N79,2,3)),$A$2:$A$78,0))="",N79,INDEX($J$2:$J$78,MATCH(VALUE(MID(N79,2,3)),$A$2:$A$78,0))),N79),IF(LEFT(N79,1)="L",IFERROR(IF(INDEX($J$2:$J$78,MATCH(VALUE(MID(N79,2,3)),$A$2:$A$78,0))=INDEX($F$2:$F$78,MATCH(VALUE(MID(N79,2,3)),$A$2:$A$78,0)),INDEX($G$2:$G$78,MATCH(VALUE(MID(N79,2,3)),$A$2:$A$78,0)),IF(INDEX($J$2:$J$78,MATCH(VALUE(MID(N79,2,3)),$A$2:$A$78,0))=INDEX($G$2:$G$78,MATCH(VALUE(MID(N79,2,3)),$A$2:$A$78,0)),INDEX($F$2:$F$78,MATCH(VALUE(MID(N79,2,3)),$A$2:$A$78,0)),N79)),N79),IFERROR(IF(VLOOKUP(RIGHT(N79,1)&amp;LEFT(N79,1),Clasificacion!$O$2:$Q$49,2,FALSE())="",N79,VLOOKUP(RIGHT(N79,1)&amp;LEFT(N79,1),Clasificacion!$O$2:$Q$49,2,FALSE())),N79)))))</f>
        <v>2E</v>
      </c>
      <c r="G79" s="1" t="str">
        <f aca="false">IF(O79="","",IF(LEFT(O79,1)="3",IFERROR(IF(VLOOKUP($A79&amp;"V",Asignacion_3ros!$A$2:$G$9,6,FALSE())="",O79,VLOOKUP($A79&amp;"V",Asignacion_3ros!$A$2:$G$9,6,FALSE())),O79),IF(LEFT(O79,1)="W",IFERROR(IF(INDEX($J$2:$J$78,MATCH(VALUE(MID(O79,2,3)),$A$2:$A$78,0))="",O79,INDEX($J$2:$J$78,MATCH(VALUE(MID(O79,2,3)),$A$2:$A$78,0))),O79),IF(LEFT(O79,1)="L",IFERROR(IF(INDEX($J$2:$J$78,MATCH(VALUE(MID(O79,2,3)),$A$2:$A$78,0))=INDEX($F$2:$F$78,MATCH(VALUE(MID(O79,2,3)),$A$2:$A$78,0)),INDEX($G$2:$G$78,MATCH(VALUE(MID(O79,2,3)),$A$2:$A$78,0)),IF(INDEX($J$2:$J$78,MATCH(VALUE(MID(O79,2,3)),$A$2:$A$78,0))=INDEX($G$2:$G$78,MATCH(VALUE(MID(O79,2,3)),$A$2:$A$78,0)),INDEX($F$2:$F$78,MATCH(VALUE(MID(O79,2,3)),$A$2:$A$78,0)),O79)),O79),IFERROR(IF(VLOOKUP(RIGHT(O79,1)&amp;LEFT(O79,1),Clasificacion!$O$2:$Q$49,2,FALSE())="",O79,VLOOKUP(RIGHT(O79,1)&amp;LEFT(O79,1),Clasificacion!$O$2:$Q$49,2,FALSE())),O79)))))</f>
        <v>2I</v>
      </c>
      <c r="J79" s="1" t="str">
        <f aca="false">IF(OR(H79="",I79=""),"",IF(H79&gt;I79,F79,IF(I79&gt;H79,G79,"Empate")))</f>
        <v/>
      </c>
      <c r="K79" s="1" t="s">
        <v>280</v>
      </c>
      <c r="L79" s="1" t="str">
        <f aca="false">IF(N79="","",IF(LEFT(N79,1)="3",IFERROR(IF(VLOOKUP($A79&amp;"L",Asignacion_3ros!$A$2:$G$9,7,FALSE())="",N79,VLOOKUP($A79&amp;"L",Asignacion_3ros!$A$2:$G$9,7,FALSE())),N79),IF(LEFT(N79,1)="W",IFERROR(IF(INDEX($J$2:$J$78,MATCH(VALUE(MID(N79,2,3)),$A$2:$A$78,0))=INDEX($F$2:$F$78,MATCH(VALUE(MID(N79,2,3)),$A$2:$A$78,0)),INDEX($L$2:$L$78,MATCH(VALUE(MID(N79,2,3)),$A$2:$A$78,0)),IF(INDEX($J$2:$J$78,MATCH(VALUE(MID(N79,2,3)),$A$2:$A$78,0))=INDEX($G$2:$G$78,MATCH(VALUE(MID(N79,2,3)),$A$2:$A$78,0)),INDEX($M$2:$M$78,MATCH(VALUE(MID(N79,2,3)),$A$2:$A$78,0)),N79)),N79),IF(LEFT(N79,1)="L",IFERROR(IF(INDEX($J$2:$J$78,MATCH(VALUE(MID(N79,2,3)),$A$2:$A$78,0))=INDEX($F$2:$F$78,MATCH(VALUE(MID(N79,2,3)),$A$2:$A$78,0)),INDEX($M$2:$M$78,MATCH(VALUE(MID(N79,2,3)),$A$2:$A$78,0)),IF(INDEX($J$2:$J$78,MATCH(VALUE(MID(N79,2,3)),$A$2:$A$78,0))=INDEX($G$2:$G$78,MATCH(VALUE(MID(N79,2,3)),$A$2:$A$78,0)),INDEX($L$2:$L$78,MATCH(VALUE(MID(N79,2,3)),$A$2:$A$78,0)),N79)),N79),IFERROR(IF(VLOOKUP(RIGHT(N79,1)&amp;LEFT(N79,1),Clasificacion!$O$2:$Q$49,3,FALSE())="",N79,VLOOKUP(RIGHT(N79,1)&amp;LEFT(N79,1),Clasificacion!$O$2:$Q$49,3,FALSE())),N79)))))</f>
        <v>2E</v>
      </c>
      <c r="M79" s="1" t="str">
        <f aca="false">IF(O79="","",IF(LEFT(O79,1)="3",IFERROR(IF(VLOOKUP($A79&amp;"V",Asignacion_3ros!$A$2:$G$9,7,FALSE())="",O79,VLOOKUP($A79&amp;"V",Asignacion_3ros!$A$2:$G$9,7,FALSE())),O79),IF(LEFT(O79,1)="W",IFERROR(IF(INDEX($J$2:$J$78,MATCH(VALUE(MID(O79,2,3)),$A$2:$A$78,0))=INDEX($F$2:$F$78,MATCH(VALUE(MID(O79,2,3)),$A$2:$A$78,0)),INDEX($L$2:$L$78,MATCH(VALUE(MID(O79,2,3)),$A$2:$A$78,0)),IF(INDEX($J$2:$J$78,MATCH(VALUE(MID(O79,2,3)),$A$2:$A$78,0))=INDEX($G$2:$G$78,MATCH(VALUE(MID(O79,2,3)),$A$2:$A$78,0)),INDEX($M$2:$M$78,MATCH(VALUE(MID(O79,2,3)),$A$2:$A$78,0)),O79)),O79),IF(LEFT(O79,1)="L",IFERROR(IF(INDEX($J$2:$J$78,MATCH(VALUE(MID(O79,2,3)),$A$2:$A$78,0))=INDEX($F$2:$F$78,MATCH(VALUE(MID(O79,2,3)),$A$2:$A$78,0)),INDEX($M$2:$M$78,MATCH(VALUE(MID(O79,2,3)),$A$2:$A$78,0)),IF(INDEX($J$2:$J$78,MATCH(VALUE(MID(O79,2,3)),$A$2:$A$78,0))=INDEX($G$2:$G$78,MATCH(VALUE(MID(O79,2,3)),$A$2:$A$78,0)),INDEX($L$2:$L$78,MATCH(VALUE(MID(O79,2,3)),$A$2:$A$78,0)),O79)),O79),IFERROR(IF(VLOOKUP(RIGHT(O79,1)&amp;LEFT(O79,1),Clasificacion!$O$2:$Q$49,3,FALSE())="",O79,VLOOKUP(RIGHT(O79,1)&amp;LEFT(O79,1),Clasificacion!$O$2:$Q$49,3,FALSE())),O79)))))</f>
        <v>2I</v>
      </c>
      <c r="N79" s="1" t="s">
        <v>304</v>
      </c>
      <c r="O79" s="1" t="s">
        <v>305</v>
      </c>
      <c r="P79" s="1" t="s">
        <v>262</v>
      </c>
    </row>
    <row r="80" customFormat="false" ht="14.25" hidden="false" customHeight="true" outlineLevel="0" collapsed="false">
      <c r="A80" s="1" t="n">
        <v>79</v>
      </c>
      <c r="B80" s="1" t="n">
        <v>46203</v>
      </c>
      <c r="C80" s="1" t="s">
        <v>267</v>
      </c>
      <c r="D80" s="1" t="s">
        <v>292</v>
      </c>
      <c r="F80" s="1" t="str">
        <f aca="false">IF(N80="","",IF(LEFT(N80,1)="3",IFERROR(IF(VLOOKUP($A80&amp;"L",Asignacion_3ros!$A$2:$G$9,6,FALSE())="",N80,VLOOKUP($A80&amp;"L",Asignacion_3ros!$A$2:$G$9,6,FALSE())),N80),IF(LEFT(N80,1)="W",IFERROR(IF(INDEX($J$2:$J$79,MATCH(VALUE(MID(N80,2,3)),$A$2:$A$79,0))="",N80,INDEX($J$2:$J$79,MATCH(VALUE(MID(N80,2,3)),$A$2:$A$79,0))),N80),IF(LEFT(N80,1)="L",IFERROR(IF(INDEX($J$2:$J$79,MATCH(VALUE(MID(N80,2,3)),$A$2:$A$79,0))=INDEX($F$2:$F$79,MATCH(VALUE(MID(N80,2,3)),$A$2:$A$79,0)),INDEX($G$2:$G$79,MATCH(VALUE(MID(N80,2,3)),$A$2:$A$79,0)),IF(INDEX($J$2:$J$79,MATCH(VALUE(MID(N80,2,3)),$A$2:$A$79,0))=INDEX($G$2:$G$79,MATCH(VALUE(MID(N80,2,3)),$A$2:$A$79,0)),INDEX($F$2:$F$79,MATCH(VALUE(MID(N80,2,3)),$A$2:$A$79,0)),N80)),N80),IFERROR(IF(VLOOKUP(RIGHT(N80,1)&amp;LEFT(N80,1),Clasificacion!$O$2:$Q$49,2,FALSE())="",N80,VLOOKUP(RIGHT(N80,1)&amp;LEFT(N80,1),Clasificacion!$O$2:$Q$49,2,FALSE())),N80)))))</f>
        <v>1A</v>
      </c>
      <c r="G80" s="1" t="str">
        <f aca="false">IF(O80="","",IF(LEFT(O80,1)="3",IFERROR(IF(VLOOKUP($A80&amp;"V",Asignacion_3ros!$A$2:$G$9,6,FALSE())="",O80,VLOOKUP($A80&amp;"V",Asignacion_3ros!$A$2:$G$9,6,FALSE())),O80),IF(LEFT(O80,1)="W",IFERROR(IF(INDEX($J$2:$J$79,MATCH(VALUE(MID(O80,2,3)),$A$2:$A$79,0))="",O80,INDEX($J$2:$J$79,MATCH(VALUE(MID(O80,2,3)),$A$2:$A$79,0))),O80),IF(LEFT(O80,1)="L",IFERROR(IF(INDEX($J$2:$J$79,MATCH(VALUE(MID(O80,2,3)),$A$2:$A$79,0))=INDEX($F$2:$F$79,MATCH(VALUE(MID(O80,2,3)),$A$2:$A$79,0)),INDEX($G$2:$G$79,MATCH(VALUE(MID(O80,2,3)),$A$2:$A$79,0)),IF(INDEX($J$2:$J$79,MATCH(VALUE(MID(O80,2,3)),$A$2:$A$79,0))=INDEX($G$2:$G$79,MATCH(VALUE(MID(O80,2,3)),$A$2:$A$79,0)),INDEX($F$2:$F$79,MATCH(VALUE(MID(O80,2,3)),$A$2:$A$79,0)),O80)),O80),IFERROR(IF(VLOOKUP(RIGHT(O80,1)&amp;LEFT(O80,1),Clasificacion!$O$2:$Q$49,2,FALSE())="",O80,VLOOKUP(RIGHT(O80,1)&amp;LEFT(O80,1),Clasificacion!$O$2:$Q$49,2,FALSE())),O80)))))</f>
        <v>Brasil</v>
      </c>
      <c r="J80" s="1" t="str">
        <f aca="false">IF(OR(H80="",I80=""),"",IF(H80&gt;I80,F80,IF(I80&gt;H80,G80,"Empate")))</f>
        <v/>
      </c>
      <c r="K80" s="1" t="s">
        <v>261</v>
      </c>
      <c r="L80" s="1" t="str">
        <f aca="false">IF(N80="","",IF(LEFT(N80,1)="3",IFERROR(IF(VLOOKUP($A80&amp;"L",Asignacion_3ros!$A$2:$G$9,7,FALSE())="",N80,VLOOKUP($A80&amp;"L",Asignacion_3ros!$A$2:$G$9,7,FALSE())),N80),IF(LEFT(N80,1)="W",IFERROR(IF(INDEX($J$2:$J$79,MATCH(VALUE(MID(N80,2,3)),$A$2:$A$79,0))=INDEX($F$2:$F$79,MATCH(VALUE(MID(N80,2,3)),$A$2:$A$79,0)),INDEX($L$2:$L$79,MATCH(VALUE(MID(N80,2,3)),$A$2:$A$79,0)),IF(INDEX($J$2:$J$79,MATCH(VALUE(MID(N80,2,3)),$A$2:$A$79,0))=INDEX($G$2:$G$79,MATCH(VALUE(MID(N80,2,3)),$A$2:$A$79,0)),INDEX($M$2:$M$79,MATCH(VALUE(MID(N80,2,3)),$A$2:$A$79,0)),N80)),N80),IF(LEFT(N80,1)="L",IFERROR(IF(INDEX($J$2:$J$79,MATCH(VALUE(MID(N80,2,3)),$A$2:$A$79,0))=INDEX($F$2:$F$79,MATCH(VALUE(MID(N80,2,3)),$A$2:$A$79,0)),INDEX($M$2:$M$79,MATCH(VALUE(MID(N80,2,3)),$A$2:$A$79,0)),IF(INDEX($J$2:$J$79,MATCH(VALUE(MID(N80,2,3)),$A$2:$A$79,0))=INDEX($G$2:$G$79,MATCH(VALUE(MID(N80,2,3)),$A$2:$A$79,0)),INDEX($L$2:$L$79,MATCH(VALUE(MID(N80,2,3)),$A$2:$A$79,0)),N80)),N80),IFERROR(IF(VLOOKUP(RIGHT(N80,1)&amp;LEFT(N80,1),Clasificacion!$O$2:$Q$49,3,FALSE())="",N80,VLOOKUP(RIGHT(N80,1)&amp;LEFT(N80,1),Clasificacion!$O$2:$Q$49,3,FALSE())),N80)))))</f>
        <v>1A</v>
      </c>
      <c r="M80" s="1" t="str">
        <f aca="false">IF(O80="","",IF(LEFT(O80,1)="3",IFERROR(IF(VLOOKUP($A80&amp;"V",Asignacion_3ros!$A$2:$G$9,7,FALSE())="",O80,VLOOKUP($A80&amp;"V",Asignacion_3ros!$A$2:$G$9,7,FALSE())),O80),IF(LEFT(O80,1)="W",IFERROR(IF(INDEX($J$2:$J$79,MATCH(VALUE(MID(O80,2,3)),$A$2:$A$79,0))=INDEX($F$2:$F$79,MATCH(VALUE(MID(O80,2,3)),$A$2:$A$79,0)),INDEX($L$2:$L$79,MATCH(VALUE(MID(O80,2,3)),$A$2:$A$79,0)),IF(INDEX($J$2:$J$79,MATCH(VALUE(MID(O80,2,3)),$A$2:$A$79,0))=INDEX($G$2:$G$79,MATCH(VALUE(MID(O80,2,3)),$A$2:$A$79,0)),INDEX($M$2:$M$79,MATCH(VALUE(MID(O80,2,3)),$A$2:$A$79,0)),O80)),O80),IF(LEFT(O80,1)="L",IFERROR(IF(INDEX($J$2:$J$79,MATCH(VALUE(MID(O80,2,3)),$A$2:$A$79,0))=INDEX($F$2:$F$79,MATCH(VALUE(MID(O80,2,3)),$A$2:$A$79,0)),INDEX($M$2:$M$79,MATCH(VALUE(MID(O80,2,3)),$A$2:$A$79,0)),IF(INDEX($J$2:$J$79,MATCH(VALUE(MID(O80,2,3)),$A$2:$A$79,0))=INDEX($G$2:$G$79,MATCH(VALUE(MID(O80,2,3)),$A$2:$A$79,0)),INDEX($L$2:$L$79,MATCH(VALUE(MID(O80,2,3)),$A$2:$A$79,0)),O80)),O80),IFERROR(IF(VLOOKUP(RIGHT(O80,1)&amp;LEFT(O80,1),Clasificacion!$O$2:$Q$49,3,FALSE())="",O80,VLOOKUP(RIGHT(O80,1)&amp;LEFT(O80,1),Clasificacion!$O$2:$Q$49,3,FALSE())),O80)))))</f>
        <v>BRA</v>
      </c>
      <c r="N80" s="1" t="s">
        <v>306</v>
      </c>
      <c r="O80" s="1" t="s">
        <v>307</v>
      </c>
      <c r="P80" s="1" t="s">
        <v>262</v>
      </c>
    </row>
    <row r="81" customFormat="false" ht="14.25" hidden="false" customHeight="true" outlineLevel="0" collapsed="false">
      <c r="A81" s="1" t="n">
        <v>80</v>
      </c>
      <c r="B81" s="1" t="n">
        <v>46203</v>
      </c>
      <c r="C81" s="1" t="s">
        <v>283</v>
      </c>
      <c r="D81" s="1" t="s">
        <v>292</v>
      </c>
      <c r="F81" s="1" t="str">
        <f aca="false">IF(N81="","",IF(LEFT(N81,1)="3",IFERROR(IF(VLOOKUP($A81&amp;"L",Asignacion_3ros!$A$2:$G$9,6,FALSE())="",N81,VLOOKUP($A81&amp;"L",Asignacion_3ros!$A$2:$G$9,6,FALSE())),N81),IF(LEFT(N81,1)="W",IFERROR(IF(INDEX($J$2:$J$80,MATCH(VALUE(MID(N81,2,3)),$A$2:$A$80,0))="",N81,INDEX($J$2:$J$80,MATCH(VALUE(MID(N81,2,3)),$A$2:$A$80,0))),N81),IF(LEFT(N81,1)="L",IFERROR(IF(INDEX($J$2:$J$80,MATCH(VALUE(MID(N81,2,3)),$A$2:$A$80,0))=INDEX($F$2:$F$80,MATCH(VALUE(MID(N81,2,3)),$A$2:$A$80,0)),INDEX($G$2:$G$80,MATCH(VALUE(MID(N81,2,3)),$A$2:$A$80,0)),IF(INDEX($J$2:$J$80,MATCH(VALUE(MID(N81,2,3)),$A$2:$A$80,0))=INDEX($G$2:$G$80,MATCH(VALUE(MID(N81,2,3)),$A$2:$A$80,0)),INDEX($F$2:$F$80,MATCH(VALUE(MID(N81,2,3)),$A$2:$A$80,0)),N81)),N81),IFERROR(IF(VLOOKUP(RIGHT(N81,1)&amp;LEFT(N81,1),Clasificacion!$O$2:$Q$49,2,FALSE())="",N81,VLOOKUP(RIGHT(N81,1)&amp;LEFT(N81,1),Clasificacion!$O$2:$Q$49,2,FALSE())),N81)))))</f>
        <v>1L</v>
      </c>
      <c r="G81" s="1" t="str">
        <f aca="false">IF(O81="","",IF(LEFT(O81,1)="3",IFERROR(IF(VLOOKUP($A81&amp;"V",Asignacion_3ros!$A$2:$G$9,6,FALSE())="",O81,VLOOKUP($A81&amp;"V",Asignacion_3ros!$A$2:$G$9,6,FALSE())),O81),IF(LEFT(O81,1)="W",IFERROR(IF(INDEX($J$2:$J$80,MATCH(VALUE(MID(O81,2,3)),$A$2:$A$80,0))="",O81,INDEX($J$2:$J$80,MATCH(VALUE(MID(O81,2,3)),$A$2:$A$80,0))),O81),IF(LEFT(O81,1)="L",IFERROR(IF(INDEX($J$2:$J$80,MATCH(VALUE(MID(O81,2,3)),$A$2:$A$80,0))=INDEX($F$2:$F$80,MATCH(VALUE(MID(O81,2,3)),$A$2:$A$80,0)),INDEX($G$2:$G$80,MATCH(VALUE(MID(O81,2,3)),$A$2:$A$80,0)),IF(INDEX($J$2:$J$80,MATCH(VALUE(MID(O81,2,3)),$A$2:$A$80,0))=INDEX($G$2:$G$80,MATCH(VALUE(MID(O81,2,3)),$A$2:$A$80,0)),INDEX($F$2:$F$80,MATCH(VALUE(MID(O81,2,3)),$A$2:$A$80,0)),O81)),O81),IFERROR(IF(VLOOKUP(RIGHT(O81,1)&amp;LEFT(O81,1),Clasificacion!$O$2:$Q$49,2,FALSE())="",O81,VLOOKUP(RIGHT(O81,1)&amp;LEFT(O81,1),Clasificacion!$O$2:$Q$49,2,FALSE())),O81)))))</f>
        <v>Canadá</v>
      </c>
      <c r="J81" s="1" t="str">
        <f aca="false">IF(OR(H81="",I81=""),"",IF(H81&gt;I81,F81,IF(I81&gt;H81,G81,"Empate")))</f>
        <v/>
      </c>
      <c r="K81" s="1" t="s">
        <v>284</v>
      </c>
      <c r="L81" s="1" t="str">
        <f aca="false">IF(N81="","",IF(LEFT(N81,1)="3",IFERROR(IF(VLOOKUP($A81&amp;"L",Asignacion_3ros!$A$2:$G$9,7,FALSE())="",N81,VLOOKUP($A81&amp;"L",Asignacion_3ros!$A$2:$G$9,7,FALSE())),N81),IF(LEFT(N81,1)="W",IFERROR(IF(INDEX($J$2:$J$80,MATCH(VALUE(MID(N81,2,3)),$A$2:$A$80,0))=INDEX($F$2:$F$80,MATCH(VALUE(MID(N81,2,3)),$A$2:$A$80,0)),INDEX($L$2:$L$80,MATCH(VALUE(MID(N81,2,3)),$A$2:$A$80,0)),IF(INDEX($J$2:$J$80,MATCH(VALUE(MID(N81,2,3)),$A$2:$A$80,0))=INDEX($G$2:$G$80,MATCH(VALUE(MID(N81,2,3)),$A$2:$A$80,0)),INDEX($M$2:$M$80,MATCH(VALUE(MID(N81,2,3)),$A$2:$A$80,0)),N81)),N81),IF(LEFT(N81,1)="L",IFERROR(IF(INDEX($J$2:$J$80,MATCH(VALUE(MID(N81,2,3)),$A$2:$A$80,0))=INDEX($F$2:$F$80,MATCH(VALUE(MID(N81,2,3)),$A$2:$A$80,0)),INDEX($M$2:$M$80,MATCH(VALUE(MID(N81,2,3)),$A$2:$A$80,0)),IF(INDEX($J$2:$J$80,MATCH(VALUE(MID(N81,2,3)),$A$2:$A$80,0))=INDEX($G$2:$G$80,MATCH(VALUE(MID(N81,2,3)),$A$2:$A$80,0)),INDEX($L$2:$L$80,MATCH(VALUE(MID(N81,2,3)),$A$2:$A$80,0)),N81)),N81),IFERROR(IF(VLOOKUP(RIGHT(N81,1)&amp;LEFT(N81,1),Clasificacion!$O$2:$Q$49,3,FALSE())="",N81,VLOOKUP(RIGHT(N81,1)&amp;LEFT(N81,1),Clasificacion!$O$2:$Q$49,3,FALSE())),N81)))))</f>
        <v>1L</v>
      </c>
      <c r="M81" s="1" t="str">
        <f aca="false">IF(O81="","",IF(LEFT(O81,1)="3",IFERROR(IF(VLOOKUP($A81&amp;"V",Asignacion_3ros!$A$2:$G$9,7,FALSE())="",O81,VLOOKUP($A81&amp;"V",Asignacion_3ros!$A$2:$G$9,7,FALSE())),O81),IF(LEFT(O81,1)="W",IFERROR(IF(INDEX($J$2:$J$80,MATCH(VALUE(MID(O81,2,3)),$A$2:$A$80,0))=INDEX($F$2:$F$80,MATCH(VALUE(MID(O81,2,3)),$A$2:$A$80,0)),INDEX($L$2:$L$80,MATCH(VALUE(MID(O81,2,3)),$A$2:$A$80,0)),IF(INDEX($J$2:$J$80,MATCH(VALUE(MID(O81,2,3)),$A$2:$A$80,0))=INDEX($G$2:$G$80,MATCH(VALUE(MID(O81,2,3)),$A$2:$A$80,0)),INDEX($M$2:$M$80,MATCH(VALUE(MID(O81,2,3)),$A$2:$A$80,0)),O81)),O81),IF(LEFT(O81,1)="L",IFERROR(IF(INDEX($J$2:$J$80,MATCH(VALUE(MID(O81,2,3)),$A$2:$A$80,0))=INDEX($F$2:$F$80,MATCH(VALUE(MID(O81,2,3)),$A$2:$A$80,0)),INDEX($M$2:$M$80,MATCH(VALUE(MID(O81,2,3)),$A$2:$A$80,0)),IF(INDEX($J$2:$J$80,MATCH(VALUE(MID(O81,2,3)),$A$2:$A$80,0))=INDEX($G$2:$G$80,MATCH(VALUE(MID(O81,2,3)),$A$2:$A$80,0)),INDEX($L$2:$L$80,MATCH(VALUE(MID(O81,2,3)),$A$2:$A$80,0)),O81)),O81),IFERROR(IF(VLOOKUP(RIGHT(O81,1)&amp;LEFT(O81,1),Clasificacion!$O$2:$Q$49,3,FALSE())="",O81,VLOOKUP(RIGHT(O81,1)&amp;LEFT(O81,1),Clasificacion!$O$2:$Q$49,3,FALSE())),O81)))))</f>
        <v>CAN</v>
      </c>
      <c r="N81" s="1" t="s">
        <v>308</v>
      </c>
      <c r="O81" s="1" t="s">
        <v>309</v>
      </c>
      <c r="P81" s="1" t="s">
        <v>262</v>
      </c>
    </row>
    <row r="82" customFormat="false" ht="14.25" hidden="false" customHeight="true" outlineLevel="0" collapsed="false">
      <c r="A82" s="1" t="n">
        <v>81</v>
      </c>
      <c r="B82" s="1" t="n">
        <v>46204</v>
      </c>
      <c r="C82" s="1" t="s">
        <v>289</v>
      </c>
      <c r="D82" s="1" t="s">
        <v>292</v>
      </c>
      <c r="F82" s="1" t="str">
        <f aca="false">IF(N82="","",IF(LEFT(N82,1)="3",IFERROR(IF(VLOOKUP($A82&amp;"L",Asignacion_3ros!$A$2:$G$9,6,FALSE())="",N82,VLOOKUP($A82&amp;"L",Asignacion_3ros!$A$2:$G$9,6,FALSE())),N82),IF(LEFT(N82,1)="W",IFERROR(IF(INDEX($J$2:$J$81,MATCH(VALUE(MID(N82,2,3)),$A$2:$A$81,0))="",N82,INDEX($J$2:$J$81,MATCH(VALUE(MID(N82,2,3)),$A$2:$A$81,0))),N82),IF(LEFT(N82,1)="L",IFERROR(IF(INDEX($J$2:$J$81,MATCH(VALUE(MID(N82,2,3)),$A$2:$A$81,0))=INDEX($F$2:$F$81,MATCH(VALUE(MID(N82,2,3)),$A$2:$A$81,0)),INDEX($G$2:$G$81,MATCH(VALUE(MID(N82,2,3)),$A$2:$A$81,0)),IF(INDEX($J$2:$J$81,MATCH(VALUE(MID(N82,2,3)),$A$2:$A$81,0))=INDEX($G$2:$G$81,MATCH(VALUE(MID(N82,2,3)),$A$2:$A$81,0)),INDEX($F$2:$F$81,MATCH(VALUE(MID(N82,2,3)),$A$2:$A$81,0)),N82)),N82),IFERROR(IF(VLOOKUP(RIGHT(N82,1)&amp;LEFT(N82,1),Clasificacion!$O$2:$Q$49,2,FALSE())="",N82,VLOOKUP(RIGHT(N82,1)&amp;LEFT(N82,1),Clasificacion!$O$2:$Q$49,2,FALSE())),N82)))))</f>
        <v>1D</v>
      </c>
      <c r="G82" s="1" t="str">
        <f aca="false">IF(O82="","",IF(LEFT(O82,1)="3",IFERROR(IF(VLOOKUP($A82&amp;"V",Asignacion_3ros!$A$2:$G$9,6,FALSE())="",O82,VLOOKUP($A82&amp;"V",Asignacion_3ros!$A$2:$G$9,6,FALSE())),O82),IF(LEFT(O82,1)="W",IFERROR(IF(INDEX($J$2:$J$81,MATCH(VALUE(MID(O82,2,3)),$A$2:$A$81,0))="",O82,INDEX($J$2:$J$81,MATCH(VALUE(MID(O82,2,3)),$A$2:$A$81,0))),O82),IF(LEFT(O82,1)="L",IFERROR(IF(INDEX($J$2:$J$81,MATCH(VALUE(MID(O82,2,3)),$A$2:$A$81,0))=INDEX($F$2:$F$81,MATCH(VALUE(MID(O82,2,3)),$A$2:$A$81,0)),INDEX($G$2:$G$81,MATCH(VALUE(MID(O82,2,3)),$A$2:$A$81,0)),IF(INDEX($J$2:$J$81,MATCH(VALUE(MID(O82,2,3)),$A$2:$A$81,0))=INDEX($G$2:$G$81,MATCH(VALUE(MID(O82,2,3)),$A$2:$A$81,0)),INDEX($F$2:$F$81,MATCH(VALUE(MID(O82,2,3)),$A$2:$A$81,0)),O82)),O82),IFERROR(IF(VLOOKUP(RIGHT(O82,1)&amp;LEFT(O82,1),Clasificacion!$O$2:$Q$49,2,FALSE())="",O82,VLOOKUP(RIGHT(O82,1)&amp;LEFT(O82,1),Clasificacion!$O$2:$Q$49,2,FALSE())),O82)))))</f>
        <v>Bosnia y Herzegovina</v>
      </c>
      <c r="J82" s="1" t="str">
        <f aca="false">IF(OR(H82="",I82=""),"",IF(H82&gt;I82,F82,IF(I82&gt;H82,G82,"Empate")))</f>
        <v/>
      </c>
      <c r="K82" s="1" t="s">
        <v>274</v>
      </c>
      <c r="L82" s="1" t="str">
        <f aca="false">IF(N82="","",IF(LEFT(N82,1)="3",IFERROR(IF(VLOOKUP($A82&amp;"L",Asignacion_3ros!$A$2:$G$9,7,FALSE())="",N82,VLOOKUP($A82&amp;"L",Asignacion_3ros!$A$2:$G$9,7,FALSE())),N82),IF(LEFT(N82,1)="W",IFERROR(IF(INDEX($J$2:$J$81,MATCH(VALUE(MID(N82,2,3)),$A$2:$A$81,0))=INDEX($F$2:$F$81,MATCH(VALUE(MID(N82,2,3)),$A$2:$A$81,0)),INDEX($L$2:$L$81,MATCH(VALUE(MID(N82,2,3)),$A$2:$A$81,0)),IF(INDEX($J$2:$J$81,MATCH(VALUE(MID(N82,2,3)),$A$2:$A$81,0))=INDEX($G$2:$G$81,MATCH(VALUE(MID(N82,2,3)),$A$2:$A$81,0)),INDEX($M$2:$M$81,MATCH(VALUE(MID(N82,2,3)),$A$2:$A$81,0)),N82)),N82),IF(LEFT(N82,1)="L",IFERROR(IF(INDEX($J$2:$J$81,MATCH(VALUE(MID(N82,2,3)),$A$2:$A$81,0))=INDEX($F$2:$F$81,MATCH(VALUE(MID(N82,2,3)),$A$2:$A$81,0)),INDEX($M$2:$M$81,MATCH(VALUE(MID(N82,2,3)),$A$2:$A$81,0)),IF(INDEX($J$2:$J$81,MATCH(VALUE(MID(N82,2,3)),$A$2:$A$81,0))=INDEX($G$2:$G$81,MATCH(VALUE(MID(N82,2,3)),$A$2:$A$81,0)),INDEX($L$2:$L$81,MATCH(VALUE(MID(N82,2,3)),$A$2:$A$81,0)),N82)),N82),IFERROR(IF(VLOOKUP(RIGHT(N82,1)&amp;LEFT(N82,1),Clasificacion!$O$2:$Q$49,3,FALSE())="",N82,VLOOKUP(RIGHT(N82,1)&amp;LEFT(N82,1),Clasificacion!$O$2:$Q$49,3,FALSE())),N82)))))</f>
        <v>1D</v>
      </c>
      <c r="M82" s="1" t="str">
        <f aca="false">IF(O82="","",IF(LEFT(O82,1)="3",IFERROR(IF(VLOOKUP($A82&amp;"V",Asignacion_3ros!$A$2:$G$9,7,FALSE())="",O82,VLOOKUP($A82&amp;"V",Asignacion_3ros!$A$2:$G$9,7,FALSE())),O82),IF(LEFT(O82,1)="W",IFERROR(IF(INDEX($J$2:$J$81,MATCH(VALUE(MID(O82,2,3)),$A$2:$A$81,0))=INDEX($F$2:$F$81,MATCH(VALUE(MID(O82,2,3)),$A$2:$A$81,0)),INDEX($L$2:$L$81,MATCH(VALUE(MID(O82,2,3)),$A$2:$A$81,0)),IF(INDEX($J$2:$J$81,MATCH(VALUE(MID(O82,2,3)),$A$2:$A$81,0))=INDEX($G$2:$G$81,MATCH(VALUE(MID(O82,2,3)),$A$2:$A$81,0)),INDEX($M$2:$M$81,MATCH(VALUE(MID(O82,2,3)),$A$2:$A$81,0)),O82)),O82),IF(LEFT(O82,1)="L",IFERROR(IF(INDEX($J$2:$J$81,MATCH(VALUE(MID(O82,2,3)),$A$2:$A$81,0))=INDEX($F$2:$F$81,MATCH(VALUE(MID(O82,2,3)),$A$2:$A$81,0)),INDEX($M$2:$M$81,MATCH(VALUE(MID(O82,2,3)),$A$2:$A$81,0)),IF(INDEX($J$2:$J$81,MATCH(VALUE(MID(O82,2,3)),$A$2:$A$81,0))=INDEX($G$2:$G$81,MATCH(VALUE(MID(O82,2,3)),$A$2:$A$81,0)),INDEX($L$2:$L$81,MATCH(VALUE(MID(O82,2,3)),$A$2:$A$81,0)),O82)),O82),IFERROR(IF(VLOOKUP(RIGHT(O82,1)&amp;LEFT(O82,1),Clasificacion!$O$2:$Q$49,3,FALSE())="",O82,VLOOKUP(RIGHT(O82,1)&amp;LEFT(O82,1),Clasificacion!$O$2:$Q$49,3,FALSE())),O82)))))</f>
        <v>BIH</v>
      </c>
      <c r="N82" s="1" t="s">
        <v>310</v>
      </c>
      <c r="O82" s="1" t="s">
        <v>311</v>
      </c>
      <c r="P82" s="1" t="s">
        <v>262</v>
      </c>
    </row>
    <row r="83" customFormat="false" ht="14.25" hidden="false" customHeight="true" outlineLevel="0" collapsed="false">
      <c r="A83" s="1" t="n">
        <v>82</v>
      </c>
      <c r="B83" s="1" t="n">
        <v>46204</v>
      </c>
      <c r="C83" s="1" t="s">
        <v>279</v>
      </c>
      <c r="D83" s="1" t="s">
        <v>292</v>
      </c>
      <c r="F83" s="1" t="str">
        <f aca="false">IF(N83="","",IF(LEFT(N83,1)="3",IFERROR(IF(VLOOKUP($A83&amp;"L",Asignacion_3ros!$A$2:$G$9,6,FALSE())="",N83,VLOOKUP($A83&amp;"L",Asignacion_3ros!$A$2:$G$9,6,FALSE())),N83),IF(LEFT(N83,1)="W",IFERROR(IF(INDEX($J$2:$J$82,MATCH(VALUE(MID(N83,2,3)),$A$2:$A$82,0))="",N83,INDEX($J$2:$J$82,MATCH(VALUE(MID(N83,2,3)),$A$2:$A$82,0))),N83),IF(LEFT(N83,1)="L",IFERROR(IF(INDEX($J$2:$J$82,MATCH(VALUE(MID(N83,2,3)),$A$2:$A$82,0))=INDEX($F$2:$F$82,MATCH(VALUE(MID(N83,2,3)),$A$2:$A$82,0)),INDEX($G$2:$G$82,MATCH(VALUE(MID(N83,2,3)),$A$2:$A$82,0)),IF(INDEX($J$2:$J$82,MATCH(VALUE(MID(N83,2,3)),$A$2:$A$82,0))=INDEX($G$2:$G$82,MATCH(VALUE(MID(N83,2,3)),$A$2:$A$82,0)),INDEX($F$2:$F$82,MATCH(VALUE(MID(N83,2,3)),$A$2:$A$82,0)),N83)),N83),IFERROR(IF(VLOOKUP(RIGHT(N83,1)&amp;LEFT(N83,1),Clasificacion!$O$2:$Q$49,2,FALSE())="",N83,VLOOKUP(RIGHT(N83,1)&amp;LEFT(N83,1),Clasificacion!$O$2:$Q$49,2,FALSE())),N83)))))</f>
        <v>1G</v>
      </c>
      <c r="G83" s="1" t="str">
        <f aca="false">IF(O83="","",IF(LEFT(O83,1)="3",IFERROR(IF(VLOOKUP($A83&amp;"V",Asignacion_3ros!$A$2:$G$9,6,FALSE())="",O83,VLOOKUP($A83&amp;"V",Asignacion_3ros!$A$2:$G$9,6,FALSE())),O83),IF(LEFT(O83,1)="W",IFERROR(IF(INDEX($J$2:$J$82,MATCH(VALUE(MID(O83,2,3)),$A$2:$A$82,0))="",O83,INDEX($J$2:$J$82,MATCH(VALUE(MID(O83,2,3)),$A$2:$A$82,0))),O83),IF(LEFT(O83,1)="L",IFERROR(IF(INDEX($J$2:$J$82,MATCH(VALUE(MID(O83,2,3)),$A$2:$A$82,0))=INDEX($F$2:$F$82,MATCH(VALUE(MID(O83,2,3)),$A$2:$A$82,0)),INDEX($G$2:$G$82,MATCH(VALUE(MID(O83,2,3)),$A$2:$A$82,0)),IF(INDEX($J$2:$J$82,MATCH(VALUE(MID(O83,2,3)),$A$2:$A$82,0))=INDEX($G$2:$G$82,MATCH(VALUE(MID(O83,2,3)),$A$2:$A$82,0)),INDEX($F$2:$F$82,MATCH(VALUE(MID(O83,2,3)),$A$2:$A$82,0)),O83)),O83),IFERROR(IF(VLOOKUP(RIGHT(O83,1)&amp;LEFT(O83,1),Clasificacion!$O$2:$Q$49,2,FALSE())="",O83,VLOOKUP(RIGHT(O83,1)&amp;LEFT(O83,1),Clasificacion!$O$2:$Q$49,2,FALSE())),O83)))))</f>
        <v>Suiza</v>
      </c>
      <c r="J83" s="1" t="str">
        <f aca="false">IF(OR(H83="",I83=""),"",IF(H83&gt;I83,F83,IF(I83&gt;H83,G83,"Empate")))</f>
        <v/>
      </c>
      <c r="K83" s="1" t="s">
        <v>285</v>
      </c>
      <c r="L83" s="1" t="str">
        <f aca="false">IF(N83="","",IF(LEFT(N83,1)="3",IFERROR(IF(VLOOKUP($A83&amp;"L",Asignacion_3ros!$A$2:$G$9,7,FALSE())="",N83,VLOOKUP($A83&amp;"L",Asignacion_3ros!$A$2:$G$9,7,FALSE())),N83),IF(LEFT(N83,1)="W",IFERROR(IF(INDEX($J$2:$J$82,MATCH(VALUE(MID(N83,2,3)),$A$2:$A$82,0))=INDEX($F$2:$F$82,MATCH(VALUE(MID(N83,2,3)),$A$2:$A$82,0)),INDEX($L$2:$L$82,MATCH(VALUE(MID(N83,2,3)),$A$2:$A$82,0)),IF(INDEX($J$2:$J$82,MATCH(VALUE(MID(N83,2,3)),$A$2:$A$82,0))=INDEX($G$2:$G$82,MATCH(VALUE(MID(N83,2,3)),$A$2:$A$82,0)),INDEX($M$2:$M$82,MATCH(VALUE(MID(N83,2,3)),$A$2:$A$82,0)),N83)),N83),IF(LEFT(N83,1)="L",IFERROR(IF(INDEX($J$2:$J$82,MATCH(VALUE(MID(N83,2,3)),$A$2:$A$82,0))=INDEX($F$2:$F$82,MATCH(VALUE(MID(N83,2,3)),$A$2:$A$82,0)),INDEX($M$2:$M$82,MATCH(VALUE(MID(N83,2,3)),$A$2:$A$82,0)),IF(INDEX($J$2:$J$82,MATCH(VALUE(MID(N83,2,3)),$A$2:$A$82,0))=INDEX($G$2:$G$82,MATCH(VALUE(MID(N83,2,3)),$A$2:$A$82,0)),INDEX($L$2:$L$82,MATCH(VALUE(MID(N83,2,3)),$A$2:$A$82,0)),N83)),N83),IFERROR(IF(VLOOKUP(RIGHT(N83,1)&amp;LEFT(N83,1),Clasificacion!$O$2:$Q$49,3,FALSE())="",N83,VLOOKUP(RIGHT(N83,1)&amp;LEFT(N83,1),Clasificacion!$O$2:$Q$49,3,FALSE())),N83)))))</f>
        <v>1G</v>
      </c>
      <c r="M83" s="1" t="str">
        <f aca="false">IF(O83="","",IF(LEFT(O83,1)="3",IFERROR(IF(VLOOKUP($A83&amp;"V",Asignacion_3ros!$A$2:$G$9,7,FALSE())="",O83,VLOOKUP($A83&amp;"V",Asignacion_3ros!$A$2:$G$9,7,FALSE())),O83),IF(LEFT(O83,1)="W",IFERROR(IF(INDEX($J$2:$J$82,MATCH(VALUE(MID(O83,2,3)),$A$2:$A$82,0))=INDEX($F$2:$F$82,MATCH(VALUE(MID(O83,2,3)),$A$2:$A$82,0)),INDEX($L$2:$L$82,MATCH(VALUE(MID(O83,2,3)),$A$2:$A$82,0)),IF(INDEX($J$2:$J$82,MATCH(VALUE(MID(O83,2,3)),$A$2:$A$82,0))=INDEX($G$2:$G$82,MATCH(VALUE(MID(O83,2,3)),$A$2:$A$82,0)),INDEX($M$2:$M$82,MATCH(VALUE(MID(O83,2,3)),$A$2:$A$82,0)),O83)),O83),IF(LEFT(O83,1)="L",IFERROR(IF(INDEX($J$2:$J$82,MATCH(VALUE(MID(O83,2,3)),$A$2:$A$82,0))=INDEX($F$2:$F$82,MATCH(VALUE(MID(O83,2,3)),$A$2:$A$82,0)),INDEX($M$2:$M$82,MATCH(VALUE(MID(O83,2,3)),$A$2:$A$82,0)),IF(INDEX($J$2:$J$82,MATCH(VALUE(MID(O83,2,3)),$A$2:$A$82,0))=INDEX($G$2:$G$82,MATCH(VALUE(MID(O83,2,3)),$A$2:$A$82,0)),INDEX($L$2:$L$82,MATCH(VALUE(MID(O83,2,3)),$A$2:$A$82,0)),O83)),O83),IFERROR(IF(VLOOKUP(RIGHT(O83,1)&amp;LEFT(O83,1),Clasificacion!$O$2:$Q$49,3,FALSE())="",O83,VLOOKUP(RIGHT(O83,1)&amp;LEFT(O83,1),Clasificacion!$O$2:$Q$49,3,FALSE())),O83)))))</f>
        <v>SUI</v>
      </c>
      <c r="N83" s="1" t="s">
        <v>312</v>
      </c>
      <c r="O83" s="1" t="s">
        <v>313</v>
      </c>
      <c r="P83" s="1" t="s">
        <v>262</v>
      </c>
    </row>
    <row r="84" customFormat="false" ht="14.25" hidden="false" customHeight="true" outlineLevel="0" collapsed="false">
      <c r="A84" s="1" t="n">
        <v>83</v>
      </c>
      <c r="B84" s="1" t="n">
        <v>46205</v>
      </c>
      <c r="C84" s="1" t="s">
        <v>275</v>
      </c>
      <c r="D84" s="1" t="s">
        <v>292</v>
      </c>
      <c r="F84" s="1" t="str">
        <f aca="false">IF(N84="","",IF(LEFT(N84,1)="3",IFERROR(IF(VLOOKUP($A84&amp;"L",Asignacion_3ros!$A$2:$G$9,6,FALSE())="",N84,VLOOKUP($A84&amp;"L",Asignacion_3ros!$A$2:$G$9,6,FALSE())),N84),IF(LEFT(N84,1)="W",IFERROR(IF(INDEX($J$2:$J$83,MATCH(VALUE(MID(N84,2,3)),$A$2:$A$83,0))="",N84,INDEX($J$2:$J$83,MATCH(VALUE(MID(N84,2,3)),$A$2:$A$83,0))),N84),IF(LEFT(N84,1)="L",IFERROR(IF(INDEX($J$2:$J$83,MATCH(VALUE(MID(N84,2,3)),$A$2:$A$83,0))=INDEX($F$2:$F$83,MATCH(VALUE(MID(N84,2,3)),$A$2:$A$83,0)),INDEX($G$2:$G$83,MATCH(VALUE(MID(N84,2,3)),$A$2:$A$83,0)),IF(INDEX($J$2:$J$83,MATCH(VALUE(MID(N84,2,3)),$A$2:$A$83,0))=INDEX($G$2:$G$83,MATCH(VALUE(MID(N84,2,3)),$A$2:$A$83,0)),INDEX($F$2:$F$83,MATCH(VALUE(MID(N84,2,3)),$A$2:$A$83,0)),N84)),N84),IFERROR(IF(VLOOKUP(RIGHT(N84,1)&amp;LEFT(N84,1),Clasificacion!$O$2:$Q$49,2,FALSE())="",N84,VLOOKUP(RIGHT(N84,1)&amp;LEFT(N84,1),Clasificacion!$O$2:$Q$49,2,FALSE())),N84)))))</f>
        <v>2K</v>
      </c>
      <c r="G84" s="1" t="str">
        <f aca="false">IF(O84="","",IF(LEFT(O84,1)="3",IFERROR(IF(VLOOKUP($A84&amp;"V",Asignacion_3ros!$A$2:$G$9,6,FALSE())="",O84,VLOOKUP($A84&amp;"V",Asignacion_3ros!$A$2:$G$9,6,FALSE())),O84),IF(LEFT(O84,1)="W",IFERROR(IF(INDEX($J$2:$J$83,MATCH(VALUE(MID(O84,2,3)),$A$2:$A$83,0))="",O84,INDEX($J$2:$J$83,MATCH(VALUE(MID(O84,2,3)),$A$2:$A$83,0))),O84),IF(LEFT(O84,1)="L",IFERROR(IF(INDEX($J$2:$J$83,MATCH(VALUE(MID(O84,2,3)),$A$2:$A$83,0))=INDEX($F$2:$F$83,MATCH(VALUE(MID(O84,2,3)),$A$2:$A$83,0)),INDEX($G$2:$G$83,MATCH(VALUE(MID(O84,2,3)),$A$2:$A$83,0)),IF(INDEX($J$2:$J$83,MATCH(VALUE(MID(O84,2,3)),$A$2:$A$83,0))=INDEX($G$2:$G$83,MATCH(VALUE(MID(O84,2,3)),$A$2:$A$83,0)),INDEX($F$2:$F$83,MATCH(VALUE(MID(O84,2,3)),$A$2:$A$83,0)),O84)),O84),IFERROR(IF(VLOOKUP(RIGHT(O84,1)&amp;LEFT(O84,1),Clasificacion!$O$2:$Q$49,2,FALSE())="",O84,VLOOKUP(RIGHT(O84,1)&amp;LEFT(O84,1),Clasificacion!$O$2:$Q$49,2,FALSE())),O84)))))</f>
        <v>2L</v>
      </c>
      <c r="J84" s="1" t="str">
        <f aca="false">IF(OR(H84="",I84=""),"",IF(H84&gt;I84,F84,IF(I84&gt;H84,G84,"Empate")))</f>
        <v/>
      </c>
      <c r="K84" s="1" t="s">
        <v>266</v>
      </c>
      <c r="L84" s="1" t="str">
        <f aca="false">IF(N84="","",IF(LEFT(N84,1)="3",IFERROR(IF(VLOOKUP($A84&amp;"L",Asignacion_3ros!$A$2:$G$9,7,FALSE())="",N84,VLOOKUP($A84&amp;"L",Asignacion_3ros!$A$2:$G$9,7,FALSE())),N84),IF(LEFT(N84,1)="W",IFERROR(IF(INDEX($J$2:$J$83,MATCH(VALUE(MID(N84,2,3)),$A$2:$A$83,0))=INDEX($F$2:$F$83,MATCH(VALUE(MID(N84,2,3)),$A$2:$A$83,0)),INDEX($L$2:$L$83,MATCH(VALUE(MID(N84,2,3)),$A$2:$A$83,0)),IF(INDEX($J$2:$J$83,MATCH(VALUE(MID(N84,2,3)),$A$2:$A$83,0))=INDEX($G$2:$G$83,MATCH(VALUE(MID(N84,2,3)),$A$2:$A$83,0)),INDEX($M$2:$M$83,MATCH(VALUE(MID(N84,2,3)),$A$2:$A$83,0)),N84)),N84),IF(LEFT(N84,1)="L",IFERROR(IF(INDEX($J$2:$J$83,MATCH(VALUE(MID(N84,2,3)),$A$2:$A$83,0))=INDEX($F$2:$F$83,MATCH(VALUE(MID(N84,2,3)),$A$2:$A$83,0)),INDEX($M$2:$M$83,MATCH(VALUE(MID(N84,2,3)),$A$2:$A$83,0)),IF(INDEX($J$2:$J$83,MATCH(VALUE(MID(N84,2,3)),$A$2:$A$83,0))=INDEX($G$2:$G$83,MATCH(VALUE(MID(N84,2,3)),$A$2:$A$83,0)),INDEX($L$2:$L$83,MATCH(VALUE(MID(N84,2,3)),$A$2:$A$83,0)),N84)),N84),IFERROR(IF(VLOOKUP(RIGHT(N84,1)&amp;LEFT(N84,1),Clasificacion!$O$2:$Q$49,3,FALSE())="",N84,VLOOKUP(RIGHT(N84,1)&amp;LEFT(N84,1),Clasificacion!$O$2:$Q$49,3,FALSE())),N84)))))</f>
        <v>2K</v>
      </c>
      <c r="M84" s="1" t="str">
        <f aca="false">IF(O84="","",IF(LEFT(O84,1)="3",IFERROR(IF(VLOOKUP($A84&amp;"V",Asignacion_3ros!$A$2:$G$9,7,FALSE())="",O84,VLOOKUP($A84&amp;"V",Asignacion_3ros!$A$2:$G$9,7,FALSE())),O84),IF(LEFT(O84,1)="W",IFERROR(IF(INDEX($J$2:$J$83,MATCH(VALUE(MID(O84,2,3)),$A$2:$A$83,0))=INDEX($F$2:$F$83,MATCH(VALUE(MID(O84,2,3)),$A$2:$A$83,0)),INDEX($L$2:$L$83,MATCH(VALUE(MID(O84,2,3)),$A$2:$A$83,0)),IF(INDEX($J$2:$J$83,MATCH(VALUE(MID(O84,2,3)),$A$2:$A$83,0))=INDEX($G$2:$G$83,MATCH(VALUE(MID(O84,2,3)),$A$2:$A$83,0)),INDEX($M$2:$M$83,MATCH(VALUE(MID(O84,2,3)),$A$2:$A$83,0)),O84)),O84),IF(LEFT(O84,1)="L",IFERROR(IF(INDEX($J$2:$J$83,MATCH(VALUE(MID(O84,2,3)),$A$2:$A$83,0))=INDEX($F$2:$F$83,MATCH(VALUE(MID(O84,2,3)),$A$2:$A$83,0)),INDEX($M$2:$M$83,MATCH(VALUE(MID(O84,2,3)),$A$2:$A$83,0)),IF(INDEX($J$2:$J$83,MATCH(VALUE(MID(O84,2,3)),$A$2:$A$83,0))=INDEX($G$2:$G$83,MATCH(VALUE(MID(O84,2,3)),$A$2:$A$83,0)),INDEX($L$2:$L$83,MATCH(VALUE(MID(O84,2,3)),$A$2:$A$83,0)),O84)),O84),IFERROR(IF(VLOOKUP(RIGHT(O84,1)&amp;LEFT(O84,1),Clasificacion!$O$2:$Q$49,3,FALSE())="",O84,VLOOKUP(RIGHT(O84,1)&amp;LEFT(O84,1),Clasificacion!$O$2:$Q$49,3,FALSE())),O84)))))</f>
        <v>2L</v>
      </c>
      <c r="N84" s="1" t="s">
        <v>314</v>
      </c>
      <c r="O84" s="1" t="s">
        <v>315</v>
      </c>
      <c r="P84" s="1" t="s">
        <v>262</v>
      </c>
    </row>
    <row r="85" customFormat="false" ht="14.25" hidden="false" customHeight="true" outlineLevel="0" collapsed="false">
      <c r="A85" s="1" t="n">
        <v>84</v>
      </c>
      <c r="B85" s="1" t="n">
        <v>46205</v>
      </c>
      <c r="C85" s="1" t="s">
        <v>260</v>
      </c>
      <c r="D85" s="1" t="s">
        <v>292</v>
      </c>
      <c r="F85" s="1" t="str">
        <f aca="false">IF(N85="","",IF(LEFT(N85,1)="3",IFERROR(IF(VLOOKUP($A85&amp;"L",Asignacion_3ros!$A$2:$G$9,6,FALSE())="",N85,VLOOKUP($A85&amp;"L",Asignacion_3ros!$A$2:$G$9,6,FALSE())),N85),IF(LEFT(N85,1)="W",IFERROR(IF(INDEX($J$2:$J$84,MATCH(VALUE(MID(N85,2,3)),$A$2:$A$84,0))="",N85,INDEX($J$2:$J$84,MATCH(VALUE(MID(N85,2,3)),$A$2:$A$84,0))),N85),IF(LEFT(N85,1)="L",IFERROR(IF(INDEX($J$2:$J$84,MATCH(VALUE(MID(N85,2,3)),$A$2:$A$84,0))=INDEX($F$2:$F$84,MATCH(VALUE(MID(N85,2,3)),$A$2:$A$84,0)),INDEX($G$2:$G$84,MATCH(VALUE(MID(N85,2,3)),$A$2:$A$84,0)),IF(INDEX($J$2:$J$84,MATCH(VALUE(MID(N85,2,3)),$A$2:$A$84,0))=INDEX($G$2:$G$84,MATCH(VALUE(MID(N85,2,3)),$A$2:$A$84,0)),INDEX($F$2:$F$84,MATCH(VALUE(MID(N85,2,3)),$A$2:$A$84,0)),N85)),N85),IFERROR(IF(VLOOKUP(RIGHT(N85,1)&amp;LEFT(N85,1),Clasificacion!$O$2:$Q$49,2,FALSE())="",N85,VLOOKUP(RIGHT(N85,1)&amp;LEFT(N85,1),Clasificacion!$O$2:$Q$49,2,FALSE())),N85)))))</f>
        <v>1H</v>
      </c>
      <c r="G85" s="1" t="str">
        <f aca="false">IF(O85="","",IF(LEFT(O85,1)="3",IFERROR(IF(VLOOKUP($A85&amp;"V",Asignacion_3ros!$A$2:$G$9,6,FALSE())="",O85,VLOOKUP($A85&amp;"V",Asignacion_3ros!$A$2:$G$9,6,FALSE())),O85),IF(LEFT(O85,1)="W",IFERROR(IF(INDEX($J$2:$J$84,MATCH(VALUE(MID(O85,2,3)),$A$2:$A$84,0))="",O85,INDEX($J$2:$J$84,MATCH(VALUE(MID(O85,2,3)),$A$2:$A$84,0))),O85),IF(LEFT(O85,1)="L",IFERROR(IF(INDEX($J$2:$J$84,MATCH(VALUE(MID(O85,2,3)),$A$2:$A$84,0))=INDEX($F$2:$F$84,MATCH(VALUE(MID(O85,2,3)),$A$2:$A$84,0)),INDEX($G$2:$G$84,MATCH(VALUE(MID(O85,2,3)),$A$2:$A$84,0)),IF(INDEX($J$2:$J$84,MATCH(VALUE(MID(O85,2,3)),$A$2:$A$84,0))=INDEX($G$2:$G$84,MATCH(VALUE(MID(O85,2,3)),$A$2:$A$84,0)),INDEX($F$2:$F$84,MATCH(VALUE(MID(O85,2,3)),$A$2:$A$84,0)),O85)),O85),IFERROR(IF(VLOOKUP(RIGHT(O85,1)&amp;LEFT(O85,1),Clasificacion!$O$2:$Q$49,2,FALSE())="",O85,VLOOKUP(RIGHT(O85,1)&amp;LEFT(O85,1),Clasificacion!$O$2:$Q$49,2,FALSE())),O85)))))</f>
        <v>2J</v>
      </c>
      <c r="J85" s="1" t="str">
        <f aca="false">IF(OR(H85="",I85=""),"",IF(H85&gt;I85,F85,IF(I85&gt;H85,G85,"Empate")))</f>
        <v/>
      </c>
      <c r="K85" s="1" t="s">
        <v>268</v>
      </c>
      <c r="L85" s="1" t="str">
        <f aca="false">IF(N85="","",IF(LEFT(N85,1)="3",IFERROR(IF(VLOOKUP($A85&amp;"L",Asignacion_3ros!$A$2:$G$9,7,FALSE())="",N85,VLOOKUP($A85&amp;"L",Asignacion_3ros!$A$2:$G$9,7,FALSE())),N85),IF(LEFT(N85,1)="W",IFERROR(IF(INDEX($J$2:$J$84,MATCH(VALUE(MID(N85,2,3)),$A$2:$A$84,0))=INDEX($F$2:$F$84,MATCH(VALUE(MID(N85,2,3)),$A$2:$A$84,0)),INDEX($L$2:$L$84,MATCH(VALUE(MID(N85,2,3)),$A$2:$A$84,0)),IF(INDEX($J$2:$J$84,MATCH(VALUE(MID(N85,2,3)),$A$2:$A$84,0))=INDEX($G$2:$G$84,MATCH(VALUE(MID(N85,2,3)),$A$2:$A$84,0)),INDEX($M$2:$M$84,MATCH(VALUE(MID(N85,2,3)),$A$2:$A$84,0)),N85)),N85),IF(LEFT(N85,1)="L",IFERROR(IF(INDEX($J$2:$J$84,MATCH(VALUE(MID(N85,2,3)),$A$2:$A$84,0))=INDEX($F$2:$F$84,MATCH(VALUE(MID(N85,2,3)),$A$2:$A$84,0)),INDEX($M$2:$M$84,MATCH(VALUE(MID(N85,2,3)),$A$2:$A$84,0)),IF(INDEX($J$2:$J$84,MATCH(VALUE(MID(N85,2,3)),$A$2:$A$84,0))=INDEX($G$2:$G$84,MATCH(VALUE(MID(N85,2,3)),$A$2:$A$84,0)),INDEX($L$2:$L$84,MATCH(VALUE(MID(N85,2,3)),$A$2:$A$84,0)),N85)),N85),IFERROR(IF(VLOOKUP(RIGHT(N85,1)&amp;LEFT(N85,1),Clasificacion!$O$2:$Q$49,3,FALSE())="",N85,VLOOKUP(RIGHT(N85,1)&amp;LEFT(N85,1),Clasificacion!$O$2:$Q$49,3,FALSE())),N85)))))</f>
        <v>1H</v>
      </c>
      <c r="M85" s="1" t="str">
        <f aca="false">IF(O85="","",IF(LEFT(O85,1)="3",IFERROR(IF(VLOOKUP($A85&amp;"V",Asignacion_3ros!$A$2:$G$9,7,FALSE())="",O85,VLOOKUP($A85&amp;"V",Asignacion_3ros!$A$2:$G$9,7,FALSE())),O85),IF(LEFT(O85,1)="W",IFERROR(IF(INDEX($J$2:$J$84,MATCH(VALUE(MID(O85,2,3)),$A$2:$A$84,0))=INDEX($F$2:$F$84,MATCH(VALUE(MID(O85,2,3)),$A$2:$A$84,0)),INDEX($L$2:$L$84,MATCH(VALUE(MID(O85,2,3)),$A$2:$A$84,0)),IF(INDEX($J$2:$J$84,MATCH(VALUE(MID(O85,2,3)),$A$2:$A$84,0))=INDEX($G$2:$G$84,MATCH(VALUE(MID(O85,2,3)),$A$2:$A$84,0)),INDEX($M$2:$M$84,MATCH(VALUE(MID(O85,2,3)),$A$2:$A$84,0)),O85)),O85),IF(LEFT(O85,1)="L",IFERROR(IF(INDEX($J$2:$J$84,MATCH(VALUE(MID(O85,2,3)),$A$2:$A$84,0))=INDEX($F$2:$F$84,MATCH(VALUE(MID(O85,2,3)),$A$2:$A$84,0)),INDEX($M$2:$M$84,MATCH(VALUE(MID(O85,2,3)),$A$2:$A$84,0)),IF(INDEX($J$2:$J$84,MATCH(VALUE(MID(O85,2,3)),$A$2:$A$84,0))=INDEX($G$2:$G$84,MATCH(VALUE(MID(O85,2,3)),$A$2:$A$84,0)),INDEX($L$2:$L$84,MATCH(VALUE(MID(O85,2,3)),$A$2:$A$84,0)),O85)),O85),IFERROR(IF(VLOOKUP(RIGHT(O85,1)&amp;LEFT(O85,1),Clasificacion!$O$2:$Q$49,3,FALSE())="",O85,VLOOKUP(RIGHT(O85,1)&amp;LEFT(O85,1),Clasificacion!$O$2:$Q$49,3,FALSE())),O85)))))</f>
        <v>2J</v>
      </c>
      <c r="N85" s="1" t="s">
        <v>316</v>
      </c>
      <c r="O85" s="1" t="s">
        <v>317</v>
      </c>
      <c r="P85" s="1" t="s">
        <v>262</v>
      </c>
    </row>
    <row r="86" customFormat="false" ht="14.25" hidden="false" customHeight="true" outlineLevel="0" collapsed="false">
      <c r="A86" s="1" t="n">
        <v>85</v>
      </c>
      <c r="B86" s="1" t="n">
        <v>46206</v>
      </c>
      <c r="C86" s="1" t="s">
        <v>288</v>
      </c>
      <c r="D86" s="1" t="s">
        <v>292</v>
      </c>
      <c r="F86" s="1" t="str">
        <f aca="false">IF(N86="","",IF(LEFT(N86,1)="3",IFERROR(IF(VLOOKUP($A86&amp;"L",Asignacion_3ros!$A$2:$G$9,6,FALSE())="",N86,VLOOKUP($A86&amp;"L",Asignacion_3ros!$A$2:$G$9,6,FALSE())),N86),IF(LEFT(N86,1)="W",IFERROR(IF(INDEX($J$2:$J$85,MATCH(VALUE(MID(N86,2,3)),$A$2:$A$85,0))="",N86,INDEX($J$2:$J$85,MATCH(VALUE(MID(N86,2,3)),$A$2:$A$85,0))),N86),IF(LEFT(N86,1)="L",IFERROR(IF(INDEX($J$2:$J$85,MATCH(VALUE(MID(N86,2,3)),$A$2:$A$85,0))=INDEX($F$2:$F$85,MATCH(VALUE(MID(N86,2,3)),$A$2:$A$85,0)),INDEX($G$2:$G$85,MATCH(VALUE(MID(N86,2,3)),$A$2:$A$85,0)),IF(INDEX($J$2:$J$85,MATCH(VALUE(MID(N86,2,3)),$A$2:$A$85,0))=INDEX($G$2:$G$85,MATCH(VALUE(MID(N86,2,3)),$A$2:$A$85,0)),INDEX($F$2:$F$85,MATCH(VALUE(MID(N86,2,3)),$A$2:$A$85,0)),N86)),N86),IFERROR(IF(VLOOKUP(RIGHT(N86,1)&amp;LEFT(N86,1),Clasificacion!$O$2:$Q$49,2,FALSE())="",N86,VLOOKUP(RIGHT(N86,1)&amp;LEFT(N86,1),Clasificacion!$O$2:$Q$49,2,FALSE())),N86)))))</f>
        <v>1B</v>
      </c>
      <c r="G86" s="1" t="str">
        <f aca="false">IF(O86="","",IF(LEFT(O86,1)="3",IFERROR(IF(VLOOKUP($A86&amp;"V",Asignacion_3ros!$A$2:$G$9,6,FALSE())="",O86,VLOOKUP($A86&amp;"V",Asignacion_3ros!$A$2:$G$9,6,FALSE())),O86),IF(LEFT(O86,1)="W",IFERROR(IF(INDEX($J$2:$J$85,MATCH(VALUE(MID(O86,2,3)),$A$2:$A$85,0))="",O86,INDEX($J$2:$J$85,MATCH(VALUE(MID(O86,2,3)),$A$2:$A$85,0))),O86),IF(LEFT(O86,1)="L",IFERROR(IF(INDEX($J$2:$J$85,MATCH(VALUE(MID(O86,2,3)),$A$2:$A$85,0))=INDEX($F$2:$F$85,MATCH(VALUE(MID(O86,2,3)),$A$2:$A$85,0)),INDEX($G$2:$G$85,MATCH(VALUE(MID(O86,2,3)),$A$2:$A$85,0)),IF(INDEX($J$2:$J$85,MATCH(VALUE(MID(O86,2,3)),$A$2:$A$85,0))=INDEX($G$2:$G$85,MATCH(VALUE(MID(O86,2,3)),$A$2:$A$85,0)),INDEX($F$2:$F$85,MATCH(VALUE(MID(O86,2,3)),$A$2:$A$85,0)),O86)),O86),IFERROR(IF(VLOOKUP(RIGHT(O86,1)&amp;LEFT(O86,1),Clasificacion!$O$2:$Q$49,2,FALSE())="",O86,VLOOKUP(RIGHT(O86,1)&amp;LEFT(O86,1),Clasificacion!$O$2:$Q$49,2,FALSE())),O86)))))</f>
        <v>Qatar</v>
      </c>
      <c r="J86" s="1" t="str">
        <f aca="false">IF(OR(H86="",I86=""),"",IF(H86&gt;I86,F86,IF(I86&gt;H86,G86,"Empate")))</f>
        <v/>
      </c>
      <c r="K86" s="1" t="s">
        <v>271</v>
      </c>
      <c r="L86" s="1" t="str">
        <f aca="false">IF(N86="","",IF(LEFT(N86,1)="3",IFERROR(IF(VLOOKUP($A86&amp;"L",Asignacion_3ros!$A$2:$G$9,7,FALSE())="",N86,VLOOKUP($A86&amp;"L",Asignacion_3ros!$A$2:$G$9,7,FALSE())),N86),IF(LEFT(N86,1)="W",IFERROR(IF(INDEX($J$2:$J$85,MATCH(VALUE(MID(N86,2,3)),$A$2:$A$85,0))=INDEX($F$2:$F$85,MATCH(VALUE(MID(N86,2,3)),$A$2:$A$85,0)),INDEX($L$2:$L$85,MATCH(VALUE(MID(N86,2,3)),$A$2:$A$85,0)),IF(INDEX($J$2:$J$85,MATCH(VALUE(MID(N86,2,3)),$A$2:$A$85,0))=INDEX($G$2:$G$85,MATCH(VALUE(MID(N86,2,3)),$A$2:$A$85,0)),INDEX($M$2:$M$85,MATCH(VALUE(MID(N86,2,3)),$A$2:$A$85,0)),N86)),N86),IF(LEFT(N86,1)="L",IFERROR(IF(INDEX($J$2:$J$85,MATCH(VALUE(MID(N86,2,3)),$A$2:$A$85,0))=INDEX($F$2:$F$85,MATCH(VALUE(MID(N86,2,3)),$A$2:$A$85,0)),INDEX($M$2:$M$85,MATCH(VALUE(MID(N86,2,3)),$A$2:$A$85,0)),IF(INDEX($J$2:$J$85,MATCH(VALUE(MID(N86,2,3)),$A$2:$A$85,0))=INDEX($G$2:$G$85,MATCH(VALUE(MID(N86,2,3)),$A$2:$A$85,0)),INDEX($L$2:$L$85,MATCH(VALUE(MID(N86,2,3)),$A$2:$A$85,0)),N86)),N86),IFERROR(IF(VLOOKUP(RIGHT(N86,1)&amp;LEFT(N86,1),Clasificacion!$O$2:$Q$49,3,FALSE())="",N86,VLOOKUP(RIGHT(N86,1)&amp;LEFT(N86,1),Clasificacion!$O$2:$Q$49,3,FALSE())),N86)))))</f>
        <v>1B</v>
      </c>
      <c r="M86" s="1" t="str">
        <f aca="false">IF(O86="","",IF(LEFT(O86,1)="3",IFERROR(IF(VLOOKUP($A86&amp;"V",Asignacion_3ros!$A$2:$G$9,7,FALSE())="",O86,VLOOKUP($A86&amp;"V",Asignacion_3ros!$A$2:$G$9,7,FALSE())),O86),IF(LEFT(O86,1)="W",IFERROR(IF(INDEX($J$2:$J$85,MATCH(VALUE(MID(O86,2,3)),$A$2:$A$85,0))=INDEX($F$2:$F$85,MATCH(VALUE(MID(O86,2,3)),$A$2:$A$85,0)),INDEX($L$2:$L$85,MATCH(VALUE(MID(O86,2,3)),$A$2:$A$85,0)),IF(INDEX($J$2:$J$85,MATCH(VALUE(MID(O86,2,3)),$A$2:$A$85,0))=INDEX($G$2:$G$85,MATCH(VALUE(MID(O86,2,3)),$A$2:$A$85,0)),INDEX($M$2:$M$85,MATCH(VALUE(MID(O86,2,3)),$A$2:$A$85,0)),O86)),O86),IF(LEFT(O86,1)="L",IFERROR(IF(INDEX($J$2:$J$85,MATCH(VALUE(MID(O86,2,3)),$A$2:$A$85,0))=INDEX($F$2:$F$85,MATCH(VALUE(MID(O86,2,3)),$A$2:$A$85,0)),INDEX($M$2:$M$85,MATCH(VALUE(MID(O86,2,3)),$A$2:$A$85,0)),IF(INDEX($J$2:$J$85,MATCH(VALUE(MID(O86,2,3)),$A$2:$A$85,0))=INDEX($G$2:$G$85,MATCH(VALUE(MID(O86,2,3)),$A$2:$A$85,0)),INDEX($L$2:$L$85,MATCH(VALUE(MID(O86,2,3)),$A$2:$A$85,0)),O86)),O86),IFERROR(IF(VLOOKUP(RIGHT(O86,1)&amp;LEFT(O86,1),Clasificacion!$O$2:$Q$49,3,FALSE())="",O86,VLOOKUP(RIGHT(O86,1)&amp;LEFT(O86,1),Clasificacion!$O$2:$Q$49,3,FALSE())),O86)))))</f>
        <v>QAT</v>
      </c>
      <c r="N86" s="1" t="s">
        <v>318</v>
      </c>
      <c r="O86" s="1" t="s">
        <v>319</v>
      </c>
      <c r="P86" s="1" t="s">
        <v>262</v>
      </c>
    </row>
    <row r="87" customFormat="false" ht="14.25" hidden="false" customHeight="true" outlineLevel="0" collapsed="false">
      <c r="A87" s="1" t="n">
        <v>86</v>
      </c>
      <c r="B87" s="1" t="n">
        <v>46206</v>
      </c>
      <c r="C87" s="1" t="s">
        <v>272</v>
      </c>
      <c r="D87" s="1" t="s">
        <v>292</v>
      </c>
      <c r="F87" s="1" t="str">
        <f aca="false">IF(N87="","",IF(LEFT(N87,1)="3",IFERROR(IF(VLOOKUP($A87&amp;"L",Asignacion_3ros!$A$2:$G$9,6,FALSE())="",N87,VLOOKUP($A87&amp;"L",Asignacion_3ros!$A$2:$G$9,6,FALSE())),N87),IF(LEFT(N87,1)="W",IFERROR(IF(INDEX($J$2:$J$86,MATCH(VALUE(MID(N87,2,3)),$A$2:$A$86,0))="",N87,INDEX($J$2:$J$86,MATCH(VALUE(MID(N87,2,3)),$A$2:$A$86,0))),N87),IF(LEFT(N87,1)="L",IFERROR(IF(INDEX($J$2:$J$86,MATCH(VALUE(MID(N87,2,3)),$A$2:$A$86,0))=INDEX($F$2:$F$86,MATCH(VALUE(MID(N87,2,3)),$A$2:$A$86,0)),INDEX($G$2:$G$86,MATCH(VALUE(MID(N87,2,3)),$A$2:$A$86,0)),IF(INDEX($J$2:$J$86,MATCH(VALUE(MID(N87,2,3)),$A$2:$A$86,0))=INDEX($G$2:$G$86,MATCH(VALUE(MID(N87,2,3)),$A$2:$A$86,0)),INDEX($F$2:$F$86,MATCH(VALUE(MID(N87,2,3)),$A$2:$A$86,0)),N87)),N87),IFERROR(IF(VLOOKUP(RIGHT(N87,1)&amp;LEFT(N87,1),Clasificacion!$O$2:$Q$49,2,FALSE())="",N87,VLOOKUP(RIGHT(N87,1)&amp;LEFT(N87,1),Clasificacion!$O$2:$Q$49,2,FALSE())),N87)))))</f>
        <v>1J</v>
      </c>
      <c r="G87" s="1" t="str">
        <f aca="false">IF(O87="","",IF(LEFT(O87,1)="3",IFERROR(IF(VLOOKUP($A87&amp;"V",Asignacion_3ros!$A$2:$G$9,6,FALSE())="",O87,VLOOKUP($A87&amp;"V",Asignacion_3ros!$A$2:$G$9,6,FALSE())),O87),IF(LEFT(O87,1)="W",IFERROR(IF(INDEX($J$2:$J$86,MATCH(VALUE(MID(O87,2,3)),$A$2:$A$86,0))="",O87,INDEX($J$2:$J$86,MATCH(VALUE(MID(O87,2,3)),$A$2:$A$86,0))),O87),IF(LEFT(O87,1)="L",IFERROR(IF(INDEX($J$2:$J$86,MATCH(VALUE(MID(O87,2,3)),$A$2:$A$86,0))=INDEX($F$2:$F$86,MATCH(VALUE(MID(O87,2,3)),$A$2:$A$86,0)),INDEX($G$2:$G$86,MATCH(VALUE(MID(O87,2,3)),$A$2:$A$86,0)),IF(INDEX($J$2:$J$86,MATCH(VALUE(MID(O87,2,3)),$A$2:$A$86,0))=INDEX($G$2:$G$86,MATCH(VALUE(MID(O87,2,3)),$A$2:$A$86,0)),INDEX($F$2:$F$86,MATCH(VALUE(MID(O87,2,3)),$A$2:$A$86,0)),O87)),O87),IFERROR(IF(VLOOKUP(RIGHT(O87,1)&amp;LEFT(O87,1),Clasificacion!$O$2:$Q$49,2,FALSE())="",O87,VLOOKUP(RIGHT(O87,1)&amp;LEFT(O87,1),Clasificacion!$O$2:$Q$49,2,FALSE())),O87)))))</f>
        <v>2H</v>
      </c>
      <c r="J87" s="1" t="str">
        <f aca="false">IF(OR(H87="",I87=""),"",IF(H87&gt;I87,F87,IF(I87&gt;H87,G87,"Empate")))</f>
        <v/>
      </c>
      <c r="K87" s="1" t="s">
        <v>282</v>
      </c>
      <c r="L87" s="1" t="str">
        <f aca="false">IF(N87="","",IF(LEFT(N87,1)="3",IFERROR(IF(VLOOKUP($A87&amp;"L",Asignacion_3ros!$A$2:$G$9,7,FALSE())="",N87,VLOOKUP($A87&amp;"L",Asignacion_3ros!$A$2:$G$9,7,FALSE())),N87),IF(LEFT(N87,1)="W",IFERROR(IF(INDEX($J$2:$J$86,MATCH(VALUE(MID(N87,2,3)),$A$2:$A$86,0))=INDEX($F$2:$F$86,MATCH(VALUE(MID(N87,2,3)),$A$2:$A$86,0)),INDEX($L$2:$L$86,MATCH(VALUE(MID(N87,2,3)),$A$2:$A$86,0)),IF(INDEX($J$2:$J$86,MATCH(VALUE(MID(N87,2,3)),$A$2:$A$86,0))=INDEX($G$2:$G$86,MATCH(VALUE(MID(N87,2,3)),$A$2:$A$86,0)),INDEX($M$2:$M$86,MATCH(VALUE(MID(N87,2,3)),$A$2:$A$86,0)),N87)),N87),IF(LEFT(N87,1)="L",IFERROR(IF(INDEX($J$2:$J$86,MATCH(VALUE(MID(N87,2,3)),$A$2:$A$86,0))=INDEX($F$2:$F$86,MATCH(VALUE(MID(N87,2,3)),$A$2:$A$86,0)),INDEX($M$2:$M$86,MATCH(VALUE(MID(N87,2,3)),$A$2:$A$86,0)),IF(INDEX($J$2:$J$86,MATCH(VALUE(MID(N87,2,3)),$A$2:$A$86,0))=INDEX($G$2:$G$86,MATCH(VALUE(MID(N87,2,3)),$A$2:$A$86,0)),INDEX($L$2:$L$86,MATCH(VALUE(MID(N87,2,3)),$A$2:$A$86,0)),N87)),N87),IFERROR(IF(VLOOKUP(RIGHT(N87,1)&amp;LEFT(N87,1),Clasificacion!$O$2:$Q$49,3,FALSE())="",N87,VLOOKUP(RIGHT(N87,1)&amp;LEFT(N87,1),Clasificacion!$O$2:$Q$49,3,FALSE())),N87)))))</f>
        <v>1J</v>
      </c>
      <c r="M87" s="1" t="str">
        <f aca="false">IF(O87="","",IF(LEFT(O87,1)="3",IFERROR(IF(VLOOKUP($A87&amp;"V",Asignacion_3ros!$A$2:$G$9,7,FALSE())="",O87,VLOOKUP($A87&amp;"V",Asignacion_3ros!$A$2:$G$9,7,FALSE())),O87),IF(LEFT(O87,1)="W",IFERROR(IF(INDEX($J$2:$J$86,MATCH(VALUE(MID(O87,2,3)),$A$2:$A$86,0))=INDEX($F$2:$F$86,MATCH(VALUE(MID(O87,2,3)),$A$2:$A$86,0)),INDEX($L$2:$L$86,MATCH(VALUE(MID(O87,2,3)),$A$2:$A$86,0)),IF(INDEX($J$2:$J$86,MATCH(VALUE(MID(O87,2,3)),$A$2:$A$86,0))=INDEX($G$2:$G$86,MATCH(VALUE(MID(O87,2,3)),$A$2:$A$86,0)),INDEX($M$2:$M$86,MATCH(VALUE(MID(O87,2,3)),$A$2:$A$86,0)),O87)),O87),IF(LEFT(O87,1)="L",IFERROR(IF(INDEX($J$2:$J$86,MATCH(VALUE(MID(O87,2,3)),$A$2:$A$86,0))=INDEX($F$2:$F$86,MATCH(VALUE(MID(O87,2,3)),$A$2:$A$86,0)),INDEX($M$2:$M$86,MATCH(VALUE(MID(O87,2,3)),$A$2:$A$86,0)),IF(INDEX($J$2:$J$86,MATCH(VALUE(MID(O87,2,3)),$A$2:$A$86,0))=INDEX($G$2:$G$86,MATCH(VALUE(MID(O87,2,3)),$A$2:$A$86,0)),INDEX($L$2:$L$86,MATCH(VALUE(MID(O87,2,3)),$A$2:$A$86,0)),O87)),O87),IFERROR(IF(VLOOKUP(RIGHT(O87,1)&amp;LEFT(O87,1),Clasificacion!$O$2:$Q$49,3,FALSE())="",O87,VLOOKUP(RIGHT(O87,1)&amp;LEFT(O87,1),Clasificacion!$O$2:$Q$49,3,FALSE())),O87)))))</f>
        <v>2H</v>
      </c>
      <c r="N87" s="1" t="s">
        <v>320</v>
      </c>
      <c r="O87" s="1" t="s">
        <v>321</v>
      </c>
      <c r="P87" s="1" t="s">
        <v>262</v>
      </c>
    </row>
    <row r="88" customFormat="false" ht="14.25" hidden="false" customHeight="true" outlineLevel="0" collapsed="false">
      <c r="A88" s="1" t="n">
        <v>87</v>
      </c>
      <c r="B88" s="1" t="n">
        <v>46206</v>
      </c>
      <c r="C88" s="1" t="s">
        <v>322</v>
      </c>
      <c r="D88" s="1" t="s">
        <v>292</v>
      </c>
      <c r="F88" s="1" t="str">
        <f aca="false">IF(N88="","",IF(LEFT(N88,1)="3",IFERROR(IF(VLOOKUP($A88&amp;"L",Asignacion_3ros!$A$2:$G$9,6,FALSE())="",N88,VLOOKUP($A88&amp;"L",Asignacion_3ros!$A$2:$G$9,6,FALSE())),N88),IF(LEFT(N88,1)="W",IFERROR(IF(INDEX($J$2:$J$87,MATCH(VALUE(MID(N88,2,3)),$A$2:$A$87,0))="",N88,INDEX($J$2:$J$87,MATCH(VALUE(MID(N88,2,3)),$A$2:$A$87,0))),N88),IF(LEFT(N88,1)="L",IFERROR(IF(INDEX($J$2:$J$87,MATCH(VALUE(MID(N88,2,3)),$A$2:$A$87,0))=INDEX($F$2:$F$87,MATCH(VALUE(MID(N88,2,3)),$A$2:$A$87,0)),INDEX($G$2:$G$87,MATCH(VALUE(MID(N88,2,3)),$A$2:$A$87,0)),IF(INDEX($J$2:$J$87,MATCH(VALUE(MID(N88,2,3)),$A$2:$A$87,0))=INDEX($G$2:$G$87,MATCH(VALUE(MID(N88,2,3)),$A$2:$A$87,0)),INDEX($F$2:$F$87,MATCH(VALUE(MID(N88,2,3)),$A$2:$A$87,0)),N88)),N88),IFERROR(IF(VLOOKUP(RIGHT(N88,1)&amp;LEFT(N88,1),Clasificacion!$O$2:$Q$49,2,FALSE())="",N88,VLOOKUP(RIGHT(N88,1)&amp;LEFT(N88,1),Clasificacion!$O$2:$Q$49,2,FALSE())),N88)))))</f>
        <v>1K</v>
      </c>
      <c r="G88" s="1" t="str">
        <f aca="false">IF(O88="","",IF(LEFT(O88,1)="3",IFERROR(IF(VLOOKUP($A88&amp;"V",Asignacion_3ros!$A$2:$G$9,6,FALSE())="",O88,VLOOKUP($A88&amp;"V",Asignacion_3ros!$A$2:$G$9,6,FALSE())),O88),IF(LEFT(O88,1)="W",IFERROR(IF(INDEX($J$2:$J$87,MATCH(VALUE(MID(O88,2,3)),$A$2:$A$87,0))="",O88,INDEX($J$2:$J$87,MATCH(VALUE(MID(O88,2,3)),$A$2:$A$87,0))),O88),IF(LEFT(O88,1)="L",IFERROR(IF(INDEX($J$2:$J$87,MATCH(VALUE(MID(O88,2,3)),$A$2:$A$87,0))=INDEX($F$2:$F$87,MATCH(VALUE(MID(O88,2,3)),$A$2:$A$87,0)),INDEX($G$2:$G$87,MATCH(VALUE(MID(O88,2,3)),$A$2:$A$87,0)),IF(INDEX($J$2:$J$87,MATCH(VALUE(MID(O88,2,3)),$A$2:$A$87,0))=INDEX($G$2:$G$87,MATCH(VALUE(MID(O88,2,3)),$A$2:$A$87,0)),INDEX($F$2:$F$87,MATCH(VALUE(MID(O88,2,3)),$A$2:$A$87,0)),O88)),O88),IFERROR(IF(VLOOKUP(RIGHT(O88,1)&amp;LEFT(O88,1),Clasificacion!$O$2:$Q$49,2,FALSE())="",O88,VLOOKUP(RIGHT(O88,1)&amp;LEFT(O88,1),Clasificacion!$O$2:$Q$49,2,FALSE())),O88)))))</f>
        <v>Chequia</v>
      </c>
      <c r="J88" s="1" t="str">
        <f aca="false">IF(OR(H88="",I88=""),"",IF(H88&gt;I88,F88,IF(I88&gt;H88,G88,"Empate")))</f>
        <v/>
      </c>
      <c r="K88" s="1" t="s">
        <v>286</v>
      </c>
      <c r="L88" s="1" t="str">
        <f aca="false">IF(N88="","",IF(LEFT(N88,1)="3",IFERROR(IF(VLOOKUP($A88&amp;"L",Asignacion_3ros!$A$2:$G$9,7,FALSE())="",N88,VLOOKUP($A88&amp;"L",Asignacion_3ros!$A$2:$G$9,7,FALSE())),N88),IF(LEFT(N88,1)="W",IFERROR(IF(INDEX($J$2:$J$87,MATCH(VALUE(MID(N88,2,3)),$A$2:$A$87,0))=INDEX($F$2:$F$87,MATCH(VALUE(MID(N88,2,3)),$A$2:$A$87,0)),INDEX($L$2:$L$87,MATCH(VALUE(MID(N88,2,3)),$A$2:$A$87,0)),IF(INDEX($J$2:$J$87,MATCH(VALUE(MID(N88,2,3)),$A$2:$A$87,0))=INDEX($G$2:$G$87,MATCH(VALUE(MID(N88,2,3)),$A$2:$A$87,0)),INDEX($M$2:$M$87,MATCH(VALUE(MID(N88,2,3)),$A$2:$A$87,0)),N88)),N88),IF(LEFT(N88,1)="L",IFERROR(IF(INDEX($J$2:$J$87,MATCH(VALUE(MID(N88,2,3)),$A$2:$A$87,0))=INDEX($F$2:$F$87,MATCH(VALUE(MID(N88,2,3)),$A$2:$A$87,0)),INDEX($M$2:$M$87,MATCH(VALUE(MID(N88,2,3)),$A$2:$A$87,0)),IF(INDEX($J$2:$J$87,MATCH(VALUE(MID(N88,2,3)),$A$2:$A$87,0))=INDEX($G$2:$G$87,MATCH(VALUE(MID(N88,2,3)),$A$2:$A$87,0)),INDEX($L$2:$L$87,MATCH(VALUE(MID(N88,2,3)),$A$2:$A$87,0)),N88)),N88),IFERROR(IF(VLOOKUP(RIGHT(N88,1)&amp;LEFT(N88,1),Clasificacion!$O$2:$Q$49,3,FALSE())="",N88,VLOOKUP(RIGHT(N88,1)&amp;LEFT(N88,1),Clasificacion!$O$2:$Q$49,3,FALSE())),N88)))))</f>
        <v>1K</v>
      </c>
      <c r="M88" s="1" t="str">
        <f aca="false">IF(O88="","",IF(LEFT(O88,1)="3",IFERROR(IF(VLOOKUP($A88&amp;"V",Asignacion_3ros!$A$2:$G$9,7,FALSE())="",O88,VLOOKUP($A88&amp;"V",Asignacion_3ros!$A$2:$G$9,7,FALSE())),O88),IF(LEFT(O88,1)="W",IFERROR(IF(INDEX($J$2:$J$87,MATCH(VALUE(MID(O88,2,3)),$A$2:$A$87,0))=INDEX($F$2:$F$87,MATCH(VALUE(MID(O88,2,3)),$A$2:$A$87,0)),INDEX($L$2:$L$87,MATCH(VALUE(MID(O88,2,3)),$A$2:$A$87,0)),IF(INDEX($J$2:$J$87,MATCH(VALUE(MID(O88,2,3)),$A$2:$A$87,0))=INDEX($G$2:$G$87,MATCH(VALUE(MID(O88,2,3)),$A$2:$A$87,0)),INDEX($M$2:$M$87,MATCH(VALUE(MID(O88,2,3)),$A$2:$A$87,0)),O88)),O88),IF(LEFT(O88,1)="L",IFERROR(IF(INDEX($J$2:$J$87,MATCH(VALUE(MID(O88,2,3)),$A$2:$A$87,0))=INDEX($F$2:$F$87,MATCH(VALUE(MID(O88,2,3)),$A$2:$A$87,0)),INDEX($M$2:$M$87,MATCH(VALUE(MID(O88,2,3)),$A$2:$A$87,0)),IF(INDEX($J$2:$J$87,MATCH(VALUE(MID(O88,2,3)),$A$2:$A$87,0))=INDEX($G$2:$G$87,MATCH(VALUE(MID(O88,2,3)),$A$2:$A$87,0)),INDEX($L$2:$L$87,MATCH(VALUE(MID(O88,2,3)),$A$2:$A$87,0)),O88)),O88),IFERROR(IF(VLOOKUP(RIGHT(O88,1)&amp;LEFT(O88,1),Clasificacion!$O$2:$Q$49,3,FALSE())="",O88,VLOOKUP(RIGHT(O88,1)&amp;LEFT(O88,1),Clasificacion!$O$2:$Q$49,3,FALSE())),O88)))))</f>
        <v>CZE</v>
      </c>
      <c r="N88" s="1" t="s">
        <v>323</v>
      </c>
      <c r="O88" s="1" t="s">
        <v>324</v>
      </c>
      <c r="P88" s="1" t="s">
        <v>262</v>
      </c>
    </row>
    <row r="89" customFormat="false" ht="14.25" hidden="false" customHeight="true" outlineLevel="0" collapsed="false">
      <c r="A89" s="1" t="n">
        <v>88</v>
      </c>
      <c r="B89" s="1" t="n">
        <v>46206</v>
      </c>
      <c r="C89" s="1" t="s">
        <v>325</v>
      </c>
      <c r="D89" s="1" t="s">
        <v>292</v>
      </c>
      <c r="F89" s="1" t="str">
        <f aca="false">IF(N89="","",IF(LEFT(N89,1)="3",IFERROR(IF(VLOOKUP($A89&amp;"L",Asignacion_3ros!$A$2:$G$9,6,FALSE())="",N89,VLOOKUP($A89&amp;"L",Asignacion_3ros!$A$2:$G$9,6,FALSE())),N89),IF(LEFT(N89,1)="W",IFERROR(IF(INDEX($J$2:$J$88,MATCH(VALUE(MID(N89,2,3)),$A$2:$A$88,0))="",N89,INDEX($J$2:$J$88,MATCH(VALUE(MID(N89,2,3)),$A$2:$A$88,0))),N89),IF(LEFT(N89,1)="L",IFERROR(IF(INDEX($J$2:$J$88,MATCH(VALUE(MID(N89,2,3)),$A$2:$A$88,0))=INDEX($F$2:$F$88,MATCH(VALUE(MID(N89,2,3)),$A$2:$A$88,0)),INDEX($G$2:$G$88,MATCH(VALUE(MID(N89,2,3)),$A$2:$A$88,0)),IF(INDEX($J$2:$J$88,MATCH(VALUE(MID(N89,2,3)),$A$2:$A$88,0))=INDEX($G$2:$G$88,MATCH(VALUE(MID(N89,2,3)),$A$2:$A$88,0)),INDEX($F$2:$F$88,MATCH(VALUE(MID(N89,2,3)),$A$2:$A$88,0)),N89)),N89),IFERROR(IF(VLOOKUP(RIGHT(N89,1)&amp;LEFT(N89,1),Clasificacion!$O$2:$Q$49,2,FALSE())="",N89,VLOOKUP(RIGHT(N89,1)&amp;LEFT(N89,1),Clasificacion!$O$2:$Q$49,2,FALSE())),N89)))))</f>
        <v>2D</v>
      </c>
      <c r="G89" s="1" t="str">
        <f aca="false">IF(O89="","",IF(LEFT(O89,1)="3",IFERROR(IF(VLOOKUP($A89&amp;"V",Asignacion_3ros!$A$2:$G$9,6,FALSE())="",O89,VLOOKUP($A89&amp;"V",Asignacion_3ros!$A$2:$G$9,6,FALSE())),O89),IF(LEFT(O89,1)="W",IFERROR(IF(INDEX($J$2:$J$88,MATCH(VALUE(MID(O89,2,3)),$A$2:$A$88,0))="",O89,INDEX($J$2:$J$88,MATCH(VALUE(MID(O89,2,3)),$A$2:$A$88,0))),O89),IF(LEFT(O89,1)="L",IFERROR(IF(INDEX($J$2:$J$88,MATCH(VALUE(MID(O89,2,3)),$A$2:$A$88,0))=INDEX($F$2:$F$88,MATCH(VALUE(MID(O89,2,3)),$A$2:$A$88,0)),INDEX($G$2:$G$88,MATCH(VALUE(MID(O89,2,3)),$A$2:$A$88,0)),IF(INDEX($J$2:$J$88,MATCH(VALUE(MID(O89,2,3)),$A$2:$A$88,0))=INDEX($G$2:$G$88,MATCH(VALUE(MID(O89,2,3)),$A$2:$A$88,0)),INDEX($F$2:$F$88,MATCH(VALUE(MID(O89,2,3)),$A$2:$A$88,0)),O89)),O89),IFERROR(IF(VLOOKUP(RIGHT(O89,1)&amp;LEFT(O89,1),Clasificacion!$O$2:$Q$49,2,FALSE())="",O89,VLOOKUP(RIGHT(O89,1)&amp;LEFT(O89,1),Clasificacion!$O$2:$Q$49,2,FALSE())),O89)))))</f>
        <v>2G</v>
      </c>
      <c r="J89" s="1" t="str">
        <f aca="false">IF(OR(H89="",I89=""),"",IF(H89&gt;I89,F89,IF(I89&gt;H89,G89,"Empate")))</f>
        <v/>
      </c>
      <c r="K89" s="1" t="s">
        <v>280</v>
      </c>
      <c r="L89" s="1" t="str">
        <f aca="false">IF(N89="","",IF(LEFT(N89,1)="3",IFERROR(IF(VLOOKUP($A89&amp;"L",Asignacion_3ros!$A$2:$G$9,7,FALSE())="",N89,VLOOKUP($A89&amp;"L",Asignacion_3ros!$A$2:$G$9,7,FALSE())),N89),IF(LEFT(N89,1)="W",IFERROR(IF(INDEX($J$2:$J$88,MATCH(VALUE(MID(N89,2,3)),$A$2:$A$88,0))=INDEX($F$2:$F$88,MATCH(VALUE(MID(N89,2,3)),$A$2:$A$88,0)),INDEX($L$2:$L$88,MATCH(VALUE(MID(N89,2,3)),$A$2:$A$88,0)),IF(INDEX($J$2:$J$88,MATCH(VALUE(MID(N89,2,3)),$A$2:$A$88,0))=INDEX($G$2:$G$88,MATCH(VALUE(MID(N89,2,3)),$A$2:$A$88,0)),INDEX($M$2:$M$88,MATCH(VALUE(MID(N89,2,3)),$A$2:$A$88,0)),N89)),N89),IF(LEFT(N89,1)="L",IFERROR(IF(INDEX($J$2:$J$88,MATCH(VALUE(MID(N89,2,3)),$A$2:$A$88,0))=INDEX($F$2:$F$88,MATCH(VALUE(MID(N89,2,3)),$A$2:$A$88,0)),INDEX($M$2:$M$88,MATCH(VALUE(MID(N89,2,3)),$A$2:$A$88,0)),IF(INDEX($J$2:$J$88,MATCH(VALUE(MID(N89,2,3)),$A$2:$A$88,0))=INDEX($G$2:$G$88,MATCH(VALUE(MID(N89,2,3)),$A$2:$A$88,0)),INDEX($L$2:$L$88,MATCH(VALUE(MID(N89,2,3)),$A$2:$A$88,0)),N89)),N89),IFERROR(IF(VLOOKUP(RIGHT(N89,1)&amp;LEFT(N89,1),Clasificacion!$O$2:$Q$49,3,FALSE())="",N89,VLOOKUP(RIGHT(N89,1)&amp;LEFT(N89,1),Clasificacion!$O$2:$Q$49,3,FALSE())),N89)))))</f>
        <v>2D</v>
      </c>
      <c r="M89" s="1" t="str">
        <f aca="false">IF(O89="","",IF(LEFT(O89,1)="3",IFERROR(IF(VLOOKUP($A89&amp;"V",Asignacion_3ros!$A$2:$G$9,7,FALSE())="",O89,VLOOKUP($A89&amp;"V",Asignacion_3ros!$A$2:$G$9,7,FALSE())),O89),IF(LEFT(O89,1)="W",IFERROR(IF(INDEX($J$2:$J$88,MATCH(VALUE(MID(O89,2,3)),$A$2:$A$88,0))=INDEX($F$2:$F$88,MATCH(VALUE(MID(O89,2,3)),$A$2:$A$88,0)),INDEX($L$2:$L$88,MATCH(VALUE(MID(O89,2,3)),$A$2:$A$88,0)),IF(INDEX($J$2:$J$88,MATCH(VALUE(MID(O89,2,3)),$A$2:$A$88,0))=INDEX($G$2:$G$88,MATCH(VALUE(MID(O89,2,3)),$A$2:$A$88,0)),INDEX($M$2:$M$88,MATCH(VALUE(MID(O89,2,3)),$A$2:$A$88,0)),O89)),O89),IF(LEFT(O89,1)="L",IFERROR(IF(INDEX($J$2:$J$88,MATCH(VALUE(MID(O89,2,3)),$A$2:$A$88,0))=INDEX($F$2:$F$88,MATCH(VALUE(MID(O89,2,3)),$A$2:$A$88,0)),INDEX($M$2:$M$88,MATCH(VALUE(MID(O89,2,3)),$A$2:$A$88,0)),IF(INDEX($J$2:$J$88,MATCH(VALUE(MID(O89,2,3)),$A$2:$A$88,0))=INDEX($G$2:$G$88,MATCH(VALUE(MID(O89,2,3)),$A$2:$A$88,0)),INDEX($L$2:$L$88,MATCH(VALUE(MID(O89,2,3)),$A$2:$A$88,0)),O89)),O89),IFERROR(IF(VLOOKUP(RIGHT(O89,1)&amp;LEFT(O89,1),Clasificacion!$O$2:$Q$49,3,FALSE())="",O89,VLOOKUP(RIGHT(O89,1)&amp;LEFT(O89,1),Clasificacion!$O$2:$Q$49,3,FALSE())),O89)))))</f>
        <v>2G</v>
      </c>
      <c r="N89" s="1" t="s">
        <v>326</v>
      </c>
      <c r="O89" s="1" t="s">
        <v>327</v>
      </c>
      <c r="P89" s="1" t="s">
        <v>262</v>
      </c>
    </row>
    <row r="90" customFormat="false" ht="14.25" hidden="false" customHeight="true" outlineLevel="0" collapsed="false">
      <c r="A90" s="1" t="n">
        <v>89</v>
      </c>
      <c r="B90" s="1" t="n">
        <v>46207</v>
      </c>
      <c r="C90" s="1" t="s">
        <v>290</v>
      </c>
      <c r="D90" s="1" t="s">
        <v>328</v>
      </c>
      <c r="F90" s="1" t="str">
        <f aca="false">IF(N90="","",IF(LEFT(N90,1)="3",IFERROR(IF(VLOOKUP($A90&amp;"L",Asignacion_3ros!$A$2:$G$9,6,FALSE())="",N90,VLOOKUP($A90&amp;"L",Asignacion_3ros!$A$2:$G$9,6,FALSE())),N90),IF(LEFT(N90,1)="W",IFERROR(IF(INDEX($J$2:$J$89,MATCH(VALUE(MID(N90,2,3)),$A$2:$A$89,0))="",N90,INDEX($J$2:$J$89,MATCH(VALUE(MID(N90,2,3)),$A$2:$A$89,0))),N90),IF(LEFT(N90,1)="L",IFERROR(IF(INDEX($J$2:$J$89,MATCH(VALUE(MID(N90,2,3)),$A$2:$A$89,0))=INDEX($F$2:$F$89,MATCH(VALUE(MID(N90,2,3)),$A$2:$A$89,0)),INDEX($G$2:$G$89,MATCH(VALUE(MID(N90,2,3)),$A$2:$A$89,0)),IF(INDEX($J$2:$J$89,MATCH(VALUE(MID(N90,2,3)),$A$2:$A$89,0))=INDEX($G$2:$G$89,MATCH(VALUE(MID(N90,2,3)),$A$2:$A$89,0)),INDEX($F$2:$F$89,MATCH(VALUE(MID(N90,2,3)),$A$2:$A$89,0)),N90)),N90),IFERROR(IF(VLOOKUP(RIGHT(N90,1)&amp;LEFT(N90,1),Clasificacion!$O$2:$Q$49,2,FALSE())="",N90,VLOOKUP(RIGHT(N90,1)&amp;LEFT(N90,1),Clasificacion!$O$2:$Q$49,2,FALSE())),N90)))))</f>
        <v>W74</v>
      </c>
      <c r="G90" s="1" t="str">
        <f aca="false">IF(O90="","",IF(LEFT(O90,1)="3",IFERROR(IF(VLOOKUP($A90&amp;"V",Asignacion_3ros!$A$2:$G$9,6,FALSE())="",O90,VLOOKUP($A90&amp;"V",Asignacion_3ros!$A$2:$G$9,6,FALSE())),O90),IF(LEFT(O90,1)="W",IFERROR(IF(INDEX($J$2:$J$89,MATCH(VALUE(MID(O90,2,3)),$A$2:$A$89,0))="",O90,INDEX($J$2:$J$89,MATCH(VALUE(MID(O90,2,3)),$A$2:$A$89,0))),O90),IF(LEFT(O90,1)="L",IFERROR(IF(INDEX($J$2:$J$89,MATCH(VALUE(MID(O90,2,3)),$A$2:$A$89,0))=INDEX($F$2:$F$89,MATCH(VALUE(MID(O90,2,3)),$A$2:$A$89,0)),INDEX($G$2:$G$89,MATCH(VALUE(MID(O90,2,3)),$A$2:$A$89,0)),IF(INDEX($J$2:$J$89,MATCH(VALUE(MID(O90,2,3)),$A$2:$A$89,0))=INDEX($G$2:$G$89,MATCH(VALUE(MID(O90,2,3)),$A$2:$A$89,0)),INDEX($F$2:$F$89,MATCH(VALUE(MID(O90,2,3)),$A$2:$A$89,0)),O90)),O90),IFERROR(IF(VLOOKUP(RIGHT(O90,1)&amp;LEFT(O90,1),Clasificacion!$O$2:$Q$49,2,FALSE())="",O90,VLOOKUP(RIGHT(O90,1)&amp;LEFT(O90,1),Clasificacion!$O$2:$Q$49,2,FALSE())),O90)))))</f>
        <v>W77</v>
      </c>
      <c r="J90" s="1" t="str">
        <f aca="false">IF(OR(H90="",I90=""),"",IF(H90&gt;I90,F90,IF(I90&gt;H90,G90,"Empate")))</f>
        <v/>
      </c>
      <c r="K90" s="1" t="s">
        <v>276</v>
      </c>
      <c r="L90" s="1" t="str">
        <f aca="false">IF(N90="","",IF(LEFT(N90,1)="3",IFERROR(IF(VLOOKUP($A90&amp;"L",Asignacion_3ros!$A$2:$G$9,7,FALSE())="",N90,VLOOKUP($A90&amp;"L",Asignacion_3ros!$A$2:$G$9,7,FALSE())),N90),IF(LEFT(N90,1)="W",IFERROR(IF(INDEX($J$2:$J$89,MATCH(VALUE(MID(N90,2,3)),$A$2:$A$89,0))=INDEX($F$2:$F$89,MATCH(VALUE(MID(N90,2,3)),$A$2:$A$89,0)),INDEX($L$2:$L$89,MATCH(VALUE(MID(N90,2,3)),$A$2:$A$89,0)),IF(INDEX($J$2:$J$89,MATCH(VALUE(MID(N90,2,3)),$A$2:$A$89,0))=INDEX($G$2:$G$89,MATCH(VALUE(MID(N90,2,3)),$A$2:$A$89,0)),INDEX($M$2:$M$89,MATCH(VALUE(MID(N90,2,3)),$A$2:$A$89,0)),N90)),N90),IF(LEFT(N90,1)="L",IFERROR(IF(INDEX($J$2:$J$89,MATCH(VALUE(MID(N90,2,3)),$A$2:$A$89,0))=INDEX($F$2:$F$89,MATCH(VALUE(MID(N90,2,3)),$A$2:$A$89,0)),INDEX($M$2:$M$89,MATCH(VALUE(MID(N90,2,3)),$A$2:$A$89,0)),IF(INDEX($J$2:$J$89,MATCH(VALUE(MID(N90,2,3)),$A$2:$A$89,0))=INDEX($G$2:$G$89,MATCH(VALUE(MID(N90,2,3)),$A$2:$A$89,0)),INDEX($L$2:$L$89,MATCH(VALUE(MID(N90,2,3)),$A$2:$A$89,0)),N90)),N90),IFERROR(IF(VLOOKUP(RIGHT(N90,1)&amp;LEFT(N90,1),Clasificacion!$O$2:$Q$49,3,FALSE())="",N90,VLOOKUP(RIGHT(N90,1)&amp;LEFT(N90,1),Clasificacion!$O$2:$Q$49,3,FALSE())),N90)))))</f>
        <v>W74</v>
      </c>
      <c r="M90" s="1" t="str">
        <f aca="false">IF(O90="","",IF(LEFT(O90,1)="3",IFERROR(IF(VLOOKUP($A90&amp;"V",Asignacion_3ros!$A$2:$G$9,7,FALSE())="",O90,VLOOKUP($A90&amp;"V",Asignacion_3ros!$A$2:$G$9,7,FALSE())),O90),IF(LEFT(O90,1)="W",IFERROR(IF(INDEX($J$2:$J$89,MATCH(VALUE(MID(O90,2,3)),$A$2:$A$89,0))=INDEX($F$2:$F$89,MATCH(VALUE(MID(O90,2,3)),$A$2:$A$89,0)),INDEX($L$2:$L$89,MATCH(VALUE(MID(O90,2,3)),$A$2:$A$89,0)),IF(INDEX($J$2:$J$89,MATCH(VALUE(MID(O90,2,3)),$A$2:$A$89,0))=INDEX($G$2:$G$89,MATCH(VALUE(MID(O90,2,3)),$A$2:$A$89,0)),INDEX($M$2:$M$89,MATCH(VALUE(MID(O90,2,3)),$A$2:$A$89,0)),O90)),O90),IF(LEFT(O90,1)="L",IFERROR(IF(INDEX($J$2:$J$89,MATCH(VALUE(MID(O90,2,3)),$A$2:$A$89,0))=INDEX($F$2:$F$89,MATCH(VALUE(MID(O90,2,3)),$A$2:$A$89,0)),INDEX($M$2:$M$89,MATCH(VALUE(MID(O90,2,3)),$A$2:$A$89,0)),IF(INDEX($J$2:$J$89,MATCH(VALUE(MID(O90,2,3)),$A$2:$A$89,0))=INDEX($G$2:$G$89,MATCH(VALUE(MID(O90,2,3)),$A$2:$A$89,0)),INDEX($L$2:$L$89,MATCH(VALUE(MID(O90,2,3)),$A$2:$A$89,0)),O90)),O90),IFERROR(IF(VLOOKUP(RIGHT(O90,1)&amp;LEFT(O90,1),Clasificacion!$O$2:$Q$49,3,FALSE())="",O90,VLOOKUP(RIGHT(O90,1)&amp;LEFT(O90,1),Clasificacion!$O$2:$Q$49,3,FALSE())),O90)))))</f>
        <v>W77</v>
      </c>
      <c r="N90" s="1" t="s">
        <v>329</v>
      </c>
      <c r="O90" s="1" t="s">
        <v>330</v>
      </c>
      <c r="P90" s="1" t="s">
        <v>262</v>
      </c>
    </row>
    <row r="91" customFormat="false" ht="14.25" hidden="false" customHeight="true" outlineLevel="0" collapsed="false">
      <c r="A91" s="1" t="n">
        <v>90</v>
      </c>
      <c r="B91" s="1" t="n">
        <v>46207</v>
      </c>
      <c r="C91" s="1" t="s">
        <v>277</v>
      </c>
      <c r="D91" s="1" t="s">
        <v>328</v>
      </c>
      <c r="F91" s="1" t="str">
        <f aca="false">IF(N91="","",IF(LEFT(N91,1)="3",IFERROR(IF(VLOOKUP($A91&amp;"L",Asignacion_3ros!$A$2:$G$9,6,FALSE())="",N91,VLOOKUP($A91&amp;"L",Asignacion_3ros!$A$2:$G$9,6,FALSE())),N91),IF(LEFT(N91,1)="W",IFERROR(IF(INDEX($J$2:$J$90,MATCH(VALUE(MID(N91,2,3)),$A$2:$A$90,0))="",N91,INDEX($J$2:$J$90,MATCH(VALUE(MID(N91,2,3)),$A$2:$A$90,0))),N91),IF(LEFT(N91,1)="L",IFERROR(IF(INDEX($J$2:$J$90,MATCH(VALUE(MID(N91,2,3)),$A$2:$A$90,0))=INDEX($F$2:$F$90,MATCH(VALUE(MID(N91,2,3)),$A$2:$A$90,0)),INDEX($G$2:$G$90,MATCH(VALUE(MID(N91,2,3)),$A$2:$A$90,0)),IF(INDEX($J$2:$J$90,MATCH(VALUE(MID(N91,2,3)),$A$2:$A$90,0))=INDEX($G$2:$G$90,MATCH(VALUE(MID(N91,2,3)),$A$2:$A$90,0)),INDEX($F$2:$F$90,MATCH(VALUE(MID(N91,2,3)),$A$2:$A$90,0)),N91)),N91),IFERROR(IF(VLOOKUP(RIGHT(N91,1)&amp;LEFT(N91,1),Clasificacion!$O$2:$Q$49,2,FALSE())="",N91,VLOOKUP(RIGHT(N91,1)&amp;LEFT(N91,1),Clasificacion!$O$2:$Q$49,2,FALSE())),N91)))))</f>
        <v>W73</v>
      </c>
      <c r="G91" s="1" t="str">
        <f aca="false">IF(O91="","",IF(LEFT(O91,1)="3",IFERROR(IF(VLOOKUP($A91&amp;"V",Asignacion_3ros!$A$2:$G$9,6,FALSE())="",O91,VLOOKUP($A91&amp;"V",Asignacion_3ros!$A$2:$G$9,6,FALSE())),O91),IF(LEFT(O91,1)="W",IFERROR(IF(INDEX($J$2:$J$90,MATCH(VALUE(MID(O91,2,3)),$A$2:$A$90,0))="",O91,INDEX($J$2:$J$90,MATCH(VALUE(MID(O91,2,3)),$A$2:$A$90,0))),O91),IF(LEFT(O91,1)="L",IFERROR(IF(INDEX($J$2:$J$90,MATCH(VALUE(MID(O91,2,3)),$A$2:$A$90,0))=INDEX($F$2:$F$90,MATCH(VALUE(MID(O91,2,3)),$A$2:$A$90,0)),INDEX($G$2:$G$90,MATCH(VALUE(MID(O91,2,3)),$A$2:$A$90,0)),IF(INDEX($J$2:$J$90,MATCH(VALUE(MID(O91,2,3)),$A$2:$A$90,0))=INDEX($G$2:$G$90,MATCH(VALUE(MID(O91,2,3)),$A$2:$A$90,0)),INDEX($F$2:$F$90,MATCH(VALUE(MID(O91,2,3)),$A$2:$A$90,0)),O91)),O91),IFERROR(IF(VLOOKUP(RIGHT(O91,1)&amp;LEFT(O91,1),Clasificacion!$O$2:$Q$49,2,FALSE())="",O91,VLOOKUP(RIGHT(O91,1)&amp;LEFT(O91,1),Clasificacion!$O$2:$Q$49,2,FALSE())),O91)))))</f>
        <v>W75</v>
      </c>
      <c r="J91" s="1" t="str">
        <f aca="false">IF(OR(H91="",I91=""),"",IF(H91&gt;I91,F91,IF(I91&gt;H91,G91,"Empate")))</f>
        <v/>
      </c>
      <c r="K91" s="1" t="s">
        <v>278</v>
      </c>
      <c r="L91" s="1" t="str">
        <f aca="false">IF(N91="","",IF(LEFT(N91,1)="3",IFERROR(IF(VLOOKUP($A91&amp;"L",Asignacion_3ros!$A$2:$G$9,7,FALSE())="",N91,VLOOKUP($A91&amp;"L",Asignacion_3ros!$A$2:$G$9,7,FALSE())),N91),IF(LEFT(N91,1)="W",IFERROR(IF(INDEX($J$2:$J$90,MATCH(VALUE(MID(N91,2,3)),$A$2:$A$90,0))=INDEX($F$2:$F$90,MATCH(VALUE(MID(N91,2,3)),$A$2:$A$90,0)),INDEX($L$2:$L$90,MATCH(VALUE(MID(N91,2,3)),$A$2:$A$90,0)),IF(INDEX($J$2:$J$90,MATCH(VALUE(MID(N91,2,3)),$A$2:$A$90,0))=INDEX($G$2:$G$90,MATCH(VALUE(MID(N91,2,3)),$A$2:$A$90,0)),INDEX($M$2:$M$90,MATCH(VALUE(MID(N91,2,3)),$A$2:$A$90,0)),N91)),N91),IF(LEFT(N91,1)="L",IFERROR(IF(INDEX($J$2:$J$90,MATCH(VALUE(MID(N91,2,3)),$A$2:$A$90,0))=INDEX($F$2:$F$90,MATCH(VALUE(MID(N91,2,3)),$A$2:$A$90,0)),INDEX($M$2:$M$90,MATCH(VALUE(MID(N91,2,3)),$A$2:$A$90,0)),IF(INDEX($J$2:$J$90,MATCH(VALUE(MID(N91,2,3)),$A$2:$A$90,0))=INDEX($G$2:$G$90,MATCH(VALUE(MID(N91,2,3)),$A$2:$A$90,0)),INDEX($L$2:$L$90,MATCH(VALUE(MID(N91,2,3)),$A$2:$A$90,0)),N91)),N91),IFERROR(IF(VLOOKUP(RIGHT(N91,1)&amp;LEFT(N91,1),Clasificacion!$O$2:$Q$49,3,FALSE())="",N91,VLOOKUP(RIGHT(N91,1)&amp;LEFT(N91,1),Clasificacion!$O$2:$Q$49,3,FALSE())),N91)))))</f>
        <v>W73</v>
      </c>
      <c r="M91" s="1" t="str">
        <f aca="false">IF(O91="","",IF(LEFT(O91,1)="3",IFERROR(IF(VLOOKUP($A91&amp;"V",Asignacion_3ros!$A$2:$G$9,7,FALSE())="",O91,VLOOKUP($A91&amp;"V",Asignacion_3ros!$A$2:$G$9,7,FALSE())),O91),IF(LEFT(O91,1)="W",IFERROR(IF(INDEX($J$2:$J$90,MATCH(VALUE(MID(O91,2,3)),$A$2:$A$90,0))=INDEX($F$2:$F$90,MATCH(VALUE(MID(O91,2,3)),$A$2:$A$90,0)),INDEX($L$2:$L$90,MATCH(VALUE(MID(O91,2,3)),$A$2:$A$90,0)),IF(INDEX($J$2:$J$90,MATCH(VALUE(MID(O91,2,3)),$A$2:$A$90,0))=INDEX($G$2:$G$90,MATCH(VALUE(MID(O91,2,3)),$A$2:$A$90,0)),INDEX($M$2:$M$90,MATCH(VALUE(MID(O91,2,3)),$A$2:$A$90,0)),O91)),O91),IF(LEFT(O91,1)="L",IFERROR(IF(INDEX($J$2:$J$90,MATCH(VALUE(MID(O91,2,3)),$A$2:$A$90,0))=INDEX($F$2:$F$90,MATCH(VALUE(MID(O91,2,3)),$A$2:$A$90,0)),INDEX($M$2:$M$90,MATCH(VALUE(MID(O91,2,3)),$A$2:$A$90,0)),IF(INDEX($J$2:$J$90,MATCH(VALUE(MID(O91,2,3)),$A$2:$A$90,0))=INDEX($G$2:$G$90,MATCH(VALUE(MID(O91,2,3)),$A$2:$A$90,0)),INDEX($L$2:$L$90,MATCH(VALUE(MID(O91,2,3)),$A$2:$A$90,0)),O91)),O91),IFERROR(IF(VLOOKUP(RIGHT(O91,1)&amp;LEFT(O91,1),Clasificacion!$O$2:$Q$49,3,FALSE())="",O91,VLOOKUP(RIGHT(O91,1)&amp;LEFT(O91,1),Clasificacion!$O$2:$Q$49,3,FALSE())),O91)))))</f>
        <v>W75</v>
      </c>
      <c r="N91" s="1" t="s">
        <v>331</v>
      </c>
      <c r="O91" s="1" t="s">
        <v>332</v>
      </c>
      <c r="P91" s="1" t="s">
        <v>262</v>
      </c>
    </row>
    <row r="92" customFormat="false" ht="14.25" hidden="false" customHeight="true" outlineLevel="0" collapsed="false">
      <c r="A92" s="1" t="n">
        <v>91</v>
      </c>
      <c r="B92" s="1" t="n">
        <v>46208</v>
      </c>
      <c r="C92" s="1" t="s">
        <v>279</v>
      </c>
      <c r="D92" s="1" t="s">
        <v>328</v>
      </c>
      <c r="F92" s="1" t="str">
        <f aca="false">IF(N92="","",IF(LEFT(N92,1)="3",IFERROR(IF(VLOOKUP($A92&amp;"L",Asignacion_3ros!$A$2:$G$9,6,FALSE())="",N92,VLOOKUP($A92&amp;"L",Asignacion_3ros!$A$2:$G$9,6,FALSE())),N92),IF(LEFT(N92,1)="W",IFERROR(IF(INDEX($J$2:$J$91,MATCH(VALUE(MID(N92,2,3)),$A$2:$A$91,0))="",N92,INDEX($J$2:$J$91,MATCH(VALUE(MID(N92,2,3)),$A$2:$A$91,0))),N92),IF(LEFT(N92,1)="L",IFERROR(IF(INDEX($J$2:$J$91,MATCH(VALUE(MID(N92,2,3)),$A$2:$A$91,0))=INDEX($F$2:$F$91,MATCH(VALUE(MID(N92,2,3)),$A$2:$A$91,0)),INDEX($G$2:$G$91,MATCH(VALUE(MID(N92,2,3)),$A$2:$A$91,0)),IF(INDEX($J$2:$J$91,MATCH(VALUE(MID(N92,2,3)),$A$2:$A$91,0))=INDEX($G$2:$G$91,MATCH(VALUE(MID(N92,2,3)),$A$2:$A$91,0)),INDEX($F$2:$F$91,MATCH(VALUE(MID(N92,2,3)),$A$2:$A$91,0)),N92)),N92),IFERROR(IF(VLOOKUP(RIGHT(N92,1)&amp;LEFT(N92,1),Clasificacion!$O$2:$Q$49,2,FALSE())="",N92,VLOOKUP(RIGHT(N92,1)&amp;LEFT(N92,1),Clasificacion!$O$2:$Q$49,2,FALSE())),N92)))))</f>
        <v>W76</v>
      </c>
      <c r="G92" s="1" t="str">
        <f aca="false">IF(O92="","",IF(LEFT(O92,1)="3",IFERROR(IF(VLOOKUP($A92&amp;"V",Asignacion_3ros!$A$2:$G$9,6,FALSE())="",O92,VLOOKUP($A92&amp;"V",Asignacion_3ros!$A$2:$G$9,6,FALSE())),O92),IF(LEFT(O92,1)="W",IFERROR(IF(INDEX($J$2:$J$91,MATCH(VALUE(MID(O92,2,3)),$A$2:$A$91,0))="",O92,INDEX($J$2:$J$91,MATCH(VALUE(MID(O92,2,3)),$A$2:$A$91,0))),O92),IF(LEFT(O92,1)="L",IFERROR(IF(INDEX($J$2:$J$91,MATCH(VALUE(MID(O92,2,3)),$A$2:$A$91,0))=INDEX($F$2:$F$91,MATCH(VALUE(MID(O92,2,3)),$A$2:$A$91,0)),INDEX($G$2:$G$91,MATCH(VALUE(MID(O92,2,3)),$A$2:$A$91,0)),IF(INDEX($J$2:$J$91,MATCH(VALUE(MID(O92,2,3)),$A$2:$A$91,0))=INDEX($G$2:$G$91,MATCH(VALUE(MID(O92,2,3)),$A$2:$A$91,0)),INDEX($F$2:$F$91,MATCH(VALUE(MID(O92,2,3)),$A$2:$A$91,0)),O92)),O92),IFERROR(IF(VLOOKUP(RIGHT(O92,1)&amp;LEFT(O92,1),Clasificacion!$O$2:$Q$49,2,FALSE())="",O92,VLOOKUP(RIGHT(O92,1)&amp;LEFT(O92,1),Clasificacion!$O$2:$Q$49,2,FALSE())),O92)))))</f>
        <v>W78</v>
      </c>
      <c r="J92" s="1" t="str">
        <f aca="false">IF(OR(H92="",I92=""),"",IF(H92&gt;I92,F92,IF(I92&gt;H92,G92,"Empate")))</f>
        <v/>
      </c>
      <c r="K92" s="1" t="s">
        <v>273</v>
      </c>
      <c r="L92" s="1" t="str">
        <f aca="false">IF(N92="","",IF(LEFT(N92,1)="3",IFERROR(IF(VLOOKUP($A92&amp;"L",Asignacion_3ros!$A$2:$G$9,7,FALSE())="",N92,VLOOKUP($A92&amp;"L",Asignacion_3ros!$A$2:$G$9,7,FALSE())),N92),IF(LEFT(N92,1)="W",IFERROR(IF(INDEX($J$2:$J$91,MATCH(VALUE(MID(N92,2,3)),$A$2:$A$91,0))=INDEX($F$2:$F$91,MATCH(VALUE(MID(N92,2,3)),$A$2:$A$91,0)),INDEX($L$2:$L$91,MATCH(VALUE(MID(N92,2,3)),$A$2:$A$91,0)),IF(INDEX($J$2:$J$91,MATCH(VALUE(MID(N92,2,3)),$A$2:$A$91,0))=INDEX($G$2:$G$91,MATCH(VALUE(MID(N92,2,3)),$A$2:$A$91,0)),INDEX($M$2:$M$91,MATCH(VALUE(MID(N92,2,3)),$A$2:$A$91,0)),N92)),N92),IF(LEFT(N92,1)="L",IFERROR(IF(INDEX($J$2:$J$91,MATCH(VALUE(MID(N92,2,3)),$A$2:$A$91,0))=INDEX($F$2:$F$91,MATCH(VALUE(MID(N92,2,3)),$A$2:$A$91,0)),INDEX($M$2:$M$91,MATCH(VALUE(MID(N92,2,3)),$A$2:$A$91,0)),IF(INDEX($J$2:$J$91,MATCH(VALUE(MID(N92,2,3)),$A$2:$A$91,0))=INDEX($G$2:$G$91,MATCH(VALUE(MID(N92,2,3)),$A$2:$A$91,0)),INDEX($L$2:$L$91,MATCH(VALUE(MID(N92,2,3)),$A$2:$A$91,0)),N92)),N92),IFERROR(IF(VLOOKUP(RIGHT(N92,1)&amp;LEFT(N92,1),Clasificacion!$O$2:$Q$49,3,FALSE())="",N92,VLOOKUP(RIGHT(N92,1)&amp;LEFT(N92,1),Clasificacion!$O$2:$Q$49,3,FALSE())),N92)))))</f>
        <v>W76</v>
      </c>
      <c r="M92" s="1" t="str">
        <f aca="false">IF(O92="","",IF(LEFT(O92,1)="3",IFERROR(IF(VLOOKUP($A92&amp;"V",Asignacion_3ros!$A$2:$G$9,7,FALSE())="",O92,VLOOKUP($A92&amp;"V",Asignacion_3ros!$A$2:$G$9,7,FALSE())),O92),IF(LEFT(O92,1)="W",IFERROR(IF(INDEX($J$2:$J$91,MATCH(VALUE(MID(O92,2,3)),$A$2:$A$91,0))=INDEX($F$2:$F$91,MATCH(VALUE(MID(O92,2,3)),$A$2:$A$91,0)),INDEX($L$2:$L$91,MATCH(VALUE(MID(O92,2,3)),$A$2:$A$91,0)),IF(INDEX($J$2:$J$91,MATCH(VALUE(MID(O92,2,3)),$A$2:$A$91,0))=INDEX($G$2:$G$91,MATCH(VALUE(MID(O92,2,3)),$A$2:$A$91,0)),INDEX($M$2:$M$91,MATCH(VALUE(MID(O92,2,3)),$A$2:$A$91,0)),O92)),O92),IF(LEFT(O92,1)="L",IFERROR(IF(INDEX($J$2:$J$91,MATCH(VALUE(MID(O92,2,3)),$A$2:$A$91,0))=INDEX($F$2:$F$91,MATCH(VALUE(MID(O92,2,3)),$A$2:$A$91,0)),INDEX($M$2:$M$91,MATCH(VALUE(MID(O92,2,3)),$A$2:$A$91,0)),IF(INDEX($J$2:$J$91,MATCH(VALUE(MID(O92,2,3)),$A$2:$A$91,0))=INDEX($G$2:$G$91,MATCH(VALUE(MID(O92,2,3)),$A$2:$A$91,0)),INDEX($L$2:$L$91,MATCH(VALUE(MID(O92,2,3)),$A$2:$A$91,0)),O92)),O92),IFERROR(IF(VLOOKUP(RIGHT(O92,1)&amp;LEFT(O92,1),Clasificacion!$O$2:$Q$49,3,FALSE())="",O92,VLOOKUP(RIGHT(O92,1)&amp;LEFT(O92,1),Clasificacion!$O$2:$Q$49,3,FALSE())),O92)))))</f>
        <v>W78</v>
      </c>
      <c r="N92" s="1" t="s">
        <v>333</v>
      </c>
      <c r="O92" s="1" t="s">
        <v>334</v>
      </c>
      <c r="P92" s="1" t="s">
        <v>262</v>
      </c>
    </row>
    <row r="93" customFormat="false" ht="14.25" hidden="false" customHeight="true" outlineLevel="0" collapsed="false">
      <c r="A93" s="1" t="n">
        <v>92</v>
      </c>
      <c r="B93" s="1" t="n">
        <v>46208</v>
      </c>
      <c r="C93" s="1" t="s">
        <v>289</v>
      </c>
      <c r="D93" s="1" t="s">
        <v>328</v>
      </c>
      <c r="F93" s="1" t="str">
        <f aca="false">IF(N93="","",IF(LEFT(N93,1)="3",IFERROR(IF(VLOOKUP($A93&amp;"L",Asignacion_3ros!$A$2:$G$9,6,FALSE())="",N93,VLOOKUP($A93&amp;"L",Asignacion_3ros!$A$2:$G$9,6,FALSE())),N93),IF(LEFT(N93,1)="W",IFERROR(IF(INDEX($J$2:$J$92,MATCH(VALUE(MID(N93,2,3)),$A$2:$A$92,0))="",N93,INDEX($J$2:$J$92,MATCH(VALUE(MID(N93,2,3)),$A$2:$A$92,0))),N93),IF(LEFT(N93,1)="L",IFERROR(IF(INDEX($J$2:$J$92,MATCH(VALUE(MID(N93,2,3)),$A$2:$A$92,0))=INDEX($F$2:$F$92,MATCH(VALUE(MID(N93,2,3)),$A$2:$A$92,0)),INDEX($G$2:$G$92,MATCH(VALUE(MID(N93,2,3)),$A$2:$A$92,0)),IF(INDEX($J$2:$J$92,MATCH(VALUE(MID(N93,2,3)),$A$2:$A$92,0))=INDEX($G$2:$G$92,MATCH(VALUE(MID(N93,2,3)),$A$2:$A$92,0)),INDEX($F$2:$F$92,MATCH(VALUE(MID(N93,2,3)),$A$2:$A$92,0)),N93)),N93),IFERROR(IF(VLOOKUP(RIGHT(N93,1)&amp;LEFT(N93,1),Clasificacion!$O$2:$Q$49,2,FALSE())="",N93,VLOOKUP(RIGHT(N93,1)&amp;LEFT(N93,1),Clasificacion!$O$2:$Q$49,2,FALSE())),N93)))))</f>
        <v>W79</v>
      </c>
      <c r="G93" s="1" t="str">
        <f aca="false">IF(O93="","",IF(LEFT(O93,1)="3",IFERROR(IF(VLOOKUP($A93&amp;"V",Asignacion_3ros!$A$2:$G$9,6,FALSE())="",O93,VLOOKUP($A93&amp;"V",Asignacion_3ros!$A$2:$G$9,6,FALSE())),O93),IF(LEFT(O93,1)="W",IFERROR(IF(INDEX($J$2:$J$92,MATCH(VALUE(MID(O93,2,3)),$A$2:$A$92,0))="",O93,INDEX($J$2:$J$92,MATCH(VALUE(MID(O93,2,3)),$A$2:$A$92,0))),O93),IF(LEFT(O93,1)="L",IFERROR(IF(INDEX($J$2:$J$92,MATCH(VALUE(MID(O93,2,3)),$A$2:$A$92,0))=INDEX($F$2:$F$92,MATCH(VALUE(MID(O93,2,3)),$A$2:$A$92,0)),INDEX($G$2:$G$92,MATCH(VALUE(MID(O93,2,3)),$A$2:$A$92,0)),IF(INDEX($J$2:$J$92,MATCH(VALUE(MID(O93,2,3)),$A$2:$A$92,0))=INDEX($G$2:$G$92,MATCH(VALUE(MID(O93,2,3)),$A$2:$A$92,0)),INDEX($F$2:$F$92,MATCH(VALUE(MID(O93,2,3)),$A$2:$A$92,0)),O93)),O93),IFERROR(IF(VLOOKUP(RIGHT(O93,1)&amp;LEFT(O93,1),Clasificacion!$O$2:$Q$49,2,FALSE())="",O93,VLOOKUP(RIGHT(O93,1)&amp;LEFT(O93,1),Clasificacion!$O$2:$Q$49,2,FALSE())),O93)))))</f>
        <v>W80</v>
      </c>
      <c r="J93" s="1" t="str">
        <f aca="false">IF(OR(H93="",I93=""),"",IF(H93&gt;I93,F93,IF(I93&gt;H93,G93,"Empate")))</f>
        <v/>
      </c>
      <c r="K93" s="1" t="s">
        <v>261</v>
      </c>
      <c r="L93" s="1" t="str">
        <f aca="false">IF(N93="","",IF(LEFT(N93,1)="3",IFERROR(IF(VLOOKUP($A93&amp;"L",Asignacion_3ros!$A$2:$G$9,7,FALSE())="",N93,VLOOKUP($A93&amp;"L",Asignacion_3ros!$A$2:$G$9,7,FALSE())),N93),IF(LEFT(N93,1)="W",IFERROR(IF(INDEX($J$2:$J$92,MATCH(VALUE(MID(N93,2,3)),$A$2:$A$92,0))=INDEX($F$2:$F$92,MATCH(VALUE(MID(N93,2,3)),$A$2:$A$92,0)),INDEX($L$2:$L$92,MATCH(VALUE(MID(N93,2,3)),$A$2:$A$92,0)),IF(INDEX($J$2:$J$92,MATCH(VALUE(MID(N93,2,3)),$A$2:$A$92,0))=INDEX($G$2:$G$92,MATCH(VALUE(MID(N93,2,3)),$A$2:$A$92,0)),INDEX($M$2:$M$92,MATCH(VALUE(MID(N93,2,3)),$A$2:$A$92,0)),N93)),N93),IF(LEFT(N93,1)="L",IFERROR(IF(INDEX($J$2:$J$92,MATCH(VALUE(MID(N93,2,3)),$A$2:$A$92,0))=INDEX($F$2:$F$92,MATCH(VALUE(MID(N93,2,3)),$A$2:$A$92,0)),INDEX($M$2:$M$92,MATCH(VALUE(MID(N93,2,3)),$A$2:$A$92,0)),IF(INDEX($J$2:$J$92,MATCH(VALUE(MID(N93,2,3)),$A$2:$A$92,0))=INDEX($G$2:$G$92,MATCH(VALUE(MID(N93,2,3)),$A$2:$A$92,0)),INDEX($L$2:$L$92,MATCH(VALUE(MID(N93,2,3)),$A$2:$A$92,0)),N93)),N93),IFERROR(IF(VLOOKUP(RIGHT(N93,1)&amp;LEFT(N93,1),Clasificacion!$O$2:$Q$49,3,FALSE())="",N93,VLOOKUP(RIGHT(N93,1)&amp;LEFT(N93,1),Clasificacion!$O$2:$Q$49,3,FALSE())),N93)))))</f>
        <v>W79</v>
      </c>
      <c r="M93" s="1" t="str">
        <f aca="false">IF(O93="","",IF(LEFT(O93,1)="3",IFERROR(IF(VLOOKUP($A93&amp;"V",Asignacion_3ros!$A$2:$G$9,7,FALSE())="",O93,VLOOKUP($A93&amp;"V",Asignacion_3ros!$A$2:$G$9,7,FALSE())),O93),IF(LEFT(O93,1)="W",IFERROR(IF(INDEX($J$2:$J$92,MATCH(VALUE(MID(O93,2,3)),$A$2:$A$92,0))=INDEX($F$2:$F$92,MATCH(VALUE(MID(O93,2,3)),$A$2:$A$92,0)),INDEX($L$2:$L$92,MATCH(VALUE(MID(O93,2,3)),$A$2:$A$92,0)),IF(INDEX($J$2:$J$92,MATCH(VALUE(MID(O93,2,3)),$A$2:$A$92,0))=INDEX($G$2:$G$92,MATCH(VALUE(MID(O93,2,3)),$A$2:$A$92,0)),INDEX($M$2:$M$92,MATCH(VALUE(MID(O93,2,3)),$A$2:$A$92,0)),O93)),O93),IF(LEFT(O93,1)="L",IFERROR(IF(INDEX($J$2:$J$92,MATCH(VALUE(MID(O93,2,3)),$A$2:$A$92,0))=INDEX($F$2:$F$92,MATCH(VALUE(MID(O93,2,3)),$A$2:$A$92,0)),INDEX($M$2:$M$92,MATCH(VALUE(MID(O93,2,3)),$A$2:$A$92,0)),IF(INDEX($J$2:$J$92,MATCH(VALUE(MID(O93,2,3)),$A$2:$A$92,0))=INDEX($G$2:$G$92,MATCH(VALUE(MID(O93,2,3)),$A$2:$A$92,0)),INDEX($L$2:$L$92,MATCH(VALUE(MID(O93,2,3)),$A$2:$A$92,0)),O93)),O93),IFERROR(IF(VLOOKUP(RIGHT(O93,1)&amp;LEFT(O93,1),Clasificacion!$O$2:$Q$49,3,FALSE())="",O93,VLOOKUP(RIGHT(O93,1)&amp;LEFT(O93,1),Clasificacion!$O$2:$Q$49,3,FALSE())),O93)))))</f>
        <v>W80</v>
      </c>
      <c r="N93" s="1" t="s">
        <v>335</v>
      </c>
      <c r="O93" s="1" t="s">
        <v>336</v>
      </c>
      <c r="P93" s="1" t="s">
        <v>262</v>
      </c>
    </row>
    <row r="94" customFormat="false" ht="14.25" hidden="false" customHeight="true" outlineLevel="0" collapsed="false">
      <c r="A94" s="1" t="n">
        <v>93</v>
      </c>
      <c r="B94" s="1" t="n">
        <v>46209</v>
      </c>
      <c r="C94" s="1" t="s">
        <v>260</v>
      </c>
      <c r="D94" s="1" t="s">
        <v>328</v>
      </c>
      <c r="F94" s="1" t="str">
        <f aca="false">IF(N94="","",IF(LEFT(N94,1)="3",IFERROR(IF(VLOOKUP($A94&amp;"L",Asignacion_3ros!$A$2:$G$9,6,FALSE())="",N94,VLOOKUP($A94&amp;"L",Asignacion_3ros!$A$2:$G$9,6,FALSE())),N94),IF(LEFT(N94,1)="W",IFERROR(IF(INDEX($J$2:$J$93,MATCH(VALUE(MID(N94,2,3)),$A$2:$A$93,0))="",N94,INDEX($J$2:$J$93,MATCH(VALUE(MID(N94,2,3)),$A$2:$A$93,0))),N94),IF(LEFT(N94,1)="L",IFERROR(IF(INDEX($J$2:$J$93,MATCH(VALUE(MID(N94,2,3)),$A$2:$A$93,0))=INDEX($F$2:$F$93,MATCH(VALUE(MID(N94,2,3)),$A$2:$A$93,0)),INDEX($G$2:$G$93,MATCH(VALUE(MID(N94,2,3)),$A$2:$A$93,0)),IF(INDEX($J$2:$J$93,MATCH(VALUE(MID(N94,2,3)),$A$2:$A$93,0))=INDEX($G$2:$G$93,MATCH(VALUE(MID(N94,2,3)),$A$2:$A$93,0)),INDEX($F$2:$F$93,MATCH(VALUE(MID(N94,2,3)),$A$2:$A$93,0)),N94)),N94),IFERROR(IF(VLOOKUP(RIGHT(N94,1)&amp;LEFT(N94,1),Clasificacion!$O$2:$Q$49,2,FALSE())="",N94,VLOOKUP(RIGHT(N94,1)&amp;LEFT(N94,1),Clasificacion!$O$2:$Q$49,2,FALSE())),N94)))))</f>
        <v>W83</v>
      </c>
      <c r="G94" s="1" t="str">
        <f aca="false">IF(O94="","",IF(LEFT(O94,1)="3",IFERROR(IF(VLOOKUP($A94&amp;"V",Asignacion_3ros!$A$2:$G$9,6,FALSE())="",O94,VLOOKUP($A94&amp;"V",Asignacion_3ros!$A$2:$G$9,6,FALSE())),O94),IF(LEFT(O94,1)="W",IFERROR(IF(INDEX($J$2:$J$93,MATCH(VALUE(MID(O94,2,3)),$A$2:$A$93,0))="",O94,INDEX($J$2:$J$93,MATCH(VALUE(MID(O94,2,3)),$A$2:$A$93,0))),O94),IF(LEFT(O94,1)="L",IFERROR(IF(INDEX($J$2:$J$93,MATCH(VALUE(MID(O94,2,3)),$A$2:$A$93,0))=INDEX($F$2:$F$93,MATCH(VALUE(MID(O94,2,3)),$A$2:$A$93,0)),INDEX($G$2:$G$93,MATCH(VALUE(MID(O94,2,3)),$A$2:$A$93,0)),IF(INDEX($J$2:$J$93,MATCH(VALUE(MID(O94,2,3)),$A$2:$A$93,0))=INDEX($G$2:$G$93,MATCH(VALUE(MID(O94,2,3)),$A$2:$A$93,0)),INDEX($F$2:$F$93,MATCH(VALUE(MID(O94,2,3)),$A$2:$A$93,0)),O94)),O94),IFERROR(IF(VLOOKUP(RIGHT(O94,1)&amp;LEFT(O94,1),Clasificacion!$O$2:$Q$49,2,FALSE())="",O94,VLOOKUP(RIGHT(O94,1)&amp;LEFT(O94,1),Clasificacion!$O$2:$Q$49,2,FALSE())),O94)))))</f>
        <v>W84</v>
      </c>
      <c r="J94" s="1" t="str">
        <f aca="false">IF(OR(H94="",I94=""),"",IF(H94&gt;I94,F94,IF(I94&gt;H94,G94,"Empate")))</f>
        <v/>
      </c>
      <c r="K94" s="1" t="s">
        <v>280</v>
      </c>
      <c r="L94" s="1" t="str">
        <f aca="false">IF(N94="","",IF(LEFT(N94,1)="3",IFERROR(IF(VLOOKUP($A94&amp;"L",Asignacion_3ros!$A$2:$G$9,7,FALSE())="",N94,VLOOKUP($A94&amp;"L",Asignacion_3ros!$A$2:$G$9,7,FALSE())),N94),IF(LEFT(N94,1)="W",IFERROR(IF(INDEX($J$2:$J$93,MATCH(VALUE(MID(N94,2,3)),$A$2:$A$93,0))=INDEX($F$2:$F$93,MATCH(VALUE(MID(N94,2,3)),$A$2:$A$93,0)),INDEX($L$2:$L$93,MATCH(VALUE(MID(N94,2,3)),$A$2:$A$93,0)),IF(INDEX($J$2:$J$93,MATCH(VALUE(MID(N94,2,3)),$A$2:$A$93,0))=INDEX($G$2:$G$93,MATCH(VALUE(MID(N94,2,3)),$A$2:$A$93,0)),INDEX($M$2:$M$93,MATCH(VALUE(MID(N94,2,3)),$A$2:$A$93,0)),N94)),N94),IF(LEFT(N94,1)="L",IFERROR(IF(INDEX($J$2:$J$93,MATCH(VALUE(MID(N94,2,3)),$A$2:$A$93,0))=INDEX($F$2:$F$93,MATCH(VALUE(MID(N94,2,3)),$A$2:$A$93,0)),INDEX($M$2:$M$93,MATCH(VALUE(MID(N94,2,3)),$A$2:$A$93,0)),IF(INDEX($J$2:$J$93,MATCH(VALUE(MID(N94,2,3)),$A$2:$A$93,0))=INDEX($G$2:$G$93,MATCH(VALUE(MID(N94,2,3)),$A$2:$A$93,0)),INDEX($L$2:$L$93,MATCH(VALUE(MID(N94,2,3)),$A$2:$A$93,0)),N94)),N94),IFERROR(IF(VLOOKUP(RIGHT(N94,1)&amp;LEFT(N94,1),Clasificacion!$O$2:$Q$49,3,FALSE())="",N94,VLOOKUP(RIGHT(N94,1)&amp;LEFT(N94,1),Clasificacion!$O$2:$Q$49,3,FALSE())),N94)))))</f>
        <v>W83</v>
      </c>
      <c r="M94" s="1" t="str">
        <f aca="false">IF(O94="","",IF(LEFT(O94,1)="3",IFERROR(IF(VLOOKUP($A94&amp;"V",Asignacion_3ros!$A$2:$G$9,7,FALSE())="",O94,VLOOKUP($A94&amp;"V",Asignacion_3ros!$A$2:$G$9,7,FALSE())),O94),IF(LEFT(O94,1)="W",IFERROR(IF(INDEX($J$2:$J$93,MATCH(VALUE(MID(O94,2,3)),$A$2:$A$93,0))=INDEX($F$2:$F$93,MATCH(VALUE(MID(O94,2,3)),$A$2:$A$93,0)),INDEX($L$2:$L$93,MATCH(VALUE(MID(O94,2,3)),$A$2:$A$93,0)),IF(INDEX($J$2:$J$93,MATCH(VALUE(MID(O94,2,3)),$A$2:$A$93,0))=INDEX($G$2:$G$93,MATCH(VALUE(MID(O94,2,3)),$A$2:$A$93,0)),INDEX($M$2:$M$93,MATCH(VALUE(MID(O94,2,3)),$A$2:$A$93,0)),O94)),O94),IF(LEFT(O94,1)="L",IFERROR(IF(INDEX($J$2:$J$93,MATCH(VALUE(MID(O94,2,3)),$A$2:$A$93,0))=INDEX($F$2:$F$93,MATCH(VALUE(MID(O94,2,3)),$A$2:$A$93,0)),INDEX($M$2:$M$93,MATCH(VALUE(MID(O94,2,3)),$A$2:$A$93,0)),IF(INDEX($J$2:$J$93,MATCH(VALUE(MID(O94,2,3)),$A$2:$A$93,0))=INDEX($G$2:$G$93,MATCH(VALUE(MID(O94,2,3)),$A$2:$A$93,0)),INDEX($L$2:$L$93,MATCH(VALUE(MID(O94,2,3)),$A$2:$A$93,0)),O94)),O94),IFERROR(IF(VLOOKUP(RIGHT(O94,1)&amp;LEFT(O94,1),Clasificacion!$O$2:$Q$49,3,FALSE())="",O94,VLOOKUP(RIGHT(O94,1)&amp;LEFT(O94,1),Clasificacion!$O$2:$Q$49,3,FALSE())),O94)))))</f>
        <v>W84</v>
      </c>
      <c r="N94" s="1" t="s">
        <v>337</v>
      </c>
      <c r="O94" s="1" t="s">
        <v>338</v>
      </c>
      <c r="P94" s="1" t="s">
        <v>262</v>
      </c>
    </row>
    <row r="95" customFormat="false" ht="14.25" hidden="false" customHeight="true" outlineLevel="0" collapsed="false">
      <c r="A95" s="1" t="n">
        <v>94</v>
      </c>
      <c r="B95" s="1" t="n">
        <v>46209</v>
      </c>
      <c r="C95" s="1" t="s">
        <v>289</v>
      </c>
      <c r="D95" s="1" t="s">
        <v>328</v>
      </c>
      <c r="F95" s="1" t="str">
        <f aca="false">IF(N95="","",IF(LEFT(N95,1)="3",IFERROR(IF(VLOOKUP($A95&amp;"L",Asignacion_3ros!$A$2:$G$9,6,FALSE())="",N95,VLOOKUP($A95&amp;"L",Asignacion_3ros!$A$2:$G$9,6,FALSE())),N95),IF(LEFT(N95,1)="W",IFERROR(IF(INDEX($J$2:$J$94,MATCH(VALUE(MID(N95,2,3)),$A$2:$A$94,0))="",N95,INDEX($J$2:$J$94,MATCH(VALUE(MID(N95,2,3)),$A$2:$A$94,0))),N95),IF(LEFT(N95,1)="L",IFERROR(IF(INDEX($J$2:$J$94,MATCH(VALUE(MID(N95,2,3)),$A$2:$A$94,0))=INDEX($F$2:$F$94,MATCH(VALUE(MID(N95,2,3)),$A$2:$A$94,0)),INDEX($G$2:$G$94,MATCH(VALUE(MID(N95,2,3)),$A$2:$A$94,0)),IF(INDEX($J$2:$J$94,MATCH(VALUE(MID(N95,2,3)),$A$2:$A$94,0))=INDEX($G$2:$G$94,MATCH(VALUE(MID(N95,2,3)),$A$2:$A$94,0)),INDEX($F$2:$F$94,MATCH(VALUE(MID(N95,2,3)),$A$2:$A$94,0)),N95)),N95),IFERROR(IF(VLOOKUP(RIGHT(N95,1)&amp;LEFT(N95,1),Clasificacion!$O$2:$Q$49,2,FALSE())="",N95,VLOOKUP(RIGHT(N95,1)&amp;LEFT(N95,1),Clasificacion!$O$2:$Q$49,2,FALSE())),N95)))))</f>
        <v>W81</v>
      </c>
      <c r="G95" s="1" t="str">
        <f aca="false">IF(O95="","",IF(LEFT(O95,1)="3",IFERROR(IF(VLOOKUP($A95&amp;"V",Asignacion_3ros!$A$2:$G$9,6,FALSE())="",O95,VLOOKUP($A95&amp;"V",Asignacion_3ros!$A$2:$G$9,6,FALSE())),O95),IF(LEFT(O95,1)="W",IFERROR(IF(INDEX($J$2:$J$94,MATCH(VALUE(MID(O95,2,3)),$A$2:$A$94,0))="",O95,INDEX($J$2:$J$94,MATCH(VALUE(MID(O95,2,3)),$A$2:$A$94,0))),O95),IF(LEFT(O95,1)="L",IFERROR(IF(INDEX($J$2:$J$94,MATCH(VALUE(MID(O95,2,3)),$A$2:$A$94,0))=INDEX($F$2:$F$94,MATCH(VALUE(MID(O95,2,3)),$A$2:$A$94,0)),INDEX($G$2:$G$94,MATCH(VALUE(MID(O95,2,3)),$A$2:$A$94,0)),IF(INDEX($J$2:$J$94,MATCH(VALUE(MID(O95,2,3)),$A$2:$A$94,0))=INDEX($G$2:$G$94,MATCH(VALUE(MID(O95,2,3)),$A$2:$A$94,0)),INDEX($F$2:$F$94,MATCH(VALUE(MID(O95,2,3)),$A$2:$A$94,0)),O95)),O95),IFERROR(IF(VLOOKUP(RIGHT(O95,1)&amp;LEFT(O95,1),Clasificacion!$O$2:$Q$49,2,FALSE())="",O95,VLOOKUP(RIGHT(O95,1)&amp;LEFT(O95,1),Clasificacion!$O$2:$Q$49,2,FALSE())),O95)))))</f>
        <v>W82</v>
      </c>
      <c r="J95" s="1" t="str">
        <f aca="false">IF(OR(H95="",I95=""),"",IF(H95&gt;I95,F95,IF(I95&gt;H95,G95,"Empate")))</f>
        <v/>
      </c>
      <c r="K95" s="1" t="s">
        <v>285</v>
      </c>
      <c r="L95" s="1" t="str">
        <f aca="false">IF(N95="","",IF(LEFT(N95,1)="3",IFERROR(IF(VLOOKUP($A95&amp;"L",Asignacion_3ros!$A$2:$G$9,7,FALSE())="",N95,VLOOKUP($A95&amp;"L",Asignacion_3ros!$A$2:$G$9,7,FALSE())),N95),IF(LEFT(N95,1)="W",IFERROR(IF(INDEX($J$2:$J$94,MATCH(VALUE(MID(N95,2,3)),$A$2:$A$94,0))=INDEX($F$2:$F$94,MATCH(VALUE(MID(N95,2,3)),$A$2:$A$94,0)),INDEX($L$2:$L$94,MATCH(VALUE(MID(N95,2,3)),$A$2:$A$94,0)),IF(INDEX($J$2:$J$94,MATCH(VALUE(MID(N95,2,3)),$A$2:$A$94,0))=INDEX($G$2:$G$94,MATCH(VALUE(MID(N95,2,3)),$A$2:$A$94,0)),INDEX($M$2:$M$94,MATCH(VALUE(MID(N95,2,3)),$A$2:$A$94,0)),N95)),N95),IF(LEFT(N95,1)="L",IFERROR(IF(INDEX($J$2:$J$94,MATCH(VALUE(MID(N95,2,3)),$A$2:$A$94,0))=INDEX($F$2:$F$94,MATCH(VALUE(MID(N95,2,3)),$A$2:$A$94,0)),INDEX($M$2:$M$94,MATCH(VALUE(MID(N95,2,3)),$A$2:$A$94,0)),IF(INDEX($J$2:$J$94,MATCH(VALUE(MID(N95,2,3)),$A$2:$A$94,0))=INDEX($G$2:$G$94,MATCH(VALUE(MID(N95,2,3)),$A$2:$A$94,0)),INDEX($L$2:$L$94,MATCH(VALUE(MID(N95,2,3)),$A$2:$A$94,0)),N95)),N95),IFERROR(IF(VLOOKUP(RIGHT(N95,1)&amp;LEFT(N95,1),Clasificacion!$O$2:$Q$49,3,FALSE())="",N95,VLOOKUP(RIGHT(N95,1)&amp;LEFT(N95,1),Clasificacion!$O$2:$Q$49,3,FALSE())),N95)))))</f>
        <v>W81</v>
      </c>
      <c r="M95" s="1" t="str">
        <f aca="false">IF(O95="","",IF(LEFT(O95,1)="3",IFERROR(IF(VLOOKUP($A95&amp;"V",Asignacion_3ros!$A$2:$G$9,7,FALSE())="",O95,VLOOKUP($A95&amp;"V",Asignacion_3ros!$A$2:$G$9,7,FALSE())),O95),IF(LEFT(O95,1)="W",IFERROR(IF(INDEX($J$2:$J$94,MATCH(VALUE(MID(O95,2,3)),$A$2:$A$94,0))=INDEX($F$2:$F$94,MATCH(VALUE(MID(O95,2,3)),$A$2:$A$94,0)),INDEX($L$2:$L$94,MATCH(VALUE(MID(O95,2,3)),$A$2:$A$94,0)),IF(INDEX($J$2:$J$94,MATCH(VALUE(MID(O95,2,3)),$A$2:$A$94,0))=INDEX($G$2:$G$94,MATCH(VALUE(MID(O95,2,3)),$A$2:$A$94,0)),INDEX($M$2:$M$94,MATCH(VALUE(MID(O95,2,3)),$A$2:$A$94,0)),O95)),O95),IF(LEFT(O95,1)="L",IFERROR(IF(INDEX($J$2:$J$94,MATCH(VALUE(MID(O95,2,3)),$A$2:$A$94,0))=INDEX($F$2:$F$94,MATCH(VALUE(MID(O95,2,3)),$A$2:$A$94,0)),INDEX($M$2:$M$94,MATCH(VALUE(MID(O95,2,3)),$A$2:$A$94,0)),IF(INDEX($J$2:$J$94,MATCH(VALUE(MID(O95,2,3)),$A$2:$A$94,0))=INDEX($G$2:$G$94,MATCH(VALUE(MID(O95,2,3)),$A$2:$A$94,0)),INDEX($L$2:$L$94,MATCH(VALUE(MID(O95,2,3)),$A$2:$A$94,0)),O95)),O95),IFERROR(IF(VLOOKUP(RIGHT(O95,1)&amp;LEFT(O95,1),Clasificacion!$O$2:$Q$49,3,FALSE())="",O95,VLOOKUP(RIGHT(O95,1)&amp;LEFT(O95,1),Clasificacion!$O$2:$Q$49,3,FALSE())),O95)))))</f>
        <v>W82</v>
      </c>
      <c r="N95" s="1" t="s">
        <v>339</v>
      </c>
      <c r="O95" s="1" t="s">
        <v>340</v>
      </c>
      <c r="P95" s="1" t="s">
        <v>262</v>
      </c>
    </row>
    <row r="96" customFormat="false" ht="14.25" hidden="false" customHeight="true" outlineLevel="0" collapsed="false">
      <c r="A96" s="1" t="n">
        <v>95</v>
      </c>
      <c r="B96" s="1" t="n">
        <v>46210</v>
      </c>
      <c r="C96" s="1" t="s">
        <v>283</v>
      </c>
      <c r="D96" s="1" t="s">
        <v>328</v>
      </c>
      <c r="F96" s="1" t="str">
        <f aca="false">IF(N96="","",IF(LEFT(N96,1)="3",IFERROR(IF(VLOOKUP($A96&amp;"L",Asignacion_3ros!$A$2:$G$9,6,FALSE())="",N96,VLOOKUP($A96&amp;"L",Asignacion_3ros!$A$2:$G$9,6,FALSE())),N96),IF(LEFT(N96,1)="W",IFERROR(IF(INDEX($J$2:$J$95,MATCH(VALUE(MID(N96,2,3)),$A$2:$A$95,0))="",N96,INDEX($J$2:$J$95,MATCH(VALUE(MID(N96,2,3)),$A$2:$A$95,0))),N96),IF(LEFT(N96,1)="L",IFERROR(IF(INDEX($J$2:$J$95,MATCH(VALUE(MID(N96,2,3)),$A$2:$A$95,0))=INDEX($F$2:$F$95,MATCH(VALUE(MID(N96,2,3)),$A$2:$A$95,0)),INDEX($G$2:$G$95,MATCH(VALUE(MID(N96,2,3)),$A$2:$A$95,0)),IF(INDEX($J$2:$J$95,MATCH(VALUE(MID(N96,2,3)),$A$2:$A$95,0))=INDEX($G$2:$G$95,MATCH(VALUE(MID(N96,2,3)),$A$2:$A$95,0)),INDEX($F$2:$F$95,MATCH(VALUE(MID(N96,2,3)),$A$2:$A$95,0)),N96)),N96),IFERROR(IF(VLOOKUP(RIGHT(N96,1)&amp;LEFT(N96,1),Clasificacion!$O$2:$Q$49,2,FALSE())="",N96,VLOOKUP(RIGHT(N96,1)&amp;LEFT(N96,1),Clasificacion!$O$2:$Q$49,2,FALSE())),N96)))))</f>
        <v>W86</v>
      </c>
      <c r="G96" s="1" t="str">
        <f aca="false">IF(O96="","",IF(LEFT(O96,1)="3",IFERROR(IF(VLOOKUP($A96&amp;"V",Asignacion_3ros!$A$2:$G$9,6,FALSE())="",O96,VLOOKUP($A96&amp;"V",Asignacion_3ros!$A$2:$G$9,6,FALSE())),O96),IF(LEFT(O96,1)="W",IFERROR(IF(INDEX($J$2:$J$95,MATCH(VALUE(MID(O96,2,3)),$A$2:$A$95,0))="",O96,INDEX($J$2:$J$95,MATCH(VALUE(MID(O96,2,3)),$A$2:$A$95,0))),O96),IF(LEFT(O96,1)="L",IFERROR(IF(INDEX($J$2:$J$95,MATCH(VALUE(MID(O96,2,3)),$A$2:$A$95,0))=INDEX($F$2:$F$95,MATCH(VALUE(MID(O96,2,3)),$A$2:$A$95,0)),INDEX($G$2:$G$95,MATCH(VALUE(MID(O96,2,3)),$A$2:$A$95,0)),IF(INDEX($J$2:$J$95,MATCH(VALUE(MID(O96,2,3)),$A$2:$A$95,0))=INDEX($G$2:$G$95,MATCH(VALUE(MID(O96,2,3)),$A$2:$A$95,0)),INDEX($F$2:$F$95,MATCH(VALUE(MID(O96,2,3)),$A$2:$A$95,0)),O96)),O96),IFERROR(IF(VLOOKUP(RIGHT(O96,1)&amp;LEFT(O96,1),Clasificacion!$O$2:$Q$49,2,FALSE())="",O96,VLOOKUP(RIGHT(O96,1)&amp;LEFT(O96,1),Clasificacion!$O$2:$Q$49,2,FALSE())),O96)))))</f>
        <v>W88</v>
      </c>
      <c r="J96" s="1" t="str">
        <f aca="false">IF(OR(H96="",I96=""),"",IF(H96&gt;I96,F96,IF(I96&gt;H96,G96,"Empate")))</f>
        <v/>
      </c>
      <c r="K96" s="1" t="s">
        <v>284</v>
      </c>
      <c r="L96" s="1" t="str">
        <f aca="false">IF(N96="","",IF(LEFT(N96,1)="3",IFERROR(IF(VLOOKUP($A96&amp;"L",Asignacion_3ros!$A$2:$G$9,7,FALSE())="",N96,VLOOKUP($A96&amp;"L",Asignacion_3ros!$A$2:$G$9,7,FALSE())),N96),IF(LEFT(N96,1)="W",IFERROR(IF(INDEX($J$2:$J$95,MATCH(VALUE(MID(N96,2,3)),$A$2:$A$95,0))=INDEX($F$2:$F$95,MATCH(VALUE(MID(N96,2,3)),$A$2:$A$95,0)),INDEX($L$2:$L$95,MATCH(VALUE(MID(N96,2,3)),$A$2:$A$95,0)),IF(INDEX($J$2:$J$95,MATCH(VALUE(MID(N96,2,3)),$A$2:$A$95,0))=INDEX($G$2:$G$95,MATCH(VALUE(MID(N96,2,3)),$A$2:$A$95,0)),INDEX($M$2:$M$95,MATCH(VALUE(MID(N96,2,3)),$A$2:$A$95,0)),N96)),N96),IF(LEFT(N96,1)="L",IFERROR(IF(INDEX($J$2:$J$95,MATCH(VALUE(MID(N96,2,3)),$A$2:$A$95,0))=INDEX($F$2:$F$95,MATCH(VALUE(MID(N96,2,3)),$A$2:$A$95,0)),INDEX($M$2:$M$95,MATCH(VALUE(MID(N96,2,3)),$A$2:$A$95,0)),IF(INDEX($J$2:$J$95,MATCH(VALUE(MID(N96,2,3)),$A$2:$A$95,0))=INDEX($G$2:$G$95,MATCH(VALUE(MID(N96,2,3)),$A$2:$A$95,0)),INDEX($L$2:$L$95,MATCH(VALUE(MID(N96,2,3)),$A$2:$A$95,0)),N96)),N96),IFERROR(IF(VLOOKUP(RIGHT(N96,1)&amp;LEFT(N96,1),Clasificacion!$O$2:$Q$49,3,FALSE())="",N96,VLOOKUP(RIGHT(N96,1)&amp;LEFT(N96,1),Clasificacion!$O$2:$Q$49,3,FALSE())),N96)))))</f>
        <v>W86</v>
      </c>
      <c r="M96" s="1" t="str">
        <f aca="false">IF(O96="","",IF(LEFT(O96,1)="3",IFERROR(IF(VLOOKUP($A96&amp;"V",Asignacion_3ros!$A$2:$G$9,7,FALSE())="",O96,VLOOKUP($A96&amp;"V",Asignacion_3ros!$A$2:$G$9,7,FALSE())),O96),IF(LEFT(O96,1)="W",IFERROR(IF(INDEX($J$2:$J$95,MATCH(VALUE(MID(O96,2,3)),$A$2:$A$95,0))=INDEX($F$2:$F$95,MATCH(VALUE(MID(O96,2,3)),$A$2:$A$95,0)),INDEX($L$2:$L$95,MATCH(VALUE(MID(O96,2,3)),$A$2:$A$95,0)),IF(INDEX($J$2:$J$95,MATCH(VALUE(MID(O96,2,3)),$A$2:$A$95,0))=INDEX($G$2:$G$95,MATCH(VALUE(MID(O96,2,3)),$A$2:$A$95,0)),INDEX($M$2:$M$95,MATCH(VALUE(MID(O96,2,3)),$A$2:$A$95,0)),O96)),O96),IF(LEFT(O96,1)="L",IFERROR(IF(INDEX($J$2:$J$95,MATCH(VALUE(MID(O96,2,3)),$A$2:$A$95,0))=INDEX($F$2:$F$95,MATCH(VALUE(MID(O96,2,3)),$A$2:$A$95,0)),INDEX($M$2:$M$95,MATCH(VALUE(MID(O96,2,3)),$A$2:$A$95,0)),IF(INDEX($J$2:$J$95,MATCH(VALUE(MID(O96,2,3)),$A$2:$A$95,0))=INDEX($G$2:$G$95,MATCH(VALUE(MID(O96,2,3)),$A$2:$A$95,0)),INDEX($L$2:$L$95,MATCH(VALUE(MID(O96,2,3)),$A$2:$A$95,0)),O96)),O96),IFERROR(IF(VLOOKUP(RIGHT(O96,1)&amp;LEFT(O96,1),Clasificacion!$O$2:$Q$49,3,FALSE())="",O96,VLOOKUP(RIGHT(O96,1)&amp;LEFT(O96,1),Clasificacion!$O$2:$Q$49,3,FALSE())),O96)))))</f>
        <v>W88</v>
      </c>
      <c r="N96" s="1" t="s">
        <v>341</v>
      </c>
      <c r="O96" s="1" t="s">
        <v>342</v>
      </c>
      <c r="P96" s="1" t="s">
        <v>262</v>
      </c>
    </row>
    <row r="97" customFormat="false" ht="14.25" hidden="false" customHeight="true" outlineLevel="0" collapsed="false">
      <c r="A97" s="1" t="n">
        <v>96</v>
      </c>
      <c r="B97" s="1" t="n">
        <v>46210</v>
      </c>
      <c r="C97" s="1" t="s">
        <v>279</v>
      </c>
      <c r="D97" s="1" t="s">
        <v>328</v>
      </c>
      <c r="F97" s="1" t="str">
        <f aca="false">IF(N97="","",IF(LEFT(N97,1)="3",IFERROR(IF(VLOOKUP($A97&amp;"L",Asignacion_3ros!$A$2:$G$9,6,FALSE())="",N97,VLOOKUP($A97&amp;"L",Asignacion_3ros!$A$2:$G$9,6,FALSE())),N97),IF(LEFT(N97,1)="W",IFERROR(IF(INDEX($J$2:$J$96,MATCH(VALUE(MID(N97,2,3)),$A$2:$A$96,0))="",N97,INDEX($J$2:$J$96,MATCH(VALUE(MID(N97,2,3)),$A$2:$A$96,0))),N97),IF(LEFT(N97,1)="L",IFERROR(IF(INDEX($J$2:$J$96,MATCH(VALUE(MID(N97,2,3)),$A$2:$A$96,0))=INDEX($F$2:$F$96,MATCH(VALUE(MID(N97,2,3)),$A$2:$A$96,0)),INDEX($G$2:$G$96,MATCH(VALUE(MID(N97,2,3)),$A$2:$A$96,0)),IF(INDEX($J$2:$J$96,MATCH(VALUE(MID(N97,2,3)),$A$2:$A$96,0))=INDEX($G$2:$G$96,MATCH(VALUE(MID(N97,2,3)),$A$2:$A$96,0)),INDEX($F$2:$F$96,MATCH(VALUE(MID(N97,2,3)),$A$2:$A$96,0)),N97)),N97),IFERROR(IF(VLOOKUP(RIGHT(N97,1)&amp;LEFT(N97,1),Clasificacion!$O$2:$Q$49,2,FALSE())="",N97,VLOOKUP(RIGHT(N97,1)&amp;LEFT(N97,1),Clasificacion!$O$2:$Q$49,2,FALSE())),N97)))))</f>
        <v>W85</v>
      </c>
      <c r="G97" s="1" t="str">
        <f aca="false">IF(O97="","",IF(LEFT(O97,1)="3",IFERROR(IF(VLOOKUP($A97&amp;"V",Asignacion_3ros!$A$2:$G$9,6,FALSE())="",O97,VLOOKUP($A97&amp;"V",Asignacion_3ros!$A$2:$G$9,6,FALSE())),O97),IF(LEFT(O97,1)="W",IFERROR(IF(INDEX($J$2:$J$96,MATCH(VALUE(MID(O97,2,3)),$A$2:$A$96,0))="",O97,INDEX($J$2:$J$96,MATCH(VALUE(MID(O97,2,3)),$A$2:$A$96,0))),O97),IF(LEFT(O97,1)="L",IFERROR(IF(INDEX($J$2:$J$96,MATCH(VALUE(MID(O97,2,3)),$A$2:$A$96,0))=INDEX($F$2:$F$96,MATCH(VALUE(MID(O97,2,3)),$A$2:$A$96,0)),INDEX($G$2:$G$96,MATCH(VALUE(MID(O97,2,3)),$A$2:$A$96,0)),IF(INDEX($J$2:$J$96,MATCH(VALUE(MID(O97,2,3)),$A$2:$A$96,0))=INDEX($G$2:$G$96,MATCH(VALUE(MID(O97,2,3)),$A$2:$A$96,0)),INDEX($F$2:$F$96,MATCH(VALUE(MID(O97,2,3)),$A$2:$A$96,0)),O97)),O97),IFERROR(IF(VLOOKUP(RIGHT(O97,1)&amp;LEFT(O97,1),Clasificacion!$O$2:$Q$49,2,FALSE())="",O97,VLOOKUP(RIGHT(O97,1)&amp;LEFT(O97,1),Clasificacion!$O$2:$Q$49,2,FALSE())),O97)))))</f>
        <v>W87</v>
      </c>
      <c r="J97" s="1" t="str">
        <f aca="false">IF(OR(H97="",I97=""),"",IF(H97&gt;I97,F97,IF(I97&gt;H97,G97,"Empate")))</f>
        <v/>
      </c>
      <c r="K97" s="1" t="s">
        <v>271</v>
      </c>
      <c r="L97" s="1" t="str">
        <f aca="false">IF(N97="","",IF(LEFT(N97,1)="3",IFERROR(IF(VLOOKUP($A97&amp;"L",Asignacion_3ros!$A$2:$G$9,7,FALSE())="",N97,VLOOKUP($A97&amp;"L",Asignacion_3ros!$A$2:$G$9,7,FALSE())),N97),IF(LEFT(N97,1)="W",IFERROR(IF(INDEX($J$2:$J$96,MATCH(VALUE(MID(N97,2,3)),$A$2:$A$96,0))=INDEX($F$2:$F$96,MATCH(VALUE(MID(N97,2,3)),$A$2:$A$96,0)),INDEX($L$2:$L$96,MATCH(VALUE(MID(N97,2,3)),$A$2:$A$96,0)),IF(INDEX($J$2:$J$96,MATCH(VALUE(MID(N97,2,3)),$A$2:$A$96,0))=INDEX($G$2:$G$96,MATCH(VALUE(MID(N97,2,3)),$A$2:$A$96,0)),INDEX($M$2:$M$96,MATCH(VALUE(MID(N97,2,3)),$A$2:$A$96,0)),N97)),N97),IF(LEFT(N97,1)="L",IFERROR(IF(INDEX($J$2:$J$96,MATCH(VALUE(MID(N97,2,3)),$A$2:$A$96,0))=INDEX($F$2:$F$96,MATCH(VALUE(MID(N97,2,3)),$A$2:$A$96,0)),INDEX($M$2:$M$96,MATCH(VALUE(MID(N97,2,3)),$A$2:$A$96,0)),IF(INDEX($J$2:$J$96,MATCH(VALUE(MID(N97,2,3)),$A$2:$A$96,0))=INDEX($G$2:$G$96,MATCH(VALUE(MID(N97,2,3)),$A$2:$A$96,0)),INDEX($L$2:$L$96,MATCH(VALUE(MID(N97,2,3)),$A$2:$A$96,0)),N97)),N97),IFERROR(IF(VLOOKUP(RIGHT(N97,1)&amp;LEFT(N97,1),Clasificacion!$O$2:$Q$49,3,FALSE())="",N97,VLOOKUP(RIGHT(N97,1)&amp;LEFT(N97,1),Clasificacion!$O$2:$Q$49,3,FALSE())),N97)))))</f>
        <v>W85</v>
      </c>
      <c r="M97" s="1" t="str">
        <f aca="false">IF(O97="","",IF(LEFT(O97,1)="3",IFERROR(IF(VLOOKUP($A97&amp;"V",Asignacion_3ros!$A$2:$G$9,7,FALSE())="",O97,VLOOKUP($A97&amp;"V",Asignacion_3ros!$A$2:$G$9,7,FALSE())),O97),IF(LEFT(O97,1)="W",IFERROR(IF(INDEX($J$2:$J$96,MATCH(VALUE(MID(O97,2,3)),$A$2:$A$96,0))=INDEX($F$2:$F$96,MATCH(VALUE(MID(O97,2,3)),$A$2:$A$96,0)),INDEX($L$2:$L$96,MATCH(VALUE(MID(O97,2,3)),$A$2:$A$96,0)),IF(INDEX($J$2:$J$96,MATCH(VALUE(MID(O97,2,3)),$A$2:$A$96,0))=INDEX($G$2:$G$96,MATCH(VALUE(MID(O97,2,3)),$A$2:$A$96,0)),INDEX($M$2:$M$96,MATCH(VALUE(MID(O97,2,3)),$A$2:$A$96,0)),O97)),O97),IF(LEFT(O97,1)="L",IFERROR(IF(INDEX($J$2:$J$96,MATCH(VALUE(MID(O97,2,3)),$A$2:$A$96,0))=INDEX($F$2:$F$96,MATCH(VALUE(MID(O97,2,3)),$A$2:$A$96,0)),INDEX($M$2:$M$96,MATCH(VALUE(MID(O97,2,3)),$A$2:$A$96,0)),IF(INDEX($J$2:$J$96,MATCH(VALUE(MID(O97,2,3)),$A$2:$A$96,0))=INDEX($G$2:$G$96,MATCH(VALUE(MID(O97,2,3)),$A$2:$A$96,0)),INDEX($L$2:$L$96,MATCH(VALUE(MID(O97,2,3)),$A$2:$A$96,0)),O97)),O97),IFERROR(IF(VLOOKUP(RIGHT(O97,1)&amp;LEFT(O97,1),Clasificacion!$O$2:$Q$49,3,FALSE())="",O97,VLOOKUP(RIGHT(O97,1)&amp;LEFT(O97,1),Clasificacion!$O$2:$Q$49,3,FALSE())),O97)))))</f>
        <v>W87</v>
      </c>
      <c r="N97" s="1" t="s">
        <v>343</v>
      </c>
      <c r="O97" s="1" t="s">
        <v>344</v>
      </c>
      <c r="P97" s="1" t="s">
        <v>262</v>
      </c>
    </row>
    <row r="98" customFormat="false" ht="14.25" hidden="false" customHeight="true" outlineLevel="0" collapsed="false">
      <c r="A98" s="1" t="n">
        <v>97</v>
      </c>
      <c r="B98" s="1" t="n">
        <v>46212</v>
      </c>
      <c r="C98" s="1" t="s">
        <v>279</v>
      </c>
      <c r="D98" s="1" t="s">
        <v>345</v>
      </c>
      <c r="F98" s="1" t="str">
        <f aca="false">IF(N98="","",IF(LEFT(N98,1)="3",IFERROR(IF(VLOOKUP($A98&amp;"L",Asignacion_3ros!$A$2:$G$9,6,FALSE())="",N98,VLOOKUP($A98&amp;"L",Asignacion_3ros!$A$2:$G$9,6,FALSE())),N98),IF(LEFT(N98,1)="W",IFERROR(IF(INDEX($J$2:$J$97,MATCH(VALUE(MID(N98,2,3)),$A$2:$A$97,0))="",N98,INDEX($J$2:$J$97,MATCH(VALUE(MID(N98,2,3)),$A$2:$A$97,0))),N98),IF(LEFT(N98,1)="L",IFERROR(IF(INDEX($J$2:$J$97,MATCH(VALUE(MID(N98,2,3)),$A$2:$A$97,0))=INDEX($F$2:$F$97,MATCH(VALUE(MID(N98,2,3)),$A$2:$A$97,0)),INDEX($G$2:$G$97,MATCH(VALUE(MID(N98,2,3)),$A$2:$A$97,0)),IF(INDEX($J$2:$J$97,MATCH(VALUE(MID(N98,2,3)),$A$2:$A$97,0))=INDEX($G$2:$G$97,MATCH(VALUE(MID(N98,2,3)),$A$2:$A$97,0)),INDEX($F$2:$F$97,MATCH(VALUE(MID(N98,2,3)),$A$2:$A$97,0)),N98)),N98),IFERROR(IF(VLOOKUP(RIGHT(N98,1)&amp;LEFT(N98,1),Clasificacion!$O$2:$Q$49,2,FALSE())="",N98,VLOOKUP(RIGHT(N98,1)&amp;LEFT(N98,1),Clasificacion!$O$2:$Q$49,2,FALSE())),N98)))))</f>
        <v>W89</v>
      </c>
      <c r="G98" s="1" t="str">
        <f aca="false">IF(O98="","",IF(LEFT(O98,1)="3",IFERROR(IF(VLOOKUP($A98&amp;"V",Asignacion_3ros!$A$2:$G$9,6,FALSE())="",O98,VLOOKUP($A98&amp;"V",Asignacion_3ros!$A$2:$G$9,6,FALSE())),O98),IF(LEFT(O98,1)="W",IFERROR(IF(INDEX($J$2:$J$97,MATCH(VALUE(MID(O98,2,3)),$A$2:$A$97,0))="",O98,INDEX($J$2:$J$97,MATCH(VALUE(MID(O98,2,3)),$A$2:$A$97,0))),O98),IF(LEFT(O98,1)="L",IFERROR(IF(INDEX($J$2:$J$97,MATCH(VALUE(MID(O98,2,3)),$A$2:$A$97,0))=INDEX($F$2:$F$97,MATCH(VALUE(MID(O98,2,3)),$A$2:$A$97,0)),INDEX($G$2:$G$97,MATCH(VALUE(MID(O98,2,3)),$A$2:$A$97,0)),IF(INDEX($J$2:$J$97,MATCH(VALUE(MID(O98,2,3)),$A$2:$A$97,0))=INDEX($G$2:$G$97,MATCH(VALUE(MID(O98,2,3)),$A$2:$A$97,0)),INDEX($F$2:$F$97,MATCH(VALUE(MID(O98,2,3)),$A$2:$A$97,0)),O98)),O98),IFERROR(IF(VLOOKUP(RIGHT(O98,1)&amp;LEFT(O98,1),Clasificacion!$O$2:$Q$49,2,FALSE())="",O98,VLOOKUP(RIGHT(O98,1)&amp;LEFT(O98,1),Clasificacion!$O$2:$Q$49,2,FALSE())),O98)))))</f>
        <v>W90</v>
      </c>
      <c r="J98" s="1" t="str">
        <f aca="false">IF(OR(H98="",I98=""),"",IF(H98&gt;I98,F98,IF(I98&gt;H98,G98,"Empate")))</f>
        <v/>
      </c>
      <c r="K98" s="1" t="s">
        <v>269</v>
      </c>
      <c r="L98" s="1" t="str">
        <f aca="false">IF(N98="","",IF(LEFT(N98,1)="3",IFERROR(IF(VLOOKUP($A98&amp;"L",Asignacion_3ros!$A$2:$G$9,7,FALSE())="",N98,VLOOKUP($A98&amp;"L",Asignacion_3ros!$A$2:$G$9,7,FALSE())),N98),IF(LEFT(N98,1)="W",IFERROR(IF(INDEX($J$2:$J$97,MATCH(VALUE(MID(N98,2,3)),$A$2:$A$97,0))=INDEX($F$2:$F$97,MATCH(VALUE(MID(N98,2,3)),$A$2:$A$97,0)),INDEX($L$2:$L$97,MATCH(VALUE(MID(N98,2,3)),$A$2:$A$97,0)),IF(INDEX($J$2:$J$97,MATCH(VALUE(MID(N98,2,3)),$A$2:$A$97,0))=INDEX($G$2:$G$97,MATCH(VALUE(MID(N98,2,3)),$A$2:$A$97,0)),INDEX($M$2:$M$97,MATCH(VALUE(MID(N98,2,3)),$A$2:$A$97,0)),N98)),N98),IF(LEFT(N98,1)="L",IFERROR(IF(INDEX($J$2:$J$97,MATCH(VALUE(MID(N98,2,3)),$A$2:$A$97,0))=INDEX($F$2:$F$97,MATCH(VALUE(MID(N98,2,3)),$A$2:$A$97,0)),INDEX($M$2:$M$97,MATCH(VALUE(MID(N98,2,3)),$A$2:$A$97,0)),IF(INDEX($J$2:$J$97,MATCH(VALUE(MID(N98,2,3)),$A$2:$A$97,0))=INDEX($G$2:$G$97,MATCH(VALUE(MID(N98,2,3)),$A$2:$A$97,0)),INDEX($L$2:$L$97,MATCH(VALUE(MID(N98,2,3)),$A$2:$A$97,0)),N98)),N98),IFERROR(IF(VLOOKUP(RIGHT(N98,1)&amp;LEFT(N98,1),Clasificacion!$O$2:$Q$49,3,FALSE())="",N98,VLOOKUP(RIGHT(N98,1)&amp;LEFT(N98,1),Clasificacion!$O$2:$Q$49,3,FALSE())),N98)))))</f>
        <v>W89</v>
      </c>
      <c r="M98" s="1" t="str">
        <f aca="false">IF(O98="","",IF(LEFT(O98,1)="3",IFERROR(IF(VLOOKUP($A98&amp;"V",Asignacion_3ros!$A$2:$G$9,7,FALSE())="",O98,VLOOKUP($A98&amp;"V",Asignacion_3ros!$A$2:$G$9,7,FALSE())),O98),IF(LEFT(O98,1)="W",IFERROR(IF(INDEX($J$2:$J$97,MATCH(VALUE(MID(O98,2,3)),$A$2:$A$97,0))=INDEX($F$2:$F$97,MATCH(VALUE(MID(O98,2,3)),$A$2:$A$97,0)),INDEX($L$2:$L$97,MATCH(VALUE(MID(O98,2,3)),$A$2:$A$97,0)),IF(INDEX($J$2:$J$97,MATCH(VALUE(MID(O98,2,3)),$A$2:$A$97,0))=INDEX($G$2:$G$97,MATCH(VALUE(MID(O98,2,3)),$A$2:$A$97,0)),INDEX($M$2:$M$97,MATCH(VALUE(MID(O98,2,3)),$A$2:$A$97,0)),O98)),O98),IF(LEFT(O98,1)="L",IFERROR(IF(INDEX($J$2:$J$97,MATCH(VALUE(MID(O98,2,3)),$A$2:$A$97,0))=INDEX($F$2:$F$97,MATCH(VALUE(MID(O98,2,3)),$A$2:$A$97,0)),INDEX($M$2:$M$97,MATCH(VALUE(MID(O98,2,3)),$A$2:$A$97,0)),IF(INDEX($J$2:$J$97,MATCH(VALUE(MID(O98,2,3)),$A$2:$A$97,0))=INDEX($G$2:$G$97,MATCH(VALUE(MID(O98,2,3)),$A$2:$A$97,0)),INDEX($L$2:$L$97,MATCH(VALUE(MID(O98,2,3)),$A$2:$A$97,0)),O98)),O98),IFERROR(IF(VLOOKUP(RIGHT(O98,1)&amp;LEFT(O98,1),Clasificacion!$O$2:$Q$49,3,FALSE())="",O98,VLOOKUP(RIGHT(O98,1)&amp;LEFT(O98,1),Clasificacion!$O$2:$Q$49,3,FALSE())),O98)))))</f>
        <v>W90</v>
      </c>
      <c r="N98" s="1" t="s">
        <v>346</v>
      </c>
      <c r="O98" s="1" t="s">
        <v>347</v>
      </c>
      <c r="P98" s="1" t="s">
        <v>262</v>
      </c>
    </row>
    <row r="99" customFormat="false" ht="14.25" hidden="false" customHeight="true" outlineLevel="0" collapsed="false">
      <c r="A99" s="1" t="n">
        <v>98</v>
      </c>
      <c r="B99" s="1" t="n">
        <v>46213</v>
      </c>
      <c r="C99" s="1" t="s">
        <v>260</v>
      </c>
      <c r="D99" s="1" t="s">
        <v>345</v>
      </c>
      <c r="F99" s="1" t="str">
        <f aca="false">IF(N99="","",IF(LEFT(N99,1)="3",IFERROR(IF(VLOOKUP($A99&amp;"L",Asignacion_3ros!$A$2:$G$9,6,FALSE())="",N99,VLOOKUP($A99&amp;"L",Asignacion_3ros!$A$2:$G$9,6,FALSE())),N99),IF(LEFT(N99,1)="W",IFERROR(IF(INDEX($J$2:$J$98,MATCH(VALUE(MID(N99,2,3)),$A$2:$A$98,0))="",N99,INDEX($J$2:$J$98,MATCH(VALUE(MID(N99,2,3)),$A$2:$A$98,0))),N99),IF(LEFT(N99,1)="L",IFERROR(IF(INDEX($J$2:$J$98,MATCH(VALUE(MID(N99,2,3)),$A$2:$A$98,0))=INDEX($F$2:$F$98,MATCH(VALUE(MID(N99,2,3)),$A$2:$A$98,0)),INDEX($G$2:$G$98,MATCH(VALUE(MID(N99,2,3)),$A$2:$A$98,0)),IF(INDEX($J$2:$J$98,MATCH(VALUE(MID(N99,2,3)),$A$2:$A$98,0))=INDEX($G$2:$G$98,MATCH(VALUE(MID(N99,2,3)),$A$2:$A$98,0)),INDEX($F$2:$F$98,MATCH(VALUE(MID(N99,2,3)),$A$2:$A$98,0)),N99)),N99),IFERROR(IF(VLOOKUP(RIGHT(N99,1)&amp;LEFT(N99,1),Clasificacion!$O$2:$Q$49,2,FALSE())="",N99,VLOOKUP(RIGHT(N99,1)&amp;LEFT(N99,1),Clasificacion!$O$2:$Q$49,2,FALSE())),N99)))))</f>
        <v>W93</v>
      </c>
      <c r="G99" s="1" t="str">
        <f aca="false">IF(O99="","",IF(LEFT(O99,1)="3",IFERROR(IF(VLOOKUP($A99&amp;"V",Asignacion_3ros!$A$2:$G$9,6,FALSE())="",O99,VLOOKUP($A99&amp;"V",Asignacion_3ros!$A$2:$G$9,6,FALSE())),O99),IF(LEFT(O99,1)="W",IFERROR(IF(INDEX($J$2:$J$98,MATCH(VALUE(MID(O99,2,3)),$A$2:$A$98,0))="",O99,INDEX($J$2:$J$98,MATCH(VALUE(MID(O99,2,3)),$A$2:$A$98,0))),O99),IF(LEFT(O99,1)="L",IFERROR(IF(INDEX($J$2:$J$98,MATCH(VALUE(MID(O99,2,3)),$A$2:$A$98,0))=INDEX($F$2:$F$98,MATCH(VALUE(MID(O99,2,3)),$A$2:$A$98,0)),INDEX($G$2:$G$98,MATCH(VALUE(MID(O99,2,3)),$A$2:$A$98,0)),IF(INDEX($J$2:$J$98,MATCH(VALUE(MID(O99,2,3)),$A$2:$A$98,0))=INDEX($G$2:$G$98,MATCH(VALUE(MID(O99,2,3)),$A$2:$A$98,0)),INDEX($F$2:$F$98,MATCH(VALUE(MID(O99,2,3)),$A$2:$A$98,0)),O99)),O99),IFERROR(IF(VLOOKUP(RIGHT(O99,1)&amp;LEFT(O99,1),Clasificacion!$O$2:$Q$49,2,FALSE())="",O99,VLOOKUP(RIGHT(O99,1)&amp;LEFT(O99,1),Clasificacion!$O$2:$Q$49,2,FALSE())),O99)))))</f>
        <v>W94</v>
      </c>
      <c r="J99" s="1" t="str">
        <f aca="false">IF(OR(H99="",I99=""),"",IF(H99&gt;I99,F99,IF(I99&gt;H99,G99,"Empate")))</f>
        <v/>
      </c>
      <c r="K99" s="1" t="s">
        <v>268</v>
      </c>
      <c r="L99" s="1" t="str">
        <f aca="false">IF(N99="","",IF(LEFT(N99,1)="3",IFERROR(IF(VLOOKUP($A99&amp;"L",Asignacion_3ros!$A$2:$G$9,7,FALSE())="",N99,VLOOKUP($A99&amp;"L",Asignacion_3ros!$A$2:$G$9,7,FALSE())),N99),IF(LEFT(N99,1)="W",IFERROR(IF(INDEX($J$2:$J$98,MATCH(VALUE(MID(N99,2,3)),$A$2:$A$98,0))=INDEX($F$2:$F$98,MATCH(VALUE(MID(N99,2,3)),$A$2:$A$98,0)),INDEX($L$2:$L$98,MATCH(VALUE(MID(N99,2,3)),$A$2:$A$98,0)),IF(INDEX($J$2:$J$98,MATCH(VALUE(MID(N99,2,3)),$A$2:$A$98,0))=INDEX($G$2:$G$98,MATCH(VALUE(MID(N99,2,3)),$A$2:$A$98,0)),INDEX($M$2:$M$98,MATCH(VALUE(MID(N99,2,3)),$A$2:$A$98,0)),N99)),N99),IF(LEFT(N99,1)="L",IFERROR(IF(INDEX($J$2:$J$98,MATCH(VALUE(MID(N99,2,3)),$A$2:$A$98,0))=INDEX($F$2:$F$98,MATCH(VALUE(MID(N99,2,3)),$A$2:$A$98,0)),INDEX($M$2:$M$98,MATCH(VALUE(MID(N99,2,3)),$A$2:$A$98,0)),IF(INDEX($J$2:$J$98,MATCH(VALUE(MID(N99,2,3)),$A$2:$A$98,0))=INDEX($G$2:$G$98,MATCH(VALUE(MID(N99,2,3)),$A$2:$A$98,0)),INDEX($L$2:$L$98,MATCH(VALUE(MID(N99,2,3)),$A$2:$A$98,0)),N99)),N99),IFERROR(IF(VLOOKUP(RIGHT(N99,1)&amp;LEFT(N99,1),Clasificacion!$O$2:$Q$49,3,FALSE())="",N99,VLOOKUP(RIGHT(N99,1)&amp;LEFT(N99,1),Clasificacion!$O$2:$Q$49,3,FALSE())),N99)))))</f>
        <v>W93</v>
      </c>
      <c r="M99" s="1" t="str">
        <f aca="false">IF(O99="","",IF(LEFT(O99,1)="3",IFERROR(IF(VLOOKUP($A99&amp;"V",Asignacion_3ros!$A$2:$G$9,7,FALSE())="",O99,VLOOKUP($A99&amp;"V",Asignacion_3ros!$A$2:$G$9,7,FALSE())),O99),IF(LEFT(O99,1)="W",IFERROR(IF(INDEX($J$2:$J$98,MATCH(VALUE(MID(O99,2,3)),$A$2:$A$98,0))=INDEX($F$2:$F$98,MATCH(VALUE(MID(O99,2,3)),$A$2:$A$98,0)),INDEX($L$2:$L$98,MATCH(VALUE(MID(O99,2,3)),$A$2:$A$98,0)),IF(INDEX($J$2:$J$98,MATCH(VALUE(MID(O99,2,3)),$A$2:$A$98,0))=INDEX($G$2:$G$98,MATCH(VALUE(MID(O99,2,3)),$A$2:$A$98,0)),INDEX($M$2:$M$98,MATCH(VALUE(MID(O99,2,3)),$A$2:$A$98,0)),O99)),O99),IF(LEFT(O99,1)="L",IFERROR(IF(INDEX($J$2:$J$98,MATCH(VALUE(MID(O99,2,3)),$A$2:$A$98,0))=INDEX($F$2:$F$98,MATCH(VALUE(MID(O99,2,3)),$A$2:$A$98,0)),INDEX($M$2:$M$98,MATCH(VALUE(MID(O99,2,3)),$A$2:$A$98,0)),IF(INDEX($J$2:$J$98,MATCH(VALUE(MID(O99,2,3)),$A$2:$A$98,0))=INDEX($G$2:$G$98,MATCH(VALUE(MID(O99,2,3)),$A$2:$A$98,0)),INDEX($L$2:$L$98,MATCH(VALUE(MID(O99,2,3)),$A$2:$A$98,0)),O99)),O99),IFERROR(IF(VLOOKUP(RIGHT(O99,1)&amp;LEFT(O99,1),Clasificacion!$O$2:$Q$49,3,FALSE())="",O99,VLOOKUP(RIGHT(O99,1)&amp;LEFT(O99,1),Clasificacion!$O$2:$Q$49,3,FALSE())),O99)))))</f>
        <v>W94</v>
      </c>
      <c r="N99" s="1" t="s">
        <v>348</v>
      </c>
      <c r="O99" s="1" t="s">
        <v>349</v>
      </c>
      <c r="P99" s="1" t="s">
        <v>262</v>
      </c>
    </row>
    <row r="100" customFormat="false" ht="14.25" hidden="false" customHeight="true" outlineLevel="0" collapsed="false">
      <c r="A100" s="1" t="n">
        <v>99</v>
      </c>
      <c r="B100" s="1" t="n">
        <v>46214</v>
      </c>
      <c r="C100" s="1" t="s">
        <v>290</v>
      </c>
      <c r="D100" s="1" t="s">
        <v>345</v>
      </c>
      <c r="F100" s="1" t="str">
        <f aca="false">IF(N100="","",IF(LEFT(N100,1)="3",IFERROR(IF(VLOOKUP($A100&amp;"L",Asignacion_3ros!$A$2:$G$9,6,FALSE())="",N100,VLOOKUP($A100&amp;"L",Asignacion_3ros!$A$2:$G$9,6,FALSE())),N100),IF(LEFT(N100,1)="W",IFERROR(IF(INDEX($J$2:$J$99,MATCH(VALUE(MID(N100,2,3)),$A$2:$A$99,0))="",N100,INDEX($J$2:$J$99,MATCH(VALUE(MID(N100,2,3)),$A$2:$A$99,0))),N100),IF(LEFT(N100,1)="L",IFERROR(IF(INDEX($J$2:$J$99,MATCH(VALUE(MID(N100,2,3)),$A$2:$A$99,0))=INDEX($F$2:$F$99,MATCH(VALUE(MID(N100,2,3)),$A$2:$A$99,0)),INDEX($G$2:$G$99,MATCH(VALUE(MID(N100,2,3)),$A$2:$A$99,0)),IF(INDEX($J$2:$J$99,MATCH(VALUE(MID(N100,2,3)),$A$2:$A$99,0))=INDEX($G$2:$G$99,MATCH(VALUE(MID(N100,2,3)),$A$2:$A$99,0)),INDEX($F$2:$F$99,MATCH(VALUE(MID(N100,2,3)),$A$2:$A$99,0)),N100)),N100),IFERROR(IF(VLOOKUP(RIGHT(N100,1)&amp;LEFT(N100,1),Clasificacion!$O$2:$Q$49,2,FALSE())="",N100,VLOOKUP(RIGHT(N100,1)&amp;LEFT(N100,1),Clasificacion!$O$2:$Q$49,2,FALSE())),N100)))))</f>
        <v>W91</v>
      </c>
      <c r="G100" s="1" t="str">
        <f aca="false">IF(O100="","",IF(LEFT(O100,1)="3",IFERROR(IF(VLOOKUP($A100&amp;"V",Asignacion_3ros!$A$2:$G$9,6,FALSE())="",O100,VLOOKUP($A100&amp;"V",Asignacion_3ros!$A$2:$G$9,6,FALSE())),O100),IF(LEFT(O100,1)="W",IFERROR(IF(INDEX($J$2:$J$99,MATCH(VALUE(MID(O100,2,3)),$A$2:$A$99,0))="",O100,INDEX($J$2:$J$99,MATCH(VALUE(MID(O100,2,3)),$A$2:$A$99,0))),O100),IF(LEFT(O100,1)="L",IFERROR(IF(INDEX($J$2:$J$99,MATCH(VALUE(MID(O100,2,3)),$A$2:$A$99,0))=INDEX($F$2:$F$99,MATCH(VALUE(MID(O100,2,3)),$A$2:$A$99,0)),INDEX($G$2:$G$99,MATCH(VALUE(MID(O100,2,3)),$A$2:$A$99,0)),IF(INDEX($J$2:$J$99,MATCH(VALUE(MID(O100,2,3)),$A$2:$A$99,0))=INDEX($G$2:$G$99,MATCH(VALUE(MID(O100,2,3)),$A$2:$A$99,0)),INDEX($F$2:$F$99,MATCH(VALUE(MID(O100,2,3)),$A$2:$A$99,0)),O100)),O100),IFERROR(IF(VLOOKUP(RIGHT(O100,1)&amp;LEFT(O100,1),Clasificacion!$O$2:$Q$49,2,FALSE())="",O100,VLOOKUP(RIGHT(O100,1)&amp;LEFT(O100,1),Clasificacion!$O$2:$Q$49,2,FALSE())),O100)))))</f>
        <v>W92</v>
      </c>
      <c r="J100" s="1" t="str">
        <f aca="false">IF(OR(H100="",I100=""),"",IF(H100&gt;I100,F100,IF(I100&gt;H100,G100,"Empate")))</f>
        <v/>
      </c>
      <c r="K100" s="1" t="s">
        <v>282</v>
      </c>
      <c r="L100" s="1" t="str">
        <f aca="false">IF(N100="","",IF(LEFT(N100,1)="3",IFERROR(IF(VLOOKUP($A100&amp;"L",Asignacion_3ros!$A$2:$G$9,7,FALSE())="",N100,VLOOKUP($A100&amp;"L",Asignacion_3ros!$A$2:$G$9,7,FALSE())),N100),IF(LEFT(N100,1)="W",IFERROR(IF(INDEX($J$2:$J$99,MATCH(VALUE(MID(N100,2,3)),$A$2:$A$99,0))=INDEX($F$2:$F$99,MATCH(VALUE(MID(N100,2,3)),$A$2:$A$99,0)),INDEX($L$2:$L$99,MATCH(VALUE(MID(N100,2,3)),$A$2:$A$99,0)),IF(INDEX($J$2:$J$99,MATCH(VALUE(MID(N100,2,3)),$A$2:$A$99,0))=INDEX($G$2:$G$99,MATCH(VALUE(MID(N100,2,3)),$A$2:$A$99,0)),INDEX($M$2:$M$99,MATCH(VALUE(MID(N100,2,3)),$A$2:$A$99,0)),N100)),N100),IF(LEFT(N100,1)="L",IFERROR(IF(INDEX($J$2:$J$99,MATCH(VALUE(MID(N100,2,3)),$A$2:$A$99,0))=INDEX($F$2:$F$99,MATCH(VALUE(MID(N100,2,3)),$A$2:$A$99,0)),INDEX($M$2:$M$99,MATCH(VALUE(MID(N100,2,3)),$A$2:$A$99,0)),IF(INDEX($J$2:$J$99,MATCH(VALUE(MID(N100,2,3)),$A$2:$A$99,0))=INDEX($G$2:$G$99,MATCH(VALUE(MID(N100,2,3)),$A$2:$A$99,0)),INDEX($L$2:$L$99,MATCH(VALUE(MID(N100,2,3)),$A$2:$A$99,0)),N100)),N100),IFERROR(IF(VLOOKUP(RIGHT(N100,1)&amp;LEFT(N100,1),Clasificacion!$O$2:$Q$49,3,FALSE())="",N100,VLOOKUP(RIGHT(N100,1)&amp;LEFT(N100,1),Clasificacion!$O$2:$Q$49,3,FALSE())),N100)))))</f>
        <v>W91</v>
      </c>
      <c r="M100" s="1" t="str">
        <f aca="false">IF(O100="","",IF(LEFT(O100,1)="3",IFERROR(IF(VLOOKUP($A100&amp;"V",Asignacion_3ros!$A$2:$G$9,7,FALSE())="",O100,VLOOKUP($A100&amp;"V",Asignacion_3ros!$A$2:$G$9,7,FALSE())),O100),IF(LEFT(O100,1)="W",IFERROR(IF(INDEX($J$2:$J$99,MATCH(VALUE(MID(O100,2,3)),$A$2:$A$99,0))=INDEX($F$2:$F$99,MATCH(VALUE(MID(O100,2,3)),$A$2:$A$99,0)),INDEX($L$2:$L$99,MATCH(VALUE(MID(O100,2,3)),$A$2:$A$99,0)),IF(INDEX($J$2:$J$99,MATCH(VALUE(MID(O100,2,3)),$A$2:$A$99,0))=INDEX($G$2:$G$99,MATCH(VALUE(MID(O100,2,3)),$A$2:$A$99,0)),INDEX($M$2:$M$99,MATCH(VALUE(MID(O100,2,3)),$A$2:$A$99,0)),O100)),O100),IF(LEFT(O100,1)="L",IFERROR(IF(INDEX($J$2:$J$99,MATCH(VALUE(MID(O100,2,3)),$A$2:$A$99,0))=INDEX($F$2:$F$99,MATCH(VALUE(MID(O100,2,3)),$A$2:$A$99,0)),INDEX($M$2:$M$99,MATCH(VALUE(MID(O100,2,3)),$A$2:$A$99,0)),IF(INDEX($J$2:$J$99,MATCH(VALUE(MID(O100,2,3)),$A$2:$A$99,0))=INDEX($G$2:$G$99,MATCH(VALUE(MID(O100,2,3)),$A$2:$A$99,0)),INDEX($L$2:$L$99,MATCH(VALUE(MID(O100,2,3)),$A$2:$A$99,0)),O100)),O100),IFERROR(IF(VLOOKUP(RIGHT(O100,1)&amp;LEFT(O100,1),Clasificacion!$O$2:$Q$49,3,FALSE())="",O100,VLOOKUP(RIGHT(O100,1)&amp;LEFT(O100,1),Clasificacion!$O$2:$Q$49,3,FALSE())),O100)))))</f>
        <v>W92</v>
      </c>
      <c r="N100" s="1" t="s">
        <v>350</v>
      </c>
      <c r="O100" s="1" t="s">
        <v>351</v>
      </c>
      <c r="P100" s="1" t="s">
        <v>262</v>
      </c>
    </row>
    <row r="101" customFormat="false" ht="14.25" hidden="false" customHeight="true" outlineLevel="0" collapsed="false">
      <c r="A101" s="1" t="n">
        <v>100</v>
      </c>
      <c r="B101" s="1" t="n">
        <v>46214</v>
      </c>
      <c r="C101" s="1" t="s">
        <v>267</v>
      </c>
      <c r="D101" s="1" t="s">
        <v>345</v>
      </c>
      <c r="F101" s="1" t="str">
        <f aca="false">IF(N101="","",IF(LEFT(N101,1)="3",IFERROR(IF(VLOOKUP($A101&amp;"L",Asignacion_3ros!$A$2:$G$9,6,FALSE())="",N101,VLOOKUP($A101&amp;"L",Asignacion_3ros!$A$2:$G$9,6,FALSE())),N101),IF(LEFT(N101,1)="W",IFERROR(IF(INDEX($J$2:$J$100,MATCH(VALUE(MID(N101,2,3)),$A$2:$A$100,0))="",N101,INDEX($J$2:$J$100,MATCH(VALUE(MID(N101,2,3)),$A$2:$A$100,0))),N101),IF(LEFT(N101,1)="L",IFERROR(IF(INDEX($J$2:$J$100,MATCH(VALUE(MID(N101,2,3)),$A$2:$A$100,0))=INDEX($F$2:$F$100,MATCH(VALUE(MID(N101,2,3)),$A$2:$A$100,0)),INDEX($G$2:$G$100,MATCH(VALUE(MID(N101,2,3)),$A$2:$A$100,0)),IF(INDEX($J$2:$J$100,MATCH(VALUE(MID(N101,2,3)),$A$2:$A$100,0))=INDEX($G$2:$G$100,MATCH(VALUE(MID(N101,2,3)),$A$2:$A$100,0)),INDEX($F$2:$F$100,MATCH(VALUE(MID(N101,2,3)),$A$2:$A$100,0)),N101)),N101),IFERROR(IF(VLOOKUP(RIGHT(N101,1)&amp;LEFT(N101,1),Clasificacion!$O$2:$Q$49,2,FALSE())="",N101,VLOOKUP(RIGHT(N101,1)&amp;LEFT(N101,1),Clasificacion!$O$2:$Q$49,2,FALSE())),N101)))))</f>
        <v>W95</v>
      </c>
      <c r="G101" s="1" t="str">
        <f aca="false">IF(O101="","",IF(LEFT(O101,1)="3",IFERROR(IF(VLOOKUP($A101&amp;"V",Asignacion_3ros!$A$2:$G$9,6,FALSE())="",O101,VLOOKUP($A101&amp;"V",Asignacion_3ros!$A$2:$G$9,6,FALSE())),O101),IF(LEFT(O101,1)="W",IFERROR(IF(INDEX($J$2:$J$100,MATCH(VALUE(MID(O101,2,3)),$A$2:$A$100,0))="",O101,INDEX($J$2:$J$100,MATCH(VALUE(MID(O101,2,3)),$A$2:$A$100,0))),O101),IF(LEFT(O101,1)="L",IFERROR(IF(INDEX($J$2:$J$100,MATCH(VALUE(MID(O101,2,3)),$A$2:$A$100,0))=INDEX($F$2:$F$100,MATCH(VALUE(MID(O101,2,3)),$A$2:$A$100,0)),INDEX($G$2:$G$100,MATCH(VALUE(MID(O101,2,3)),$A$2:$A$100,0)),IF(INDEX($J$2:$J$100,MATCH(VALUE(MID(O101,2,3)),$A$2:$A$100,0))=INDEX($G$2:$G$100,MATCH(VALUE(MID(O101,2,3)),$A$2:$A$100,0)),INDEX($F$2:$F$100,MATCH(VALUE(MID(O101,2,3)),$A$2:$A$100,0)),O101)),O101),IFERROR(IF(VLOOKUP(RIGHT(O101,1)&amp;LEFT(O101,1),Clasificacion!$O$2:$Q$49,2,FALSE())="",O101,VLOOKUP(RIGHT(O101,1)&amp;LEFT(O101,1),Clasificacion!$O$2:$Q$49,2,FALSE())),O101)))))</f>
        <v>W96</v>
      </c>
      <c r="J101" s="1" t="str">
        <f aca="false">IF(OR(H101="",I101=""),"",IF(H101&gt;I101,F101,IF(I101&gt;H101,G101,"Empate")))</f>
        <v/>
      </c>
      <c r="K101" s="1" t="s">
        <v>286</v>
      </c>
      <c r="L101" s="1" t="str">
        <f aca="false">IF(N101="","",IF(LEFT(N101,1)="3",IFERROR(IF(VLOOKUP($A101&amp;"L",Asignacion_3ros!$A$2:$G$9,7,FALSE())="",N101,VLOOKUP($A101&amp;"L",Asignacion_3ros!$A$2:$G$9,7,FALSE())),N101),IF(LEFT(N101,1)="W",IFERROR(IF(INDEX($J$2:$J$100,MATCH(VALUE(MID(N101,2,3)),$A$2:$A$100,0))=INDEX($F$2:$F$100,MATCH(VALUE(MID(N101,2,3)),$A$2:$A$100,0)),INDEX($L$2:$L$100,MATCH(VALUE(MID(N101,2,3)),$A$2:$A$100,0)),IF(INDEX($J$2:$J$100,MATCH(VALUE(MID(N101,2,3)),$A$2:$A$100,0))=INDEX($G$2:$G$100,MATCH(VALUE(MID(N101,2,3)),$A$2:$A$100,0)),INDEX($M$2:$M$100,MATCH(VALUE(MID(N101,2,3)),$A$2:$A$100,0)),N101)),N101),IF(LEFT(N101,1)="L",IFERROR(IF(INDEX($J$2:$J$100,MATCH(VALUE(MID(N101,2,3)),$A$2:$A$100,0))=INDEX($F$2:$F$100,MATCH(VALUE(MID(N101,2,3)),$A$2:$A$100,0)),INDEX($M$2:$M$100,MATCH(VALUE(MID(N101,2,3)),$A$2:$A$100,0)),IF(INDEX($J$2:$J$100,MATCH(VALUE(MID(N101,2,3)),$A$2:$A$100,0))=INDEX($G$2:$G$100,MATCH(VALUE(MID(N101,2,3)),$A$2:$A$100,0)),INDEX($L$2:$L$100,MATCH(VALUE(MID(N101,2,3)),$A$2:$A$100,0)),N101)),N101),IFERROR(IF(VLOOKUP(RIGHT(N101,1)&amp;LEFT(N101,1),Clasificacion!$O$2:$Q$49,3,FALSE())="",N101,VLOOKUP(RIGHT(N101,1)&amp;LEFT(N101,1),Clasificacion!$O$2:$Q$49,3,FALSE())),N101)))))</f>
        <v>W95</v>
      </c>
      <c r="M101" s="1" t="str">
        <f aca="false">IF(O101="","",IF(LEFT(O101,1)="3",IFERROR(IF(VLOOKUP($A101&amp;"V",Asignacion_3ros!$A$2:$G$9,7,FALSE())="",O101,VLOOKUP($A101&amp;"V",Asignacion_3ros!$A$2:$G$9,7,FALSE())),O101),IF(LEFT(O101,1)="W",IFERROR(IF(INDEX($J$2:$J$100,MATCH(VALUE(MID(O101,2,3)),$A$2:$A$100,0))=INDEX($F$2:$F$100,MATCH(VALUE(MID(O101,2,3)),$A$2:$A$100,0)),INDEX($L$2:$L$100,MATCH(VALUE(MID(O101,2,3)),$A$2:$A$100,0)),IF(INDEX($J$2:$J$100,MATCH(VALUE(MID(O101,2,3)),$A$2:$A$100,0))=INDEX($G$2:$G$100,MATCH(VALUE(MID(O101,2,3)),$A$2:$A$100,0)),INDEX($M$2:$M$100,MATCH(VALUE(MID(O101,2,3)),$A$2:$A$100,0)),O101)),O101),IF(LEFT(O101,1)="L",IFERROR(IF(INDEX($J$2:$J$100,MATCH(VALUE(MID(O101,2,3)),$A$2:$A$100,0))=INDEX($F$2:$F$100,MATCH(VALUE(MID(O101,2,3)),$A$2:$A$100,0)),INDEX($M$2:$M$100,MATCH(VALUE(MID(O101,2,3)),$A$2:$A$100,0)),IF(INDEX($J$2:$J$100,MATCH(VALUE(MID(O101,2,3)),$A$2:$A$100,0))=INDEX($G$2:$G$100,MATCH(VALUE(MID(O101,2,3)),$A$2:$A$100,0)),INDEX($L$2:$L$100,MATCH(VALUE(MID(O101,2,3)),$A$2:$A$100,0)),O101)),O101),IFERROR(IF(VLOOKUP(RIGHT(O101,1)&amp;LEFT(O101,1),Clasificacion!$O$2:$Q$49,3,FALSE())="",O101,VLOOKUP(RIGHT(O101,1)&amp;LEFT(O101,1),Clasificacion!$O$2:$Q$49,3,FALSE())),O101)))))</f>
        <v>W96</v>
      </c>
      <c r="N101" s="1" t="s">
        <v>352</v>
      </c>
      <c r="O101" s="1" t="s">
        <v>353</v>
      </c>
      <c r="P101" s="1" t="s">
        <v>262</v>
      </c>
    </row>
    <row r="102" customFormat="false" ht="14.25" hidden="false" customHeight="true" outlineLevel="0" collapsed="false">
      <c r="A102" s="1" t="n">
        <v>101</v>
      </c>
      <c r="B102" s="1" t="n">
        <v>46217</v>
      </c>
      <c r="C102" s="1" t="s">
        <v>260</v>
      </c>
      <c r="D102" s="1" t="s">
        <v>354</v>
      </c>
      <c r="F102" s="1" t="str">
        <f aca="false">IF(N102="","",IF(LEFT(N102,1)="3",IFERROR(IF(VLOOKUP($A102&amp;"L",Asignacion_3ros!$A$2:$G$9,6,FALSE())="",N102,VLOOKUP($A102&amp;"L",Asignacion_3ros!$A$2:$G$9,6,FALSE())),N102),IF(LEFT(N102,1)="W",IFERROR(IF(INDEX($J$2:$J$101,MATCH(VALUE(MID(N102,2,3)),$A$2:$A$101,0))="",N102,INDEX($J$2:$J$101,MATCH(VALUE(MID(N102,2,3)),$A$2:$A$101,0))),N102),IF(LEFT(N102,1)="L",IFERROR(IF(INDEX($J$2:$J$101,MATCH(VALUE(MID(N102,2,3)),$A$2:$A$101,0))=INDEX($F$2:$F$101,MATCH(VALUE(MID(N102,2,3)),$A$2:$A$101,0)),INDEX($G$2:$G$101,MATCH(VALUE(MID(N102,2,3)),$A$2:$A$101,0)),IF(INDEX($J$2:$J$101,MATCH(VALUE(MID(N102,2,3)),$A$2:$A$101,0))=INDEX($G$2:$G$101,MATCH(VALUE(MID(N102,2,3)),$A$2:$A$101,0)),INDEX($F$2:$F$101,MATCH(VALUE(MID(N102,2,3)),$A$2:$A$101,0)),N102)),N102),IFERROR(IF(VLOOKUP(RIGHT(N102,1)&amp;LEFT(N102,1),Clasificacion!$O$2:$Q$49,2,FALSE())="",N102,VLOOKUP(RIGHT(N102,1)&amp;LEFT(N102,1),Clasificacion!$O$2:$Q$49,2,FALSE())),N102)))))</f>
        <v>W97</v>
      </c>
      <c r="G102" s="1" t="str">
        <f aca="false">IF(O102="","",IF(LEFT(O102,1)="3",IFERROR(IF(VLOOKUP($A102&amp;"V",Asignacion_3ros!$A$2:$G$9,6,FALSE())="",O102,VLOOKUP($A102&amp;"V",Asignacion_3ros!$A$2:$G$9,6,FALSE())),O102),IF(LEFT(O102,1)="W",IFERROR(IF(INDEX($J$2:$J$101,MATCH(VALUE(MID(O102,2,3)),$A$2:$A$101,0))="",O102,INDEX($J$2:$J$101,MATCH(VALUE(MID(O102,2,3)),$A$2:$A$101,0))),O102),IF(LEFT(O102,1)="L",IFERROR(IF(INDEX($J$2:$J$101,MATCH(VALUE(MID(O102,2,3)),$A$2:$A$101,0))=INDEX($F$2:$F$101,MATCH(VALUE(MID(O102,2,3)),$A$2:$A$101,0)),INDEX($G$2:$G$101,MATCH(VALUE(MID(O102,2,3)),$A$2:$A$101,0)),IF(INDEX($J$2:$J$101,MATCH(VALUE(MID(O102,2,3)),$A$2:$A$101,0))=INDEX($G$2:$G$101,MATCH(VALUE(MID(O102,2,3)),$A$2:$A$101,0)),INDEX($F$2:$F$101,MATCH(VALUE(MID(O102,2,3)),$A$2:$A$101,0)),O102)),O102),IFERROR(IF(VLOOKUP(RIGHT(O102,1)&amp;LEFT(O102,1),Clasificacion!$O$2:$Q$49,2,FALSE())="",O102,VLOOKUP(RIGHT(O102,1)&amp;LEFT(O102,1),Clasificacion!$O$2:$Q$49,2,FALSE())),O102)))))</f>
        <v>W98</v>
      </c>
      <c r="J102" s="1" t="str">
        <f aca="false">IF(OR(H102="",I102=""),"",IF(H102&gt;I102,F102,IF(I102&gt;H102,G102,"Empate")))</f>
        <v/>
      </c>
      <c r="K102" s="1" t="s">
        <v>280</v>
      </c>
      <c r="L102" s="1" t="str">
        <f aca="false">IF(N102="","",IF(LEFT(N102,1)="3",IFERROR(IF(VLOOKUP($A102&amp;"L",Asignacion_3ros!$A$2:$G$9,7,FALSE())="",N102,VLOOKUP($A102&amp;"L",Asignacion_3ros!$A$2:$G$9,7,FALSE())),N102),IF(LEFT(N102,1)="W",IFERROR(IF(INDEX($J$2:$J$101,MATCH(VALUE(MID(N102,2,3)),$A$2:$A$101,0))=INDEX($F$2:$F$101,MATCH(VALUE(MID(N102,2,3)),$A$2:$A$101,0)),INDEX($L$2:$L$101,MATCH(VALUE(MID(N102,2,3)),$A$2:$A$101,0)),IF(INDEX($J$2:$J$101,MATCH(VALUE(MID(N102,2,3)),$A$2:$A$101,0))=INDEX($G$2:$G$101,MATCH(VALUE(MID(N102,2,3)),$A$2:$A$101,0)),INDEX($M$2:$M$101,MATCH(VALUE(MID(N102,2,3)),$A$2:$A$101,0)),N102)),N102),IF(LEFT(N102,1)="L",IFERROR(IF(INDEX($J$2:$J$101,MATCH(VALUE(MID(N102,2,3)),$A$2:$A$101,0))=INDEX($F$2:$F$101,MATCH(VALUE(MID(N102,2,3)),$A$2:$A$101,0)),INDEX($M$2:$M$101,MATCH(VALUE(MID(N102,2,3)),$A$2:$A$101,0)),IF(INDEX($J$2:$J$101,MATCH(VALUE(MID(N102,2,3)),$A$2:$A$101,0))=INDEX($G$2:$G$101,MATCH(VALUE(MID(N102,2,3)),$A$2:$A$101,0)),INDEX($L$2:$L$101,MATCH(VALUE(MID(N102,2,3)),$A$2:$A$101,0)),N102)),N102),IFERROR(IF(VLOOKUP(RIGHT(N102,1)&amp;LEFT(N102,1),Clasificacion!$O$2:$Q$49,3,FALSE())="",N102,VLOOKUP(RIGHT(N102,1)&amp;LEFT(N102,1),Clasificacion!$O$2:$Q$49,3,FALSE())),N102)))))</f>
        <v>W97</v>
      </c>
      <c r="M102" s="1" t="str">
        <f aca="false">IF(O102="","",IF(LEFT(O102,1)="3",IFERROR(IF(VLOOKUP($A102&amp;"V",Asignacion_3ros!$A$2:$G$9,7,FALSE())="",O102,VLOOKUP($A102&amp;"V",Asignacion_3ros!$A$2:$G$9,7,FALSE())),O102),IF(LEFT(O102,1)="W",IFERROR(IF(INDEX($J$2:$J$101,MATCH(VALUE(MID(O102,2,3)),$A$2:$A$101,0))=INDEX($F$2:$F$101,MATCH(VALUE(MID(O102,2,3)),$A$2:$A$101,0)),INDEX($L$2:$L$101,MATCH(VALUE(MID(O102,2,3)),$A$2:$A$101,0)),IF(INDEX($J$2:$J$101,MATCH(VALUE(MID(O102,2,3)),$A$2:$A$101,0))=INDEX($G$2:$G$101,MATCH(VALUE(MID(O102,2,3)),$A$2:$A$101,0)),INDEX($M$2:$M$101,MATCH(VALUE(MID(O102,2,3)),$A$2:$A$101,0)),O102)),O102),IF(LEFT(O102,1)="L",IFERROR(IF(INDEX($J$2:$J$101,MATCH(VALUE(MID(O102,2,3)),$A$2:$A$101,0))=INDEX($F$2:$F$101,MATCH(VALUE(MID(O102,2,3)),$A$2:$A$101,0)),INDEX($M$2:$M$101,MATCH(VALUE(MID(O102,2,3)),$A$2:$A$101,0)),IF(INDEX($J$2:$J$101,MATCH(VALUE(MID(O102,2,3)),$A$2:$A$101,0))=INDEX($G$2:$G$101,MATCH(VALUE(MID(O102,2,3)),$A$2:$A$101,0)),INDEX($L$2:$L$101,MATCH(VALUE(MID(O102,2,3)),$A$2:$A$101,0)),O102)),O102),IFERROR(IF(VLOOKUP(RIGHT(O102,1)&amp;LEFT(O102,1),Clasificacion!$O$2:$Q$49,3,FALSE())="",O102,VLOOKUP(RIGHT(O102,1)&amp;LEFT(O102,1),Clasificacion!$O$2:$Q$49,3,FALSE())),O102)))))</f>
        <v>W98</v>
      </c>
      <c r="N102" s="1" t="s">
        <v>355</v>
      </c>
      <c r="O102" s="1" t="s">
        <v>356</v>
      </c>
      <c r="P102" s="1" t="s">
        <v>262</v>
      </c>
    </row>
    <row r="103" customFormat="false" ht="14.25" hidden="false" customHeight="true" outlineLevel="0" collapsed="false">
      <c r="A103" s="1" t="n">
        <v>102</v>
      </c>
      <c r="B103" s="1" t="n">
        <v>46218</v>
      </c>
      <c r="C103" s="1" t="s">
        <v>260</v>
      </c>
      <c r="D103" s="1" t="s">
        <v>354</v>
      </c>
      <c r="F103" s="1" t="str">
        <f aca="false">IF(N103="","",IF(LEFT(N103,1)="3",IFERROR(IF(VLOOKUP($A103&amp;"L",Asignacion_3ros!$A$2:$G$9,6,FALSE())="",N103,VLOOKUP($A103&amp;"L",Asignacion_3ros!$A$2:$G$9,6,FALSE())),N103),IF(LEFT(N103,1)="W",IFERROR(IF(INDEX($J$2:$J$102,MATCH(VALUE(MID(N103,2,3)),$A$2:$A$102,0))="",N103,INDEX($J$2:$J$102,MATCH(VALUE(MID(N103,2,3)),$A$2:$A$102,0))),N103),IF(LEFT(N103,1)="L",IFERROR(IF(INDEX($J$2:$J$102,MATCH(VALUE(MID(N103,2,3)),$A$2:$A$102,0))=INDEX($F$2:$F$102,MATCH(VALUE(MID(N103,2,3)),$A$2:$A$102,0)),INDEX($G$2:$G$102,MATCH(VALUE(MID(N103,2,3)),$A$2:$A$102,0)),IF(INDEX($J$2:$J$102,MATCH(VALUE(MID(N103,2,3)),$A$2:$A$102,0))=INDEX($G$2:$G$102,MATCH(VALUE(MID(N103,2,3)),$A$2:$A$102,0)),INDEX($F$2:$F$102,MATCH(VALUE(MID(N103,2,3)),$A$2:$A$102,0)),N103)),N103),IFERROR(IF(VLOOKUP(RIGHT(N103,1)&amp;LEFT(N103,1),Clasificacion!$O$2:$Q$49,2,FALSE())="",N103,VLOOKUP(RIGHT(N103,1)&amp;LEFT(N103,1),Clasificacion!$O$2:$Q$49,2,FALSE())),N103)))))</f>
        <v>W99</v>
      </c>
      <c r="G103" s="1" t="str">
        <f aca="false">IF(O103="","",IF(LEFT(O103,1)="3",IFERROR(IF(VLOOKUP($A103&amp;"V",Asignacion_3ros!$A$2:$G$9,6,FALSE())="",O103,VLOOKUP($A103&amp;"V",Asignacion_3ros!$A$2:$G$9,6,FALSE())),O103),IF(LEFT(O103,1)="W",IFERROR(IF(INDEX($J$2:$J$102,MATCH(VALUE(MID(O103,2,3)),$A$2:$A$102,0))="",O103,INDEX($J$2:$J$102,MATCH(VALUE(MID(O103,2,3)),$A$2:$A$102,0))),O103),IF(LEFT(O103,1)="L",IFERROR(IF(INDEX($J$2:$J$102,MATCH(VALUE(MID(O103,2,3)),$A$2:$A$102,0))=INDEX($F$2:$F$102,MATCH(VALUE(MID(O103,2,3)),$A$2:$A$102,0)),INDEX($G$2:$G$102,MATCH(VALUE(MID(O103,2,3)),$A$2:$A$102,0)),IF(INDEX($J$2:$J$102,MATCH(VALUE(MID(O103,2,3)),$A$2:$A$102,0))=INDEX($G$2:$G$102,MATCH(VALUE(MID(O103,2,3)),$A$2:$A$102,0)),INDEX($F$2:$F$102,MATCH(VALUE(MID(O103,2,3)),$A$2:$A$102,0)),O103)),O103),IFERROR(IF(VLOOKUP(RIGHT(O103,1)&amp;LEFT(O103,1),Clasificacion!$O$2:$Q$49,2,FALSE())="",O103,VLOOKUP(RIGHT(O103,1)&amp;LEFT(O103,1),Clasificacion!$O$2:$Q$49,2,FALSE())),O103)))))</f>
        <v>W100</v>
      </c>
      <c r="J103" s="1" t="str">
        <f aca="false">IF(OR(H103="",I103=""),"",IF(H103&gt;I103,F103,IF(I103&gt;H103,G103,"Empate")))</f>
        <v/>
      </c>
      <c r="K103" s="1" t="s">
        <v>284</v>
      </c>
      <c r="L103" s="1" t="str">
        <f aca="false">IF(N103="","",IF(LEFT(N103,1)="3",IFERROR(IF(VLOOKUP($A103&amp;"L",Asignacion_3ros!$A$2:$G$9,7,FALSE())="",N103,VLOOKUP($A103&amp;"L",Asignacion_3ros!$A$2:$G$9,7,FALSE())),N103),IF(LEFT(N103,1)="W",IFERROR(IF(INDEX($J$2:$J$102,MATCH(VALUE(MID(N103,2,3)),$A$2:$A$102,0))=INDEX($F$2:$F$102,MATCH(VALUE(MID(N103,2,3)),$A$2:$A$102,0)),INDEX($L$2:$L$102,MATCH(VALUE(MID(N103,2,3)),$A$2:$A$102,0)),IF(INDEX($J$2:$J$102,MATCH(VALUE(MID(N103,2,3)),$A$2:$A$102,0))=INDEX($G$2:$G$102,MATCH(VALUE(MID(N103,2,3)),$A$2:$A$102,0)),INDEX($M$2:$M$102,MATCH(VALUE(MID(N103,2,3)),$A$2:$A$102,0)),N103)),N103),IF(LEFT(N103,1)="L",IFERROR(IF(INDEX($J$2:$J$102,MATCH(VALUE(MID(N103,2,3)),$A$2:$A$102,0))=INDEX($F$2:$F$102,MATCH(VALUE(MID(N103,2,3)),$A$2:$A$102,0)),INDEX($M$2:$M$102,MATCH(VALUE(MID(N103,2,3)),$A$2:$A$102,0)),IF(INDEX($J$2:$J$102,MATCH(VALUE(MID(N103,2,3)),$A$2:$A$102,0))=INDEX($G$2:$G$102,MATCH(VALUE(MID(N103,2,3)),$A$2:$A$102,0)),INDEX($L$2:$L$102,MATCH(VALUE(MID(N103,2,3)),$A$2:$A$102,0)),N103)),N103),IFERROR(IF(VLOOKUP(RIGHT(N103,1)&amp;LEFT(N103,1),Clasificacion!$O$2:$Q$49,3,FALSE())="",N103,VLOOKUP(RIGHT(N103,1)&amp;LEFT(N103,1),Clasificacion!$O$2:$Q$49,3,FALSE())),N103)))))</f>
        <v>W99</v>
      </c>
      <c r="M103" s="1" t="str">
        <f aca="false">IF(O103="","",IF(LEFT(O103,1)="3",IFERROR(IF(VLOOKUP($A103&amp;"V",Asignacion_3ros!$A$2:$G$9,7,FALSE())="",O103,VLOOKUP($A103&amp;"V",Asignacion_3ros!$A$2:$G$9,7,FALSE())),O103),IF(LEFT(O103,1)="W",IFERROR(IF(INDEX($J$2:$J$102,MATCH(VALUE(MID(O103,2,3)),$A$2:$A$102,0))=INDEX($F$2:$F$102,MATCH(VALUE(MID(O103,2,3)),$A$2:$A$102,0)),INDEX($L$2:$L$102,MATCH(VALUE(MID(O103,2,3)),$A$2:$A$102,0)),IF(INDEX($J$2:$J$102,MATCH(VALUE(MID(O103,2,3)),$A$2:$A$102,0))=INDEX($G$2:$G$102,MATCH(VALUE(MID(O103,2,3)),$A$2:$A$102,0)),INDEX($M$2:$M$102,MATCH(VALUE(MID(O103,2,3)),$A$2:$A$102,0)),O103)),O103),IF(LEFT(O103,1)="L",IFERROR(IF(INDEX($J$2:$J$102,MATCH(VALUE(MID(O103,2,3)),$A$2:$A$102,0))=INDEX($F$2:$F$102,MATCH(VALUE(MID(O103,2,3)),$A$2:$A$102,0)),INDEX($M$2:$M$102,MATCH(VALUE(MID(O103,2,3)),$A$2:$A$102,0)),IF(INDEX($J$2:$J$102,MATCH(VALUE(MID(O103,2,3)),$A$2:$A$102,0))=INDEX($G$2:$G$102,MATCH(VALUE(MID(O103,2,3)),$A$2:$A$102,0)),INDEX($L$2:$L$102,MATCH(VALUE(MID(O103,2,3)),$A$2:$A$102,0)),O103)),O103),IFERROR(IF(VLOOKUP(RIGHT(O103,1)&amp;LEFT(O103,1),Clasificacion!$O$2:$Q$49,3,FALSE())="",O103,VLOOKUP(RIGHT(O103,1)&amp;LEFT(O103,1),Clasificacion!$O$2:$Q$49,3,FALSE())),O103)))))</f>
        <v>W100</v>
      </c>
      <c r="N103" s="1" t="s">
        <v>357</v>
      </c>
      <c r="O103" s="1" t="s">
        <v>358</v>
      </c>
      <c r="P103" s="1" t="s">
        <v>262</v>
      </c>
    </row>
    <row r="104" customFormat="false" ht="14.25" hidden="false" customHeight="true" outlineLevel="0" collapsed="false">
      <c r="A104" s="1" t="n">
        <v>103</v>
      </c>
      <c r="B104" s="1" t="n">
        <v>46221</v>
      </c>
      <c r="C104" s="1" t="s">
        <v>290</v>
      </c>
      <c r="D104" s="1" t="s">
        <v>359</v>
      </c>
      <c r="F104" s="1" t="str">
        <f aca="false">IF(N104="","",IF(LEFT(N104,1)="3",IFERROR(IF(VLOOKUP($A104&amp;"L",Asignacion_3ros!$A$2:$G$9,6,FALSE())="",N104,VLOOKUP($A104&amp;"L",Asignacion_3ros!$A$2:$G$9,6,FALSE())),N104),IF(LEFT(N104,1)="W",IFERROR(IF(INDEX($J$2:$J$103,MATCH(VALUE(MID(N104,2,3)),$A$2:$A$103,0))="",N104,INDEX($J$2:$J$103,MATCH(VALUE(MID(N104,2,3)),$A$2:$A$103,0))),N104),IF(LEFT(N104,1)="L",IFERROR(IF(INDEX($J$2:$J$103,MATCH(VALUE(MID(N104,2,3)),$A$2:$A$103,0))=INDEX($F$2:$F$103,MATCH(VALUE(MID(N104,2,3)),$A$2:$A$103,0)),INDEX($G$2:$G$103,MATCH(VALUE(MID(N104,2,3)),$A$2:$A$103,0)),IF(INDEX($J$2:$J$103,MATCH(VALUE(MID(N104,2,3)),$A$2:$A$103,0))=INDEX($G$2:$G$103,MATCH(VALUE(MID(N104,2,3)),$A$2:$A$103,0)),INDEX($F$2:$F$103,MATCH(VALUE(MID(N104,2,3)),$A$2:$A$103,0)),N104)),N104),IFERROR(IF(VLOOKUP(RIGHT(N104,1)&amp;LEFT(N104,1),Clasificacion!$O$2:$Q$49,2,FALSE())="",N104,VLOOKUP(RIGHT(N104,1)&amp;LEFT(N104,1),Clasificacion!$O$2:$Q$49,2,FALSE())),N104)))))</f>
        <v>L101</v>
      </c>
      <c r="G104" s="1" t="str">
        <f aca="false">IF(O104="","",IF(LEFT(O104,1)="3",IFERROR(IF(VLOOKUP($A104&amp;"V",Asignacion_3ros!$A$2:$G$9,6,FALSE())="",O104,VLOOKUP($A104&amp;"V",Asignacion_3ros!$A$2:$G$9,6,FALSE())),O104),IF(LEFT(O104,1)="W",IFERROR(IF(INDEX($J$2:$J$103,MATCH(VALUE(MID(O104,2,3)),$A$2:$A$103,0))="",O104,INDEX($J$2:$J$103,MATCH(VALUE(MID(O104,2,3)),$A$2:$A$103,0))),O104),IF(LEFT(O104,1)="L",IFERROR(IF(INDEX($J$2:$J$103,MATCH(VALUE(MID(O104,2,3)),$A$2:$A$103,0))=INDEX($F$2:$F$103,MATCH(VALUE(MID(O104,2,3)),$A$2:$A$103,0)),INDEX($G$2:$G$103,MATCH(VALUE(MID(O104,2,3)),$A$2:$A$103,0)),IF(INDEX($J$2:$J$103,MATCH(VALUE(MID(O104,2,3)),$A$2:$A$103,0))=INDEX($G$2:$G$103,MATCH(VALUE(MID(O104,2,3)),$A$2:$A$103,0)),INDEX($F$2:$F$103,MATCH(VALUE(MID(O104,2,3)),$A$2:$A$103,0)),O104)),O104),IFERROR(IF(VLOOKUP(RIGHT(O104,1)&amp;LEFT(O104,1),Clasificacion!$O$2:$Q$49,2,FALSE())="",O104,VLOOKUP(RIGHT(O104,1)&amp;LEFT(O104,1),Clasificacion!$O$2:$Q$49,2,FALSE())),O104)))))</f>
        <v>L102</v>
      </c>
      <c r="J104" s="1" t="str">
        <f aca="false">IF(OR(H104="",I104=""),"",IF(H104&gt;I104,F104,IF(I104&gt;H104,G104,"Empate")))</f>
        <v/>
      </c>
      <c r="K104" s="1" t="s">
        <v>282</v>
      </c>
      <c r="L104" s="1" t="str">
        <f aca="false">IF(N104="","",IF(LEFT(N104,1)="3",IFERROR(IF(VLOOKUP($A104&amp;"L",Asignacion_3ros!$A$2:$G$9,7,FALSE())="",N104,VLOOKUP($A104&amp;"L",Asignacion_3ros!$A$2:$G$9,7,FALSE())),N104),IF(LEFT(N104,1)="W",IFERROR(IF(INDEX($J$2:$J$103,MATCH(VALUE(MID(N104,2,3)),$A$2:$A$103,0))=INDEX($F$2:$F$103,MATCH(VALUE(MID(N104,2,3)),$A$2:$A$103,0)),INDEX($L$2:$L$103,MATCH(VALUE(MID(N104,2,3)),$A$2:$A$103,0)),IF(INDEX($J$2:$J$103,MATCH(VALUE(MID(N104,2,3)),$A$2:$A$103,0))=INDEX($G$2:$G$103,MATCH(VALUE(MID(N104,2,3)),$A$2:$A$103,0)),INDEX($M$2:$M$103,MATCH(VALUE(MID(N104,2,3)),$A$2:$A$103,0)),N104)),N104),IF(LEFT(N104,1)="L",IFERROR(IF(INDEX($J$2:$J$103,MATCH(VALUE(MID(N104,2,3)),$A$2:$A$103,0))=INDEX($F$2:$F$103,MATCH(VALUE(MID(N104,2,3)),$A$2:$A$103,0)),INDEX($M$2:$M$103,MATCH(VALUE(MID(N104,2,3)),$A$2:$A$103,0)),IF(INDEX($J$2:$J$103,MATCH(VALUE(MID(N104,2,3)),$A$2:$A$103,0))=INDEX($G$2:$G$103,MATCH(VALUE(MID(N104,2,3)),$A$2:$A$103,0)),INDEX($L$2:$L$103,MATCH(VALUE(MID(N104,2,3)),$A$2:$A$103,0)),N104)),N104),IFERROR(IF(VLOOKUP(RIGHT(N104,1)&amp;LEFT(N104,1),Clasificacion!$O$2:$Q$49,3,FALSE())="",N104,VLOOKUP(RIGHT(N104,1)&amp;LEFT(N104,1),Clasificacion!$O$2:$Q$49,3,FALSE())),N104)))))</f>
        <v>L101</v>
      </c>
      <c r="M104" s="1" t="str">
        <f aca="false">IF(O104="","",IF(LEFT(O104,1)="3",IFERROR(IF(VLOOKUP($A104&amp;"V",Asignacion_3ros!$A$2:$G$9,7,FALSE())="",O104,VLOOKUP($A104&amp;"V",Asignacion_3ros!$A$2:$G$9,7,FALSE())),O104),IF(LEFT(O104,1)="W",IFERROR(IF(INDEX($J$2:$J$103,MATCH(VALUE(MID(O104,2,3)),$A$2:$A$103,0))=INDEX($F$2:$F$103,MATCH(VALUE(MID(O104,2,3)),$A$2:$A$103,0)),INDEX($L$2:$L$103,MATCH(VALUE(MID(O104,2,3)),$A$2:$A$103,0)),IF(INDEX($J$2:$J$103,MATCH(VALUE(MID(O104,2,3)),$A$2:$A$103,0))=INDEX($G$2:$G$103,MATCH(VALUE(MID(O104,2,3)),$A$2:$A$103,0)),INDEX($M$2:$M$103,MATCH(VALUE(MID(O104,2,3)),$A$2:$A$103,0)),O104)),O104),IF(LEFT(O104,1)="L",IFERROR(IF(INDEX($J$2:$J$103,MATCH(VALUE(MID(O104,2,3)),$A$2:$A$103,0))=INDEX($F$2:$F$103,MATCH(VALUE(MID(O104,2,3)),$A$2:$A$103,0)),INDEX($M$2:$M$103,MATCH(VALUE(MID(O104,2,3)),$A$2:$A$103,0)),IF(INDEX($J$2:$J$103,MATCH(VALUE(MID(O104,2,3)),$A$2:$A$103,0))=INDEX($G$2:$G$103,MATCH(VALUE(MID(O104,2,3)),$A$2:$A$103,0)),INDEX($L$2:$L$103,MATCH(VALUE(MID(O104,2,3)),$A$2:$A$103,0)),O104)),O104),IFERROR(IF(VLOOKUP(RIGHT(O104,1)&amp;LEFT(O104,1),Clasificacion!$O$2:$Q$49,3,FALSE())="",O104,VLOOKUP(RIGHT(O104,1)&amp;LEFT(O104,1),Clasificacion!$O$2:$Q$49,3,FALSE())),O104)))))</f>
        <v>L102</v>
      </c>
      <c r="N104" s="1" t="s">
        <v>360</v>
      </c>
      <c r="O104" s="1" t="s">
        <v>361</v>
      </c>
      <c r="P104" s="1" t="s">
        <v>262</v>
      </c>
    </row>
    <row r="105" customFormat="false" ht="14.25" hidden="false" customHeight="true" outlineLevel="0" collapsed="false">
      <c r="A105" s="1" t="n">
        <v>104</v>
      </c>
      <c r="B105" s="1" t="n">
        <v>46222</v>
      </c>
      <c r="C105" s="1" t="s">
        <v>260</v>
      </c>
      <c r="D105" s="1" t="s">
        <v>362</v>
      </c>
      <c r="F105" s="1" t="str">
        <f aca="false">IF(N105="","",IF(LEFT(N105,1)="3",IFERROR(VLOOKUP($A105&amp;"L",Asignacion_3ros!$A$2:$G$9,6,FALSE()),""),IF(LEFT(N105,1)="W",IFERROR(INDEX($J$2:$J$104,MATCH(VALUE(MID(N105,2,3)),$A$2:$A$104,0)),""),IF(LEFT(N105,1)="L",IFERROR(IF(INDEX($J$2:$J$104,MATCH(VALUE(MID(N105,2,3)),$A$2:$A$104,0))=INDEX($F$2:$F$104,MATCH(VALUE(MID(N105,2,3)),$A$2:$A$104,0)),INDEX($G$2:$G$104,MATCH(VALUE(MID(N105,2,3)),$A$2:$A$104,0)),IF(INDEX($J$2:$J$104,MATCH(VALUE(MID(N105,2,3)),$A$2:$A$104,0))=INDEX($G$2:$G$104,MATCH(VALUE(MID(N105,2,3)),$A$2:$A$104,0)),INDEX($F$2:$F$104,MATCH(VALUE(MID(N105,2,3)),$A$2:$A$104,0)),"")),""),IFERROR(VLOOKUP(RIGHT(N105,1)&amp;LEFT(N105,1),Clasificacion!$O$2:$Q$49,2,FALSE()),"")))))</f>
        <v/>
      </c>
      <c r="G105" s="1" t="str">
        <f aca="false">IF(O105="","",IF(LEFT(O105,1)="3",IFERROR(VLOOKUP($A105&amp;"V",Asignacion_3ros!$A$2:$G$9,6,FALSE()),""),IF(LEFT(O105,1)="W",IFERROR(INDEX($J$2:$J$104,MATCH(VALUE(MID(O105,2,3)),$A$2:$A$104,0)),""),IF(LEFT(O105,1)="L",IFERROR(IF(INDEX($J$2:$J$104,MATCH(VALUE(MID(O105,2,3)),$A$2:$A$104,0))=INDEX($F$2:$F$104,MATCH(VALUE(MID(O105,2,3)),$A$2:$A$104,0)),INDEX($G$2:$G$104,MATCH(VALUE(MID(O105,2,3)),$A$2:$A$104,0)),IF(INDEX($J$2:$J$104,MATCH(VALUE(MID(O105,2,3)),$A$2:$A$104,0))=INDEX($G$2:$G$104,MATCH(VALUE(MID(O105,2,3)),$A$2:$A$104,0)),INDEX($F$2:$F$104,MATCH(VALUE(MID(O105,2,3)),$A$2:$A$104,0)),"")),""),IFERROR(VLOOKUP(RIGHT(O105,1)&amp;LEFT(O105,1),Clasificacion!$O$2:$Q$49,2,FALSE()),"")))))</f>
        <v/>
      </c>
      <c r="J105" s="1" t="str">
        <f aca="false">IF(OR(H105="",I105=""),"",IF(H105&gt;I105,F105,IF(I105&gt;H105,G105,"Empate")))</f>
        <v/>
      </c>
      <c r="K105" s="1" t="s">
        <v>273</v>
      </c>
      <c r="L105" s="1" t="str">
        <f aca="false">IF(N105="","",IF(LEFT(N105,1)="3",IFERROR(VLOOKUP($A105&amp;"L",Asignacion_3ros!$A$2:$G$9,7,FALSE()),""),IF(LEFT(N105,1)="W",IFERROR(IF(INDEX($J$2:$J$104,MATCH(VALUE(MID(N105,2,3)),$A$2:$A$104,0))=INDEX($F$2:$F$104,MATCH(VALUE(MID(N105,2,3)),$A$2:$A$104,0)),INDEX($L$2:$L$104,MATCH(VALUE(MID(N105,2,3)),$A$2:$A$104,0)),IF(INDEX($J$2:$J$104,MATCH(VALUE(MID(N105,2,3)),$A$2:$A$104,0))=INDEX($G$2:$G$104,MATCH(VALUE(MID(N105,2,3)),$A$2:$A$104,0)),INDEX($M$2:$M$104,MATCH(VALUE(MID(N105,2,3)),$A$2:$A$104,0)),"")),""),IF(LEFT(N105,1)="L",IFERROR(IF(INDEX($J$2:$J$104,MATCH(VALUE(MID(N105,2,3)),$A$2:$A$104,0))=INDEX($F$2:$F$104,MATCH(VALUE(MID(N105,2,3)),$A$2:$A$104,0)),INDEX($M$2:$M$104,MATCH(VALUE(MID(N105,2,3)),$A$2:$A$104,0)),IF(INDEX($J$2:$J$104,MATCH(VALUE(MID(N105,2,3)),$A$2:$A$104,0))=INDEX($G$2:$G$104,MATCH(VALUE(MID(N105,2,3)),$A$2:$A$104,0)),INDEX($L$2:$L$104,MATCH(VALUE(MID(N105,2,3)),$A$2:$A$104,0)),"")),""),IFERROR(VLOOKUP(RIGHT(N105,1)&amp;LEFT(N105,1),Clasificacion!$O$2:$Q$49,3,FALSE()),"")))))</f>
        <v/>
      </c>
      <c r="M105" s="1" t="str">
        <f aca="false">IF(O105="","",IF(LEFT(O105,1)="3",IFERROR(VLOOKUP($A105&amp;"V",Asignacion_3ros!$A$2:$G$9,7,FALSE()),""),IF(LEFT(O105,1)="W",IFERROR(IF(INDEX($J$2:$J$104,MATCH(VALUE(MID(O105,2,3)),$A$2:$A$104,0))=INDEX($F$2:$F$104,MATCH(VALUE(MID(O105,2,3)),$A$2:$A$104,0)),INDEX($L$2:$L$104,MATCH(VALUE(MID(O105,2,3)),$A$2:$A$104,0)),IF(INDEX($J$2:$J$104,MATCH(VALUE(MID(O105,2,3)),$A$2:$A$104,0))=INDEX($G$2:$G$104,MATCH(VALUE(MID(O105,2,3)),$A$2:$A$104,0)),INDEX($M$2:$M$104,MATCH(VALUE(MID(O105,2,3)),$A$2:$A$104,0)),"")),""),IF(LEFT(O105,1)="L",IFERROR(IF(INDEX($J$2:$J$104,MATCH(VALUE(MID(O105,2,3)),$A$2:$A$104,0))=INDEX($F$2:$F$104,MATCH(VALUE(MID(O105,2,3)),$A$2:$A$104,0)),INDEX($M$2:$M$104,MATCH(VALUE(MID(O105,2,3)),$A$2:$A$104,0)),IF(INDEX($J$2:$J$104,MATCH(VALUE(MID(O105,2,3)),$A$2:$A$104,0))=INDEX($G$2:$G$104,MATCH(VALUE(MID(O105,2,3)),$A$2:$A$104,0)),INDEX($L$2:$L$104,MATCH(VALUE(MID(O105,2,3)),$A$2:$A$104,0)),"")),""),IFERROR(VLOOKUP(RIGHT(O105,1)&amp;LEFT(O105,1),Clasificacion!$O$2:$Q$49,3,FALSE()),"")))))</f>
        <v/>
      </c>
      <c r="N105" s="1" t="s">
        <v>363</v>
      </c>
      <c r="O105" s="1" t="s">
        <v>364</v>
      </c>
      <c r="P105" s="1" t="s">
        <v>262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9" colorId="64" zoomScale="80" zoomScaleNormal="80" zoomScalePageLayoutView="100" workbookViewId="0">
      <pane xSplit="1" ySplit="0" topLeftCell="B19" activePane="topRight" state="frozen"/>
      <selection pane="topLeft" activeCell="A19" activeCellId="0" sqref="A19"/>
      <selection pane="topRight" activeCell="B1" activeCellId="0" sqref="B1"/>
    </sheetView>
  </sheetViews>
  <sheetFormatPr defaultColWidth="11.00390625" defaultRowHeight="15" zeroHeight="false" outlineLevelRow="0" outlineLevelCol="0"/>
  <cols>
    <col collapsed="false" customWidth="true" hidden="false" outlineLevel="0" max="1" min="1" style="35" width="24.25"/>
    <col collapsed="false" customWidth="true" hidden="false" outlineLevel="0" max="2" min="2" style="36" width="10.38"/>
    <col collapsed="false" customWidth="true" hidden="false" outlineLevel="0" max="3" min="3" style="36" width="15.51"/>
    <col collapsed="false" customWidth="true" hidden="true" outlineLevel="0" max="4" min="4" style="37" width="9.87"/>
    <col collapsed="false" customWidth="true" hidden="false" outlineLevel="0" max="5" min="5" style="36" width="10.38"/>
    <col collapsed="false" customWidth="true" hidden="false" outlineLevel="0" max="6" min="6" style="35" width="9.13"/>
    <col collapsed="false" customWidth="true" hidden="false" outlineLevel="0" max="7" min="7" style="35" width="9.75"/>
    <col collapsed="false" customWidth="true" hidden="false" outlineLevel="0" max="8" min="8" style="36" width="11.62"/>
    <col collapsed="false" customWidth="false" hidden="false" outlineLevel="0" max="16384" min="9" style="35" width="11"/>
  </cols>
  <sheetData>
    <row r="1" customFormat="false" ht="19.5" hidden="false" customHeight="true" outlineLevel="0" collapsed="false">
      <c r="A1" s="38"/>
      <c r="B1" s="39" t="str">
        <f aca="false">Participantes!C$1</f>
        <v>México</v>
      </c>
      <c r="C1" s="40" t="str">
        <f aca="false">Participantes!D$1</f>
        <v>Sudáfrica</v>
      </c>
      <c r="D1" s="40"/>
      <c r="E1" s="41" t="s">
        <v>365</v>
      </c>
      <c r="F1" s="42" t="str">
        <f aca="false">Participantes!E$1</f>
        <v>Corea</v>
      </c>
      <c r="G1" s="43" t="str">
        <f aca="false">Participantes!F$1</f>
        <v>Chequia</v>
      </c>
      <c r="H1" s="41" t="s">
        <v>366</v>
      </c>
      <c r="I1" s="44" t="s">
        <v>367</v>
      </c>
    </row>
    <row r="2" s="53" customFormat="true" ht="20.25" hidden="true" customHeight="true" outlineLevel="0" collapsed="false">
      <c r="A2" s="45" t="s">
        <v>368</v>
      </c>
      <c r="B2" s="46" t="str">
        <f aca="false">B1</f>
        <v>México</v>
      </c>
      <c r="C2" s="47" t="str">
        <f aca="false">C1</f>
        <v>Sudáfrica</v>
      </c>
      <c r="D2" s="48" t="s">
        <v>369</v>
      </c>
      <c r="E2" s="49" t="s">
        <v>370</v>
      </c>
      <c r="F2" s="50" t="str">
        <f aca="false">F1</f>
        <v>Corea</v>
      </c>
      <c r="G2" s="51" t="str">
        <f aca="false">G1</f>
        <v>Chequia</v>
      </c>
      <c r="H2" s="52" t="s">
        <v>371</v>
      </c>
    </row>
    <row r="3" s="53" customFormat="true" ht="20.25" hidden="false" customHeight="true" outlineLevel="0" collapsed="false">
      <c r="A3" s="54" t="s">
        <v>372</v>
      </c>
      <c r="B3" s="55" t="n">
        <f aca="false">Grupo!B3</f>
        <v>1</v>
      </c>
      <c r="C3" s="56" t="n">
        <f aca="false">Grupo!C3</f>
        <v>1</v>
      </c>
      <c r="D3" s="56" t="n">
        <f aca="false">Grupo!D3</f>
        <v>0</v>
      </c>
      <c r="E3" s="57"/>
      <c r="F3" s="58" t="str">
        <f aca="false">Grupo!G3</f>
        <v/>
      </c>
      <c r="G3" s="59" t="n">
        <f aca="false">Grupo!H3</f>
        <v>2</v>
      </c>
      <c r="H3" s="57"/>
      <c r="I3" s="60"/>
    </row>
    <row r="4" customFormat="false" ht="20.25" hidden="false" customHeight="true" outlineLevel="0" collapsed="false">
      <c r="A4" s="61" t="str">
        <f aca="false">Participantes!B2</f>
        <v>Alberto</v>
      </c>
      <c r="B4" s="55" t="n">
        <f aca="false">Grupo!B4</f>
        <v>2</v>
      </c>
      <c r="C4" s="56" t="n">
        <f aca="false">Grupo!C4</f>
        <v>0</v>
      </c>
      <c r="D4" s="56" t="n">
        <f aca="false">Grupo!D4</f>
        <v>3</v>
      </c>
      <c r="E4" s="57" t="n">
        <f aca="false">Grupo!E4</f>
        <v>1</v>
      </c>
      <c r="F4" s="58" t="str">
        <f aca="false">Grupo!G4</f>
        <v/>
      </c>
      <c r="G4" s="59" t="n">
        <f aca="false">Grupo!H4</f>
        <v>1</v>
      </c>
      <c r="H4" s="57" t="n">
        <f aca="false">Grupo!I4</f>
        <v>1</v>
      </c>
      <c r="I4" s="60" t="n">
        <f aca="false">Grupo!BS4</f>
        <v>1</v>
      </c>
    </row>
    <row r="5" customFormat="false" ht="20.25" hidden="false" customHeight="true" outlineLevel="0" collapsed="false">
      <c r="A5" s="61" t="str">
        <f aca="false">Participantes!B3</f>
        <v>Alexander</v>
      </c>
      <c r="B5" s="55" t="n">
        <f aca="false">Grupo!B5</f>
        <v>2</v>
      </c>
      <c r="C5" s="56" t="n">
        <f aca="false">Grupo!C5</f>
        <v>1</v>
      </c>
      <c r="D5" s="56" t="n">
        <f aca="false">Grupo!D5</f>
        <v>1</v>
      </c>
      <c r="E5" s="57" t="n">
        <f aca="false">Grupo!E5</f>
        <v>1</v>
      </c>
      <c r="F5" s="58" t="str">
        <f aca="false">Grupo!G5</f>
        <v/>
      </c>
      <c r="G5" s="59" t="n">
        <f aca="false">Grupo!H5</f>
        <v>1</v>
      </c>
      <c r="H5" s="57" t="n">
        <f aca="false">Grupo!I5</f>
        <v>0</v>
      </c>
      <c r="I5" s="60" t="n">
        <f aca="false">Grupo!BS5</f>
        <v>0</v>
      </c>
    </row>
    <row r="6" customFormat="false" ht="20.25" hidden="false" customHeight="true" outlineLevel="0" collapsed="false">
      <c r="A6" s="61" t="str">
        <f aca="false">Participantes!B4</f>
        <v>Alfredo 1</v>
      </c>
      <c r="B6" s="55" t="n">
        <f aca="false">Grupo!B6</f>
        <v>2</v>
      </c>
      <c r="C6" s="56" t="n">
        <f aca="false">Grupo!C6</f>
        <v>0</v>
      </c>
      <c r="D6" s="56" t="n">
        <f aca="false">Grupo!D6</f>
        <v>3</v>
      </c>
      <c r="E6" s="57" t="n">
        <f aca="false">Grupo!E6</f>
        <v>0</v>
      </c>
      <c r="F6" s="58" t="str">
        <f aca="false">Grupo!G6</f>
        <v/>
      </c>
      <c r="G6" s="59" t="n">
        <f aca="false">Grupo!H6</f>
        <v>2</v>
      </c>
      <c r="H6" s="57" t="n">
        <f aca="false">Grupo!I6</f>
        <v>0</v>
      </c>
      <c r="I6" s="60" t="n">
        <f aca="false">Grupo!BS6</f>
        <v>0</v>
      </c>
    </row>
    <row r="7" customFormat="false" ht="20.25" hidden="false" customHeight="true" outlineLevel="0" collapsed="false">
      <c r="A7" s="61" t="str">
        <f aca="false">Participantes!B5</f>
        <v>Alfredo 2</v>
      </c>
      <c r="B7" s="55" t="n">
        <f aca="false">Grupo!B7</f>
        <v>2</v>
      </c>
      <c r="C7" s="56" t="n">
        <f aca="false">Grupo!C7</f>
        <v>0</v>
      </c>
      <c r="D7" s="56" t="n">
        <f aca="false">Grupo!D7</f>
        <v>3</v>
      </c>
      <c r="E7" s="57" t="n">
        <f aca="false">Grupo!E7</f>
        <v>1</v>
      </c>
      <c r="F7" s="58" t="str">
        <f aca="false">Grupo!G7</f>
        <v/>
      </c>
      <c r="G7" s="59" t="n">
        <f aca="false">Grupo!H7</f>
        <v>2</v>
      </c>
      <c r="H7" s="57" t="n">
        <f aca="false">Grupo!I7</f>
        <v>1</v>
      </c>
      <c r="I7" s="60" t="n">
        <f aca="false">Grupo!BS7</f>
        <v>2</v>
      </c>
    </row>
    <row r="8" customFormat="false" ht="20.25" hidden="false" customHeight="true" outlineLevel="0" collapsed="false">
      <c r="A8" s="61" t="str">
        <f aca="false">Participantes!B6</f>
        <v>Aneth</v>
      </c>
      <c r="B8" s="55" t="n">
        <f aca="false">Grupo!B8</f>
        <v>2</v>
      </c>
      <c r="C8" s="56" t="n">
        <f aca="false">Grupo!C8</f>
        <v>0</v>
      </c>
      <c r="D8" s="56" t="n">
        <f aca="false">Grupo!D8</f>
        <v>3</v>
      </c>
      <c r="E8" s="57" t="n">
        <f aca="false">Grupo!E8</f>
        <v>1</v>
      </c>
      <c r="F8" s="58" t="str">
        <f aca="false">Grupo!G8</f>
        <v/>
      </c>
      <c r="G8" s="59" t="n">
        <f aca="false">Grupo!H8</f>
        <v>3</v>
      </c>
      <c r="H8" s="57" t="n">
        <f aca="false">Grupo!I8</f>
        <v>1</v>
      </c>
      <c r="I8" s="60" t="n">
        <f aca="false">Grupo!BS8</f>
        <v>0</v>
      </c>
    </row>
    <row r="9" customFormat="false" ht="20.25" hidden="false" customHeight="true" outlineLevel="0" collapsed="false">
      <c r="A9" s="61" t="str">
        <f aca="false">Participantes!B7</f>
        <v>Antonio</v>
      </c>
      <c r="B9" s="55" t="n">
        <f aca="false">Grupo!B9</f>
        <v>2</v>
      </c>
      <c r="C9" s="56" t="n">
        <f aca="false">Grupo!C9</f>
        <v>1</v>
      </c>
      <c r="D9" s="56" t="n">
        <f aca="false">Grupo!D9</f>
        <v>1</v>
      </c>
      <c r="E9" s="57" t="n">
        <f aca="false">Grupo!E9</f>
        <v>1</v>
      </c>
      <c r="F9" s="58" t="str">
        <f aca="false">Grupo!G9</f>
        <v/>
      </c>
      <c r="G9" s="59" t="n">
        <f aca="false">Grupo!H9</f>
        <v>2</v>
      </c>
      <c r="H9" s="57" t="n">
        <f aca="false">Grupo!I9</f>
        <v>1</v>
      </c>
      <c r="I9" s="60" t="n">
        <f aca="false">Grupo!BS9</f>
        <v>0</v>
      </c>
    </row>
    <row r="10" customFormat="false" ht="20.25" hidden="false" customHeight="true" outlineLevel="0" collapsed="false">
      <c r="A10" s="61" t="str">
        <f aca="false">Participantes!B8</f>
        <v>Carlos</v>
      </c>
      <c r="B10" s="55" t="n">
        <f aca="false">Grupo!B10</f>
        <v>2</v>
      </c>
      <c r="C10" s="56" t="n">
        <f aca="false">Grupo!C10</f>
        <v>1</v>
      </c>
      <c r="D10" s="56" t="n">
        <f aca="false">Grupo!D10</f>
        <v>1</v>
      </c>
      <c r="E10" s="57" t="n">
        <f aca="false">Grupo!E10</f>
        <v>2</v>
      </c>
      <c r="F10" s="58" t="str">
        <f aca="false">Grupo!G10</f>
        <v/>
      </c>
      <c r="G10" s="59" t="n">
        <f aca="false">Grupo!H10</f>
        <v>1</v>
      </c>
      <c r="H10" s="57" t="n">
        <f aca="false">Grupo!I10</f>
        <v>1</v>
      </c>
      <c r="I10" s="60" t="n">
        <f aca="false">Grupo!BS10</f>
        <v>1</v>
      </c>
    </row>
    <row r="11" customFormat="false" ht="20.25" hidden="false" customHeight="true" outlineLevel="0" collapsed="false">
      <c r="A11" s="61" t="str">
        <f aca="false">Participantes!B9</f>
        <v>Castillo L.</v>
      </c>
      <c r="B11" s="55" t="n">
        <f aca="false">Grupo!B11</f>
        <v>2</v>
      </c>
      <c r="C11" s="56" t="n">
        <f aca="false">Grupo!C11</f>
        <v>3</v>
      </c>
      <c r="D11" s="56" t="n">
        <f aca="false">Grupo!D11</f>
        <v>0</v>
      </c>
      <c r="E11" s="57" t="n">
        <f aca="false">Grupo!E11</f>
        <v>1</v>
      </c>
      <c r="F11" s="58" t="str">
        <f aca="false">Grupo!G11</f>
        <v/>
      </c>
      <c r="G11" s="59" t="n">
        <f aca="false">Grupo!H11</f>
        <v>1</v>
      </c>
      <c r="H11" s="57" t="n">
        <f aca="false">Grupo!I11</f>
        <v>2</v>
      </c>
      <c r="I11" s="60" t="n">
        <f aca="false">Grupo!BS11</f>
        <v>1</v>
      </c>
    </row>
    <row r="12" customFormat="false" ht="20.25" hidden="false" customHeight="true" outlineLevel="0" collapsed="false">
      <c r="A12" s="61" t="str">
        <f aca="false">Participantes!B10</f>
        <v>Christofer</v>
      </c>
      <c r="B12" s="55" t="n">
        <f aca="false">Grupo!B12</f>
        <v>1</v>
      </c>
      <c r="C12" s="56" t="n">
        <f aca="false">Grupo!C12</f>
        <v>2</v>
      </c>
      <c r="D12" s="56" t="n">
        <f aca="false">Grupo!D12</f>
        <v>0</v>
      </c>
      <c r="E12" s="57" t="n">
        <f aca="false">Grupo!E12</f>
        <v>1</v>
      </c>
      <c r="F12" s="58" t="str">
        <f aca="false">Grupo!G12</f>
        <v/>
      </c>
      <c r="G12" s="59" t="n">
        <f aca="false">Grupo!H12</f>
        <v>2</v>
      </c>
      <c r="H12" s="57" t="n">
        <f aca="false">Grupo!I12</f>
        <v>1</v>
      </c>
      <c r="I12" s="60" t="n">
        <f aca="false">Grupo!BS12</f>
        <v>1</v>
      </c>
    </row>
    <row r="13" customFormat="false" ht="20.25" hidden="false" customHeight="true" outlineLevel="0" collapsed="false">
      <c r="A13" s="61" t="str">
        <f aca="false">Participantes!B11</f>
        <v>Cynthia</v>
      </c>
      <c r="B13" s="55" t="n">
        <f aca="false">Grupo!B13</f>
        <v>2</v>
      </c>
      <c r="C13" s="56" t="n">
        <f aca="false">Grupo!C13</f>
        <v>0</v>
      </c>
      <c r="D13" s="56" t="n">
        <f aca="false">Grupo!D13</f>
        <v>3</v>
      </c>
      <c r="E13" s="57" t="n">
        <f aca="false">Grupo!E13</f>
        <v>2</v>
      </c>
      <c r="F13" s="58" t="str">
        <f aca="false">Grupo!G13</f>
        <v/>
      </c>
      <c r="G13" s="59" t="n">
        <f aca="false">Grupo!H13</f>
        <v>2</v>
      </c>
      <c r="H13" s="57" t="n">
        <f aca="false">Grupo!I13</f>
        <v>1</v>
      </c>
      <c r="I13" s="60" t="n">
        <f aca="false">Grupo!BS13</f>
        <v>1</v>
      </c>
    </row>
    <row r="14" customFormat="false" ht="20.25" hidden="false" customHeight="true" outlineLevel="0" collapsed="false">
      <c r="A14" s="61" t="str">
        <f aca="false">Participantes!B12</f>
        <v>Edward</v>
      </c>
      <c r="B14" s="55" t="n">
        <f aca="false">Grupo!B14</f>
        <v>2</v>
      </c>
      <c r="C14" s="56" t="n">
        <f aca="false">Grupo!C14</f>
        <v>1</v>
      </c>
      <c r="D14" s="56" t="n">
        <f aca="false">Grupo!D14</f>
        <v>1</v>
      </c>
      <c r="E14" s="57" t="n">
        <f aca="false">Grupo!E14</f>
        <v>1</v>
      </c>
      <c r="F14" s="58" t="str">
        <f aca="false">Grupo!G14</f>
        <v/>
      </c>
      <c r="G14" s="59" t="n">
        <f aca="false">Grupo!H14</f>
        <v>3</v>
      </c>
      <c r="H14" s="57" t="n">
        <f aca="false">Grupo!I14</f>
        <v>0</v>
      </c>
      <c r="I14" s="60" t="n">
        <f aca="false">Grupo!BS14</f>
        <v>1</v>
      </c>
    </row>
    <row r="15" customFormat="false" ht="20.25" hidden="false" customHeight="true" outlineLevel="0" collapsed="false">
      <c r="A15" s="61" t="str">
        <f aca="false">Participantes!B13</f>
        <v>Espinosa L.</v>
      </c>
      <c r="B15" s="55" t="n">
        <f aca="false">Grupo!B15</f>
        <v>3</v>
      </c>
      <c r="C15" s="56" t="n">
        <f aca="false">Grupo!C15</f>
        <v>1</v>
      </c>
      <c r="D15" s="56" t="n">
        <f aca="false">Grupo!D15</f>
        <v>1</v>
      </c>
      <c r="E15" s="57" t="n">
        <f aca="false">Grupo!E15</f>
        <v>1</v>
      </c>
      <c r="F15" s="58" t="str">
        <f aca="false">Grupo!G15</f>
        <v/>
      </c>
      <c r="G15" s="59" t="n">
        <f aca="false">Grupo!H15</f>
        <v>3</v>
      </c>
      <c r="H15" s="57" t="n">
        <f aca="false">Grupo!I15</f>
        <v>1</v>
      </c>
      <c r="I15" s="60" t="n">
        <f aca="false">Grupo!BS15</f>
        <v>1</v>
      </c>
    </row>
    <row r="16" customFormat="false" ht="20.25" hidden="false" customHeight="true" outlineLevel="0" collapsed="false">
      <c r="A16" s="61" t="str">
        <f aca="false">Participantes!B14</f>
        <v>Freddy</v>
      </c>
      <c r="B16" s="55" t="n">
        <f aca="false">Grupo!B16</f>
        <v>3</v>
      </c>
      <c r="C16" s="56" t="n">
        <f aca="false">Grupo!C16</f>
        <v>1</v>
      </c>
      <c r="D16" s="56" t="n">
        <f aca="false">Grupo!D16</f>
        <v>1</v>
      </c>
      <c r="E16" s="57" t="n">
        <f aca="false">Grupo!E16</f>
        <v>1</v>
      </c>
      <c r="F16" s="58" t="str">
        <f aca="false">Grupo!G16</f>
        <v/>
      </c>
      <c r="G16" s="59" t="n">
        <f aca="false">Grupo!H16</f>
        <v>2</v>
      </c>
      <c r="H16" s="57" t="n">
        <f aca="false">Grupo!I16</f>
        <v>1</v>
      </c>
      <c r="I16" s="60" t="n">
        <f aca="false">Grupo!BS16</f>
        <v>1</v>
      </c>
    </row>
    <row r="17" customFormat="false" ht="20.25" hidden="false" customHeight="true" outlineLevel="0" collapsed="false">
      <c r="A17" s="61" t="str">
        <f aca="false">Participantes!B15</f>
        <v>Isabel 1</v>
      </c>
      <c r="B17" s="55" t="n">
        <f aca="false">Grupo!B17</f>
        <v>1</v>
      </c>
      <c r="C17" s="56" t="n">
        <f aca="false">Grupo!C17</f>
        <v>0</v>
      </c>
      <c r="D17" s="56" t="n">
        <f aca="false">Grupo!D17</f>
        <v>1</v>
      </c>
      <c r="E17" s="57" t="n">
        <f aca="false">Grupo!E17</f>
        <v>2</v>
      </c>
      <c r="F17" s="58" t="str">
        <f aca="false">Grupo!G17</f>
        <v/>
      </c>
      <c r="G17" s="59" t="n">
        <f aca="false">Grupo!H17</f>
        <v>2</v>
      </c>
      <c r="H17" s="57" t="n">
        <f aca="false">Grupo!I17</f>
        <v>1</v>
      </c>
      <c r="I17" s="60" t="n">
        <f aca="false">Grupo!BS17</f>
        <v>0</v>
      </c>
    </row>
    <row r="18" customFormat="false" ht="20.25" hidden="false" customHeight="true" outlineLevel="0" collapsed="false">
      <c r="A18" s="61" t="str">
        <f aca="false">Participantes!B16</f>
        <v>Isabel 2</v>
      </c>
      <c r="B18" s="55" t="n">
        <f aca="false">Grupo!B18</f>
        <v>2</v>
      </c>
      <c r="C18" s="56" t="n">
        <f aca="false">Grupo!C18</f>
        <v>0</v>
      </c>
      <c r="D18" s="56" t="n">
        <f aca="false">Grupo!D18</f>
        <v>3</v>
      </c>
      <c r="E18" s="57" t="n">
        <f aca="false">Grupo!E18</f>
        <v>3</v>
      </c>
      <c r="F18" s="58" t="str">
        <f aca="false">Grupo!G18</f>
        <v/>
      </c>
      <c r="G18" s="59" t="n">
        <f aca="false">Grupo!H18</f>
        <v>2</v>
      </c>
      <c r="H18" s="57" t="n">
        <f aca="false">Grupo!I18</f>
        <v>1</v>
      </c>
      <c r="I18" s="60" t="n">
        <f aca="false">Grupo!BS18</f>
        <v>5</v>
      </c>
    </row>
    <row r="19" customFormat="false" ht="20.25" hidden="false" customHeight="true" outlineLevel="0" collapsed="false">
      <c r="A19" s="61" t="str">
        <f aca="false">Participantes!B17</f>
        <v>Javier</v>
      </c>
      <c r="B19" s="55" t="n">
        <f aca="false">Grupo!B19</f>
        <v>0</v>
      </c>
      <c r="C19" s="56" t="n">
        <f aca="false">Grupo!C19</f>
        <v>1</v>
      </c>
      <c r="D19" s="56" t="n">
        <f aca="false">Grupo!D19</f>
        <v>0</v>
      </c>
      <c r="E19" s="57" t="n">
        <f aca="false">Grupo!E19</f>
        <v>1</v>
      </c>
      <c r="F19" s="58" t="str">
        <f aca="false">Grupo!G19</f>
        <v/>
      </c>
      <c r="G19" s="59" t="n">
        <f aca="false">Grupo!H19</f>
        <v>2</v>
      </c>
      <c r="H19" s="57" t="n">
        <f aca="false">Grupo!I19</f>
        <v>1</v>
      </c>
      <c r="I19" s="60" t="n">
        <f aca="false">Grupo!BS19</f>
        <v>0</v>
      </c>
    </row>
    <row r="20" customFormat="false" ht="20.25" hidden="false" customHeight="true" outlineLevel="0" collapsed="false">
      <c r="A20" s="61" t="str">
        <f aca="false">Participantes!B18</f>
        <v>Jose C 1</v>
      </c>
      <c r="B20" s="55" t="n">
        <f aca="false">Grupo!B20</f>
        <v>1</v>
      </c>
      <c r="C20" s="56" t="n">
        <f aca="false">Grupo!C20</f>
        <v>0</v>
      </c>
      <c r="D20" s="56" t="n">
        <f aca="false">Grupo!D20</f>
        <v>1</v>
      </c>
      <c r="E20" s="57" t="n">
        <f aca="false">Grupo!E20</f>
        <v>2</v>
      </c>
      <c r="F20" s="58" t="str">
        <f aca="false">Grupo!G20</f>
        <v/>
      </c>
      <c r="G20" s="59" t="n">
        <f aca="false">Grupo!H20</f>
        <v>1</v>
      </c>
      <c r="H20" s="57" t="n">
        <f aca="false">Grupo!I20</f>
        <v>1</v>
      </c>
      <c r="I20" s="60" t="n">
        <f aca="false">Grupo!BS20</f>
        <v>0</v>
      </c>
    </row>
    <row r="21" customFormat="false" ht="20.25" hidden="false" customHeight="true" outlineLevel="0" collapsed="false">
      <c r="A21" s="61" t="str">
        <f aca="false">Participantes!B19</f>
        <v>Jose C 2</v>
      </c>
      <c r="B21" s="55" t="n">
        <f aca="false">Grupo!B21</f>
        <v>2</v>
      </c>
      <c r="C21" s="56" t="n">
        <f aca="false">Grupo!C21</f>
        <v>1</v>
      </c>
      <c r="D21" s="56" t="n">
        <f aca="false">Grupo!D21</f>
        <v>1</v>
      </c>
      <c r="E21" s="57" t="n">
        <f aca="false">Grupo!E21</f>
        <v>2</v>
      </c>
      <c r="F21" s="58" t="str">
        <f aca="false">Grupo!G21</f>
        <v/>
      </c>
      <c r="G21" s="59" t="n">
        <f aca="false">Grupo!H21</f>
        <v>2</v>
      </c>
      <c r="H21" s="57" t="n">
        <f aca="false">Grupo!I21</f>
        <v>0</v>
      </c>
      <c r="I21" s="60" t="n">
        <f aca="false">Grupo!BS21</f>
        <v>0</v>
      </c>
    </row>
    <row r="22" customFormat="false" ht="20.25" hidden="false" customHeight="true" outlineLevel="0" collapsed="false">
      <c r="A22" s="61" t="str">
        <f aca="false">Participantes!B20</f>
        <v>Jose C Ahiza</v>
      </c>
      <c r="B22" s="55" t="n">
        <f aca="false">Grupo!B22</f>
        <v>4</v>
      </c>
      <c r="C22" s="56" t="n">
        <f aca="false">Grupo!C22</f>
        <v>2</v>
      </c>
      <c r="D22" s="56" t="n">
        <f aca="false">Grupo!D22</f>
        <v>1</v>
      </c>
      <c r="E22" s="57" t="n">
        <f aca="false">Grupo!E22</f>
        <v>3</v>
      </c>
      <c r="F22" s="58" t="str">
        <f aca="false">Grupo!G22</f>
        <v/>
      </c>
      <c r="G22" s="59" t="n">
        <f aca="false">Grupo!H22</f>
        <v>4</v>
      </c>
      <c r="H22" s="57" t="n">
        <f aca="false">Grupo!I22</f>
        <v>0</v>
      </c>
      <c r="I22" s="60" t="n">
        <f aca="false">Grupo!BS22</f>
        <v>0</v>
      </c>
    </row>
    <row r="23" customFormat="false" ht="20.25" hidden="false" customHeight="true" outlineLevel="0" collapsed="false">
      <c r="A23" s="61" t="str">
        <f aca="false">Participantes!B21</f>
        <v>Jose C Ana</v>
      </c>
      <c r="B23" s="55" t="n">
        <f aca="false">Grupo!B23</f>
        <v>3</v>
      </c>
      <c r="C23" s="56" t="n">
        <f aca="false">Grupo!C23</f>
        <v>2</v>
      </c>
      <c r="D23" s="56" t="n">
        <f aca="false">Grupo!D23</f>
        <v>1</v>
      </c>
      <c r="E23" s="57" t="n">
        <f aca="false">Grupo!E23</f>
        <v>2</v>
      </c>
      <c r="F23" s="58" t="str">
        <f aca="false">Grupo!G23</f>
        <v/>
      </c>
      <c r="G23" s="59" t="n">
        <f aca="false">Grupo!H23</f>
        <v>3</v>
      </c>
      <c r="H23" s="57" t="n">
        <f aca="false">Grupo!I23</f>
        <v>1</v>
      </c>
      <c r="I23" s="60" t="n">
        <f aca="false">Grupo!BS23</f>
        <v>0</v>
      </c>
    </row>
    <row r="24" customFormat="false" ht="20.25" hidden="false" customHeight="true" outlineLevel="0" collapsed="false">
      <c r="A24" s="61" t="str">
        <f aca="false">Participantes!B22</f>
        <v>Jose C Judith</v>
      </c>
      <c r="B24" s="55" t="n">
        <f aca="false">Grupo!B24</f>
        <v>2</v>
      </c>
      <c r="C24" s="56" t="n">
        <f aca="false">Grupo!C24</f>
        <v>1</v>
      </c>
      <c r="D24" s="56" t="n">
        <f aca="false">Grupo!D24</f>
        <v>1</v>
      </c>
      <c r="E24" s="57" t="n">
        <f aca="false">Grupo!E24</f>
        <v>2</v>
      </c>
      <c r="F24" s="58" t="str">
        <f aca="false">Grupo!G24</f>
        <v/>
      </c>
      <c r="G24" s="59" t="n">
        <f aca="false">Grupo!H24</f>
        <v>1</v>
      </c>
      <c r="H24" s="57" t="n">
        <f aca="false">Grupo!I24</f>
        <v>0</v>
      </c>
      <c r="I24" s="60" t="n">
        <f aca="false">Grupo!BS24</f>
        <v>0</v>
      </c>
    </row>
    <row r="25" customFormat="false" ht="20.25" hidden="false" customHeight="true" outlineLevel="0" collapsed="false">
      <c r="A25" s="61" t="str">
        <f aca="false">Participantes!B23</f>
        <v>José de León</v>
      </c>
      <c r="B25" s="55" t="n">
        <f aca="false">Grupo!B25</f>
        <v>5</v>
      </c>
      <c r="C25" s="56" t="n">
        <f aca="false">Grupo!C25</f>
        <v>2</v>
      </c>
      <c r="D25" s="56" t="n">
        <f aca="false">Grupo!D25</f>
        <v>1</v>
      </c>
      <c r="E25" s="57" t="n">
        <f aca="false">Grupo!E25</f>
        <v>1</v>
      </c>
      <c r="F25" s="58" t="str">
        <f aca="false">Grupo!G25</f>
        <v/>
      </c>
      <c r="G25" s="59" t="n">
        <f aca="false">Grupo!H25</f>
        <v>0</v>
      </c>
      <c r="H25" s="57" t="n">
        <f aca="false">Grupo!I25</f>
        <v>2</v>
      </c>
      <c r="I25" s="60" t="n">
        <f aca="false">Grupo!BS25</f>
        <v>2</v>
      </c>
    </row>
    <row r="26" customFormat="false" ht="20.25" hidden="false" customHeight="true" outlineLevel="0" collapsed="false">
      <c r="A26" s="61" t="str">
        <f aca="false">Participantes!B24</f>
        <v>Jovanna</v>
      </c>
      <c r="B26" s="55" t="n">
        <f aca="false">Grupo!B26</f>
        <v>3</v>
      </c>
      <c r="C26" s="56" t="n">
        <f aca="false">Grupo!C26</f>
        <v>1</v>
      </c>
      <c r="D26" s="56" t="n">
        <f aca="false">Grupo!D26</f>
        <v>1</v>
      </c>
      <c r="E26" s="57" t="n">
        <f aca="false">Grupo!E26</f>
        <v>1</v>
      </c>
      <c r="F26" s="58" t="str">
        <f aca="false">Grupo!G26</f>
        <v/>
      </c>
      <c r="G26" s="59" t="n">
        <f aca="false">Grupo!H26</f>
        <v>2</v>
      </c>
      <c r="H26" s="57" t="n">
        <f aca="false">Grupo!I26</f>
        <v>1</v>
      </c>
      <c r="I26" s="60" t="n">
        <f aca="false">Grupo!BS26</f>
        <v>0</v>
      </c>
    </row>
    <row r="27" customFormat="false" ht="20.25" hidden="false" customHeight="true" outlineLevel="0" collapsed="false">
      <c r="A27" s="61" t="str">
        <f aca="false">Participantes!B25</f>
        <v>Karina</v>
      </c>
      <c r="B27" s="55" t="n">
        <f aca="false">Grupo!B27</f>
        <v>2</v>
      </c>
      <c r="C27" s="56" t="n">
        <f aca="false">Grupo!C27</f>
        <v>1</v>
      </c>
      <c r="D27" s="56" t="n">
        <f aca="false">Grupo!D27</f>
        <v>1</v>
      </c>
      <c r="E27" s="57" t="n">
        <f aca="false">Grupo!E27</f>
        <v>2</v>
      </c>
      <c r="F27" s="58" t="str">
        <f aca="false">Grupo!G27</f>
        <v/>
      </c>
      <c r="G27" s="59" t="n">
        <f aca="false">Grupo!H27</f>
        <v>3</v>
      </c>
      <c r="H27" s="57" t="n">
        <f aca="false">Grupo!I27</f>
        <v>0</v>
      </c>
      <c r="I27" s="60" t="n">
        <f aca="false">Grupo!BS27</f>
        <v>0</v>
      </c>
    </row>
    <row r="28" customFormat="false" ht="20.25" hidden="false" customHeight="true" outlineLevel="0" collapsed="false">
      <c r="A28" s="61" t="str">
        <f aca="false">Participantes!B26</f>
        <v>Kattia 1</v>
      </c>
      <c r="B28" s="55" t="n">
        <f aca="false">Grupo!B28</f>
        <v>2</v>
      </c>
      <c r="C28" s="56" t="n">
        <f aca="false">Grupo!C28</f>
        <v>0</v>
      </c>
      <c r="D28" s="56" t="n">
        <f aca="false">Grupo!D28</f>
        <v>3</v>
      </c>
      <c r="E28" s="57" t="n">
        <f aca="false">Grupo!E28</f>
        <v>1</v>
      </c>
      <c r="F28" s="58" t="str">
        <f aca="false">Grupo!G28</f>
        <v/>
      </c>
      <c r="G28" s="59" t="n">
        <f aca="false">Grupo!H28</f>
        <v>2</v>
      </c>
      <c r="H28" s="57" t="n">
        <f aca="false">Grupo!I28</f>
        <v>1</v>
      </c>
      <c r="I28" s="60" t="n">
        <f aca="false">Grupo!BS28</f>
        <v>0</v>
      </c>
    </row>
    <row r="29" customFormat="false" ht="20.25" hidden="false" customHeight="true" outlineLevel="0" collapsed="false">
      <c r="A29" s="61" t="str">
        <f aca="false">Participantes!B27</f>
        <v>Kattia 2</v>
      </c>
      <c r="B29" s="55" t="n">
        <f aca="false">Grupo!B29</f>
        <v>2</v>
      </c>
      <c r="C29" s="56" t="n">
        <f aca="false">Grupo!C29</f>
        <v>0</v>
      </c>
      <c r="D29" s="56" t="n">
        <f aca="false">Grupo!D29</f>
        <v>3</v>
      </c>
      <c r="E29" s="57" t="n">
        <f aca="false">Grupo!E29</f>
        <v>1</v>
      </c>
      <c r="F29" s="58" t="str">
        <f aca="false">Grupo!G29</f>
        <v/>
      </c>
      <c r="G29" s="59" t="n">
        <f aca="false">Grupo!H29</f>
        <v>1</v>
      </c>
      <c r="H29" s="57" t="n">
        <f aca="false">Grupo!I29</f>
        <v>2</v>
      </c>
      <c r="I29" s="60" t="n">
        <f aca="false">Grupo!BS29</f>
        <v>0</v>
      </c>
    </row>
    <row r="30" customFormat="false" ht="20.25" hidden="false" customHeight="true" outlineLevel="0" collapsed="false">
      <c r="A30" s="61" t="str">
        <f aca="false">Participantes!B28</f>
        <v>Kevin</v>
      </c>
      <c r="B30" s="55" t="n">
        <f aca="false">Grupo!B30</f>
        <v>2</v>
      </c>
      <c r="C30" s="56" t="n">
        <f aca="false">Grupo!C30</f>
        <v>0</v>
      </c>
      <c r="D30" s="56" t="n">
        <f aca="false">Grupo!D30</f>
        <v>3</v>
      </c>
      <c r="E30" s="57" t="n">
        <f aca="false">Grupo!E30</f>
        <v>1</v>
      </c>
      <c r="F30" s="58" t="str">
        <f aca="false">Grupo!G30</f>
        <v/>
      </c>
      <c r="G30" s="59" t="n">
        <f aca="false">Grupo!H30</f>
        <v>2</v>
      </c>
      <c r="H30" s="57" t="n">
        <f aca="false">Grupo!I30</f>
        <v>1</v>
      </c>
      <c r="I30" s="60" t="n">
        <f aca="false">Grupo!BS30</f>
        <v>0</v>
      </c>
    </row>
    <row r="31" customFormat="false" ht="20.25" hidden="false" customHeight="true" outlineLevel="0" collapsed="false">
      <c r="A31" s="61" t="str">
        <f aca="false">Participantes!B29</f>
        <v>Lizka</v>
      </c>
      <c r="B31" s="55" t="n">
        <f aca="false">Grupo!B31</f>
        <v>2</v>
      </c>
      <c r="C31" s="56" t="n">
        <f aca="false">Grupo!C31</f>
        <v>0</v>
      </c>
      <c r="D31" s="56" t="n">
        <f aca="false">Grupo!D31</f>
        <v>3</v>
      </c>
      <c r="E31" s="57" t="n">
        <f aca="false">Grupo!E31</f>
        <v>2</v>
      </c>
      <c r="F31" s="58" t="str">
        <f aca="false">Grupo!G31</f>
        <v/>
      </c>
      <c r="G31" s="59" t="n">
        <f aca="false">Grupo!H31</f>
        <v>1</v>
      </c>
      <c r="H31" s="57" t="n">
        <f aca="false">Grupo!I31</f>
        <v>0</v>
      </c>
      <c r="I31" s="60" t="n">
        <f aca="false">Grupo!BS31</f>
        <v>0</v>
      </c>
    </row>
    <row r="32" customFormat="false" ht="20.25" hidden="false" customHeight="true" outlineLevel="0" collapsed="false">
      <c r="A32" s="61" t="str">
        <f aca="false">Participantes!B30</f>
        <v>Luis Peña</v>
      </c>
      <c r="B32" s="55" t="n">
        <f aca="false">Grupo!B32</f>
        <v>2</v>
      </c>
      <c r="C32" s="56" t="n">
        <f aca="false">Grupo!C32</f>
        <v>1</v>
      </c>
      <c r="D32" s="56" t="n">
        <f aca="false">Grupo!D32</f>
        <v>1</v>
      </c>
      <c r="E32" s="57" t="n">
        <f aca="false">Grupo!E32</f>
        <v>1</v>
      </c>
      <c r="F32" s="58" t="str">
        <f aca="false">Grupo!G32</f>
        <v/>
      </c>
      <c r="G32" s="59" t="n">
        <f aca="false">Grupo!H32</f>
        <v>1</v>
      </c>
      <c r="H32" s="57" t="n">
        <f aca="false">Grupo!I32</f>
        <v>1</v>
      </c>
      <c r="I32" s="60" t="n">
        <f aca="false">Grupo!BS32</f>
        <v>0</v>
      </c>
    </row>
    <row r="33" customFormat="false" ht="20.25" hidden="false" customHeight="true" outlineLevel="0" collapsed="false">
      <c r="A33" s="61" t="str">
        <f aca="false">Participantes!B31</f>
        <v>Marco R.</v>
      </c>
      <c r="B33" s="55" t="n">
        <f aca="false">Grupo!B33</f>
        <v>3</v>
      </c>
      <c r="C33" s="56" t="n">
        <f aca="false">Grupo!C33</f>
        <v>1</v>
      </c>
      <c r="D33" s="56" t="n">
        <f aca="false">Grupo!D33</f>
        <v>1</v>
      </c>
      <c r="E33" s="57" t="n">
        <f aca="false">Grupo!E33</f>
        <v>2</v>
      </c>
      <c r="F33" s="58" t="str">
        <f aca="false">Grupo!G33</f>
        <v/>
      </c>
      <c r="G33" s="59" t="n">
        <f aca="false">Grupo!H33</f>
        <v>3</v>
      </c>
      <c r="H33" s="57" t="n">
        <f aca="false">Grupo!I33</f>
        <v>1</v>
      </c>
      <c r="I33" s="60" t="n">
        <f aca="false">Grupo!BS33</f>
        <v>0</v>
      </c>
    </row>
    <row r="34" customFormat="false" ht="20.25" hidden="false" customHeight="true" outlineLevel="0" collapsed="false">
      <c r="A34" s="61" t="str">
        <f aca="false">Participantes!B32</f>
        <v>Maricela</v>
      </c>
      <c r="B34" s="55" t="n">
        <f aca="false">Grupo!B34</f>
        <v>2</v>
      </c>
      <c r="C34" s="56" t="n">
        <f aca="false">Grupo!C34</f>
        <v>0</v>
      </c>
      <c r="D34" s="56" t="n">
        <f aca="false">Grupo!D34</f>
        <v>3</v>
      </c>
      <c r="E34" s="57" t="n">
        <f aca="false">Grupo!E34</f>
        <v>2</v>
      </c>
      <c r="F34" s="58" t="str">
        <f aca="false">Grupo!G34</f>
        <v/>
      </c>
      <c r="G34" s="59" t="n">
        <f aca="false">Grupo!H34</f>
        <v>3</v>
      </c>
      <c r="H34" s="57" t="n">
        <f aca="false">Grupo!I34</f>
        <v>0</v>
      </c>
      <c r="I34" s="60" t="n">
        <f aca="false">Grupo!BS34</f>
        <v>0</v>
      </c>
    </row>
    <row r="35" customFormat="false" ht="20.25" hidden="false" customHeight="true" outlineLevel="0" collapsed="false">
      <c r="A35" s="61" t="str">
        <f aca="false">Participantes!B33</f>
        <v>Marilyn</v>
      </c>
      <c r="B35" s="55" t="n">
        <f aca="false">Grupo!B35</f>
        <v>2</v>
      </c>
      <c r="C35" s="56" t="n">
        <f aca="false">Grupo!C35</f>
        <v>1</v>
      </c>
      <c r="D35" s="56" t="n">
        <f aca="false">Grupo!D35</f>
        <v>1</v>
      </c>
      <c r="E35" s="57" t="n">
        <f aca="false">Grupo!E35</f>
        <v>1</v>
      </c>
      <c r="F35" s="58" t="str">
        <f aca="false">Grupo!G35</f>
        <v/>
      </c>
      <c r="G35" s="59" t="n">
        <f aca="false">Grupo!H35</f>
        <v>1</v>
      </c>
      <c r="H35" s="57" t="n">
        <f aca="false">Grupo!I35</f>
        <v>1</v>
      </c>
      <c r="I35" s="60" t="n">
        <f aca="false">Grupo!BS35</f>
        <v>0</v>
      </c>
    </row>
    <row r="36" customFormat="false" ht="20.25" hidden="false" customHeight="true" outlineLevel="0" collapsed="false">
      <c r="A36" s="61" t="str">
        <f aca="false">Participantes!B34</f>
        <v>Medica</v>
      </c>
      <c r="B36" s="55" t="n">
        <f aca="false">Grupo!B36</f>
        <v>2</v>
      </c>
      <c r="C36" s="56" t="n">
        <f aca="false">Grupo!C36</f>
        <v>0</v>
      </c>
      <c r="D36" s="56" t="n">
        <f aca="false">Grupo!D36</f>
        <v>3</v>
      </c>
      <c r="E36" s="57" t="n">
        <f aca="false">Grupo!E36</f>
        <v>3</v>
      </c>
      <c r="F36" s="58" t="str">
        <f aca="false">Grupo!G36</f>
        <v/>
      </c>
      <c r="G36" s="59" t="n">
        <f aca="false">Grupo!H36</f>
        <v>2</v>
      </c>
      <c r="H36" s="57" t="n">
        <f aca="false">Grupo!I36</f>
        <v>1</v>
      </c>
      <c r="I36" s="60" t="n">
        <f aca="false">Grupo!BS36</f>
        <v>0</v>
      </c>
    </row>
    <row r="37" customFormat="false" ht="20.25" hidden="false" customHeight="true" outlineLevel="0" collapsed="false">
      <c r="A37" s="61" t="str">
        <f aca="false">Participantes!B35</f>
        <v>Milagros</v>
      </c>
      <c r="B37" s="55" t="n">
        <f aca="false">Grupo!B37</f>
        <v>3</v>
      </c>
      <c r="C37" s="56" t="n">
        <f aca="false">Grupo!C37</f>
        <v>1</v>
      </c>
      <c r="D37" s="56" t="n">
        <f aca="false">Grupo!D37</f>
        <v>1</v>
      </c>
      <c r="E37" s="57" t="n">
        <f aca="false">Grupo!E37</f>
        <v>2</v>
      </c>
      <c r="F37" s="58" t="str">
        <f aca="false">Grupo!G37</f>
        <v/>
      </c>
      <c r="G37" s="59" t="n">
        <f aca="false">Grupo!H37</f>
        <v>2</v>
      </c>
      <c r="H37" s="57" t="n">
        <f aca="false">Grupo!I37</f>
        <v>2</v>
      </c>
      <c r="I37" s="60" t="n">
        <f aca="false">Grupo!BS37</f>
        <v>0</v>
      </c>
    </row>
    <row r="38" customFormat="false" ht="20.25" hidden="false" customHeight="true" outlineLevel="0" collapsed="false">
      <c r="A38" s="61" t="str">
        <f aca="false">Participantes!B36</f>
        <v>Mily CF 1</v>
      </c>
      <c r="B38" s="55" t="n">
        <f aca="false">Grupo!B38</f>
        <v>2</v>
      </c>
      <c r="C38" s="56" t="n">
        <f aca="false">Grupo!C38</f>
        <v>1</v>
      </c>
      <c r="D38" s="56" t="n">
        <f aca="false">Grupo!D38</f>
        <v>1</v>
      </c>
      <c r="E38" s="57" t="n">
        <f aca="false">Grupo!E38</f>
        <v>2</v>
      </c>
      <c r="F38" s="58" t="str">
        <f aca="false">Grupo!G38</f>
        <v/>
      </c>
      <c r="G38" s="59" t="n">
        <f aca="false">Grupo!H38</f>
        <v>1</v>
      </c>
      <c r="H38" s="57" t="n">
        <f aca="false">Grupo!I38</f>
        <v>0</v>
      </c>
      <c r="I38" s="60" t="n">
        <f aca="false">Grupo!BS38</f>
        <v>0</v>
      </c>
    </row>
    <row r="39" customFormat="false" ht="20.25" hidden="false" customHeight="true" outlineLevel="0" collapsed="false">
      <c r="A39" s="61" t="str">
        <f aca="false">Participantes!B37</f>
        <v>Mily CF 2</v>
      </c>
      <c r="B39" s="55" t="n">
        <f aca="false">Grupo!B39</f>
        <v>2</v>
      </c>
      <c r="C39" s="56" t="n">
        <f aca="false">Grupo!C39</f>
        <v>0</v>
      </c>
      <c r="D39" s="56" t="n">
        <f aca="false">Grupo!D39</f>
        <v>3</v>
      </c>
      <c r="E39" s="57" t="n">
        <f aca="false">Grupo!E39</f>
        <v>1</v>
      </c>
      <c r="F39" s="58" t="str">
        <f aca="false">Grupo!G39</f>
        <v/>
      </c>
      <c r="G39" s="59" t="n">
        <f aca="false">Grupo!H39</f>
        <v>0</v>
      </c>
      <c r="H39" s="57" t="n">
        <f aca="false">Grupo!I39</f>
        <v>1</v>
      </c>
      <c r="I39" s="60" t="n">
        <f aca="false">Grupo!BS39</f>
        <v>0</v>
      </c>
    </row>
    <row r="40" customFormat="false" ht="20.25" hidden="false" customHeight="true" outlineLevel="0" collapsed="false">
      <c r="A40" s="61" t="str">
        <f aca="false">Participantes!B38</f>
        <v>Mily Frida</v>
      </c>
      <c r="B40" s="55" t="n">
        <f aca="false">Grupo!B40</f>
        <v>2</v>
      </c>
      <c r="C40" s="56" t="n">
        <f aca="false">Grupo!C40</f>
        <v>0</v>
      </c>
      <c r="D40" s="56" t="n">
        <f aca="false">Grupo!D40</f>
        <v>3</v>
      </c>
      <c r="E40" s="57" t="n">
        <f aca="false">Grupo!E40</f>
        <v>1</v>
      </c>
      <c r="F40" s="58" t="str">
        <f aca="false">Grupo!G40</f>
        <v/>
      </c>
      <c r="G40" s="59" t="n">
        <f aca="false">Grupo!H40</f>
        <v>2</v>
      </c>
      <c r="H40" s="57" t="n">
        <f aca="false">Grupo!I40</f>
        <v>1</v>
      </c>
      <c r="I40" s="60" t="n">
        <f aca="false">Grupo!BS40</f>
        <v>0</v>
      </c>
    </row>
    <row r="41" customFormat="false" ht="20.25" hidden="false" customHeight="true" outlineLevel="0" collapsed="false">
      <c r="A41" s="61" t="str">
        <f aca="false">Participantes!B39</f>
        <v>Mily Oliver</v>
      </c>
      <c r="B41" s="55" t="n">
        <f aca="false">Grupo!B41</f>
        <v>3</v>
      </c>
      <c r="C41" s="56" t="n">
        <f aca="false">Grupo!C41</f>
        <v>1</v>
      </c>
      <c r="D41" s="56" t="n">
        <f aca="false">Grupo!D41</f>
        <v>1</v>
      </c>
      <c r="E41" s="57" t="n">
        <f aca="false">Grupo!E41</f>
        <v>2</v>
      </c>
      <c r="F41" s="58" t="str">
        <f aca="false">Grupo!G41</f>
        <v/>
      </c>
      <c r="G41" s="59" t="n">
        <f aca="false">Grupo!H41</f>
        <v>3</v>
      </c>
      <c r="H41" s="57" t="n">
        <f aca="false">Grupo!I41</f>
        <v>1</v>
      </c>
      <c r="I41" s="60" t="n">
        <f aca="false">Grupo!BS41</f>
        <v>0</v>
      </c>
    </row>
    <row r="42" customFormat="false" ht="20.25" hidden="false" customHeight="true" outlineLevel="0" collapsed="false">
      <c r="A42" s="61" t="str">
        <f aca="false">Participantes!B40</f>
        <v>Mily Zeynneth</v>
      </c>
      <c r="B42" s="55" t="n">
        <f aca="false">Grupo!B42</f>
        <v>1</v>
      </c>
      <c r="C42" s="56" t="n">
        <f aca="false">Grupo!C42</f>
        <v>2</v>
      </c>
      <c r="D42" s="56" t="n">
        <f aca="false">Grupo!D42</f>
        <v>0</v>
      </c>
      <c r="E42" s="57" t="n">
        <f aca="false">Grupo!E42</f>
        <v>3</v>
      </c>
      <c r="F42" s="58" t="str">
        <f aca="false">Grupo!G42</f>
        <v/>
      </c>
      <c r="G42" s="59" t="n">
        <f aca="false">Grupo!H42</f>
        <v>2</v>
      </c>
      <c r="H42" s="57" t="n">
        <f aca="false">Grupo!I42</f>
        <v>0</v>
      </c>
      <c r="I42" s="60" t="n">
        <f aca="false">Grupo!BS42</f>
        <v>0</v>
      </c>
    </row>
    <row r="43" customFormat="false" ht="20.25" hidden="false" customHeight="true" outlineLevel="0" collapsed="false">
      <c r="A43" s="61" t="str">
        <f aca="false">Participantes!B41</f>
        <v>Nefreteri</v>
      </c>
      <c r="B43" s="55" t="n">
        <f aca="false">Grupo!B43</f>
        <v>2</v>
      </c>
      <c r="C43" s="56" t="n">
        <f aca="false">Grupo!C43</f>
        <v>1</v>
      </c>
      <c r="D43" s="56" t="n">
        <f aca="false">Grupo!D43</f>
        <v>1</v>
      </c>
      <c r="E43" s="57" t="n">
        <f aca="false">Grupo!E43</f>
        <v>1</v>
      </c>
      <c r="F43" s="58" t="str">
        <f aca="false">Grupo!G43</f>
        <v/>
      </c>
      <c r="G43" s="59" t="n">
        <f aca="false">Grupo!H43</f>
        <v>2</v>
      </c>
      <c r="H43" s="57" t="n">
        <f aca="false">Grupo!I43</f>
        <v>0</v>
      </c>
      <c r="I43" s="60" t="n">
        <f aca="false">Grupo!BS43</f>
        <v>0</v>
      </c>
    </row>
    <row r="44" customFormat="false" ht="20.25" hidden="false" customHeight="true" outlineLevel="0" collapsed="false">
      <c r="A44" s="61" t="str">
        <f aca="false">Participantes!B42</f>
        <v>Ninoshka</v>
      </c>
      <c r="B44" s="55" t="n">
        <f aca="false">Grupo!B44</f>
        <v>2</v>
      </c>
      <c r="C44" s="56" t="n">
        <f aca="false">Grupo!C44</f>
        <v>1</v>
      </c>
      <c r="D44" s="56" t="n">
        <f aca="false">Grupo!D44</f>
        <v>1</v>
      </c>
      <c r="E44" s="57" t="n">
        <f aca="false">Grupo!E44</f>
        <v>2</v>
      </c>
      <c r="F44" s="58" t="str">
        <f aca="false">Grupo!G44</f>
        <v/>
      </c>
      <c r="G44" s="59" t="n">
        <f aca="false">Grupo!H44</f>
        <v>2</v>
      </c>
      <c r="H44" s="57" t="n">
        <f aca="false">Grupo!I44</f>
        <v>1</v>
      </c>
      <c r="I44" s="60" t="n">
        <f aca="false">Grupo!BS44</f>
        <v>0</v>
      </c>
    </row>
    <row r="45" customFormat="false" ht="20.25" hidden="false" customHeight="true" outlineLevel="0" collapsed="false">
      <c r="A45" s="61" t="str">
        <f aca="false">Participantes!B43</f>
        <v>Osvaldo</v>
      </c>
      <c r="B45" s="55" t="n">
        <f aca="false">Grupo!B45</f>
        <v>2</v>
      </c>
      <c r="C45" s="56" t="n">
        <f aca="false">Grupo!C45</f>
        <v>0</v>
      </c>
      <c r="D45" s="56" t="n">
        <f aca="false">Grupo!D45</f>
        <v>3</v>
      </c>
      <c r="E45" s="57" t="n">
        <f aca="false">Grupo!E45</f>
        <v>1</v>
      </c>
      <c r="F45" s="58" t="str">
        <f aca="false">Grupo!G45</f>
        <v/>
      </c>
      <c r="G45" s="59" t="n">
        <f aca="false">Grupo!H45</f>
        <v>1</v>
      </c>
      <c r="H45" s="57" t="n">
        <f aca="false">Grupo!I45</f>
        <v>1</v>
      </c>
      <c r="I45" s="60" t="n">
        <f aca="false">Grupo!BS45</f>
        <v>0</v>
      </c>
    </row>
    <row r="46" customFormat="false" ht="20.25" hidden="false" customHeight="true" outlineLevel="0" collapsed="false">
      <c r="A46" s="61" t="str">
        <f aca="false">Participantes!B44</f>
        <v>Peter</v>
      </c>
      <c r="B46" s="55" t="n">
        <f aca="false">Grupo!B46</f>
        <v>2</v>
      </c>
      <c r="C46" s="56" t="n">
        <f aca="false">Grupo!C46</f>
        <v>0</v>
      </c>
      <c r="D46" s="56" t="n">
        <f aca="false">Grupo!D46</f>
        <v>3</v>
      </c>
      <c r="E46" s="57" t="n">
        <f aca="false">Grupo!E46</f>
        <v>1</v>
      </c>
      <c r="F46" s="58" t="str">
        <f aca="false">Grupo!G46</f>
        <v/>
      </c>
      <c r="G46" s="59" t="n">
        <f aca="false">Grupo!H46</f>
        <v>2</v>
      </c>
      <c r="H46" s="57" t="n">
        <f aca="false">Grupo!I46</f>
        <v>1</v>
      </c>
      <c r="I46" s="60" t="n">
        <f aca="false">Grupo!BS46</f>
        <v>0</v>
      </c>
    </row>
    <row r="47" customFormat="false" ht="20.25" hidden="false" customHeight="true" outlineLevel="0" collapsed="false">
      <c r="A47" s="61" t="str">
        <f aca="false">Participantes!B45</f>
        <v>Quinnie</v>
      </c>
      <c r="B47" s="55" t="n">
        <f aca="false">Grupo!B47</f>
        <v>2</v>
      </c>
      <c r="C47" s="56" t="n">
        <f aca="false">Grupo!C47</f>
        <v>0</v>
      </c>
      <c r="D47" s="56" t="n">
        <f aca="false">Grupo!D47</f>
        <v>3</v>
      </c>
      <c r="E47" s="57" t="n">
        <f aca="false">Grupo!E47</f>
        <v>0</v>
      </c>
      <c r="F47" s="58" t="str">
        <f aca="false">Grupo!G47</f>
        <v/>
      </c>
      <c r="G47" s="59" t="n">
        <f aca="false">Grupo!H47</f>
        <v>1</v>
      </c>
      <c r="H47" s="57" t="n">
        <f aca="false">Grupo!I47</f>
        <v>0</v>
      </c>
      <c r="I47" s="60" t="n">
        <f aca="false">Grupo!BS47</f>
        <v>0</v>
      </c>
    </row>
    <row r="48" customFormat="false" ht="20.25" hidden="false" customHeight="true" outlineLevel="0" collapsed="false">
      <c r="A48" s="61" t="str">
        <f aca="false">Participantes!B46</f>
        <v>Radames</v>
      </c>
      <c r="B48" s="55" t="n">
        <f aca="false">Grupo!B48</f>
        <v>2</v>
      </c>
      <c r="C48" s="56" t="n">
        <f aca="false">Grupo!C48</f>
        <v>0</v>
      </c>
      <c r="D48" s="56" t="n">
        <f aca="false">Grupo!D48</f>
        <v>3</v>
      </c>
      <c r="E48" s="57" t="n">
        <f aca="false">Grupo!E48</f>
        <v>1</v>
      </c>
      <c r="F48" s="58" t="str">
        <f aca="false">Grupo!G48</f>
        <v/>
      </c>
      <c r="G48" s="59" t="n">
        <f aca="false">Grupo!H48</f>
        <v>1</v>
      </c>
      <c r="H48" s="57" t="n">
        <f aca="false">Grupo!I48</f>
        <v>0</v>
      </c>
      <c r="I48" s="60" t="n">
        <f aca="false">Grupo!BS48</f>
        <v>0</v>
      </c>
    </row>
    <row r="49" customFormat="false" ht="20.25" hidden="false" customHeight="true" outlineLevel="0" collapsed="false">
      <c r="A49" s="61" t="str">
        <f aca="false">Participantes!B47</f>
        <v>Saul</v>
      </c>
      <c r="B49" s="55" t="n">
        <f aca="false">Grupo!B49</f>
        <v>2</v>
      </c>
      <c r="C49" s="56" t="n">
        <f aca="false">Grupo!C49</f>
        <v>0</v>
      </c>
      <c r="D49" s="56" t="n">
        <f aca="false">Grupo!D49</f>
        <v>3</v>
      </c>
      <c r="E49" s="57" t="n">
        <f aca="false">Grupo!E49</f>
        <v>1</v>
      </c>
      <c r="F49" s="58" t="str">
        <f aca="false">Grupo!G49</f>
        <v/>
      </c>
      <c r="G49" s="59" t="n">
        <f aca="false">Grupo!H49</f>
        <v>2</v>
      </c>
      <c r="H49" s="57" t="n">
        <f aca="false">Grupo!I49</f>
        <v>0</v>
      </c>
      <c r="I49" s="60" t="n">
        <f aca="false">Grupo!BS49</f>
        <v>0</v>
      </c>
    </row>
    <row r="50" customFormat="false" ht="20.25" hidden="false" customHeight="true" outlineLevel="0" collapsed="false">
      <c r="A50" s="61" t="str">
        <f aca="false">Participantes!B48</f>
        <v>Silvia</v>
      </c>
      <c r="B50" s="55" t="n">
        <f aca="false">Grupo!B50</f>
        <v>3</v>
      </c>
      <c r="C50" s="56" t="n">
        <f aca="false">Grupo!C50</f>
        <v>1</v>
      </c>
      <c r="D50" s="56" t="n">
        <f aca="false">Grupo!D50</f>
        <v>1</v>
      </c>
      <c r="E50" s="57" t="n">
        <f aca="false">Grupo!E50</f>
        <v>2</v>
      </c>
      <c r="F50" s="58" t="str">
        <f aca="false">Grupo!G50</f>
        <v/>
      </c>
      <c r="G50" s="59" t="n">
        <f aca="false">Grupo!H50</f>
        <v>1</v>
      </c>
      <c r="H50" s="57" t="n">
        <f aca="false">Grupo!I50</f>
        <v>2</v>
      </c>
      <c r="I50" s="60" t="n">
        <f aca="false">Grupo!BS50</f>
        <v>0</v>
      </c>
    </row>
    <row r="51" customFormat="false" ht="20.25" hidden="false" customHeight="true" outlineLevel="0" collapsed="false">
      <c r="A51" s="61" t="str">
        <f aca="false">Participantes!B49</f>
        <v>Walder</v>
      </c>
      <c r="B51" s="62" t="n">
        <f aca="false">Grupo!B51</f>
        <v>2</v>
      </c>
      <c r="C51" s="63" t="n">
        <f aca="false">Grupo!C51</f>
        <v>0</v>
      </c>
      <c r="D51" s="63" t="n">
        <f aca="false">Grupo!D51</f>
        <v>3</v>
      </c>
      <c r="E51" s="64" t="n">
        <f aca="false">Grupo!E51</f>
        <v>1</v>
      </c>
      <c r="F51" s="65" t="str">
        <f aca="false">Grupo!G51</f>
        <v/>
      </c>
      <c r="G51" s="66" t="n">
        <f aca="false">Grupo!H51</f>
        <v>2</v>
      </c>
      <c r="H51" s="64" t="n">
        <f aca="false">Grupo!I51</f>
        <v>1</v>
      </c>
      <c r="I51" s="60" t="n">
        <f aca="false">Grupo!BS51</f>
        <v>0</v>
      </c>
    </row>
  </sheetData>
  <mergeCells count="1">
    <mergeCell ref="C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24"/>
    <col collapsed="false" customWidth="true" hidden="false" outlineLevel="0" max="10" min="4" style="1" width="6"/>
    <col collapsed="false" customWidth="true" hidden="false" outlineLevel="0" max="11" min="11" style="1" width="7"/>
    <col collapsed="false" customWidth="true" hidden="false" outlineLevel="0" max="13" min="12" style="1" width="16"/>
    <col collapsed="false" customWidth="true" hidden="false" outlineLevel="0" max="14" min="14" style="1" width="20"/>
    <col collapsed="false" customWidth="true" hidden="false" outlineLevel="0" max="17" min="15" style="1" width="14"/>
  </cols>
  <sheetData>
    <row r="1" customFormat="false" ht="24" hidden="false" customHeight="true" outlineLevel="0" collapsed="false">
      <c r="A1" s="4" t="s">
        <v>29</v>
      </c>
      <c r="B1" s="4" t="s">
        <v>31</v>
      </c>
      <c r="C1" s="4" t="s">
        <v>32</v>
      </c>
      <c r="D1" s="4" t="s">
        <v>373</v>
      </c>
      <c r="E1" s="4" t="s">
        <v>374</v>
      </c>
      <c r="F1" s="4" t="s">
        <v>375</v>
      </c>
      <c r="G1" s="4" t="s">
        <v>376</v>
      </c>
      <c r="H1" s="4" t="s">
        <v>377</v>
      </c>
      <c r="I1" s="4" t="s">
        <v>378</v>
      </c>
      <c r="J1" s="4" t="s">
        <v>379</v>
      </c>
      <c r="K1" s="4" t="s">
        <v>380</v>
      </c>
      <c r="L1" s="4" t="s">
        <v>381</v>
      </c>
      <c r="M1" s="4" t="s">
        <v>382</v>
      </c>
      <c r="N1" s="4" t="s">
        <v>383</v>
      </c>
      <c r="O1" s="4" t="s">
        <v>384</v>
      </c>
      <c r="P1" s="4" t="s">
        <v>385</v>
      </c>
      <c r="Q1" s="4" t="s">
        <v>386</v>
      </c>
      <c r="R1" s="4"/>
      <c r="S1" s="4"/>
      <c r="T1" s="4"/>
      <c r="U1" s="4"/>
      <c r="V1" s="4"/>
      <c r="W1" s="4"/>
      <c r="X1" s="4"/>
      <c r="Y1" s="4"/>
      <c r="Z1" s="4"/>
    </row>
    <row r="2" customFormat="false" ht="14.25" hidden="false" customHeight="true" outlineLevel="0" collapsed="false">
      <c r="A2" s="1" t="s">
        <v>33</v>
      </c>
      <c r="B2" s="1" t="s">
        <v>35</v>
      </c>
      <c r="C2" s="1" t="s">
        <v>36</v>
      </c>
      <c r="D2" s="1" t="n">
        <f aca="false">COUNTIFS(Partidos!$L$2:$L$73,B2,Partidos!$H$2:$H$73,"&lt;&gt;")+COUNTIFS(Partidos!$M$2:$M$73,B2,Partidos!$I$2:$I$73,"&lt;&gt;")</f>
        <v>1</v>
      </c>
      <c r="E2" s="1" t="n">
        <f aca="false">SUMPRODUCT((Partidos!$L$2:$L$73=B2)*(Partidos!$H$2:$H$73&lt;&gt;"")*(Partidos!$H$2:$H$73&gt;Partidos!$I$2:$I$73))+SUMPRODUCT((Partidos!$M$2:$M$73=B2)*(Partidos!$I$2:$I$73&lt;&gt;"")*(Partidos!$I$2:$I$73&gt;Partidos!$H$2:$H$73))</f>
        <v>1</v>
      </c>
      <c r="F2" s="1" t="n">
        <f aca="false">SUMPRODUCT((Partidos!$L$2:$L$73=B2)*(Partidos!$H$2:$H$73&lt;&gt;"")*(Partidos!$H$2:$H$73=Partidos!$I$2:$I$73))+SUMPRODUCT((Partidos!$M$2:$M$73=B2)*(Partidos!$I$2:$I$73&lt;&gt;"")*(Partidos!$I$2:$I$73=Partidos!$H$2:$H$73))</f>
        <v>0</v>
      </c>
      <c r="G2" s="1" t="n">
        <f aca="false">D2-E2-F2</f>
        <v>0</v>
      </c>
      <c r="H2" s="1" t="n">
        <f aca="false">SUMIFS(Partidos!$H$2:$H$73,Partidos!$L$2:$L$73,B2)+SUMIFS(Partidos!$I$2:$I$73,Partidos!$M$2:$M$73,B2)</f>
        <v>2</v>
      </c>
      <c r="I2" s="1" t="n">
        <f aca="false">SUMIFS(Partidos!$I$2:$I$73,Partidos!$L$2:$L$73,B2)+SUMIFS(Partidos!$H$2:$H$73,Partidos!$M$2:$M$73,B2)</f>
        <v>0</v>
      </c>
      <c r="J2" s="1" t="n">
        <f aca="false">H2-I2</f>
        <v>2</v>
      </c>
      <c r="K2" s="1" t="n">
        <f aca="false">E2*3+F2</f>
        <v>3</v>
      </c>
      <c r="L2" s="1" t="n">
        <v>0</v>
      </c>
      <c r="M2" s="1" t="str">
        <f aca="false">IF(COUNTIFS($A$2:$A$49,A2,$D$2:$D$49,"&gt;=1")&lt;4,"",1+COUNTIFS($A$2:$A$49,A2,$K$2:$K$49,"&gt;"&amp;K2)+COUNTIFS($A$2:$A$49,A2,$K$2:$K$49,K2,$L$2:$L$49,"&gt;"&amp;L2)+COUNTIFS($A$2:$A$49,A2,$K$2:$K$49,K2,$L$2:$L$49,L2,$J$2:$J$49,"&gt;"&amp;J2)+COUNTIFS($A$2:$A$49,A2,$K$2:$K$49,K2,$L$2:$L$49,L2,$J$2:$J$49,J2,$H$2:$H$49,"&gt;"&amp;H2)+SUMPRODUCT(($A$2:$A$49=A2)*($K$2:$K$49=K2)*($L$2:$L$49=L2)*($J$2:$J$49=J2)*($H$2:$H$49=H2)*(ROW($A$2:$A$49)&lt;ROW(A2))))</f>
        <v/>
      </c>
      <c r="N2" s="1" t="str">
        <f aca="false">IF(M2="","",IF(M2&lt;=2,"Directo",IF(M2=3,"Posible mejor 3°","")))</f>
        <v/>
      </c>
      <c r="O2" s="1" t="str">
        <f aca="false">IF(M2="","",A2&amp;M2)</f>
        <v/>
      </c>
      <c r="P2" s="1" t="str">
        <f aca="false">C2</f>
        <v>México</v>
      </c>
      <c r="Q2" s="1" t="str">
        <f aca="false">B2</f>
        <v>MEX</v>
      </c>
    </row>
    <row r="3" customFormat="false" ht="14.25" hidden="false" customHeight="true" outlineLevel="0" collapsed="false">
      <c r="A3" s="1" t="s">
        <v>33</v>
      </c>
      <c r="B3" s="1" t="s">
        <v>38</v>
      </c>
      <c r="C3" s="1" t="s">
        <v>39</v>
      </c>
      <c r="D3" s="1" t="n">
        <f aca="false">COUNTIFS(Partidos!$L$2:$L$73,B3,Partidos!$H$2:$H$73,"&lt;&gt;")+COUNTIFS(Partidos!$M$2:$M$73,B3,Partidos!$I$2:$I$73,"&lt;&gt;")</f>
        <v>1</v>
      </c>
      <c r="E3" s="1" t="n">
        <f aca="false">SUMPRODUCT((Partidos!$L$2:$L$73=B3)*(Partidos!$H$2:$H$73&lt;&gt;"")*(Partidos!$H$2:$H$73&gt;Partidos!$I$2:$I$73))+SUMPRODUCT((Partidos!$M$2:$M$73=B3)*(Partidos!$I$2:$I$73&lt;&gt;"")*(Partidos!$I$2:$I$73&gt;Partidos!$H$2:$H$73))</f>
        <v>0</v>
      </c>
      <c r="F3" s="1" t="n">
        <f aca="false">SUMPRODUCT((Partidos!$L$2:$L$73=B3)*(Partidos!$H$2:$H$73&lt;&gt;"")*(Partidos!$H$2:$H$73=Partidos!$I$2:$I$73))+SUMPRODUCT((Partidos!$M$2:$M$73=B3)*(Partidos!$I$2:$I$73&lt;&gt;"")*(Partidos!$I$2:$I$73=Partidos!$H$2:$H$73))</f>
        <v>0</v>
      </c>
      <c r="G3" s="1" t="n">
        <f aca="false">D3-E3-F3</f>
        <v>1</v>
      </c>
      <c r="H3" s="1" t="n">
        <f aca="false">SUMIFS(Partidos!$H$2:$H$73,Partidos!$L$2:$L$73,B3)+SUMIFS(Partidos!$I$2:$I$73,Partidos!$M$2:$M$73,B3)</f>
        <v>0</v>
      </c>
      <c r="I3" s="1" t="n">
        <f aca="false">SUMIFS(Partidos!$I$2:$I$73,Partidos!$L$2:$L$73,B3)+SUMIFS(Partidos!$H$2:$H$73,Partidos!$M$2:$M$73,B3)</f>
        <v>2</v>
      </c>
      <c r="J3" s="1" t="n">
        <f aca="false">H3-I3</f>
        <v>-2</v>
      </c>
      <c r="K3" s="1" t="n">
        <f aca="false">E3*3+F3</f>
        <v>0</v>
      </c>
      <c r="L3" s="1" t="n">
        <v>0</v>
      </c>
      <c r="M3" s="1" t="str">
        <f aca="false">IF(COUNTIFS($A$2:$A$49,A3,$D$2:$D$49,"&gt;=1")&lt;4,"",1+COUNTIFS($A$2:$A$49,A3,$K$2:$K$49,"&gt;"&amp;K3)+COUNTIFS($A$2:$A$49,A3,$K$2:$K$49,K3,$L$2:$L$49,"&gt;"&amp;L3)+COUNTIFS($A$2:$A$49,A3,$K$2:$K$49,K3,$L$2:$L$49,L3,$J$2:$J$49,"&gt;"&amp;J3)+COUNTIFS($A$2:$A$49,A3,$K$2:$K$49,K3,$L$2:$L$49,L3,$J$2:$J$49,J3,$H$2:$H$49,"&gt;"&amp;H3)+SUMPRODUCT(($A$2:$A$49=A3)*($K$2:$K$49=K3)*($L$2:$L$49=L3)*($J$2:$J$49=J3)*($H$2:$H$49=H3)*(ROW($A$2:$A$49)&lt;ROW(A3))))</f>
        <v/>
      </c>
      <c r="N3" s="1" t="str">
        <f aca="false">IF(M3="","",IF(M3&lt;=2,"Directo",IF(M3=3,"Posible mejor 3°","")))</f>
        <v/>
      </c>
      <c r="O3" s="1" t="str">
        <f aca="false">IF(M3="","",A3&amp;M3)</f>
        <v/>
      </c>
      <c r="P3" s="1" t="str">
        <f aca="false">C3</f>
        <v>Sudáfrica</v>
      </c>
      <c r="Q3" s="1" t="str">
        <f aca="false">B3</f>
        <v>RSA</v>
      </c>
    </row>
    <row r="4" customFormat="false" ht="14.25" hidden="false" customHeight="true" outlineLevel="0" collapsed="false">
      <c r="A4" s="1" t="s">
        <v>33</v>
      </c>
      <c r="B4" s="1" t="s">
        <v>41</v>
      </c>
      <c r="C4" s="1" t="s">
        <v>42</v>
      </c>
      <c r="D4" s="1" t="n">
        <f aca="false">COUNTIFS(Partidos!$L$2:$L$73,B4,Partidos!$H$2:$H$73,"&lt;&gt;")+COUNTIFS(Partidos!$M$2:$M$73,B4,Partidos!$I$2:$I$73,"&lt;&gt;")</f>
        <v>0</v>
      </c>
      <c r="E4" s="1" t="n">
        <f aca="false">SUMPRODUCT((Partidos!$L$2:$L$73=B4)*(Partidos!$H$2:$H$73&lt;&gt;"")*(Partidos!$H$2:$H$73&gt;Partidos!$I$2:$I$73))+SUMPRODUCT((Partidos!$M$2:$M$73=B4)*(Partidos!$I$2:$I$73&lt;&gt;"")*(Partidos!$I$2:$I$73&gt;Partidos!$H$2:$H$73))</f>
        <v>0</v>
      </c>
      <c r="F4" s="1" t="n">
        <f aca="false">SUMPRODUCT((Partidos!$L$2:$L$73=B4)*(Partidos!$H$2:$H$73&lt;&gt;"")*(Partidos!$H$2:$H$73=Partidos!$I$2:$I$73))+SUMPRODUCT((Partidos!$M$2:$M$73=B4)*(Partidos!$I$2:$I$73&lt;&gt;"")*(Partidos!$I$2:$I$73=Partidos!$H$2:$H$73))</f>
        <v>0</v>
      </c>
      <c r="G4" s="1" t="n">
        <f aca="false">D4-E4-F4</f>
        <v>0</v>
      </c>
      <c r="H4" s="1" t="n">
        <f aca="false">SUMIFS(Partidos!$H$2:$H$73,Partidos!$L$2:$L$73,B4)+SUMIFS(Partidos!$I$2:$I$73,Partidos!$M$2:$M$73,B4)</f>
        <v>0</v>
      </c>
      <c r="I4" s="1" t="n">
        <f aca="false">SUMIFS(Partidos!$I$2:$I$73,Partidos!$L$2:$L$73,B4)+SUMIFS(Partidos!$H$2:$H$73,Partidos!$M$2:$M$73,B4)</f>
        <v>0</v>
      </c>
      <c r="J4" s="1" t="n">
        <f aca="false">H4-I4</f>
        <v>0</v>
      </c>
      <c r="K4" s="1" t="n">
        <f aca="false">E4*3+F4</f>
        <v>0</v>
      </c>
      <c r="L4" s="1" t="n">
        <v>0</v>
      </c>
      <c r="M4" s="1" t="str">
        <f aca="false">IF(COUNTIFS($A$2:$A$49,A4,$D$2:$D$49,"&gt;=1")&lt;4,"",1+COUNTIFS($A$2:$A$49,A4,$K$2:$K$49,"&gt;"&amp;K4)+COUNTIFS($A$2:$A$49,A4,$K$2:$K$49,K4,$L$2:$L$49,"&gt;"&amp;L4)+COUNTIFS($A$2:$A$49,A4,$K$2:$K$49,K4,$L$2:$L$49,L4,$J$2:$J$49,"&gt;"&amp;J4)+COUNTIFS($A$2:$A$49,A4,$K$2:$K$49,K4,$L$2:$L$49,L4,$J$2:$J$49,J4,$H$2:$H$49,"&gt;"&amp;H4)+SUMPRODUCT(($A$2:$A$49=A4)*($K$2:$K$49=K4)*($L$2:$L$49=L4)*($J$2:$J$49=J4)*($H$2:$H$49=H4)*(ROW($A$2:$A$49)&lt;ROW(A4))))</f>
        <v/>
      </c>
      <c r="N4" s="1" t="str">
        <f aca="false">IF(M4="","",IF(M4&lt;=2,"Directo",IF(M4=3,"Posible mejor 3°","")))</f>
        <v/>
      </c>
      <c r="O4" s="1" t="str">
        <f aca="false">IF(M4="","",A4&amp;M4)</f>
        <v/>
      </c>
      <c r="P4" s="1" t="str">
        <f aca="false">C4</f>
        <v>Corea República</v>
      </c>
      <c r="Q4" s="1" t="str">
        <f aca="false">B4</f>
        <v>KOR</v>
      </c>
    </row>
    <row r="5" customFormat="false" ht="14.25" hidden="false" customHeight="true" outlineLevel="0" collapsed="false">
      <c r="A5" s="1" t="s">
        <v>33</v>
      </c>
      <c r="B5" s="1" t="s">
        <v>44</v>
      </c>
      <c r="C5" s="1" t="s">
        <v>45</v>
      </c>
      <c r="D5" s="1" t="n">
        <f aca="false">COUNTIFS(Partidos!$L$2:$L$73,B5,Partidos!$H$2:$H$73,"&lt;&gt;")+COUNTIFS(Partidos!$M$2:$M$73,B5,Partidos!$I$2:$I$73,"&lt;&gt;")</f>
        <v>0</v>
      </c>
      <c r="E5" s="1" t="n">
        <f aca="false">SUMPRODUCT((Partidos!$L$2:$L$73=B5)*(Partidos!$H$2:$H$73&lt;&gt;"")*(Partidos!$H$2:$H$73&gt;Partidos!$I$2:$I$73))+SUMPRODUCT((Partidos!$M$2:$M$73=B5)*(Partidos!$I$2:$I$73&lt;&gt;"")*(Partidos!$I$2:$I$73&gt;Partidos!$H$2:$H$73))</f>
        <v>0</v>
      </c>
      <c r="F5" s="1" t="n">
        <f aca="false">SUMPRODUCT((Partidos!$L$2:$L$73=B5)*(Partidos!$H$2:$H$73&lt;&gt;"")*(Partidos!$H$2:$H$73=Partidos!$I$2:$I$73))+SUMPRODUCT((Partidos!$M$2:$M$73=B5)*(Partidos!$I$2:$I$73&lt;&gt;"")*(Partidos!$I$2:$I$73=Partidos!$H$2:$H$73))</f>
        <v>0</v>
      </c>
      <c r="G5" s="1" t="n">
        <f aca="false">D5-E5-F5</f>
        <v>0</v>
      </c>
      <c r="H5" s="1" t="n">
        <f aca="false">SUMIFS(Partidos!$H$2:$H$73,Partidos!$L$2:$L$73,B5)+SUMIFS(Partidos!$I$2:$I$73,Partidos!$M$2:$M$73,B5)</f>
        <v>0</v>
      </c>
      <c r="I5" s="1" t="n">
        <f aca="false">SUMIFS(Partidos!$I$2:$I$73,Partidos!$L$2:$L$73,B5)+SUMIFS(Partidos!$H$2:$H$73,Partidos!$M$2:$M$73,B5)</f>
        <v>0</v>
      </c>
      <c r="J5" s="1" t="n">
        <f aca="false">H5-I5</f>
        <v>0</v>
      </c>
      <c r="K5" s="1" t="n">
        <f aca="false">E5*3+F5</f>
        <v>0</v>
      </c>
      <c r="L5" s="1" t="n">
        <v>0</v>
      </c>
      <c r="M5" s="1" t="str">
        <f aca="false">IF(COUNTIFS($A$2:$A$49,A5,$D$2:$D$49,"&gt;=1")&lt;4,"",1+COUNTIFS($A$2:$A$49,A5,$K$2:$K$49,"&gt;"&amp;K5)+COUNTIFS($A$2:$A$49,A5,$K$2:$K$49,K5,$L$2:$L$49,"&gt;"&amp;L5)+COUNTIFS($A$2:$A$49,A5,$K$2:$K$49,K5,$L$2:$L$49,L5,$J$2:$J$49,"&gt;"&amp;J5)+COUNTIFS($A$2:$A$49,A5,$K$2:$K$49,K5,$L$2:$L$49,L5,$J$2:$J$49,J5,$H$2:$H$49,"&gt;"&amp;H5)+SUMPRODUCT(($A$2:$A$49=A5)*($K$2:$K$49=K5)*($L$2:$L$49=L5)*($J$2:$J$49=J5)*($H$2:$H$49=H5)*(ROW($A$2:$A$49)&lt;ROW(A5))))</f>
        <v/>
      </c>
      <c r="N5" s="1" t="str">
        <f aca="false">IF(M5="","",IF(M5&lt;=2,"Directo",IF(M5=3,"Posible mejor 3°","")))</f>
        <v/>
      </c>
      <c r="O5" s="1" t="str">
        <f aca="false">IF(M5="","",A5&amp;M5)</f>
        <v/>
      </c>
      <c r="P5" s="1" t="str">
        <f aca="false">C5</f>
        <v>Chequia</v>
      </c>
      <c r="Q5" s="1" t="str">
        <f aca="false">B5</f>
        <v>CZE</v>
      </c>
    </row>
    <row r="6" customFormat="false" ht="14.25" hidden="false" customHeight="true" outlineLevel="0" collapsed="false">
      <c r="A6" s="1" t="s">
        <v>46</v>
      </c>
      <c r="B6" s="1" t="s">
        <v>48</v>
      </c>
      <c r="C6" s="1" t="s">
        <v>49</v>
      </c>
      <c r="D6" s="1" t="n">
        <f aca="false">COUNTIFS(Partidos!$L$2:$L$73,B6,Partidos!$H$2:$H$73,"&lt;&gt;")+COUNTIFS(Partidos!$M$2:$M$73,B6,Partidos!$I$2:$I$73,"&lt;&gt;")</f>
        <v>0</v>
      </c>
      <c r="E6" s="1" t="n">
        <f aca="false">SUMPRODUCT((Partidos!$L$2:$L$73=B6)*(Partidos!$H$2:$H$73&lt;&gt;"")*(Partidos!$H$2:$H$73&gt;Partidos!$I$2:$I$73))+SUMPRODUCT((Partidos!$M$2:$M$73=B6)*(Partidos!$I$2:$I$73&lt;&gt;"")*(Partidos!$I$2:$I$73&gt;Partidos!$H$2:$H$73))</f>
        <v>0</v>
      </c>
      <c r="F6" s="1" t="n">
        <f aca="false">SUMPRODUCT((Partidos!$L$2:$L$73=B6)*(Partidos!$H$2:$H$73&lt;&gt;"")*(Partidos!$H$2:$H$73=Partidos!$I$2:$I$73))+SUMPRODUCT((Partidos!$M$2:$M$73=B6)*(Partidos!$I$2:$I$73&lt;&gt;"")*(Partidos!$I$2:$I$73=Partidos!$H$2:$H$73))</f>
        <v>0</v>
      </c>
      <c r="G6" s="1" t="n">
        <f aca="false">D6-E6-F6</f>
        <v>0</v>
      </c>
      <c r="H6" s="1" t="n">
        <f aca="false">SUMIFS(Partidos!$H$2:$H$73,Partidos!$L$2:$L$73,B6)+SUMIFS(Partidos!$I$2:$I$73,Partidos!$M$2:$M$73,B6)</f>
        <v>0</v>
      </c>
      <c r="I6" s="1" t="n">
        <f aca="false">SUMIFS(Partidos!$I$2:$I$73,Partidos!$L$2:$L$73,B6)+SUMIFS(Partidos!$H$2:$H$73,Partidos!$M$2:$M$73,B6)</f>
        <v>0</v>
      </c>
      <c r="J6" s="1" t="n">
        <f aca="false">H6-I6</f>
        <v>0</v>
      </c>
      <c r="K6" s="1" t="n">
        <f aca="false">E6*3+F6</f>
        <v>0</v>
      </c>
      <c r="L6" s="1" t="n">
        <v>0</v>
      </c>
      <c r="M6" s="1" t="str">
        <f aca="false">IF(COUNTIFS($A$2:$A$49,A6,$D$2:$D$49,"&gt;=1")&lt;4,"",1+COUNTIFS($A$2:$A$49,A6,$K$2:$K$49,"&gt;"&amp;K6)+COUNTIFS($A$2:$A$49,A6,$K$2:$K$49,K6,$L$2:$L$49,"&gt;"&amp;L6)+COUNTIFS($A$2:$A$49,A6,$K$2:$K$49,K6,$L$2:$L$49,L6,$J$2:$J$49,"&gt;"&amp;J6)+COUNTIFS($A$2:$A$49,A6,$K$2:$K$49,K6,$L$2:$L$49,L6,$J$2:$J$49,J6,$H$2:$H$49,"&gt;"&amp;H6)+SUMPRODUCT(($A$2:$A$49=A6)*($K$2:$K$49=K6)*($L$2:$L$49=L6)*($J$2:$J$49=J6)*($H$2:$H$49=H6)*(ROW($A$2:$A$49)&lt;ROW(A6))))</f>
        <v/>
      </c>
      <c r="N6" s="1" t="str">
        <f aca="false">IF(M6="","",IF(M6&lt;=2,"Directo",IF(M6=3,"Posible mejor 3°","")))</f>
        <v/>
      </c>
      <c r="O6" s="1" t="str">
        <f aca="false">IF(M6="","",A6&amp;M6)</f>
        <v/>
      </c>
      <c r="P6" s="1" t="str">
        <f aca="false">C6</f>
        <v>Canadá</v>
      </c>
      <c r="Q6" s="1" t="str">
        <f aca="false">B6</f>
        <v>CAN</v>
      </c>
    </row>
    <row r="7" customFormat="false" ht="14.25" hidden="false" customHeight="true" outlineLevel="0" collapsed="false">
      <c r="A7" s="1" t="s">
        <v>46</v>
      </c>
      <c r="B7" s="1" t="s">
        <v>51</v>
      </c>
      <c r="C7" s="1" t="s">
        <v>52</v>
      </c>
      <c r="D7" s="1" t="n">
        <f aca="false">COUNTIFS(Partidos!$L$2:$L$73,B7,Partidos!$H$2:$H$73,"&lt;&gt;")+COUNTIFS(Partidos!$M$2:$M$73,B7,Partidos!$I$2:$I$73,"&lt;&gt;")</f>
        <v>0</v>
      </c>
      <c r="E7" s="1" t="n">
        <f aca="false">SUMPRODUCT((Partidos!$L$2:$L$73=B7)*(Partidos!$H$2:$H$73&lt;&gt;"")*(Partidos!$H$2:$H$73&gt;Partidos!$I$2:$I$73))+SUMPRODUCT((Partidos!$M$2:$M$73=B7)*(Partidos!$I$2:$I$73&lt;&gt;"")*(Partidos!$I$2:$I$73&gt;Partidos!$H$2:$H$73))</f>
        <v>0</v>
      </c>
      <c r="F7" s="1" t="n">
        <f aca="false">SUMPRODUCT((Partidos!$L$2:$L$73=B7)*(Partidos!$H$2:$H$73&lt;&gt;"")*(Partidos!$H$2:$H$73=Partidos!$I$2:$I$73))+SUMPRODUCT((Partidos!$M$2:$M$73=B7)*(Partidos!$I$2:$I$73&lt;&gt;"")*(Partidos!$I$2:$I$73=Partidos!$H$2:$H$73))</f>
        <v>0</v>
      </c>
      <c r="G7" s="1" t="n">
        <f aca="false">D7-E7-F7</f>
        <v>0</v>
      </c>
      <c r="H7" s="1" t="n">
        <f aca="false">SUMIFS(Partidos!$H$2:$H$73,Partidos!$L$2:$L$73,B7)+SUMIFS(Partidos!$I$2:$I$73,Partidos!$M$2:$M$73,B7)</f>
        <v>0</v>
      </c>
      <c r="I7" s="1" t="n">
        <f aca="false">SUMIFS(Partidos!$I$2:$I$73,Partidos!$L$2:$L$73,B7)+SUMIFS(Partidos!$H$2:$H$73,Partidos!$M$2:$M$73,B7)</f>
        <v>0</v>
      </c>
      <c r="J7" s="1" t="n">
        <f aca="false">H7-I7</f>
        <v>0</v>
      </c>
      <c r="K7" s="1" t="n">
        <f aca="false">E7*3+F7</f>
        <v>0</v>
      </c>
      <c r="L7" s="1" t="n">
        <v>0</v>
      </c>
      <c r="M7" s="1" t="str">
        <f aca="false">IF(COUNTIFS($A$2:$A$49,A7,$D$2:$D$49,"&gt;=1")&lt;4,"",1+COUNTIFS($A$2:$A$49,A7,$K$2:$K$49,"&gt;"&amp;K7)+COUNTIFS($A$2:$A$49,A7,$K$2:$K$49,K7,$L$2:$L$49,"&gt;"&amp;L7)+COUNTIFS($A$2:$A$49,A7,$K$2:$K$49,K7,$L$2:$L$49,L7,$J$2:$J$49,"&gt;"&amp;J7)+COUNTIFS($A$2:$A$49,A7,$K$2:$K$49,K7,$L$2:$L$49,L7,$J$2:$J$49,J7,$H$2:$H$49,"&gt;"&amp;H7)+SUMPRODUCT(($A$2:$A$49=A7)*($K$2:$K$49=K7)*($L$2:$L$49=L7)*($J$2:$J$49=J7)*($H$2:$H$49=H7)*(ROW($A$2:$A$49)&lt;ROW(A7))))</f>
        <v/>
      </c>
      <c r="N7" s="1" t="str">
        <f aca="false">IF(M7="","",IF(M7&lt;=2,"Directo",IF(M7=3,"Posible mejor 3°","")))</f>
        <v/>
      </c>
      <c r="O7" s="1" t="str">
        <f aca="false">IF(M7="","",A7&amp;M7)</f>
        <v/>
      </c>
      <c r="P7" s="1" t="str">
        <f aca="false">C7</f>
        <v>Bosnia y Herzegovina</v>
      </c>
      <c r="Q7" s="1" t="str">
        <f aca="false">B7</f>
        <v>BIH</v>
      </c>
    </row>
    <row r="8" customFormat="false" ht="14.25" hidden="false" customHeight="true" outlineLevel="0" collapsed="false">
      <c r="A8" s="1" t="s">
        <v>46</v>
      </c>
      <c r="B8" s="1" t="s">
        <v>54</v>
      </c>
      <c r="C8" s="1" t="s">
        <v>55</v>
      </c>
      <c r="D8" s="1" t="n">
        <f aca="false">COUNTIFS(Partidos!$L$2:$L$73,B8,Partidos!$H$2:$H$73,"&lt;&gt;")+COUNTIFS(Partidos!$M$2:$M$73,B8,Partidos!$I$2:$I$73,"&lt;&gt;")</f>
        <v>0</v>
      </c>
      <c r="E8" s="1" t="n">
        <f aca="false">SUMPRODUCT((Partidos!$L$2:$L$73=B8)*(Partidos!$H$2:$H$73&lt;&gt;"")*(Partidos!$H$2:$H$73&gt;Partidos!$I$2:$I$73))+SUMPRODUCT((Partidos!$M$2:$M$73=B8)*(Partidos!$I$2:$I$73&lt;&gt;"")*(Partidos!$I$2:$I$73&gt;Partidos!$H$2:$H$73))</f>
        <v>0</v>
      </c>
      <c r="F8" s="1" t="n">
        <f aca="false">SUMPRODUCT((Partidos!$L$2:$L$73=B8)*(Partidos!$H$2:$H$73&lt;&gt;"")*(Partidos!$H$2:$H$73=Partidos!$I$2:$I$73))+SUMPRODUCT((Partidos!$M$2:$M$73=B8)*(Partidos!$I$2:$I$73&lt;&gt;"")*(Partidos!$I$2:$I$73=Partidos!$H$2:$H$73))</f>
        <v>0</v>
      </c>
      <c r="G8" s="1" t="n">
        <f aca="false">D8-E8-F8</f>
        <v>0</v>
      </c>
      <c r="H8" s="1" t="n">
        <f aca="false">SUMIFS(Partidos!$H$2:$H$73,Partidos!$L$2:$L$73,B8)+SUMIFS(Partidos!$I$2:$I$73,Partidos!$M$2:$M$73,B8)</f>
        <v>0</v>
      </c>
      <c r="I8" s="1" t="n">
        <f aca="false">SUMIFS(Partidos!$I$2:$I$73,Partidos!$L$2:$L$73,B8)+SUMIFS(Partidos!$H$2:$H$73,Partidos!$M$2:$M$73,B8)</f>
        <v>0</v>
      </c>
      <c r="J8" s="1" t="n">
        <f aca="false">H8-I8</f>
        <v>0</v>
      </c>
      <c r="K8" s="1" t="n">
        <f aca="false">E8*3+F8</f>
        <v>0</v>
      </c>
      <c r="L8" s="1" t="n">
        <v>0</v>
      </c>
      <c r="M8" s="1" t="str">
        <f aca="false">IF(COUNTIFS($A$2:$A$49,A8,$D$2:$D$49,"&gt;=1")&lt;4,"",1+COUNTIFS($A$2:$A$49,A8,$K$2:$K$49,"&gt;"&amp;K8)+COUNTIFS($A$2:$A$49,A8,$K$2:$K$49,K8,$L$2:$L$49,"&gt;"&amp;L8)+COUNTIFS($A$2:$A$49,A8,$K$2:$K$49,K8,$L$2:$L$49,L8,$J$2:$J$49,"&gt;"&amp;J8)+COUNTIFS($A$2:$A$49,A8,$K$2:$K$49,K8,$L$2:$L$49,L8,$J$2:$J$49,J8,$H$2:$H$49,"&gt;"&amp;H8)+SUMPRODUCT(($A$2:$A$49=A8)*($K$2:$K$49=K8)*($L$2:$L$49=L8)*($J$2:$J$49=J8)*($H$2:$H$49=H8)*(ROW($A$2:$A$49)&lt;ROW(A8))))</f>
        <v/>
      </c>
      <c r="N8" s="1" t="str">
        <f aca="false">IF(M8="","",IF(M8&lt;=2,"Directo",IF(M8=3,"Posible mejor 3°","")))</f>
        <v/>
      </c>
      <c r="O8" s="1" t="str">
        <f aca="false">IF(M8="","",A8&amp;M8)</f>
        <v/>
      </c>
      <c r="P8" s="1" t="str">
        <f aca="false">C8</f>
        <v>Qatar</v>
      </c>
      <c r="Q8" s="1" t="str">
        <f aca="false">B8</f>
        <v>QAT</v>
      </c>
    </row>
    <row r="9" customFormat="false" ht="14.25" hidden="false" customHeight="true" outlineLevel="0" collapsed="false">
      <c r="A9" s="1" t="s">
        <v>46</v>
      </c>
      <c r="B9" s="1" t="s">
        <v>57</v>
      </c>
      <c r="C9" s="1" t="s">
        <v>58</v>
      </c>
      <c r="D9" s="1" t="n">
        <f aca="false">COUNTIFS(Partidos!$L$2:$L$73,B9,Partidos!$H$2:$H$73,"&lt;&gt;")+COUNTIFS(Partidos!$M$2:$M$73,B9,Partidos!$I$2:$I$73,"&lt;&gt;")</f>
        <v>0</v>
      </c>
      <c r="E9" s="1" t="n">
        <f aca="false">SUMPRODUCT((Partidos!$L$2:$L$73=B9)*(Partidos!$H$2:$H$73&lt;&gt;"")*(Partidos!$H$2:$H$73&gt;Partidos!$I$2:$I$73))+SUMPRODUCT((Partidos!$M$2:$M$73=B9)*(Partidos!$I$2:$I$73&lt;&gt;"")*(Partidos!$I$2:$I$73&gt;Partidos!$H$2:$H$73))</f>
        <v>0</v>
      </c>
      <c r="F9" s="1" t="n">
        <f aca="false">SUMPRODUCT((Partidos!$L$2:$L$73=B9)*(Partidos!$H$2:$H$73&lt;&gt;"")*(Partidos!$H$2:$H$73=Partidos!$I$2:$I$73))+SUMPRODUCT((Partidos!$M$2:$M$73=B9)*(Partidos!$I$2:$I$73&lt;&gt;"")*(Partidos!$I$2:$I$73=Partidos!$H$2:$H$73))</f>
        <v>0</v>
      </c>
      <c r="G9" s="1" t="n">
        <f aca="false">D9-E9-F9</f>
        <v>0</v>
      </c>
      <c r="H9" s="1" t="n">
        <f aca="false">SUMIFS(Partidos!$H$2:$H$73,Partidos!$L$2:$L$73,B9)+SUMIFS(Partidos!$I$2:$I$73,Partidos!$M$2:$M$73,B9)</f>
        <v>0</v>
      </c>
      <c r="I9" s="1" t="n">
        <f aca="false">SUMIFS(Partidos!$I$2:$I$73,Partidos!$L$2:$L$73,B9)+SUMIFS(Partidos!$H$2:$H$73,Partidos!$M$2:$M$73,B9)</f>
        <v>0</v>
      </c>
      <c r="J9" s="1" t="n">
        <f aca="false">H9-I9</f>
        <v>0</v>
      </c>
      <c r="K9" s="1" t="n">
        <f aca="false">E9*3+F9</f>
        <v>0</v>
      </c>
      <c r="L9" s="1" t="n">
        <v>0</v>
      </c>
      <c r="M9" s="1" t="str">
        <f aca="false">IF(COUNTIFS($A$2:$A$49,A9,$D$2:$D$49,"&gt;=1")&lt;4,"",1+COUNTIFS($A$2:$A$49,A9,$K$2:$K$49,"&gt;"&amp;K9)+COUNTIFS($A$2:$A$49,A9,$K$2:$K$49,K9,$L$2:$L$49,"&gt;"&amp;L9)+COUNTIFS($A$2:$A$49,A9,$K$2:$K$49,K9,$L$2:$L$49,L9,$J$2:$J$49,"&gt;"&amp;J9)+COUNTIFS($A$2:$A$49,A9,$K$2:$K$49,K9,$L$2:$L$49,L9,$J$2:$J$49,J9,$H$2:$H$49,"&gt;"&amp;H9)+SUMPRODUCT(($A$2:$A$49=A9)*($K$2:$K$49=K9)*($L$2:$L$49=L9)*($J$2:$J$49=J9)*($H$2:$H$49=H9)*(ROW($A$2:$A$49)&lt;ROW(A9))))</f>
        <v/>
      </c>
      <c r="N9" s="1" t="str">
        <f aca="false">IF(M9="","",IF(M9&lt;=2,"Directo",IF(M9=3,"Posible mejor 3°","")))</f>
        <v/>
      </c>
      <c r="O9" s="1" t="str">
        <f aca="false">IF(M9="","",A9&amp;M9)</f>
        <v/>
      </c>
      <c r="P9" s="1" t="str">
        <f aca="false">C9</f>
        <v>Suiza</v>
      </c>
      <c r="Q9" s="1" t="str">
        <f aca="false">B9</f>
        <v>SUI</v>
      </c>
    </row>
    <row r="10" customFormat="false" ht="14.25" hidden="false" customHeight="true" outlineLevel="0" collapsed="false">
      <c r="A10" s="1" t="s">
        <v>59</v>
      </c>
      <c r="B10" s="1" t="s">
        <v>61</v>
      </c>
      <c r="C10" s="1" t="s">
        <v>62</v>
      </c>
      <c r="D10" s="1" t="n">
        <f aca="false">COUNTIFS(Partidos!$L$2:$L$73,B10,Partidos!$H$2:$H$73,"&lt;&gt;")+COUNTIFS(Partidos!$M$2:$M$73,B10,Partidos!$I$2:$I$73,"&lt;&gt;")</f>
        <v>0</v>
      </c>
      <c r="E10" s="1" t="n">
        <f aca="false">SUMPRODUCT((Partidos!$L$2:$L$73=B10)*(Partidos!$H$2:$H$73&lt;&gt;"")*(Partidos!$H$2:$H$73&gt;Partidos!$I$2:$I$73))+SUMPRODUCT((Partidos!$M$2:$M$73=B10)*(Partidos!$I$2:$I$73&lt;&gt;"")*(Partidos!$I$2:$I$73&gt;Partidos!$H$2:$H$73))</f>
        <v>0</v>
      </c>
      <c r="F10" s="1" t="n">
        <f aca="false">SUMPRODUCT((Partidos!$L$2:$L$73=B10)*(Partidos!$H$2:$H$73&lt;&gt;"")*(Partidos!$H$2:$H$73=Partidos!$I$2:$I$73))+SUMPRODUCT((Partidos!$M$2:$M$73=B10)*(Partidos!$I$2:$I$73&lt;&gt;"")*(Partidos!$I$2:$I$73=Partidos!$H$2:$H$73))</f>
        <v>0</v>
      </c>
      <c r="G10" s="1" t="n">
        <f aca="false">D10-E10-F10</f>
        <v>0</v>
      </c>
      <c r="H10" s="1" t="n">
        <f aca="false">SUMIFS(Partidos!$H$2:$H$73,Partidos!$L$2:$L$73,B10)+SUMIFS(Partidos!$I$2:$I$73,Partidos!$M$2:$M$73,B10)</f>
        <v>0</v>
      </c>
      <c r="I10" s="1" t="n">
        <f aca="false">SUMIFS(Partidos!$I$2:$I$73,Partidos!$L$2:$L$73,B10)+SUMIFS(Partidos!$H$2:$H$73,Partidos!$M$2:$M$73,B10)</f>
        <v>0</v>
      </c>
      <c r="J10" s="1" t="n">
        <f aca="false">H10-I10</f>
        <v>0</v>
      </c>
      <c r="K10" s="1" t="n">
        <f aca="false">E10*3+F10</f>
        <v>0</v>
      </c>
      <c r="L10" s="1" t="n">
        <v>0</v>
      </c>
      <c r="M10" s="1" t="str">
        <f aca="false">IF(COUNTIFS($A$2:$A$49,A10,$D$2:$D$49,"&gt;=1")&lt;4,"",1+COUNTIFS($A$2:$A$49,A10,$K$2:$K$49,"&gt;"&amp;K10)+COUNTIFS($A$2:$A$49,A10,$K$2:$K$49,K10,$L$2:$L$49,"&gt;"&amp;L10)+COUNTIFS($A$2:$A$49,A10,$K$2:$K$49,K10,$L$2:$L$49,L10,$J$2:$J$49,"&gt;"&amp;J10)+COUNTIFS($A$2:$A$49,A10,$K$2:$K$49,K10,$L$2:$L$49,L10,$J$2:$J$49,J10,$H$2:$H$49,"&gt;"&amp;H10)+SUMPRODUCT(($A$2:$A$49=A10)*($K$2:$K$49=K10)*($L$2:$L$49=L10)*($J$2:$J$49=J10)*($H$2:$H$49=H10)*(ROW($A$2:$A$49)&lt;ROW(A10))))</f>
        <v/>
      </c>
      <c r="N10" s="1" t="str">
        <f aca="false">IF(M10="","",IF(M10&lt;=2,"Directo",IF(M10=3,"Posible mejor 3°","")))</f>
        <v/>
      </c>
      <c r="O10" s="1" t="str">
        <f aca="false">IF(M10="","",A10&amp;M10)</f>
        <v/>
      </c>
      <c r="P10" s="1" t="str">
        <f aca="false">C10</f>
        <v>Brasil</v>
      </c>
      <c r="Q10" s="1" t="str">
        <f aca="false">B10</f>
        <v>BRA</v>
      </c>
    </row>
    <row r="11" customFormat="false" ht="14.25" hidden="false" customHeight="true" outlineLevel="0" collapsed="false">
      <c r="A11" s="1" t="s">
        <v>59</v>
      </c>
      <c r="B11" s="1" t="s">
        <v>64</v>
      </c>
      <c r="C11" s="1" t="s">
        <v>65</v>
      </c>
      <c r="D11" s="1" t="n">
        <f aca="false">COUNTIFS(Partidos!$L$2:$L$73,B11,Partidos!$H$2:$H$73,"&lt;&gt;")+COUNTIFS(Partidos!$M$2:$M$73,B11,Partidos!$I$2:$I$73,"&lt;&gt;")</f>
        <v>0</v>
      </c>
      <c r="E11" s="1" t="n">
        <f aca="false">SUMPRODUCT((Partidos!$L$2:$L$73=B11)*(Partidos!$H$2:$H$73&lt;&gt;"")*(Partidos!$H$2:$H$73&gt;Partidos!$I$2:$I$73))+SUMPRODUCT((Partidos!$M$2:$M$73=B11)*(Partidos!$I$2:$I$73&lt;&gt;"")*(Partidos!$I$2:$I$73&gt;Partidos!$H$2:$H$73))</f>
        <v>0</v>
      </c>
      <c r="F11" s="1" t="n">
        <f aca="false">SUMPRODUCT((Partidos!$L$2:$L$73=B11)*(Partidos!$H$2:$H$73&lt;&gt;"")*(Partidos!$H$2:$H$73=Partidos!$I$2:$I$73))+SUMPRODUCT((Partidos!$M$2:$M$73=B11)*(Partidos!$I$2:$I$73&lt;&gt;"")*(Partidos!$I$2:$I$73=Partidos!$H$2:$H$73))</f>
        <v>0</v>
      </c>
      <c r="G11" s="1" t="n">
        <f aca="false">D11-E11-F11</f>
        <v>0</v>
      </c>
      <c r="H11" s="1" t="n">
        <f aca="false">SUMIFS(Partidos!$H$2:$H$73,Partidos!$L$2:$L$73,B11)+SUMIFS(Partidos!$I$2:$I$73,Partidos!$M$2:$M$73,B11)</f>
        <v>0</v>
      </c>
      <c r="I11" s="1" t="n">
        <f aca="false">SUMIFS(Partidos!$I$2:$I$73,Partidos!$L$2:$L$73,B11)+SUMIFS(Partidos!$H$2:$H$73,Partidos!$M$2:$M$73,B11)</f>
        <v>0</v>
      </c>
      <c r="J11" s="1" t="n">
        <f aca="false">H11-I11</f>
        <v>0</v>
      </c>
      <c r="K11" s="1" t="n">
        <f aca="false">E11*3+F11</f>
        <v>0</v>
      </c>
      <c r="L11" s="1" t="n">
        <v>0</v>
      </c>
      <c r="M11" s="1" t="str">
        <f aca="false">IF(COUNTIFS($A$2:$A$49,A11,$D$2:$D$49,"&gt;=1")&lt;4,"",1+COUNTIFS($A$2:$A$49,A11,$K$2:$K$49,"&gt;"&amp;K11)+COUNTIFS($A$2:$A$49,A11,$K$2:$K$49,K11,$L$2:$L$49,"&gt;"&amp;L11)+COUNTIFS($A$2:$A$49,A11,$K$2:$K$49,K11,$L$2:$L$49,L11,$J$2:$J$49,"&gt;"&amp;J11)+COUNTIFS($A$2:$A$49,A11,$K$2:$K$49,K11,$L$2:$L$49,L11,$J$2:$J$49,J11,$H$2:$H$49,"&gt;"&amp;H11)+SUMPRODUCT(($A$2:$A$49=A11)*($K$2:$K$49=K11)*($L$2:$L$49=L11)*($J$2:$J$49=J11)*($H$2:$H$49=H11)*(ROW($A$2:$A$49)&lt;ROW(A11))))</f>
        <v/>
      </c>
      <c r="N11" s="1" t="str">
        <f aca="false">IF(M11="","",IF(M11&lt;=2,"Directo",IF(M11=3,"Posible mejor 3°","")))</f>
        <v/>
      </c>
      <c r="O11" s="1" t="str">
        <f aca="false">IF(M11="","",A11&amp;M11)</f>
        <v/>
      </c>
      <c r="P11" s="1" t="str">
        <f aca="false">C11</f>
        <v>Marruecos</v>
      </c>
      <c r="Q11" s="1" t="str">
        <f aca="false">B11</f>
        <v>MAR</v>
      </c>
    </row>
    <row r="12" customFormat="false" ht="14.25" hidden="false" customHeight="true" outlineLevel="0" collapsed="false">
      <c r="A12" s="1" t="s">
        <v>59</v>
      </c>
      <c r="B12" s="1" t="s">
        <v>67</v>
      </c>
      <c r="C12" s="1" t="s">
        <v>68</v>
      </c>
      <c r="D12" s="1" t="n">
        <f aca="false">COUNTIFS(Partidos!$L$2:$L$73,B12,Partidos!$H$2:$H$73,"&lt;&gt;")+COUNTIFS(Partidos!$M$2:$M$73,B12,Partidos!$I$2:$I$73,"&lt;&gt;")</f>
        <v>0</v>
      </c>
      <c r="E12" s="1" t="n">
        <f aca="false">SUMPRODUCT((Partidos!$L$2:$L$73=B12)*(Partidos!$H$2:$H$73&lt;&gt;"")*(Partidos!$H$2:$H$73&gt;Partidos!$I$2:$I$73))+SUMPRODUCT((Partidos!$M$2:$M$73=B12)*(Partidos!$I$2:$I$73&lt;&gt;"")*(Partidos!$I$2:$I$73&gt;Partidos!$H$2:$H$73))</f>
        <v>0</v>
      </c>
      <c r="F12" s="1" t="n">
        <f aca="false">SUMPRODUCT((Partidos!$L$2:$L$73=B12)*(Partidos!$H$2:$H$73&lt;&gt;"")*(Partidos!$H$2:$H$73=Partidos!$I$2:$I$73))+SUMPRODUCT((Partidos!$M$2:$M$73=B12)*(Partidos!$I$2:$I$73&lt;&gt;"")*(Partidos!$I$2:$I$73=Partidos!$H$2:$H$73))</f>
        <v>0</v>
      </c>
      <c r="G12" s="1" t="n">
        <f aca="false">D12-E12-F12</f>
        <v>0</v>
      </c>
      <c r="H12" s="1" t="n">
        <f aca="false">SUMIFS(Partidos!$H$2:$H$73,Partidos!$L$2:$L$73,B12)+SUMIFS(Partidos!$I$2:$I$73,Partidos!$M$2:$M$73,B12)</f>
        <v>0</v>
      </c>
      <c r="I12" s="1" t="n">
        <f aca="false">SUMIFS(Partidos!$I$2:$I$73,Partidos!$L$2:$L$73,B12)+SUMIFS(Partidos!$H$2:$H$73,Partidos!$M$2:$M$73,B12)</f>
        <v>0</v>
      </c>
      <c r="J12" s="1" t="n">
        <f aca="false">H12-I12</f>
        <v>0</v>
      </c>
      <c r="K12" s="1" t="n">
        <f aca="false">E12*3+F12</f>
        <v>0</v>
      </c>
      <c r="L12" s="1" t="n">
        <v>0</v>
      </c>
      <c r="M12" s="1" t="str">
        <f aca="false">IF(COUNTIFS($A$2:$A$49,A12,$D$2:$D$49,"&gt;=1")&lt;4,"",1+COUNTIFS($A$2:$A$49,A12,$K$2:$K$49,"&gt;"&amp;K12)+COUNTIFS($A$2:$A$49,A12,$K$2:$K$49,K12,$L$2:$L$49,"&gt;"&amp;L12)+COUNTIFS($A$2:$A$49,A12,$K$2:$K$49,K12,$L$2:$L$49,L12,$J$2:$J$49,"&gt;"&amp;J12)+COUNTIFS($A$2:$A$49,A12,$K$2:$K$49,K12,$L$2:$L$49,L12,$J$2:$J$49,J12,$H$2:$H$49,"&gt;"&amp;H12)+SUMPRODUCT(($A$2:$A$49=A12)*($K$2:$K$49=K12)*($L$2:$L$49=L12)*($J$2:$J$49=J12)*($H$2:$H$49=H12)*(ROW($A$2:$A$49)&lt;ROW(A12))))</f>
        <v/>
      </c>
      <c r="N12" s="1" t="str">
        <f aca="false">IF(M12="","",IF(M12&lt;=2,"Directo",IF(M12=3,"Posible mejor 3°","")))</f>
        <v/>
      </c>
      <c r="O12" s="1" t="str">
        <f aca="false">IF(M12="","",A12&amp;M12)</f>
        <v/>
      </c>
      <c r="P12" s="1" t="str">
        <f aca="false">C12</f>
        <v>Haití</v>
      </c>
      <c r="Q12" s="1" t="str">
        <f aca="false">B12</f>
        <v>HAI</v>
      </c>
    </row>
    <row r="13" customFormat="false" ht="14.25" hidden="false" customHeight="true" outlineLevel="0" collapsed="false">
      <c r="A13" s="1" t="s">
        <v>59</v>
      </c>
      <c r="B13" s="1" t="s">
        <v>70</v>
      </c>
      <c r="C13" s="1" t="s">
        <v>71</v>
      </c>
      <c r="D13" s="1" t="n">
        <f aca="false">COUNTIFS(Partidos!$L$2:$L$73,B13,Partidos!$H$2:$H$73,"&lt;&gt;")+COUNTIFS(Partidos!$M$2:$M$73,B13,Partidos!$I$2:$I$73,"&lt;&gt;")</f>
        <v>0</v>
      </c>
      <c r="E13" s="1" t="n">
        <f aca="false">SUMPRODUCT((Partidos!$L$2:$L$73=B13)*(Partidos!$H$2:$H$73&lt;&gt;"")*(Partidos!$H$2:$H$73&gt;Partidos!$I$2:$I$73))+SUMPRODUCT((Partidos!$M$2:$M$73=B13)*(Partidos!$I$2:$I$73&lt;&gt;"")*(Partidos!$I$2:$I$73&gt;Partidos!$H$2:$H$73))</f>
        <v>0</v>
      </c>
      <c r="F13" s="1" t="n">
        <f aca="false">SUMPRODUCT((Partidos!$L$2:$L$73=B13)*(Partidos!$H$2:$H$73&lt;&gt;"")*(Partidos!$H$2:$H$73=Partidos!$I$2:$I$73))+SUMPRODUCT((Partidos!$M$2:$M$73=B13)*(Partidos!$I$2:$I$73&lt;&gt;"")*(Partidos!$I$2:$I$73=Partidos!$H$2:$H$73))</f>
        <v>0</v>
      </c>
      <c r="G13" s="1" t="n">
        <f aca="false">D13-E13-F13</f>
        <v>0</v>
      </c>
      <c r="H13" s="1" t="n">
        <f aca="false">SUMIFS(Partidos!$H$2:$H$73,Partidos!$L$2:$L$73,B13)+SUMIFS(Partidos!$I$2:$I$73,Partidos!$M$2:$M$73,B13)</f>
        <v>0</v>
      </c>
      <c r="I13" s="1" t="n">
        <f aca="false">SUMIFS(Partidos!$I$2:$I$73,Partidos!$L$2:$L$73,B13)+SUMIFS(Partidos!$H$2:$H$73,Partidos!$M$2:$M$73,B13)</f>
        <v>0</v>
      </c>
      <c r="J13" s="1" t="n">
        <f aca="false">H13-I13</f>
        <v>0</v>
      </c>
      <c r="K13" s="1" t="n">
        <f aca="false">E13*3+F13</f>
        <v>0</v>
      </c>
      <c r="L13" s="1" t="n">
        <v>0</v>
      </c>
      <c r="M13" s="1" t="str">
        <f aca="false">IF(COUNTIFS($A$2:$A$49,A13,$D$2:$D$49,"&gt;=1")&lt;4,"",1+COUNTIFS($A$2:$A$49,A13,$K$2:$K$49,"&gt;"&amp;K13)+COUNTIFS($A$2:$A$49,A13,$K$2:$K$49,K13,$L$2:$L$49,"&gt;"&amp;L13)+COUNTIFS($A$2:$A$49,A13,$K$2:$K$49,K13,$L$2:$L$49,L13,$J$2:$J$49,"&gt;"&amp;J13)+COUNTIFS($A$2:$A$49,A13,$K$2:$K$49,K13,$L$2:$L$49,L13,$J$2:$J$49,J13,$H$2:$H$49,"&gt;"&amp;H13)+SUMPRODUCT(($A$2:$A$49=A13)*($K$2:$K$49=K13)*($L$2:$L$49=L13)*($J$2:$J$49=J13)*($H$2:$H$49=H13)*(ROW($A$2:$A$49)&lt;ROW(A13))))</f>
        <v/>
      </c>
      <c r="N13" s="1" t="str">
        <f aca="false">IF(M13="","",IF(M13&lt;=2,"Directo",IF(M13=3,"Posible mejor 3°","")))</f>
        <v/>
      </c>
      <c r="O13" s="1" t="str">
        <f aca="false">IF(M13="","",A13&amp;M13)</f>
        <v/>
      </c>
      <c r="P13" s="1" t="str">
        <f aca="false">C13</f>
        <v>Escocia</v>
      </c>
      <c r="Q13" s="1" t="str">
        <f aca="false">B13</f>
        <v>SCO</v>
      </c>
    </row>
    <row r="14" customFormat="false" ht="14.25" hidden="false" customHeight="true" outlineLevel="0" collapsed="false">
      <c r="A14" s="1" t="s">
        <v>72</v>
      </c>
      <c r="B14" s="1" t="s">
        <v>74</v>
      </c>
      <c r="C14" s="1" t="s">
        <v>75</v>
      </c>
      <c r="D14" s="1" t="n">
        <f aca="false">COUNTIFS(Partidos!$L$2:$L$73,B14,Partidos!$H$2:$H$73,"&lt;&gt;")+COUNTIFS(Partidos!$M$2:$M$73,B14,Partidos!$I$2:$I$73,"&lt;&gt;")</f>
        <v>0</v>
      </c>
      <c r="E14" s="1" t="n">
        <f aca="false">SUMPRODUCT((Partidos!$L$2:$L$73=B14)*(Partidos!$H$2:$H$73&lt;&gt;"")*(Partidos!$H$2:$H$73&gt;Partidos!$I$2:$I$73))+SUMPRODUCT((Partidos!$M$2:$M$73=B14)*(Partidos!$I$2:$I$73&lt;&gt;"")*(Partidos!$I$2:$I$73&gt;Partidos!$H$2:$H$73))</f>
        <v>0</v>
      </c>
      <c r="F14" s="1" t="n">
        <f aca="false">SUMPRODUCT((Partidos!$L$2:$L$73=B14)*(Partidos!$H$2:$H$73&lt;&gt;"")*(Partidos!$H$2:$H$73=Partidos!$I$2:$I$73))+SUMPRODUCT((Partidos!$M$2:$M$73=B14)*(Partidos!$I$2:$I$73&lt;&gt;"")*(Partidos!$I$2:$I$73=Partidos!$H$2:$H$73))</f>
        <v>0</v>
      </c>
      <c r="G14" s="1" t="n">
        <f aca="false">D14-E14-F14</f>
        <v>0</v>
      </c>
      <c r="H14" s="1" t="n">
        <f aca="false">SUMIFS(Partidos!$H$2:$H$73,Partidos!$L$2:$L$73,B14)+SUMIFS(Partidos!$I$2:$I$73,Partidos!$M$2:$M$73,B14)</f>
        <v>0</v>
      </c>
      <c r="I14" s="1" t="n">
        <f aca="false">SUMIFS(Partidos!$I$2:$I$73,Partidos!$L$2:$L$73,B14)+SUMIFS(Partidos!$H$2:$H$73,Partidos!$M$2:$M$73,B14)</f>
        <v>0</v>
      </c>
      <c r="J14" s="1" t="n">
        <f aca="false">H14-I14</f>
        <v>0</v>
      </c>
      <c r="K14" s="1" t="n">
        <f aca="false">E14*3+F14</f>
        <v>0</v>
      </c>
      <c r="L14" s="1" t="n">
        <v>0</v>
      </c>
      <c r="M14" s="1" t="str">
        <f aca="false">IF(COUNTIFS($A$2:$A$49,A14,$D$2:$D$49,"&gt;=1")&lt;4,"",1+COUNTIFS($A$2:$A$49,A14,$K$2:$K$49,"&gt;"&amp;K14)+COUNTIFS($A$2:$A$49,A14,$K$2:$K$49,K14,$L$2:$L$49,"&gt;"&amp;L14)+COUNTIFS($A$2:$A$49,A14,$K$2:$K$49,K14,$L$2:$L$49,L14,$J$2:$J$49,"&gt;"&amp;J14)+COUNTIFS($A$2:$A$49,A14,$K$2:$K$49,K14,$L$2:$L$49,L14,$J$2:$J$49,J14,$H$2:$H$49,"&gt;"&amp;H14)+SUMPRODUCT(($A$2:$A$49=A14)*($K$2:$K$49=K14)*($L$2:$L$49=L14)*($J$2:$J$49=J14)*($H$2:$H$49=H14)*(ROW($A$2:$A$49)&lt;ROW(A14))))</f>
        <v/>
      </c>
      <c r="N14" s="1" t="str">
        <f aca="false">IF(M14="","",IF(M14&lt;=2,"Directo",IF(M14=3,"Posible mejor 3°","")))</f>
        <v/>
      </c>
      <c r="O14" s="1" t="str">
        <f aca="false">IF(M14="","",A14&amp;M14)</f>
        <v/>
      </c>
      <c r="P14" s="1" t="str">
        <f aca="false">C14</f>
        <v>Estados Unidos</v>
      </c>
      <c r="Q14" s="1" t="str">
        <f aca="false">B14</f>
        <v>USA</v>
      </c>
    </row>
    <row r="15" customFormat="false" ht="14.25" hidden="false" customHeight="true" outlineLevel="0" collapsed="false">
      <c r="A15" s="1" t="s">
        <v>72</v>
      </c>
      <c r="B15" s="1" t="s">
        <v>77</v>
      </c>
      <c r="C15" s="1" t="s">
        <v>78</v>
      </c>
      <c r="D15" s="1" t="n">
        <f aca="false">COUNTIFS(Partidos!$L$2:$L$73,B15,Partidos!$H$2:$H$73,"&lt;&gt;")+COUNTIFS(Partidos!$M$2:$M$73,B15,Partidos!$I$2:$I$73,"&lt;&gt;")</f>
        <v>0</v>
      </c>
      <c r="E15" s="1" t="n">
        <f aca="false">SUMPRODUCT((Partidos!$L$2:$L$73=B15)*(Partidos!$H$2:$H$73&lt;&gt;"")*(Partidos!$H$2:$H$73&gt;Partidos!$I$2:$I$73))+SUMPRODUCT((Partidos!$M$2:$M$73=B15)*(Partidos!$I$2:$I$73&lt;&gt;"")*(Partidos!$I$2:$I$73&gt;Partidos!$H$2:$H$73))</f>
        <v>0</v>
      </c>
      <c r="F15" s="1" t="n">
        <f aca="false">SUMPRODUCT((Partidos!$L$2:$L$73=B15)*(Partidos!$H$2:$H$73&lt;&gt;"")*(Partidos!$H$2:$H$73=Partidos!$I$2:$I$73))+SUMPRODUCT((Partidos!$M$2:$M$73=B15)*(Partidos!$I$2:$I$73&lt;&gt;"")*(Partidos!$I$2:$I$73=Partidos!$H$2:$H$73))</f>
        <v>0</v>
      </c>
      <c r="G15" s="1" t="n">
        <f aca="false">D15-E15-F15</f>
        <v>0</v>
      </c>
      <c r="H15" s="1" t="n">
        <f aca="false">SUMIFS(Partidos!$H$2:$H$73,Partidos!$L$2:$L$73,B15)+SUMIFS(Partidos!$I$2:$I$73,Partidos!$M$2:$M$73,B15)</f>
        <v>0</v>
      </c>
      <c r="I15" s="1" t="n">
        <f aca="false">SUMIFS(Partidos!$I$2:$I$73,Partidos!$L$2:$L$73,B15)+SUMIFS(Partidos!$H$2:$H$73,Partidos!$M$2:$M$73,B15)</f>
        <v>0</v>
      </c>
      <c r="J15" s="1" t="n">
        <f aca="false">H15-I15</f>
        <v>0</v>
      </c>
      <c r="K15" s="1" t="n">
        <f aca="false">E15*3+F15</f>
        <v>0</v>
      </c>
      <c r="L15" s="1" t="n">
        <v>0</v>
      </c>
      <c r="M15" s="1" t="str">
        <f aca="false">IF(COUNTIFS($A$2:$A$49,A15,$D$2:$D$49,"&gt;=1")&lt;4,"",1+COUNTIFS($A$2:$A$49,A15,$K$2:$K$49,"&gt;"&amp;K15)+COUNTIFS($A$2:$A$49,A15,$K$2:$K$49,K15,$L$2:$L$49,"&gt;"&amp;L15)+COUNTIFS($A$2:$A$49,A15,$K$2:$K$49,K15,$L$2:$L$49,L15,$J$2:$J$49,"&gt;"&amp;J15)+COUNTIFS($A$2:$A$49,A15,$K$2:$K$49,K15,$L$2:$L$49,L15,$J$2:$J$49,J15,$H$2:$H$49,"&gt;"&amp;H15)+SUMPRODUCT(($A$2:$A$49=A15)*($K$2:$K$49=K15)*($L$2:$L$49=L15)*($J$2:$J$49=J15)*($H$2:$H$49=H15)*(ROW($A$2:$A$49)&lt;ROW(A15))))</f>
        <v/>
      </c>
      <c r="N15" s="1" t="str">
        <f aca="false">IF(M15="","",IF(M15&lt;=2,"Directo",IF(M15=3,"Posible mejor 3°","")))</f>
        <v/>
      </c>
      <c r="O15" s="1" t="str">
        <f aca="false">IF(M15="","",A15&amp;M15)</f>
        <v/>
      </c>
      <c r="P15" s="1" t="str">
        <f aca="false">C15</f>
        <v>Paraguay</v>
      </c>
      <c r="Q15" s="1" t="str">
        <f aca="false">B15</f>
        <v>PAR</v>
      </c>
    </row>
    <row r="16" customFormat="false" ht="14.25" hidden="false" customHeight="true" outlineLevel="0" collapsed="false">
      <c r="A16" s="1" t="s">
        <v>72</v>
      </c>
      <c r="B16" s="1" t="s">
        <v>80</v>
      </c>
      <c r="C16" s="1" t="s">
        <v>81</v>
      </c>
      <c r="D16" s="1" t="n">
        <f aca="false">COUNTIFS(Partidos!$L$2:$L$73,B16,Partidos!$H$2:$H$73,"&lt;&gt;")+COUNTIFS(Partidos!$M$2:$M$73,B16,Partidos!$I$2:$I$73,"&lt;&gt;")</f>
        <v>0</v>
      </c>
      <c r="E16" s="1" t="n">
        <f aca="false">SUMPRODUCT((Partidos!$L$2:$L$73=B16)*(Partidos!$H$2:$H$73&lt;&gt;"")*(Partidos!$H$2:$H$73&gt;Partidos!$I$2:$I$73))+SUMPRODUCT((Partidos!$M$2:$M$73=B16)*(Partidos!$I$2:$I$73&lt;&gt;"")*(Partidos!$I$2:$I$73&gt;Partidos!$H$2:$H$73))</f>
        <v>0</v>
      </c>
      <c r="F16" s="1" t="n">
        <f aca="false">SUMPRODUCT((Partidos!$L$2:$L$73=B16)*(Partidos!$H$2:$H$73&lt;&gt;"")*(Partidos!$H$2:$H$73=Partidos!$I$2:$I$73))+SUMPRODUCT((Partidos!$M$2:$M$73=B16)*(Partidos!$I$2:$I$73&lt;&gt;"")*(Partidos!$I$2:$I$73=Partidos!$H$2:$H$73))</f>
        <v>0</v>
      </c>
      <c r="G16" s="1" t="n">
        <f aca="false">D16-E16-F16</f>
        <v>0</v>
      </c>
      <c r="H16" s="1" t="n">
        <f aca="false">SUMIFS(Partidos!$H$2:$H$73,Partidos!$L$2:$L$73,B16)+SUMIFS(Partidos!$I$2:$I$73,Partidos!$M$2:$M$73,B16)</f>
        <v>0</v>
      </c>
      <c r="I16" s="1" t="n">
        <f aca="false">SUMIFS(Partidos!$I$2:$I$73,Partidos!$L$2:$L$73,B16)+SUMIFS(Partidos!$H$2:$H$73,Partidos!$M$2:$M$73,B16)</f>
        <v>0</v>
      </c>
      <c r="J16" s="1" t="n">
        <f aca="false">H16-I16</f>
        <v>0</v>
      </c>
      <c r="K16" s="1" t="n">
        <f aca="false">E16*3+F16</f>
        <v>0</v>
      </c>
      <c r="L16" s="1" t="n">
        <v>0</v>
      </c>
      <c r="M16" s="1" t="str">
        <f aca="false">IF(COUNTIFS($A$2:$A$49,A16,$D$2:$D$49,"&gt;=1")&lt;4,"",1+COUNTIFS($A$2:$A$49,A16,$K$2:$K$49,"&gt;"&amp;K16)+COUNTIFS($A$2:$A$49,A16,$K$2:$K$49,K16,$L$2:$L$49,"&gt;"&amp;L16)+COUNTIFS($A$2:$A$49,A16,$K$2:$K$49,K16,$L$2:$L$49,L16,$J$2:$J$49,"&gt;"&amp;J16)+COUNTIFS($A$2:$A$49,A16,$K$2:$K$49,K16,$L$2:$L$49,L16,$J$2:$J$49,J16,$H$2:$H$49,"&gt;"&amp;H16)+SUMPRODUCT(($A$2:$A$49=A16)*($K$2:$K$49=K16)*($L$2:$L$49=L16)*($J$2:$J$49=J16)*($H$2:$H$49=H16)*(ROW($A$2:$A$49)&lt;ROW(A16))))</f>
        <v/>
      </c>
      <c r="N16" s="1" t="str">
        <f aca="false">IF(M16="","",IF(M16&lt;=2,"Directo",IF(M16=3,"Posible mejor 3°","")))</f>
        <v/>
      </c>
      <c r="O16" s="1" t="str">
        <f aca="false">IF(M16="","",A16&amp;M16)</f>
        <v/>
      </c>
      <c r="P16" s="1" t="str">
        <f aca="false">C16</f>
        <v>Australia</v>
      </c>
      <c r="Q16" s="1" t="str">
        <f aca="false">B16</f>
        <v>AUS</v>
      </c>
    </row>
    <row r="17" customFormat="false" ht="14.25" hidden="false" customHeight="true" outlineLevel="0" collapsed="false">
      <c r="A17" s="1" t="s">
        <v>72</v>
      </c>
      <c r="B17" s="1" t="s">
        <v>83</v>
      </c>
      <c r="C17" s="1" t="s">
        <v>84</v>
      </c>
      <c r="D17" s="1" t="n">
        <f aca="false">COUNTIFS(Partidos!$L$2:$L$73,B17,Partidos!$H$2:$H$73,"&lt;&gt;")+COUNTIFS(Partidos!$M$2:$M$73,B17,Partidos!$I$2:$I$73,"&lt;&gt;")</f>
        <v>0</v>
      </c>
      <c r="E17" s="1" t="n">
        <f aca="false">SUMPRODUCT((Partidos!$L$2:$L$73=B17)*(Partidos!$H$2:$H$73&lt;&gt;"")*(Partidos!$H$2:$H$73&gt;Partidos!$I$2:$I$73))+SUMPRODUCT((Partidos!$M$2:$M$73=B17)*(Partidos!$I$2:$I$73&lt;&gt;"")*(Partidos!$I$2:$I$73&gt;Partidos!$H$2:$H$73))</f>
        <v>0</v>
      </c>
      <c r="F17" s="1" t="n">
        <f aca="false">SUMPRODUCT((Partidos!$L$2:$L$73=B17)*(Partidos!$H$2:$H$73&lt;&gt;"")*(Partidos!$H$2:$H$73=Partidos!$I$2:$I$73))+SUMPRODUCT((Partidos!$M$2:$M$73=B17)*(Partidos!$I$2:$I$73&lt;&gt;"")*(Partidos!$I$2:$I$73=Partidos!$H$2:$H$73))</f>
        <v>0</v>
      </c>
      <c r="G17" s="1" t="n">
        <f aca="false">D17-E17-F17</f>
        <v>0</v>
      </c>
      <c r="H17" s="1" t="n">
        <f aca="false">SUMIFS(Partidos!$H$2:$H$73,Partidos!$L$2:$L$73,B17)+SUMIFS(Partidos!$I$2:$I$73,Partidos!$M$2:$M$73,B17)</f>
        <v>0</v>
      </c>
      <c r="I17" s="1" t="n">
        <f aca="false">SUMIFS(Partidos!$I$2:$I$73,Partidos!$L$2:$L$73,B17)+SUMIFS(Partidos!$H$2:$H$73,Partidos!$M$2:$M$73,B17)</f>
        <v>0</v>
      </c>
      <c r="J17" s="1" t="n">
        <f aca="false">H17-I17</f>
        <v>0</v>
      </c>
      <c r="K17" s="1" t="n">
        <f aca="false">E17*3+F17</f>
        <v>0</v>
      </c>
      <c r="L17" s="1" t="n">
        <v>0</v>
      </c>
      <c r="M17" s="1" t="str">
        <f aca="false">IF(COUNTIFS($A$2:$A$49,A17,$D$2:$D$49,"&gt;=1")&lt;4,"",1+COUNTIFS($A$2:$A$49,A17,$K$2:$K$49,"&gt;"&amp;K17)+COUNTIFS($A$2:$A$49,A17,$K$2:$K$49,K17,$L$2:$L$49,"&gt;"&amp;L17)+COUNTIFS($A$2:$A$49,A17,$K$2:$K$49,K17,$L$2:$L$49,L17,$J$2:$J$49,"&gt;"&amp;J17)+COUNTIFS($A$2:$A$49,A17,$K$2:$K$49,K17,$L$2:$L$49,L17,$J$2:$J$49,J17,$H$2:$H$49,"&gt;"&amp;H17)+SUMPRODUCT(($A$2:$A$49=A17)*($K$2:$K$49=K17)*($L$2:$L$49=L17)*($J$2:$J$49=J17)*($H$2:$H$49=H17)*(ROW($A$2:$A$49)&lt;ROW(A17))))</f>
        <v/>
      </c>
      <c r="N17" s="1" t="str">
        <f aca="false">IF(M17="","",IF(M17&lt;=2,"Directo",IF(M17=3,"Posible mejor 3°","")))</f>
        <v/>
      </c>
      <c r="O17" s="1" t="str">
        <f aca="false">IF(M17="","",A17&amp;M17)</f>
        <v/>
      </c>
      <c r="P17" s="1" t="str">
        <f aca="false">C17</f>
        <v>Türkiye</v>
      </c>
      <c r="Q17" s="1" t="str">
        <f aca="false">B17</f>
        <v>TUR</v>
      </c>
    </row>
    <row r="18" customFormat="false" ht="14.25" hidden="false" customHeight="true" outlineLevel="0" collapsed="false">
      <c r="A18" s="1" t="s">
        <v>85</v>
      </c>
      <c r="B18" s="1" t="s">
        <v>87</v>
      </c>
      <c r="C18" s="1" t="s">
        <v>88</v>
      </c>
      <c r="D18" s="1" t="n">
        <f aca="false">COUNTIFS(Partidos!$L$2:$L$73,B18,Partidos!$H$2:$H$73,"&lt;&gt;")+COUNTIFS(Partidos!$M$2:$M$73,B18,Partidos!$I$2:$I$73,"&lt;&gt;")</f>
        <v>0</v>
      </c>
      <c r="E18" s="1" t="n">
        <f aca="false">SUMPRODUCT((Partidos!$L$2:$L$73=B18)*(Partidos!$H$2:$H$73&lt;&gt;"")*(Partidos!$H$2:$H$73&gt;Partidos!$I$2:$I$73))+SUMPRODUCT((Partidos!$M$2:$M$73=B18)*(Partidos!$I$2:$I$73&lt;&gt;"")*(Partidos!$I$2:$I$73&gt;Partidos!$H$2:$H$73))</f>
        <v>0</v>
      </c>
      <c r="F18" s="1" t="n">
        <f aca="false">SUMPRODUCT((Partidos!$L$2:$L$73=B18)*(Partidos!$H$2:$H$73&lt;&gt;"")*(Partidos!$H$2:$H$73=Partidos!$I$2:$I$73))+SUMPRODUCT((Partidos!$M$2:$M$73=B18)*(Partidos!$I$2:$I$73&lt;&gt;"")*(Partidos!$I$2:$I$73=Partidos!$H$2:$H$73))</f>
        <v>0</v>
      </c>
      <c r="G18" s="1" t="n">
        <f aca="false">D18-E18-F18</f>
        <v>0</v>
      </c>
      <c r="H18" s="1" t="n">
        <f aca="false">SUMIFS(Partidos!$H$2:$H$73,Partidos!$L$2:$L$73,B18)+SUMIFS(Partidos!$I$2:$I$73,Partidos!$M$2:$M$73,B18)</f>
        <v>0</v>
      </c>
      <c r="I18" s="1" t="n">
        <f aca="false">SUMIFS(Partidos!$I$2:$I$73,Partidos!$L$2:$L$73,B18)+SUMIFS(Partidos!$H$2:$H$73,Partidos!$M$2:$M$73,B18)</f>
        <v>0</v>
      </c>
      <c r="J18" s="1" t="n">
        <f aca="false">H18-I18</f>
        <v>0</v>
      </c>
      <c r="K18" s="1" t="n">
        <f aca="false">E18*3+F18</f>
        <v>0</v>
      </c>
      <c r="L18" s="1" t="n">
        <v>0</v>
      </c>
      <c r="M18" s="1" t="str">
        <f aca="false">IF(COUNTIFS($A$2:$A$49,A18,$D$2:$D$49,"&gt;=1")&lt;4,"",1+COUNTIFS($A$2:$A$49,A18,$K$2:$K$49,"&gt;"&amp;K18)+COUNTIFS($A$2:$A$49,A18,$K$2:$K$49,K18,$L$2:$L$49,"&gt;"&amp;L18)+COUNTIFS($A$2:$A$49,A18,$K$2:$K$49,K18,$L$2:$L$49,L18,$J$2:$J$49,"&gt;"&amp;J18)+COUNTIFS($A$2:$A$49,A18,$K$2:$K$49,K18,$L$2:$L$49,L18,$J$2:$J$49,J18,$H$2:$H$49,"&gt;"&amp;H18)+SUMPRODUCT(($A$2:$A$49=A18)*($K$2:$K$49=K18)*($L$2:$L$49=L18)*($J$2:$J$49=J18)*($H$2:$H$49=H18)*(ROW($A$2:$A$49)&lt;ROW(A18))))</f>
        <v/>
      </c>
      <c r="N18" s="1" t="str">
        <f aca="false">IF(M18="","",IF(M18&lt;=2,"Directo",IF(M18=3,"Posible mejor 3°","")))</f>
        <v/>
      </c>
      <c r="O18" s="1" t="str">
        <f aca="false">IF(M18="","",A18&amp;M18)</f>
        <v/>
      </c>
      <c r="P18" s="1" t="str">
        <f aca="false">C18</f>
        <v>Alemania</v>
      </c>
      <c r="Q18" s="1" t="str">
        <f aca="false">B18</f>
        <v>GER</v>
      </c>
    </row>
    <row r="19" customFormat="false" ht="14.25" hidden="false" customHeight="true" outlineLevel="0" collapsed="false">
      <c r="A19" s="1" t="s">
        <v>85</v>
      </c>
      <c r="B19" s="1" t="s">
        <v>90</v>
      </c>
      <c r="C19" s="1" t="s">
        <v>91</v>
      </c>
      <c r="D19" s="1" t="n">
        <f aca="false">COUNTIFS(Partidos!$L$2:$L$73,B19,Partidos!$H$2:$H$73,"&lt;&gt;")+COUNTIFS(Partidos!$M$2:$M$73,B19,Partidos!$I$2:$I$73,"&lt;&gt;")</f>
        <v>0</v>
      </c>
      <c r="E19" s="1" t="n">
        <f aca="false">SUMPRODUCT((Partidos!$L$2:$L$73=B19)*(Partidos!$H$2:$H$73&lt;&gt;"")*(Partidos!$H$2:$H$73&gt;Partidos!$I$2:$I$73))+SUMPRODUCT((Partidos!$M$2:$M$73=B19)*(Partidos!$I$2:$I$73&lt;&gt;"")*(Partidos!$I$2:$I$73&gt;Partidos!$H$2:$H$73))</f>
        <v>0</v>
      </c>
      <c r="F19" s="1" t="n">
        <f aca="false">SUMPRODUCT((Partidos!$L$2:$L$73=B19)*(Partidos!$H$2:$H$73&lt;&gt;"")*(Partidos!$H$2:$H$73=Partidos!$I$2:$I$73))+SUMPRODUCT((Partidos!$M$2:$M$73=B19)*(Partidos!$I$2:$I$73&lt;&gt;"")*(Partidos!$I$2:$I$73=Partidos!$H$2:$H$73))</f>
        <v>0</v>
      </c>
      <c r="G19" s="1" t="n">
        <f aca="false">D19-E19-F19</f>
        <v>0</v>
      </c>
      <c r="H19" s="1" t="n">
        <f aca="false">SUMIFS(Partidos!$H$2:$H$73,Partidos!$L$2:$L$73,B19)+SUMIFS(Partidos!$I$2:$I$73,Partidos!$M$2:$M$73,B19)</f>
        <v>0</v>
      </c>
      <c r="I19" s="1" t="n">
        <f aca="false">SUMIFS(Partidos!$I$2:$I$73,Partidos!$L$2:$L$73,B19)+SUMIFS(Partidos!$H$2:$H$73,Partidos!$M$2:$M$73,B19)</f>
        <v>0</v>
      </c>
      <c r="J19" s="1" t="n">
        <f aca="false">H19-I19</f>
        <v>0</v>
      </c>
      <c r="K19" s="1" t="n">
        <f aca="false">E19*3+F19</f>
        <v>0</v>
      </c>
      <c r="L19" s="1" t="n">
        <v>0</v>
      </c>
      <c r="M19" s="1" t="str">
        <f aca="false">IF(COUNTIFS($A$2:$A$49,A19,$D$2:$D$49,"&gt;=1")&lt;4,"",1+COUNTIFS($A$2:$A$49,A19,$K$2:$K$49,"&gt;"&amp;K19)+COUNTIFS($A$2:$A$49,A19,$K$2:$K$49,K19,$L$2:$L$49,"&gt;"&amp;L19)+COUNTIFS($A$2:$A$49,A19,$K$2:$K$49,K19,$L$2:$L$49,L19,$J$2:$J$49,"&gt;"&amp;J19)+COUNTIFS($A$2:$A$49,A19,$K$2:$K$49,K19,$L$2:$L$49,L19,$J$2:$J$49,J19,$H$2:$H$49,"&gt;"&amp;H19)+SUMPRODUCT(($A$2:$A$49=A19)*($K$2:$K$49=K19)*($L$2:$L$49=L19)*($J$2:$J$49=J19)*($H$2:$H$49=H19)*(ROW($A$2:$A$49)&lt;ROW(A19))))</f>
        <v/>
      </c>
      <c r="N19" s="1" t="str">
        <f aca="false">IF(M19="","",IF(M19&lt;=2,"Directo",IF(M19=3,"Posible mejor 3°","")))</f>
        <v/>
      </c>
      <c r="O19" s="1" t="str">
        <f aca="false">IF(M19="","",A19&amp;M19)</f>
        <v/>
      </c>
      <c r="P19" s="1" t="str">
        <f aca="false">C19</f>
        <v>Curazao</v>
      </c>
      <c r="Q19" s="1" t="str">
        <f aca="false">B19</f>
        <v>CUW</v>
      </c>
    </row>
    <row r="20" customFormat="false" ht="14.25" hidden="false" customHeight="true" outlineLevel="0" collapsed="false">
      <c r="A20" s="1" t="s">
        <v>85</v>
      </c>
      <c r="B20" s="1" t="s">
        <v>93</v>
      </c>
      <c r="C20" s="1" t="s">
        <v>94</v>
      </c>
      <c r="D20" s="1" t="n">
        <f aca="false">COUNTIFS(Partidos!$L$2:$L$73,B20,Partidos!$H$2:$H$73,"&lt;&gt;")+COUNTIFS(Partidos!$M$2:$M$73,B20,Partidos!$I$2:$I$73,"&lt;&gt;")</f>
        <v>0</v>
      </c>
      <c r="E20" s="1" t="n">
        <f aca="false">SUMPRODUCT((Partidos!$L$2:$L$73=B20)*(Partidos!$H$2:$H$73&lt;&gt;"")*(Partidos!$H$2:$H$73&gt;Partidos!$I$2:$I$73))+SUMPRODUCT((Partidos!$M$2:$M$73=B20)*(Partidos!$I$2:$I$73&lt;&gt;"")*(Partidos!$I$2:$I$73&gt;Partidos!$H$2:$H$73))</f>
        <v>0</v>
      </c>
      <c r="F20" s="1" t="n">
        <f aca="false">SUMPRODUCT((Partidos!$L$2:$L$73=B20)*(Partidos!$H$2:$H$73&lt;&gt;"")*(Partidos!$H$2:$H$73=Partidos!$I$2:$I$73))+SUMPRODUCT((Partidos!$M$2:$M$73=B20)*(Partidos!$I$2:$I$73&lt;&gt;"")*(Partidos!$I$2:$I$73=Partidos!$H$2:$H$73))</f>
        <v>0</v>
      </c>
      <c r="G20" s="1" t="n">
        <f aca="false">D20-E20-F20</f>
        <v>0</v>
      </c>
      <c r="H20" s="1" t="n">
        <f aca="false">SUMIFS(Partidos!$H$2:$H$73,Partidos!$L$2:$L$73,B20)+SUMIFS(Partidos!$I$2:$I$73,Partidos!$M$2:$M$73,B20)</f>
        <v>0</v>
      </c>
      <c r="I20" s="1" t="n">
        <f aca="false">SUMIFS(Partidos!$I$2:$I$73,Partidos!$L$2:$L$73,B20)+SUMIFS(Partidos!$H$2:$H$73,Partidos!$M$2:$M$73,B20)</f>
        <v>0</v>
      </c>
      <c r="J20" s="1" t="n">
        <f aca="false">H20-I20</f>
        <v>0</v>
      </c>
      <c r="K20" s="1" t="n">
        <f aca="false">E20*3+F20</f>
        <v>0</v>
      </c>
      <c r="L20" s="1" t="n">
        <v>0</v>
      </c>
      <c r="M20" s="1" t="str">
        <f aca="false">IF(COUNTIFS($A$2:$A$49,A20,$D$2:$D$49,"&gt;=1")&lt;4,"",1+COUNTIFS($A$2:$A$49,A20,$K$2:$K$49,"&gt;"&amp;K20)+COUNTIFS($A$2:$A$49,A20,$K$2:$K$49,K20,$L$2:$L$49,"&gt;"&amp;L20)+COUNTIFS($A$2:$A$49,A20,$K$2:$K$49,K20,$L$2:$L$49,L20,$J$2:$J$49,"&gt;"&amp;J20)+COUNTIFS($A$2:$A$49,A20,$K$2:$K$49,K20,$L$2:$L$49,L20,$J$2:$J$49,J20,$H$2:$H$49,"&gt;"&amp;H20)+SUMPRODUCT(($A$2:$A$49=A20)*($K$2:$K$49=K20)*($L$2:$L$49=L20)*($J$2:$J$49=J20)*($H$2:$H$49=H20)*(ROW($A$2:$A$49)&lt;ROW(A20))))</f>
        <v/>
      </c>
      <c r="N20" s="1" t="str">
        <f aca="false">IF(M20="","",IF(M20&lt;=2,"Directo",IF(M20=3,"Posible mejor 3°","")))</f>
        <v/>
      </c>
      <c r="O20" s="1" t="str">
        <f aca="false">IF(M20="","",A20&amp;M20)</f>
        <v/>
      </c>
      <c r="P20" s="1" t="str">
        <f aca="false">C20</f>
        <v>Costa de Marfil</v>
      </c>
      <c r="Q20" s="1" t="str">
        <f aca="false">B20</f>
        <v>CIV</v>
      </c>
    </row>
    <row r="21" customFormat="false" ht="14.25" hidden="false" customHeight="true" outlineLevel="0" collapsed="false">
      <c r="A21" s="1" t="s">
        <v>85</v>
      </c>
      <c r="B21" s="1" t="s">
        <v>96</v>
      </c>
      <c r="C21" s="1" t="s">
        <v>97</v>
      </c>
      <c r="D21" s="1" t="n">
        <f aca="false">COUNTIFS(Partidos!$L$2:$L$73,B21,Partidos!$H$2:$H$73,"&lt;&gt;")+COUNTIFS(Partidos!$M$2:$M$73,B21,Partidos!$I$2:$I$73,"&lt;&gt;")</f>
        <v>0</v>
      </c>
      <c r="E21" s="1" t="n">
        <f aca="false">SUMPRODUCT((Partidos!$L$2:$L$73=B21)*(Partidos!$H$2:$H$73&lt;&gt;"")*(Partidos!$H$2:$H$73&gt;Partidos!$I$2:$I$73))+SUMPRODUCT((Partidos!$M$2:$M$73=B21)*(Partidos!$I$2:$I$73&lt;&gt;"")*(Partidos!$I$2:$I$73&gt;Partidos!$H$2:$H$73))</f>
        <v>0</v>
      </c>
      <c r="F21" s="1" t="n">
        <f aca="false">SUMPRODUCT((Partidos!$L$2:$L$73=B21)*(Partidos!$H$2:$H$73&lt;&gt;"")*(Partidos!$H$2:$H$73=Partidos!$I$2:$I$73))+SUMPRODUCT((Partidos!$M$2:$M$73=B21)*(Partidos!$I$2:$I$73&lt;&gt;"")*(Partidos!$I$2:$I$73=Partidos!$H$2:$H$73))</f>
        <v>0</v>
      </c>
      <c r="G21" s="1" t="n">
        <f aca="false">D21-E21-F21</f>
        <v>0</v>
      </c>
      <c r="H21" s="1" t="n">
        <f aca="false">SUMIFS(Partidos!$H$2:$H$73,Partidos!$L$2:$L$73,B21)+SUMIFS(Partidos!$I$2:$I$73,Partidos!$M$2:$M$73,B21)</f>
        <v>0</v>
      </c>
      <c r="I21" s="1" t="n">
        <f aca="false">SUMIFS(Partidos!$I$2:$I$73,Partidos!$L$2:$L$73,B21)+SUMIFS(Partidos!$H$2:$H$73,Partidos!$M$2:$M$73,B21)</f>
        <v>0</v>
      </c>
      <c r="J21" s="1" t="n">
        <f aca="false">H21-I21</f>
        <v>0</v>
      </c>
      <c r="K21" s="1" t="n">
        <f aca="false">E21*3+F21</f>
        <v>0</v>
      </c>
      <c r="L21" s="1" t="n">
        <v>0</v>
      </c>
      <c r="M21" s="1" t="str">
        <f aca="false">IF(COUNTIFS($A$2:$A$49,A21,$D$2:$D$49,"&gt;=1")&lt;4,"",1+COUNTIFS($A$2:$A$49,A21,$K$2:$K$49,"&gt;"&amp;K21)+COUNTIFS($A$2:$A$49,A21,$K$2:$K$49,K21,$L$2:$L$49,"&gt;"&amp;L21)+COUNTIFS($A$2:$A$49,A21,$K$2:$K$49,K21,$L$2:$L$49,L21,$J$2:$J$49,"&gt;"&amp;J21)+COUNTIFS($A$2:$A$49,A21,$K$2:$K$49,K21,$L$2:$L$49,L21,$J$2:$J$49,J21,$H$2:$H$49,"&gt;"&amp;H21)+SUMPRODUCT(($A$2:$A$49=A21)*($K$2:$K$49=K21)*($L$2:$L$49=L21)*($J$2:$J$49=J21)*($H$2:$H$49=H21)*(ROW($A$2:$A$49)&lt;ROW(A21))))</f>
        <v/>
      </c>
      <c r="N21" s="1" t="str">
        <f aca="false">IF(M21="","",IF(M21&lt;=2,"Directo",IF(M21=3,"Posible mejor 3°","")))</f>
        <v/>
      </c>
      <c r="O21" s="1" t="str">
        <f aca="false">IF(M21="","",A21&amp;M21)</f>
        <v/>
      </c>
      <c r="P21" s="1" t="str">
        <f aca="false">C21</f>
        <v>Ecuador</v>
      </c>
      <c r="Q21" s="1" t="str">
        <f aca="false">B21</f>
        <v>ECU</v>
      </c>
    </row>
    <row r="22" customFormat="false" ht="14.25" hidden="false" customHeight="true" outlineLevel="0" collapsed="false">
      <c r="A22" s="1" t="s">
        <v>98</v>
      </c>
      <c r="B22" s="1" t="s">
        <v>100</v>
      </c>
      <c r="C22" s="1" t="s">
        <v>101</v>
      </c>
      <c r="D22" s="1" t="n">
        <f aca="false">COUNTIFS(Partidos!$L$2:$L$73,B22,Partidos!$H$2:$H$73,"&lt;&gt;")+COUNTIFS(Partidos!$M$2:$M$73,B22,Partidos!$I$2:$I$73,"&lt;&gt;")</f>
        <v>0</v>
      </c>
      <c r="E22" s="1" t="n">
        <f aca="false">SUMPRODUCT((Partidos!$L$2:$L$73=B22)*(Partidos!$H$2:$H$73&lt;&gt;"")*(Partidos!$H$2:$H$73&gt;Partidos!$I$2:$I$73))+SUMPRODUCT((Partidos!$M$2:$M$73=B22)*(Partidos!$I$2:$I$73&lt;&gt;"")*(Partidos!$I$2:$I$73&gt;Partidos!$H$2:$H$73))</f>
        <v>0</v>
      </c>
      <c r="F22" s="1" t="n">
        <f aca="false">SUMPRODUCT((Partidos!$L$2:$L$73=B22)*(Partidos!$H$2:$H$73&lt;&gt;"")*(Partidos!$H$2:$H$73=Partidos!$I$2:$I$73))+SUMPRODUCT((Partidos!$M$2:$M$73=B22)*(Partidos!$I$2:$I$73&lt;&gt;"")*(Partidos!$I$2:$I$73=Partidos!$H$2:$H$73))</f>
        <v>0</v>
      </c>
      <c r="G22" s="1" t="n">
        <f aca="false">D22-E22-F22</f>
        <v>0</v>
      </c>
      <c r="H22" s="1" t="n">
        <f aca="false">SUMIFS(Partidos!$H$2:$H$73,Partidos!$L$2:$L$73,B22)+SUMIFS(Partidos!$I$2:$I$73,Partidos!$M$2:$M$73,B22)</f>
        <v>0</v>
      </c>
      <c r="I22" s="1" t="n">
        <f aca="false">SUMIFS(Partidos!$I$2:$I$73,Partidos!$L$2:$L$73,B22)+SUMIFS(Partidos!$H$2:$H$73,Partidos!$M$2:$M$73,B22)</f>
        <v>0</v>
      </c>
      <c r="J22" s="1" t="n">
        <f aca="false">H22-I22</f>
        <v>0</v>
      </c>
      <c r="K22" s="1" t="n">
        <f aca="false">E22*3+F22</f>
        <v>0</v>
      </c>
      <c r="L22" s="1" t="n">
        <v>0</v>
      </c>
      <c r="M22" s="1" t="str">
        <f aca="false">IF(COUNTIFS($A$2:$A$49,A22,$D$2:$D$49,"&gt;=1")&lt;4,"",1+COUNTIFS($A$2:$A$49,A22,$K$2:$K$49,"&gt;"&amp;K22)+COUNTIFS($A$2:$A$49,A22,$K$2:$K$49,K22,$L$2:$L$49,"&gt;"&amp;L22)+COUNTIFS($A$2:$A$49,A22,$K$2:$K$49,K22,$L$2:$L$49,L22,$J$2:$J$49,"&gt;"&amp;J22)+COUNTIFS($A$2:$A$49,A22,$K$2:$K$49,K22,$L$2:$L$49,L22,$J$2:$J$49,J22,$H$2:$H$49,"&gt;"&amp;H22)+SUMPRODUCT(($A$2:$A$49=A22)*($K$2:$K$49=K22)*($L$2:$L$49=L22)*($J$2:$J$49=J22)*($H$2:$H$49=H22)*(ROW($A$2:$A$49)&lt;ROW(A22))))</f>
        <v/>
      </c>
      <c r="N22" s="1" t="str">
        <f aca="false">IF(M22="","",IF(M22&lt;=2,"Directo",IF(M22=3,"Posible mejor 3°","")))</f>
        <v/>
      </c>
      <c r="O22" s="1" t="str">
        <f aca="false">IF(M22="","",A22&amp;M22)</f>
        <v/>
      </c>
      <c r="P22" s="1" t="str">
        <f aca="false">C22</f>
        <v>Países Bajos</v>
      </c>
      <c r="Q22" s="1" t="str">
        <f aca="false">B22</f>
        <v>NED</v>
      </c>
    </row>
    <row r="23" customFormat="false" ht="14.25" hidden="false" customHeight="true" outlineLevel="0" collapsed="false">
      <c r="A23" s="1" t="s">
        <v>98</v>
      </c>
      <c r="B23" s="1" t="s">
        <v>103</v>
      </c>
      <c r="C23" s="1" t="s">
        <v>104</v>
      </c>
      <c r="D23" s="1" t="n">
        <f aca="false">COUNTIFS(Partidos!$L$2:$L$73,B23,Partidos!$H$2:$H$73,"&lt;&gt;")+COUNTIFS(Partidos!$M$2:$M$73,B23,Partidos!$I$2:$I$73,"&lt;&gt;")</f>
        <v>0</v>
      </c>
      <c r="E23" s="1" t="n">
        <f aca="false">SUMPRODUCT((Partidos!$L$2:$L$73=B23)*(Partidos!$H$2:$H$73&lt;&gt;"")*(Partidos!$H$2:$H$73&gt;Partidos!$I$2:$I$73))+SUMPRODUCT((Partidos!$M$2:$M$73=B23)*(Partidos!$I$2:$I$73&lt;&gt;"")*(Partidos!$I$2:$I$73&gt;Partidos!$H$2:$H$73))</f>
        <v>0</v>
      </c>
      <c r="F23" s="1" t="n">
        <f aca="false">SUMPRODUCT((Partidos!$L$2:$L$73=B23)*(Partidos!$H$2:$H$73&lt;&gt;"")*(Partidos!$H$2:$H$73=Partidos!$I$2:$I$73))+SUMPRODUCT((Partidos!$M$2:$M$73=B23)*(Partidos!$I$2:$I$73&lt;&gt;"")*(Partidos!$I$2:$I$73=Partidos!$H$2:$H$73))</f>
        <v>0</v>
      </c>
      <c r="G23" s="1" t="n">
        <f aca="false">D23-E23-F23</f>
        <v>0</v>
      </c>
      <c r="H23" s="1" t="n">
        <f aca="false">SUMIFS(Partidos!$H$2:$H$73,Partidos!$L$2:$L$73,B23)+SUMIFS(Partidos!$I$2:$I$73,Partidos!$M$2:$M$73,B23)</f>
        <v>0</v>
      </c>
      <c r="I23" s="1" t="n">
        <f aca="false">SUMIFS(Partidos!$I$2:$I$73,Partidos!$L$2:$L$73,B23)+SUMIFS(Partidos!$H$2:$H$73,Partidos!$M$2:$M$73,B23)</f>
        <v>0</v>
      </c>
      <c r="J23" s="1" t="n">
        <f aca="false">H23-I23</f>
        <v>0</v>
      </c>
      <c r="K23" s="1" t="n">
        <f aca="false">E23*3+F23</f>
        <v>0</v>
      </c>
      <c r="L23" s="1" t="n">
        <v>0</v>
      </c>
      <c r="M23" s="1" t="str">
        <f aca="false">IF(COUNTIFS($A$2:$A$49,A23,$D$2:$D$49,"&gt;=1")&lt;4,"",1+COUNTIFS($A$2:$A$49,A23,$K$2:$K$49,"&gt;"&amp;K23)+COUNTIFS($A$2:$A$49,A23,$K$2:$K$49,K23,$L$2:$L$49,"&gt;"&amp;L23)+COUNTIFS($A$2:$A$49,A23,$K$2:$K$49,K23,$L$2:$L$49,L23,$J$2:$J$49,"&gt;"&amp;J23)+COUNTIFS($A$2:$A$49,A23,$K$2:$K$49,K23,$L$2:$L$49,L23,$J$2:$J$49,J23,$H$2:$H$49,"&gt;"&amp;H23)+SUMPRODUCT(($A$2:$A$49=A23)*($K$2:$K$49=K23)*($L$2:$L$49=L23)*($J$2:$J$49=J23)*($H$2:$H$49=H23)*(ROW($A$2:$A$49)&lt;ROW(A23))))</f>
        <v/>
      </c>
      <c r="N23" s="1" t="str">
        <f aca="false">IF(M23="","",IF(M23&lt;=2,"Directo",IF(M23=3,"Posible mejor 3°","")))</f>
        <v/>
      </c>
      <c r="O23" s="1" t="str">
        <f aca="false">IF(M23="","",A23&amp;M23)</f>
        <v/>
      </c>
      <c r="P23" s="1" t="str">
        <f aca="false">C23</f>
        <v>Japón</v>
      </c>
      <c r="Q23" s="1" t="str">
        <f aca="false">B23</f>
        <v>JPN</v>
      </c>
    </row>
    <row r="24" customFormat="false" ht="14.25" hidden="false" customHeight="true" outlineLevel="0" collapsed="false">
      <c r="A24" s="1" t="s">
        <v>98</v>
      </c>
      <c r="B24" s="1" t="s">
        <v>106</v>
      </c>
      <c r="C24" s="1" t="s">
        <v>107</v>
      </c>
      <c r="D24" s="1" t="n">
        <f aca="false">COUNTIFS(Partidos!$L$2:$L$73,B24,Partidos!$H$2:$H$73,"&lt;&gt;")+COUNTIFS(Partidos!$M$2:$M$73,B24,Partidos!$I$2:$I$73,"&lt;&gt;")</f>
        <v>0</v>
      </c>
      <c r="E24" s="1" t="n">
        <f aca="false">SUMPRODUCT((Partidos!$L$2:$L$73=B24)*(Partidos!$H$2:$H$73&lt;&gt;"")*(Partidos!$H$2:$H$73&gt;Partidos!$I$2:$I$73))+SUMPRODUCT((Partidos!$M$2:$M$73=B24)*(Partidos!$I$2:$I$73&lt;&gt;"")*(Partidos!$I$2:$I$73&gt;Partidos!$H$2:$H$73))</f>
        <v>0</v>
      </c>
      <c r="F24" s="1" t="n">
        <f aca="false">SUMPRODUCT((Partidos!$L$2:$L$73=B24)*(Partidos!$H$2:$H$73&lt;&gt;"")*(Partidos!$H$2:$H$73=Partidos!$I$2:$I$73))+SUMPRODUCT((Partidos!$M$2:$M$73=B24)*(Partidos!$I$2:$I$73&lt;&gt;"")*(Partidos!$I$2:$I$73=Partidos!$H$2:$H$73))</f>
        <v>0</v>
      </c>
      <c r="G24" s="1" t="n">
        <f aca="false">D24-E24-F24</f>
        <v>0</v>
      </c>
      <c r="H24" s="1" t="n">
        <f aca="false">SUMIFS(Partidos!$H$2:$H$73,Partidos!$L$2:$L$73,B24)+SUMIFS(Partidos!$I$2:$I$73,Partidos!$M$2:$M$73,B24)</f>
        <v>0</v>
      </c>
      <c r="I24" s="1" t="n">
        <f aca="false">SUMIFS(Partidos!$I$2:$I$73,Partidos!$L$2:$L$73,B24)+SUMIFS(Partidos!$H$2:$H$73,Partidos!$M$2:$M$73,B24)</f>
        <v>0</v>
      </c>
      <c r="J24" s="1" t="n">
        <f aca="false">H24-I24</f>
        <v>0</v>
      </c>
      <c r="K24" s="1" t="n">
        <f aca="false">E24*3+F24</f>
        <v>0</v>
      </c>
      <c r="L24" s="1" t="n">
        <v>0</v>
      </c>
      <c r="M24" s="1" t="str">
        <f aca="false">IF(COUNTIFS($A$2:$A$49,A24,$D$2:$D$49,"&gt;=1")&lt;4,"",1+COUNTIFS($A$2:$A$49,A24,$K$2:$K$49,"&gt;"&amp;K24)+COUNTIFS($A$2:$A$49,A24,$K$2:$K$49,K24,$L$2:$L$49,"&gt;"&amp;L24)+COUNTIFS($A$2:$A$49,A24,$K$2:$K$49,K24,$L$2:$L$49,L24,$J$2:$J$49,"&gt;"&amp;J24)+COUNTIFS($A$2:$A$49,A24,$K$2:$K$49,K24,$L$2:$L$49,L24,$J$2:$J$49,J24,$H$2:$H$49,"&gt;"&amp;H24)+SUMPRODUCT(($A$2:$A$49=A24)*($K$2:$K$49=K24)*($L$2:$L$49=L24)*($J$2:$J$49=J24)*($H$2:$H$49=H24)*(ROW($A$2:$A$49)&lt;ROW(A24))))</f>
        <v/>
      </c>
      <c r="N24" s="1" t="str">
        <f aca="false">IF(M24="","",IF(M24&lt;=2,"Directo",IF(M24=3,"Posible mejor 3°","")))</f>
        <v/>
      </c>
      <c r="O24" s="1" t="str">
        <f aca="false">IF(M24="","",A24&amp;M24)</f>
        <v/>
      </c>
      <c r="P24" s="1" t="str">
        <f aca="false">C24</f>
        <v>Suecia</v>
      </c>
      <c r="Q24" s="1" t="str">
        <f aca="false">B24</f>
        <v>SWE</v>
      </c>
    </row>
    <row r="25" customFormat="false" ht="14.25" hidden="false" customHeight="true" outlineLevel="0" collapsed="false">
      <c r="A25" s="1" t="s">
        <v>98</v>
      </c>
      <c r="B25" s="1" t="s">
        <v>109</v>
      </c>
      <c r="C25" s="1" t="s">
        <v>110</v>
      </c>
      <c r="D25" s="1" t="n">
        <f aca="false">COUNTIFS(Partidos!$L$2:$L$73,B25,Partidos!$H$2:$H$73,"&lt;&gt;")+COUNTIFS(Partidos!$M$2:$M$73,B25,Partidos!$I$2:$I$73,"&lt;&gt;")</f>
        <v>0</v>
      </c>
      <c r="E25" s="1" t="n">
        <f aca="false">SUMPRODUCT((Partidos!$L$2:$L$73=B25)*(Partidos!$H$2:$H$73&lt;&gt;"")*(Partidos!$H$2:$H$73&gt;Partidos!$I$2:$I$73))+SUMPRODUCT((Partidos!$M$2:$M$73=B25)*(Partidos!$I$2:$I$73&lt;&gt;"")*(Partidos!$I$2:$I$73&gt;Partidos!$H$2:$H$73))</f>
        <v>0</v>
      </c>
      <c r="F25" s="1" t="n">
        <f aca="false">SUMPRODUCT((Partidos!$L$2:$L$73=B25)*(Partidos!$H$2:$H$73&lt;&gt;"")*(Partidos!$H$2:$H$73=Partidos!$I$2:$I$73))+SUMPRODUCT((Partidos!$M$2:$M$73=B25)*(Partidos!$I$2:$I$73&lt;&gt;"")*(Partidos!$I$2:$I$73=Partidos!$H$2:$H$73))</f>
        <v>0</v>
      </c>
      <c r="G25" s="1" t="n">
        <f aca="false">D25-E25-F25</f>
        <v>0</v>
      </c>
      <c r="H25" s="1" t="n">
        <f aca="false">SUMIFS(Partidos!$H$2:$H$73,Partidos!$L$2:$L$73,B25)+SUMIFS(Partidos!$I$2:$I$73,Partidos!$M$2:$M$73,B25)</f>
        <v>0</v>
      </c>
      <c r="I25" s="1" t="n">
        <f aca="false">SUMIFS(Partidos!$I$2:$I$73,Partidos!$L$2:$L$73,B25)+SUMIFS(Partidos!$H$2:$H$73,Partidos!$M$2:$M$73,B25)</f>
        <v>0</v>
      </c>
      <c r="J25" s="1" t="n">
        <f aca="false">H25-I25</f>
        <v>0</v>
      </c>
      <c r="K25" s="1" t="n">
        <f aca="false">E25*3+F25</f>
        <v>0</v>
      </c>
      <c r="L25" s="1" t="n">
        <v>0</v>
      </c>
      <c r="M25" s="1" t="str">
        <f aca="false">IF(COUNTIFS($A$2:$A$49,A25,$D$2:$D$49,"&gt;=1")&lt;4,"",1+COUNTIFS($A$2:$A$49,A25,$K$2:$K$49,"&gt;"&amp;K25)+COUNTIFS($A$2:$A$49,A25,$K$2:$K$49,K25,$L$2:$L$49,"&gt;"&amp;L25)+COUNTIFS($A$2:$A$49,A25,$K$2:$K$49,K25,$L$2:$L$49,L25,$J$2:$J$49,"&gt;"&amp;J25)+COUNTIFS($A$2:$A$49,A25,$K$2:$K$49,K25,$L$2:$L$49,L25,$J$2:$J$49,J25,$H$2:$H$49,"&gt;"&amp;H25)+SUMPRODUCT(($A$2:$A$49=A25)*($K$2:$K$49=K25)*($L$2:$L$49=L25)*($J$2:$J$49=J25)*($H$2:$H$49=H25)*(ROW($A$2:$A$49)&lt;ROW(A25))))</f>
        <v/>
      </c>
      <c r="N25" s="1" t="str">
        <f aca="false">IF(M25="","",IF(M25&lt;=2,"Directo",IF(M25=3,"Posible mejor 3°","")))</f>
        <v/>
      </c>
      <c r="O25" s="1" t="str">
        <f aca="false">IF(M25="","",A25&amp;M25)</f>
        <v/>
      </c>
      <c r="P25" s="1" t="str">
        <f aca="false">C25</f>
        <v>Túnez</v>
      </c>
      <c r="Q25" s="1" t="str">
        <f aca="false">B25</f>
        <v>TUN</v>
      </c>
    </row>
    <row r="26" customFormat="false" ht="14.25" hidden="false" customHeight="true" outlineLevel="0" collapsed="false">
      <c r="A26" s="1" t="s">
        <v>111</v>
      </c>
      <c r="B26" s="1" t="s">
        <v>113</v>
      </c>
      <c r="C26" s="1" t="s">
        <v>114</v>
      </c>
      <c r="D26" s="1" t="n">
        <f aca="false">COUNTIFS(Partidos!$L$2:$L$73,B26,Partidos!$H$2:$H$73,"&lt;&gt;")+COUNTIFS(Partidos!$M$2:$M$73,B26,Partidos!$I$2:$I$73,"&lt;&gt;")</f>
        <v>0</v>
      </c>
      <c r="E26" s="1" t="n">
        <f aca="false">SUMPRODUCT((Partidos!$L$2:$L$73=B26)*(Partidos!$H$2:$H$73&lt;&gt;"")*(Partidos!$H$2:$H$73&gt;Partidos!$I$2:$I$73))+SUMPRODUCT((Partidos!$M$2:$M$73=B26)*(Partidos!$I$2:$I$73&lt;&gt;"")*(Partidos!$I$2:$I$73&gt;Partidos!$H$2:$H$73))</f>
        <v>0</v>
      </c>
      <c r="F26" s="1" t="n">
        <f aca="false">SUMPRODUCT((Partidos!$L$2:$L$73=B26)*(Partidos!$H$2:$H$73&lt;&gt;"")*(Partidos!$H$2:$H$73=Partidos!$I$2:$I$73))+SUMPRODUCT((Partidos!$M$2:$M$73=B26)*(Partidos!$I$2:$I$73&lt;&gt;"")*(Partidos!$I$2:$I$73=Partidos!$H$2:$H$73))</f>
        <v>0</v>
      </c>
      <c r="G26" s="1" t="n">
        <f aca="false">D26-E26-F26</f>
        <v>0</v>
      </c>
      <c r="H26" s="1" t="n">
        <f aca="false">SUMIFS(Partidos!$H$2:$H$73,Partidos!$L$2:$L$73,B26)+SUMIFS(Partidos!$I$2:$I$73,Partidos!$M$2:$M$73,B26)</f>
        <v>0</v>
      </c>
      <c r="I26" s="1" t="n">
        <f aca="false">SUMIFS(Partidos!$I$2:$I$73,Partidos!$L$2:$L$73,B26)+SUMIFS(Partidos!$H$2:$H$73,Partidos!$M$2:$M$73,B26)</f>
        <v>0</v>
      </c>
      <c r="J26" s="1" t="n">
        <f aca="false">H26-I26</f>
        <v>0</v>
      </c>
      <c r="K26" s="1" t="n">
        <f aca="false">E26*3+F26</f>
        <v>0</v>
      </c>
      <c r="L26" s="1" t="n">
        <v>0</v>
      </c>
      <c r="M26" s="1" t="str">
        <f aca="false">IF(COUNTIFS($A$2:$A$49,A26,$D$2:$D$49,"&gt;=1")&lt;4,"",1+COUNTIFS($A$2:$A$49,A26,$K$2:$K$49,"&gt;"&amp;K26)+COUNTIFS($A$2:$A$49,A26,$K$2:$K$49,K26,$L$2:$L$49,"&gt;"&amp;L26)+COUNTIFS($A$2:$A$49,A26,$K$2:$K$49,K26,$L$2:$L$49,L26,$J$2:$J$49,"&gt;"&amp;J26)+COUNTIFS($A$2:$A$49,A26,$K$2:$K$49,K26,$L$2:$L$49,L26,$J$2:$J$49,J26,$H$2:$H$49,"&gt;"&amp;H26)+SUMPRODUCT(($A$2:$A$49=A26)*($K$2:$K$49=K26)*($L$2:$L$49=L26)*($J$2:$J$49=J26)*($H$2:$H$49=H26)*(ROW($A$2:$A$49)&lt;ROW(A26))))</f>
        <v/>
      </c>
      <c r="N26" s="1" t="str">
        <f aca="false">IF(M26="","",IF(M26&lt;=2,"Directo",IF(M26=3,"Posible mejor 3°","")))</f>
        <v/>
      </c>
      <c r="O26" s="1" t="str">
        <f aca="false">IF(M26="","",A26&amp;M26)</f>
        <v/>
      </c>
      <c r="P26" s="1" t="str">
        <f aca="false">C26</f>
        <v>Bélgica</v>
      </c>
      <c r="Q26" s="1" t="str">
        <f aca="false">B26</f>
        <v>BEL</v>
      </c>
    </row>
    <row r="27" customFormat="false" ht="14.25" hidden="false" customHeight="true" outlineLevel="0" collapsed="false">
      <c r="A27" s="1" t="s">
        <v>111</v>
      </c>
      <c r="B27" s="1" t="s">
        <v>116</v>
      </c>
      <c r="C27" s="1" t="s">
        <v>117</v>
      </c>
      <c r="D27" s="1" t="n">
        <f aca="false">COUNTIFS(Partidos!$L$2:$L$73,B27,Partidos!$H$2:$H$73,"&lt;&gt;")+COUNTIFS(Partidos!$M$2:$M$73,B27,Partidos!$I$2:$I$73,"&lt;&gt;")</f>
        <v>0</v>
      </c>
      <c r="E27" s="1" t="n">
        <f aca="false">SUMPRODUCT((Partidos!$L$2:$L$73=B27)*(Partidos!$H$2:$H$73&lt;&gt;"")*(Partidos!$H$2:$H$73&gt;Partidos!$I$2:$I$73))+SUMPRODUCT((Partidos!$M$2:$M$73=B27)*(Partidos!$I$2:$I$73&lt;&gt;"")*(Partidos!$I$2:$I$73&gt;Partidos!$H$2:$H$73))</f>
        <v>0</v>
      </c>
      <c r="F27" s="1" t="n">
        <f aca="false">SUMPRODUCT((Partidos!$L$2:$L$73=B27)*(Partidos!$H$2:$H$73&lt;&gt;"")*(Partidos!$H$2:$H$73=Partidos!$I$2:$I$73))+SUMPRODUCT((Partidos!$M$2:$M$73=B27)*(Partidos!$I$2:$I$73&lt;&gt;"")*(Partidos!$I$2:$I$73=Partidos!$H$2:$H$73))</f>
        <v>0</v>
      </c>
      <c r="G27" s="1" t="n">
        <f aca="false">D27-E27-F27</f>
        <v>0</v>
      </c>
      <c r="H27" s="1" t="n">
        <f aca="false">SUMIFS(Partidos!$H$2:$H$73,Partidos!$L$2:$L$73,B27)+SUMIFS(Partidos!$I$2:$I$73,Partidos!$M$2:$M$73,B27)</f>
        <v>0</v>
      </c>
      <c r="I27" s="1" t="n">
        <f aca="false">SUMIFS(Partidos!$I$2:$I$73,Partidos!$L$2:$L$73,B27)+SUMIFS(Partidos!$H$2:$H$73,Partidos!$M$2:$M$73,B27)</f>
        <v>0</v>
      </c>
      <c r="J27" s="1" t="n">
        <f aca="false">H27-I27</f>
        <v>0</v>
      </c>
      <c r="K27" s="1" t="n">
        <f aca="false">E27*3+F27</f>
        <v>0</v>
      </c>
      <c r="L27" s="1" t="n">
        <v>0</v>
      </c>
      <c r="M27" s="1" t="str">
        <f aca="false">IF(COUNTIFS($A$2:$A$49,A27,$D$2:$D$49,"&gt;=1")&lt;4,"",1+COUNTIFS($A$2:$A$49,A27,$K$2:$K$49,"&gt;"&amp;K27)+COUNTIFS($A$2:$A$49,A27,$K$2:$K$49,K27,$L$2:$L$49,"&gt;"&amp;L27)+COUNTIFS($A$2:$A$49,A27,$K$2:$K$49,K27,$L$2:$L$49,L27,$J$2:$J$49,"&gt;"&amp;J27)+COUNTIFS($A$2:$A$49,A27,$K$2:$K$49,K27,$L$2:$L$49,L27,$J$2:$J$49,J27,$H$2:$H$49,"&gt;"&amp;H27)+SUMPRODUCT(($A$2:$A$49=A27)*($K$2:$K$49=K27)*($L$2:$L$49=L27)*($J$2:$J$49=J27)*($H$2:$H$49=H27)*(ROW($A$2:$A$49)&lt;ROW(A27))))</f>
        <v/>
      </c>
      <c r="N27" s="1" t="str">
        <f aca="false">IF(M27="","",IF(M27&lt;=2,"Directo",IF(M27=3,"Posible mejor 3°","")))</f>
        <v/>
      </c>
      <c r="O27" s="1" t="str">
        <f aca="false">IF(M27="","",A27&amp;M27)</f>
        <v/>
      </c>
      <c r="P27" s="1" t="str">
        <f aca="false">C27</f>
        <v>Egipto</v>
      </c>
      <c r="Q27" s="1" t="str">
        <f aca="false">B27</f>
        <v>EGY</v>
      </c>
    </row>
    <row r="28" customFormat="false" ht="14.25" hidden="false" customHeight="true" outlineLevel="0" collapsed="false">
      <c r="A28" s="1" t="s">
        <v>111</v>
      </c>
      <c r="B28" s="1" t="s">
        <v>119</v>
      </c>
      <c r="C28" s="1" t="s">
        <v>120</v>
      </c>
      <c r="D28" s="1" t="n">
        <f aca="false">COUNTIFS(Partidos!$L$2:$L$73,B28,Partidos!$H$2:$H$73,"&lt;&gt;")+COUNTIFS(Partidos!$M$2:$M$73,B28,Partidos!$I$2:$I$73,"&lt;&gt;")</f>
        <v>0</v>
      </c>
      <c r="E28" s="1" t="n">
        <f aca="false">SUMPRODUCT((Partidos!$L$2:$L$73=B28)*(Partidos!$H$2:$H$73&lt;&gt;"")*(Partidos!$H$2:$H$73&gt;Partidos!$I$2:$I$73))+SUMPRODUCT((Partidos!$M$2:$M$73=B28)*(Partidos!$I$2:$I$73&lt;&gt;"")*(Partidos!$I$2:$I$73&gt;Partidos!$H$2:$H$73))</f>
        <v>0</v>
      </c>
      <c r="F28" s="1" t="n">
        <f aca="false">SUMPRODUCT((Partidos!$L$2:$L$73=B28)*(Partidos!$H$2:$H$73&lt;&gt;"")*(Partidos!$H$2:$H$73=Partidos!$I$2:$I$73))+SUMPRODUCT((Partidos!$M$2:$M$73=B28)*(Partidos!$I$2:$I$73&lt;&gt;"")*(Partidos!$I$2:$I$73=Partidos!$H$2:$H$73))</f>
        <v>0</v>
      </c>
      <c r="G28" s="1" t="n">
        <f aca="false">D28-E28-F28</f>
        <v>0</v>
      </c>
      <c r="H28" s="1" t="n">
        <f aca="false">SUMIFS(Partidos!$H$2:$H$73,Partidos!$L$2:$L$73,B28)+SUMIFS(Partidos!$I$2:$I$73,Partidos!$M$2:$M$73,B28)</f>
        <v>0</v>
      </c>
      <c r="I28" s="1" t="n">
        <f aca="false">SUMIFS(Partidos!$I$2:$I$73,Partidos!$L$2:$L$73,B28)+SUMIFS(Partidos!$H$2:$H$73,Partidos!$M$2:$M$73,B28)</f>
        <v>0</v>
      </c>
      <c r="J28" s="1" t="n">
        <f aca="false">H28-I28</f>
        <v>0</v>
      </c>
      <c r="K28" s="1" t="n">
        <f aca="false">E28*3+F28</f>
        <v>0</v>
      </c>
      <c r="L28" s="1" t="n">
        <v>0</v>
      </c>
      <c r="M28" s="1" t="str">
        <f aca="false">IF(COUNTIFS($A$2:$A$49,A28,$D$2:$D$49,"&gt;=1")&lt;4,"",1+COUNTIFS($A$2:$A$49,A28,$K$2:$K$49,"&gt;"&amp;K28)+COUNTIFS($A$2:$A$49,A28,$K$2:$K$49,K28,$L$2:$L$49,"&gt;"&amp;L28)+COUNTIFS($A$2:$A$49,A28,$K$2:$K$49,K28,$L$2:$L$49,L28,$J$2:$J$49,"&gt;"&amp;J28)+COUNTIFS($A$2:$A$49,A28,$K$2:$K$49,K28,$L$2:$L$49,L28,$J$2:$J$49,J28,$H$2:$H$49,"&gt;"&amp;H28)+SUMPRODUCT(($A$2:$A$49=A28)*($K$2:$K$49=K28)*($L$2:$L$49=L28)*($J$2:$J$49=J28)*($H$2:$H$49=H28)*(ROW($A$2:$A$49)&lt;ROW(A28))))</f>
        <v/>
      </c>
      <c r="N28" s="1" t="str">
        <f aca="false">IF(M28="","",IF(M28&lt;=2,"Directo",IF(M28=3,"Posible mejor 3°","")))</f>
        <v/>
      </c>
      <c r="O28" s="1" t="str">
        <f aca="false">IF(M28="","",A28&amp;M28)</f>
        <v/>
      </c>
      <c r="P28" s="1" t="str">
        <f aca="false">C28</f>
        <v>Irán</v>
      </c>
      <c r="Q28" s="1" t="str">
        <f aca="false">B28</f>
        <v>IRN</v>
      </c>
    </row>
    <row r="29" customFormat="false" ht="14.25" hidden="false" customHeight="true" outlineLevel="0" collapsed="false">
      <c r="A29" s="1" t="s">
        <v>111</v>
      </c>
      <c r="B29" s="1" t="s">
        <v>122</v>
      </c>
      <c r="C29" s="1" t="s">
        <v>123</v>
      </c>
      <c r="D29" s="1" t="n">
        <f aca="false">COUNTIFS(Partidos!$L$2:$L$73,B29,Partidos!$H$2:$H$73,"&lt;&gt;")+COUNTIFS(Partidos!$M$2:$M$73,B29,Partidos!$I$2:$I$73,"&lt;&gt;")</f>
        <v>0</v>
      </c>
      <c r="E29" s="1" t="n">
        <f aca="false">SUMPRODUCT((Partidos!$L$2:$L$73=B29)*(Partidos!$H$2:$H$73&lt;&gt;"")*(Partidos!$H$2:$H$73&gt;Partidos!$I$2:$I$73))+SUMPRODUCT((Partidos!$M$2:$M$73=B29)*(Partidos!$I$2:$I$73&lt;&gt;"")*(Partidos!$I$2:$I$73&gt;Partidos!$H$2:$H$73))</f>
        <v>0</v>
      </c>
      <c r="F29" s="1" t="n">
        <f aca="false">SUMPRODUCT((Partidos!$L$2:$L$73=B29)*(Partidos!$H$2:$H$73&lt;&gt;"")*(Partidos!$H$2:$H$73=Partidos!$I$2:$I$73))+SUMPRODUCT((Partidos!$M$2:$M$73=B29)*(Partidos!$I$2:$I$73&lt;&gt;"")*(Partidos!$I$2:$I$73=Partidos!$H$2:$H$73))</f>
        <v>0</v>
      </c>
      <c r="G29" s="1" t="n">
        <f aca="false">D29-E29-F29</f>
        <v>0</v>
      </c>
      <c r="H29" s="1" t="n">
        <f aca="false">SUMIFS(Partidos!$H$2:$H$73,Partidos!$L$2:$L$73,B29)+SUMIFS(Partidos!$I$2:$I$73,Partidos!$M$2:$M$73,B29)</f>
        <v>0</v>
      </c>
      <c r="I29" s="1" t="n">
        <f aca="false">SUMIFS(Partidos!$I$2:$I$73,Partidos!$L$2:$L$73,B29)+SUMIFS(Partidos!$H$2:$H$73,Partidos!$M$2:$M$73,B29)</f>
        <v>0</v>
      </c>
      <c r="J29" s="1" t="n">
        <f aca="false">H29-I29</f>
        <v>0</v>
      </c>
      <c r="K29" s="1" t="n">
        <f aca="false">E29*3+F29</f>
        <v>0</v>
      </c>
      <c r="L29" s="1" t="n">
        <v>0</v>
      </c>
      <c r="M29" s="1" t="str">
        <f aca="false">IF(COUNTIFS($A$2:$A$49,A29,$D$2:$D$49,"&gt;=1")&lt;4,"",1+COUNTIFS($A$2:$A$49,A29,$K$2:$K$49,"&gt;"&amp;K29)+COUNTIFS($A$2:$A$49,A29,$K$2:$K$49,K29,$L$2:$L$49,"&gt;"&amp;L29)+COUNTIFS($A$2:$A$49,A29,$K$2:$K$49,K29,$L$2:$L$49,L29,$J$2:$J$49,"&gt;"&amp;J29)+COUNTIFS($A$2:$A$49,A29,$K$2:$K$49,K29,$L$2:$L$49,L29,$J$2:$J$49,J29,$H$2:$H$49,"&gt;"&amp;H29)+SUMPRODUCT(($A$2:$A$49=A29)*($K$2:$K$49=K29)*($L$2:$L$49=L29)*($J$2:$J$49=J29)*($H$2:$H$49=H29)*(ROW($A$2:$A$49)&lt;ROW(A29))))</f>
        <v/>
      </c>
      <c r="N29" s="1" t="str">
        <f aca="false">IF(M29="","",IF(M29&lt;=2,"Directo",IF(M29=3,"Posible mejor 3°","")))</f>
        <v/>
      </c>
      <c r="O29" s="1" t="str">
        <f aca="false">IF(M29="","",A29&amp;M29)</f>
        <v/>
      </c>
      <c r="P29" s="1" t="str">
        <f aca="false">C29</f>
        <v>Nueva Zelanda</v>
      </c>
      <c r="Q29" s="1" t="str">
        <f aca="false">B29</f>
        <v>NZL</v>
      </c>
    </row>
    <row r="30" customFormat="false" ht="14.25" hidden="false" customHeight="true" outlineLevel="0" collapsed="false">
      <c r="A30" s="1" t="s">
        <v>124</v>
      </c>
      <c r="B30" s="1" t="s">
        <v>126</v>
      </c>
      <c r="C30" s="1" t="s">
        <v>127</v>
      </c>
      <c r="D30" s="1" t="n">
        <f aca="false">COUNTIFS(Partidos!$L$2:$L$73,B30,Partidos!$H$2:$H$73,"&lt;&gt;")+COUNTIFS(Partidos!$M$2:$M$73,B30,Partidos!$I$2:$I$73,"&lt;&gt;")</f>
        <v>0</v>
      </c>
      <c r="E30" s="1" t="n">
        <f aca="false">SUMPRODUCT((Partidos!$L$2:$L$73=B30)*(Partidos!$H$2:$H$73&lt;&gt;"")*(Partidos!$H$2:$H$73&gt;Partidos!$I$2:$I$73))+SUMPRODUCT((Partidos!$M$2:$M$73=B30)*(Partidos!$I$2:$I$73&lt;&gt;"")*(Partidos!$I$2:$I$73&gt;Partidos!$H$2:$H$73))</f>
        <v>0</v>
      </c>
      <c r="F30" s="1" t="n">
        <f aca="false">SUMPRODUCT((Partidos!$L$2:$L$73=B30)*(Partidos!$H$2:$H$73&lt;&gt;"")*(Partidos!$H$2:$H$73=Partidos!$I$2:$I$73))+SUMPRODUCT((Partidos!$M$2:$M$73=B30)*(Partidos!$I$2:$I$73&lt;&gt;"")*(Partidos!$I$2:$I$73=Partidos!$H$2:$H$73))</f>
        <v>0</v>
      </c>
      <c r="G30" s="1" t="n">
        <f aca="false">D30-E30-F30</f>
        <v>0</v>
      </c>
      <c r="H30" s="1" t="n">
        <f aca="false">SUMIFS(Partidos!$H$2:$H$73,Partidos!$L$2:$L$73,B30)+SUMIFS(Partidos!$I$2:$I$73,Partidos!$M$2:$M$73,B30)</f>
        <v>0</v>
      </c>
      <c r="I30" s="1" t="n">
        <f aca="false">SUMIFS(Partidos!$I$2:$I$73,Partidos!$L$2:$L$73,B30)+SUMIFS(Partidos!$H$2:$H$73,Partidos!$M$2:$M$73,B30)</f>
        <v>0</v>
      </c>
      <c r="J30" s="1" t="n">
        <f aca="false">H30-I30</f>
        <v>0</v>
      </c>
      <c r="K30" s="1" t="n">
        <f aca="false">E30*3+F30</f>
        <v>0</v>
      </c>
      <c r="L30" s="1" t="n">
        <v>0</v>
      </c>
      <c r="M30" s="1" t="str">
        <f aca="false">IF(COUNTIFS($A$2:$A$49,A30,$D$2:$D$49,"&gt;=1")&lt;4,"",1+COUNTIFS($A$2:$A$49,A30,$K$2:$K$49,"&gt;"&amp;K30)+COUNTIFS($A$2:$A$49,A30,$K$2:$K$49,K30,$L$2:$L$49,"&gt;"&amp;L30)+COUNTIFS($A$2:$A$49,A30,$K$2:$K$49,K30,$L$2:$L$49,L30,$J$2:$J$49,"&gt;"&amp;J30)+COUNTIFS($A$2:$A$49,A30,$K$2:$K$49,K30,$L$2:$L$49,L30,$J$2:$J$49,J30,$H$2:$H$49,"&gt;"&amp;H30)+SUMPRODUCT(($A$2:$A$49=A30)*($K$2:$K$49=K30)*($L$2:$L$49=L30)*($J$2:$J$49=J30)*($H$2:$H$49=H30)*(ROW($A$2:$A$49)&lt;ROW(A30))))</f>
        <v/>
      </c>
      <c r="N30" s="1" t="str">
        <f aca="false">IF(M30="","",IF(M30&lt;=2,"Directo",IF(M30=3,"Posible mejor 3°","")))</f>
        <v/>
      </c>
      <c r="O30" s="1" t="str">
        <f aca="false">IF(M30="","",A30&amp;M30)</f>
        <v/>
      </c>
      <c r="P30" s="1" t="str">
        <f aca="false">C30</f>
        <v>España</v>
      </c>
      <c r="Q30" s="1" t="str">
        <f aca="false">B30</f>
        <v>ESP</v>
      </c>
    </row>
    <row r="31" customFormat="false" ht="14.25" hidden="false" customHeight="true" outlineLevel="0" collapsed="false">
      <c r="A31" s="1" t="s">
        <v>124</v>
      </c>
      <c r="B31" s="1" t="s">
        <v>129</v>
      </c>
      <c r="C31" s="1" t="s">
        <v>130</v>
      </c>
      <c r="D31" s="1" t="n">
        <f aca="false">COUNTIFS(Partidos!$L$2:$L$73,B31,Partidos!$H$2:$H$73,"&lt;&gt;")+COUNTIFS(Partidos!$M$2:$M$73,B31,Partidos!$I$2:$I$73,"&lt;&gt;")</f>
        <v>0</v>
      </c>
      <c r="E31" s="1" t="n">
        <f aca="false">SUMPRODUCT((Partidos!$L$2:$L$73=B31)*(Partidos!$H$2:$H$73&lt;&gt;"")*(Partidos!$H$2:$H$73&gt;Partidos!$I$2:$I$73))+SUMPRODUCT((Partidos!$M$2:$M$73=B31)*(Partidos!$I$2:$I$73&lt;&gt;"")*(Partidos!$I$2:$I$73&gt;Partidos!$H$2:$H$73))</f>
        <v>0</v>
      </c>
      <c r="F31" s="1" t="n">
        <f aca="false">SUMPRODUCT((Partidos!$L$2:$L$73=B31)*(Partidos!$H$2:$H$73&lt;&gt;"")*(Partidos!$H$2:$H$73=Partidos!$I$2:$I$73))+SUMPRODUCT((Partidos!$M$2:$M$73=B31)*(Partidos!$I$2:$I$73&lt;&gt;"")*(Partidos!$I$2:$I$73=Partidos!$H$2:$H$73))</f>
        <v>0</v>
      </c>
      <c r="G31" s="1" t="n">
        <f aca="false">D31-E31-F31</f>
        <v>0</v>
      </c>
      <c r="H31" s="1" t="n">
        <f aca="false">SUMIFS(Partidos!$H$2:$H$73,Partidos!$L$2:$L$73,B31)+SUMIFS(Partidos!$I$2:$I$73,Partidos!$M$2:$M$73,B31)</f>
        <v>0</v>
      </c>
      <c r="I31" s="1" t="n">
        <f aca="false">SUMIFS(Partidos!$I$2:$I$73,Partidos!$L$2:$L$73,B31)+SUMIFS(Partidos!$H$2:$H$73,Partidos!$M$2:$M$73,B31)</f>
        <v>0</v>
      </c>
      <c r="J31" s="1" t="n">
        <f aca="false">H31-I31</f>
        <v>0</v>
      </c>
      <c r="K31" s="1" t="n">
        <f aca="false">E31*3+F31</f>
        <v>0</v>
      </c>
      <c r="L31" s="1" t="n">
        <v>0</v>
      </c>
      <c r="M31" s="1" t="str">
        <f aca="false">IF(COUNTIFS($A$2:$A$49,A31,$D$2:$D$49,"&gt;=1")&lt;4,"",1+COUNTIFS($A$2:$A$49,A31,$K$2:$K$49,"&gt;"&amp;K31)+COUNTIFS($A$2:$A$49,A31,$K$2:$K$49,K31,$L$2:$L$49,"&gt;"&amp;L31)+COUNTIFS($A$2:$A$49,A31,$K$2:$K$49,K31,$L$2:$L$49,L31,$J$2:$J$49,"&gt;"&amp;J31)+COUNTIFS($A$2:$A$49,A31,$K$2:$K$49,K31,$L$2:$L$49,L31,$J$2:$J$49,J31,$H$2:$H$49,"&gt;"&amp;H31)+SUMPRODUCT(($A$2:$A$49=A31)*($K$2:$K$49=K31)*($L$2:$L$49=L31)*($J$2:$J$49=J31)*($H$2:$H$49=H31)*(ROW($A$2:$A$49)&lt;ROW(A31))))</f>
        <v/>
      </c>
      <c r="N31" s="1" t="str">
        <f aca="false">IF(M31="","",IF(M31&lt;=2,"Directo",IF(M31=3,"Posible mejor 3°","")))</f>
        <v/>
      </c>
      <c r="O31" s="1" t="str">
        <f aca="false">IF(M31="","",A31&amp;M31)</f>
        <v/>
      </c>
      <c r="P31" s="1" t="str">
        <f aca="false">C31</f>
        <v>Cabo Verde</v>
      </c>
      <c r="Q31" s="1" t="str">
        <f aca="false">B31</f>
        <v>CPV</v>
      </c>
    </row>
    <row r="32" customFormat="false" ht="14.25" hidden="false" customHeight="true" outlineLevel="0" collapsed="false">
      <c r="A32" s="1" t="s">
        <v>124</v>
      </c>
      <c r="B32" s="1" t="s">
        <v>132</v>
      </c>
      <c r="C32" s="1" t="s">
        <v>133</v>
      </c>
      <c r="D32" s="1" t="n">
        <f aca="false">COUNTIFS(Partidos!$L$2:$L$73,B32,Partidos!$H$2:$H$73,"&lt;&gt;")+COUNTIFS(Partidos!$M$2:$M$73,B32,Partidos!$I$2:$I$73,"&lt;&gt;")</f>
        <v>0</v>
      </c>
      <c r="E32" s="1" t="n">
        <f aca="false">SUMPRODUCT((Partidos!$L$2:$L$73=B32)*(Partidos!$H$2:$H$73&lt;&gt;"")*(Partidos!$H$2:$H$73&gt;Partidos!$I$2:$I$73))+SUMPRODUCT((Partidos!$M$2:$M$73=B32)*(Partidos!$I$2:$I$73&lt;&gt;"")*(Partidos!$I$2:$I$73&gt;Partidos!$H$2:$H$73))</f>
        <v>0</v>
      </c>
      <c r="F32" s="1" t="n">
        <f aca="false">SUMPRODUCT((Partidos!$L$2:$L$73=B32)*(Partidos!$H$2:$H$73&lt;&gt;"")*(Partidos!$H$2:$H$73=Partidos!$I$2:$I$73))+SUMPRODUCT((Partidos!$M$2:$M$73=B32)*(Partidos!$I$2:$I$73&lt;&gt;"")*(Partidos!$I$2:$I$73=Partidos!$H$2:$H$73))</f>
        <v>0</v>
      </c>
      <c r="G32" s="1" t="n">
        <f aca="false">D32-E32-F32</f>
        <v>0</v>
      </c>
      <c r="H32" s="1" t="n">
        <f aca="false">SUMIFS(Partidos!$H$2:$H$73,Partidos!$L$2:$L$73,B32)+SUMIFS(Partidos!$I$2:$I$73,Partidos!$M$2:$M$73,B32)</f>
        <v>0</v>
      </c>
      <c r="I32" s="1" t="n">
        <f aca="false">SUMIFS(Partidos!$I$2:$I$73,Partidos!$L$2:$L$73,B32)+SUMIFS(Partidos!$H$2:$H$73,Partidos!$M$2:$M$73,B32)</f>
        <v>0</v>
      </c>
      <c r="J32" s="1" t="n">
        <f aca="false">H32-I32</f>
        <v>0</v>
      </c>
      <c r="K32" s="1" t="n">
        <f aca="false">E32*3+F32</f>
        <v>0</v>
      </c>
      <c r="L32" s="1" t="n">
        <v>0</v>
      </c>
      <c r="M32" s="1" t="str">
        <f aca="false">IF(COUNTIFS($A$2:$A$49,A32,$D$2:$D$49,"&gt;=1")&lt;4,"",1+COUNTIFS($A$2:$A$49,A32,$K$2:$K$49,"&gt;"&amp;K32)+COUNTIFS($A$2:$A$49,A32,$K$2:$K$49,K32,$L$2:$L$49,"&gt;"&amp;L32)+COUNTIFS($A$2:$A$49,A32,$K$2:$K$49,K32,$L$2:$L$49,L32,$J$2:$J$49,"&gt;"&amp;J32)+COUNTIFS($A$2:$A$49,A32,$K$2:$K$49,K32,$L$2:$L$49,L32,$J$2:$J$49,J32,$H$2:$H$49,"&gt;"&amp;H32)+SUMPRODUCT(($A$2:$A$49=A32)*($K$2:$K$49=K32)*($L$2:$L$49=L32)*($J$2:$J$49=J32)*($H$2:$H$49=H32)*(ROW($A$2:$A$49)&lt;ROW(A32))))</f>
        <v/>
      </c>
      <c r="N32" s="1" t="str">
        <f aca="false">IF(M32="","",IF(M32&lt;=2,"Directo",IF(M32=3,"Posible mejor 3°","")))</f>
        <v/>
      </c>
      <c r="O32" s="1" t="str">
        <f aca="false">IF(M32="","",A32&amp;M32)</f>
        <v/>
      </c>
      <c r="P32" s="1" t="str">
        <f aca="false">C32</f>
        <v>Arabia Saudita</v>
      </c>
      <c r="Q32" s="1" t="str">
        <f aca="false">B32</f>
        <v>KSA</v>
      </c>
    </row>
    <row r="33" customFormat="false" ht="14.25" hidden="false" customHeight="true" outlineLevel="0" collapsed="false">
      <c r="A33" s="1" t="s">
        <v>124</v>
      </c>
      <c r="B33" s="1" t="s">
        <v>135</v>
      </c>
      <c r="C33" s="1" t="s">
        <v>136</v>
      </c>
      <c r="D33" s="1" t="n">
        <f aca="false">COUNTIFS(Partidos!$L$2:$L$73,B33,Partidos!$H$2:$H$73,"&lt;&gt;")+COUNTIFS(Partidos!$M$2:$M$73,B33,Partidos!$I$2:$I$73,"&lt;&gt;")</f>
        <v>0</v>
      </c>
      <c r="E33" s="1" t="n">
        <f aca="false">SUMPRODUCT((Partidos!$L$2:$L$73=B33)*(Partidos!$H$2:$H$73&lt;&gt;"")*(Partidos!$H$2:$H$73&gt;Partidos!$I$2:$I$73))+SUMPRODUCT((Partidos!$M$2:$M$73=B33)*(Partidos!$I$2:$I$73&lt;&gt;"")*(Partidos!$I$2:$I$73&gt;Partidos!$H$2:$H$73))</f>
        <v>0</v>
      </c>
      <c r="F33" s="1" t="n">
        <f aca="false">SUMPRODUCT((Partidos!$L$2:$L$73=B33)*(Partidos!$H$2:$H$73&lt;&gt;"")*(Partidos!$H$2:$H$73=Partidos!$I$2:$I$73))+SUMPRODUCT((Partidos!$M$2:$M$73=B33)*(Partidos!$I$2:$I$73&lt;&gt;"")*(Partidos!$I$2:$I$73=Partidos!$H$2:$H$73))</f>
        <v>0</v>
      </c>
      <c r="G33" s="1" t="n">
        <f aca="false">D33-E33-F33</f>
        <v>0</v>
      </c>
      <c r="H33" s="1" t="n">
        <f aca="false">SUMIFS(Partidos!$H$2:$H$73,Partidos!$L$2:$L$73,B33)+SUMIFS(Partidos!$I$2:$I$73,Partidos!$M$2:$M$73,B33)</f>
        <v>0</v>
      </c>
      <c r="I33" s="1" t="n">
        <f aca="false">SUMIFS(Partidos!$I$2:$I$73,Partidos!$L$2:$L$73,B33)+SUMIFS(Partidos!$H$2:$H$73,Partidos!$M$2:$M$73,B33)</f>
        <v>0</v>
      </c>
      <c r="J33" s="1" t="n">
        <f aca="false">H33-I33</f>
        <v>0</v>
      </c>
      <c r="K33" s="1" t="n">
        <f aca="false">E33*3+F33</f>
        <v>0</v>
      </c>
      <c r="L33" s="1" t="n">
        <v>0</v>
      </c>
      <c r="M33" s="1" t="str">
        <f aca="false">IF(COUNTIFS($A$2:$A$49,A33,$D$2:$D$49,"&gt;=1")&lt;4,"",1+COUNTIFS($A$2:$A$49,A33,$K$2:$K$49,"&gt;"&amp;K33)+COUNTIFS($A$2:$A$49,A33,$K$2:$K$49,K33,$L$2:$L$49,"&gt;"&amp;L33)+COUNTIFS($A$2:$A$49,A33,$K$2:$K$49,K33,$L$2:$L$49,L33,$J$2:$J$49,"&gt;"&amp;J33)+COUNTIFS($A$2:$A$49,A33,$K$2:$K$49,K33,$L$2:$L$49,L33,$J$2:$J$49,J33,$H$2:$H$49,"&gt;"&amp;H33)+SUMPRODUCT(($A$2:$A$49=A33)*($K$2:$K$49=K33)*($L$2:$L$49=L33)*($J$2:$J$49=J33)*($H$2:$H$49=H33)*(ROW($A$2:$A$49)&lt;ROW(A33))))</f>
        <v/>
      </c>
      <c r="N33" s="1" t="str">
        <f aca="false">IF(M33="","",IF(M33&lt;=2,"Directo",IF(M33=3,"Posible mejor 3°","")))</f>
        <v/>
      </c>
      <c r="O33" s="1" t="str">
        <f aca="false">IF(M33="","",A33&amp;M33)</f>
        <v/>
      </c>
      <c r="P33" s="1" t="str">
        <f aca="false">C33</f>
        <v>Uruguay</v>
      </c>
      <c r="Q33" s="1" t="str">
        <f aca="false">B33</f>
        <v>URU</v>
      </c>
    </row>
    <row r="34" customFormat="false" ht="14.25" hidden="false" customHeight="true" outlineLevel="0" collapsed="false">
      <c r="A34" s="1" t="s">
        <v>137</v>
      </c>
      <c r="B34" s="1" t="s">
        <v>139</v>
      </c>
      <c r="C34" s="1" t="s">
        <v>140</v>
      </c>
      <c r="D34" s="1" t="n">
        <f aca="false">COUNTIFS(Partidos!$L$2:$L$73,B34,Partidos!$H$2:$H$73,"&lt;&gt;")+COUNTIFS(Partidos!$M$2:$M$73,B34,Partidos!$I$2:$I$73,"&lt;&gt;")</f>
        <v>0</v>
      </c>
      <c r="E34" s="1" t="n">
        <f aca="false">SUMPRODUCT((Partidos!$L$2:$L$73=B34)*(Partidos!$H$2:$H$73&lt;&gt;"")*(Partidos!$H$2:$H$73&gt;Partidos!$I$2:$I$73))+SUMPRODUCT((Partidos!$M$2:$M$73=B34)*(Partidos!$I$2:$I$73&lt;&gt;"")*(Partidos!$I$2:$I$73&gt;Partidos!$H$2:$H$73))</f>
        <v>0</v>
      </c>
      <c r="F34" s="1" t="n">
        <f aca="false">SUMPRODUCT((Partidos!$L$2:$L$73=B34)*(Partidos!$H$2:$H$73&lt;&gt;"")*(Partidos!$H$2:$H$73=Partidos!$I$2:$I$73))+SUMPRODUCT((Partidos!$M$2:$M$73=B34)*(Partidos!$I$2:$I$73&lt;&gt;"")*(Partidos!$I$2:$I$73=Partidos!$H$2:$H$73))</f>
        <v>0</v>
      </c>
      <c r="G34" s="1" t="n">
        <f aca="false">D34-E34-F34</f>
        <v>0</v>
      </c>
      <c r="H34" s="1" t="n">
        <f aca="false">SUMIFS(Partidos!$H$2:$H$73,Partidos!$L$2:$L$73,B34)+SUMIFS(Partidos!$I$2:$I$73,Partidos!$M$2:$M$73,B34)</f>
        <v>0</v>
      </c>
      <c r="I34" s="1" t="n">
        <f aca="false">SUMIFS(Partidos!$I$2:$I$73,Partidos!$L$2:$L$73,B34)+SUMIFS(Partidos!$H$2:$H$73,Partidos!$M$2:$M$73,B34)</f>
        <v>0</v>
      </c>
      <c r="J34" s="1" t="n">
        <f aca="false">H34-I34</f>
        <v>0</v>
      </c>
      <c r="K34" s="1" t="n">
        <f aca="false">E34*3+F34</f>
        <v>0</v>
      </c>
      <c r="L34" s="1" t="n">
        <v>0</v>
      </c>
      <c r="M34" s="1" t="str">
        <f aca="false">IF(COUNTIFS($A$2:$A$49,A34,$D$2:$D$49,"&gt;=1")&lt;4,"",1+COUNTIFS($A$2:$A$49,A34,$K$2:$K$49,"&gt;"&amp;K34)+COUNTIFS($A$2:$A$49,A34,$K$2:$K$49,K34,$L$2:$L$49,"&gt;"&amp;L34)+COUNTIFS($A$2:$A$49,A34,$K$2:$K$49,K34,$L$2:$L$49,L34,$J$2:$J$49,"&gt;"&amp;J34)+COUNTIFS($A$2:$A$49,A34,$K$2:$K$49,K34,$L$2:$L$49,L34,$J$2:$J$49,J34,$H$2:$H$49,"&gt;"&amp;H34)+SUMPRODUCT(($A$2:$A$49=A34)*($K$2:$K$49=K34)*($L$2:$L$49=L34)*($J$2:$J$49=J34)*($H$2:$H$49=H34)*(ROW($A$2:$A$49)&lt;ROW(A34))))</f>
        <v/>
      </c>
      <c r="N34" s="1" t="str">
        <f aca="false">IF(M34="","",IF(M34&lt;=2,"Directo",IF(M34=3,"Posible mejor 3°","")))</f>
        <v/>
      </c>
      <c r="O34" s="1" t="str">
        <f aca="false">IF(M34="","",A34&amp;M34)</f>
        <v/>
      </c>
      <c r="P34" s="1" t="str">
        <f aca="false">C34</f>
        <v>Francia</v>
      </c>
      <c r="Q34" s="1" t="str">
        <f aca="false">B34</f>
        <v>FRA</v>
      </c>
    </row>
    <row r="35" customFormat="false" ht="14.25" hidden="false" customHeight="true" outlineLevel="0" collapsed="false">
      <c r="A35" s="1" t="s">
        <v>137</v>
      </c>
      <c r="B35" s="1" t="s">
        <v>142</v>
      </c>
      <c r="C35" s="1" t="s">
        <v>143</v>
      </c>
      <c r="D35" s="1" t="n">
        <f aca="false">COUNTIFS(Partidos!$L$2:$L$73,B35,Partidos!$H$2:$H$73,"&lt;&gt;")+COUNTIFS(Partidos!$M$2:$M$73,B35,Partidos!$I$2:$I$73,"&lt;&gt;")</f>
        <v>0</v>
      </c>
      <c r="E35" s="1" t="n">
        <f aca="false">SUMPRODUCT((Partidos!$L$2:$L$73=B35)*(Partidos!$H$2:$H$73&lt;&gt;"")*(Partidos!$H$2:$H$73&gt;Partidos!$I$2:$I$73))+SUMPRODUCT((Partidos!$M$2:$M$73=B35)*(Partidos!$I$2:$I$73&lt;&gt;"")*(Partidos!$I$2:$I$73&gt;Partidos!$H$2:$H$73))</f>
        <v>0</v>
      </c>
      <c r="F35" s="1" t="n">
        <f aca="false">SUMPRODUCT((Partidos!$L$2:$L$73=B35)*(Partidos!$H$2:$H$73&lt;&gt;"")*(Partidos!$H$2:$H$73=Partidos!$I$2:$I$73))+SUMPRODUCT((Partidos!$M$2:$M$73=B35)*(Partidos!$I$2:$I$73&lt;&gt;"")*(Partidos!$I$2:$I$73=Partidos!$H$2:$H$73))</f>
        <v>0</v>
      </c>
      <c r="G35" s="1" t="n">
        <f aca="false">D35-E35-F35</f>
        <v>0</v>
      </c>
      <c r="H35" s="1" t="n">
        <f aca="false">SUMIFS(Partidos!$H$2:$H$73,Partidos!$L$2:$L$73,B35)+SUMIFS(Partidos!$I$2:$I$73,Partidos!$M$2:$M$73,B35)</f>
        <v>0</v>
      </c>
      <c r="I35" s="1" t="n">
        <f aca="false">SUMIFS(Partidos!$I$2:$I$73,Partidos!$L$2:$L$73,B35)+SUMIFS(Partidos!$H$2:$H$73,Partidos!$M$2:$M$73,B35)</f>
        <v>0</v>
      </c>
      <c r="J35" s="1" t="n">
        <f aca="false">H35-I35</f>
        <v>0</v>
      </c>
      <c r="K35" s="1" t="n">
        <f aca="false">E35*3+F35</f>
        <v>0</v>
      </c>
      <c r="L35" s="1" t="n">
        <v>0</v>
      </c>
      <c r="M35" s="1" t="str">
        <f aca="false">IF(COUNTIFS($A$2:$A$49,A35,$D$2:$D$49,"&gt;=1")&lt;4,"",1+COUNTIFS($A$2:$A$49,A35,$K$2:$K$49,"&gt;"&amp;K35)+COUNTIFS($A$2:$A$49,A35,$K$2:$K$49,K35,$L$2:$L$49,"&gt;"&amp;L35)+COUNTIFS($A$2:$A$49,A35,$K$2:$K$49,K35,$L$2:$L$49,L35,$J$2:$J$49,"&gt;"&amp;J35)+COUNTIFS($A$2:$A$49,A35,$K$2:$K$49,K35,$L$2:$L$49,L35,$J$2:$J$49,J35,$H$2:$H$49,"&gt;"&amp;H35)+SUMPRODUCT(($A$2:$A$49=A35)*($K$2:$K$49=K35)*($L$2:$L$49=L35)*($J$2:$J$49=J35)*($H$2:$H$49=H35)*(ROW($A$2:$A$49)&lt;ROW(A35))))</f>
        <v/>
      </c>
      <c r="N35" s="1" t="str">
        <f aca="false">IF(M35="","",IF(M35&lt;=2,"Directo",IF(M35=3,"Posible mejor 3°","")))</f>
        <v/>
      </c>
      <c r="O35" s="1" t="str">
        <f aca="false">IF(M35="","",A35&amp;M35)</f>
        <v/>
      </c>
      <c r="P35" s="1" t="str">
        <f aca="false">C35</f>
        <v>Senegal</v>
      </c>
      <c r="Q35" s="1" t="str">
        <f aca="false">B35</f>
        <v>SEN</v>
      </c>
    </row>
    <row r="36" customFormat="false" ht="14.25" hidden="false" customHeight="true" outlineLevel="0" collapsed="false">
      <c r="A36" s="1" t="s">
        <v>137</v>
      </c>
      <c r="B36" s="1" t="s">
        <v>145</v>
      </c>
      <c r="C36" s="1" t="s">
        <v>146</v>
      </c>
      <c r="D36" s="1" t="n">
        <f aca="false">COUNTIFS(Partidos!$L$2:$L$73,B36,Partidos!$H$2:$H$73,"&lt;&gt;")+COUNTIFS(Partidos!$M$2:$M$73,B36,Partidos!$I$2:$I$73,"&lt;&gt;")</f>
        <v>0</v>
      </c>
      <c r="E36" s="1" t="n">
        <f aca="false">SUMPRODUCT((Partidos!$L$2:$L$73=B36)*(Partidos!$H$2:$H$73&lt;&gt;"")*(Partidos!$H$2:$H$73&gt;Partidos!$I$2:$I$73))+SUMPRODUCT((Partidos!$M$2:$M$73=B36)*(Partidos!$I$2:$I$73&lt;&gt;"")*(Partidos!$I$2:$I$73&gt;Partidos!$H$2:$H$73))</f>
        <v>0</v>
      </c>
      <c r="F36" s="1" t="n">
        <f aca="false">SUMPRODUCT((Partidos!$L$2:$L$73=B36)*(Partidos!$H$2:$H$73&lt;&gt;"")*(Partidos!$H$2:$H$73=Partidos!$I$2:$I$73))+SUMPRODUCT((Partidos!$M$2:$M$73=B36)*(Partidos!$I$2:$I$73&lt;&gt;"")*(Partidos!$I$2:$I$73=Partidos!$H$2:$H$73))</f>
        <v>0</v>
      </c>
      <c r="G36" s="1" t="n">
        <f aca="false">D36-E36-F36</f>
        <v>0</v>
      </c>
      <c r="H36" s="1" t="n">
        <f aca="false">SUMIFS(Partidos!$H$2:$H$73,Partidos!$L$2:$L$73,B36)+SUMIFS(Partidos!$I$2:$I$73,Partidos!$M$2:$M$73,B36)</f>
        <v>0</v>
      </c>
      <c r="I36" s="1" t="n">
        <f aca="false">SUMIFS(Partidos!$I$2:$I$73,Partidos!$L$2:$L$73,B36)+SUMIFS(Partidos!$H$2:$H$73,Partidos!$M$2:$M$73,B36)</f>
        <v>0</v>
      </c>
      <c r="J36" s="1" t="n">
        <f aca="false">H36-I36</f>
        <v>0</v>
      </c>
      <c r="K36" s="1" t="n">
        <f aca="false">E36*3+F36</f>
        <v>0</v>
      </c>
      <c r="L36" s="1" t="n">
        <v>0</v>
      </c>
      <c r="M36" s="1" t="str">
        <f aca="false">IF(COUNTIFS($A$2:$A$49,A36,$D$2:$D$49,"&gt;=1")&lt;4,"",1+COUNTIFS($A$2:$A$49,A36,$K$2:$K$49,"&gt;"&amp;K36)+COUNTIFS($A$2:$A$49,A36,$K$2:$K$49,K36,$L$2:$L$49,"&gt;"&amp;L36)+COUNTIFS($A$2:$A$49,A36,$K$2:$K$49,K36,$L$2:$L$49,L36,$J$2:$J$49,"&gt;"&amp;J36)+COUNTIFS($A$2:$A$49,A36,$K$2:$K$49,K36,$L$2:$L$49,L36,$J$2:$J$49,J36,$H$2:$H$49,"&gt;"&amp;H36)+SUMPRODUCT(($A$2:$A$49=A36)*($K$2:$K$49=K36)*($L$2:$L$49=L36)*($J$2:$J$49=J36)*($H$2:$H$49=H36)*(ROW($A$2:$A$49)&lt;ROW(A36))))</f>
        <v/>
      </c>
      <c r="N36" s="1" t="str">
        <f aca="false">IF(M36="","",IF(M36&lt;=2,"Directo",IF(M36=3,"Posible mejor 3°","")))</f>
        <v/>
      </c>
      <c r="O36" s="1" t="str">
        <f aca="false">IF(M36="","",A36&amp;M36)</f>
        <v/>
      </c>
      <c r="P36" s="1" t="str">
        <f aca="false">C36</f>
        <v>Irak</v>
      </c>
      <c r="Q36" s="1" t="str">
        <f aca="false">B36</f>
        <v>IRQ</v>
      </c>
    </row>
    <row r="37" customFormat="false" ht="14.25" hidden="false" customHeight="true" outlineLevel="0" collapsed="false">
      <c r="A37" s="1" t="s">
        <v>137</v>
      </c>
      <c r="B37" s="1" t="s">
        <v>148</v>
      </c>
      <c r="C37" s="1" t="s">
        <v>149</v>
      </c>
      <c r="D37" s="1" t="n">
        <f aca="false">COUNTIFS(Partidos!$L$2:$L$73,B37,Partidos!$H$2:$H$73,"&lt;&gt;")+COUNTIFS(Partidos!$M$2:$M$73,B37,Partidos!$I$2:$I$73,"&lt;&gt;")</f>
        <v>0</v>
      </c>
      <c r="E37" s="1" t="n">
        <f aca="false">SUMPRODUCT((Partidos!$L$2:$L$73=B37)*(Partidos!$H$2:$H$73&lt;&gt;"")*(Partidos!$H$2:$H$73&gt;Partidos!$I$2:$I$73))+SUMPRODUCT((Partidos!$M$2:$M$73=B37)*(Partidos!$I$2:$I$73&lt;&gt;"")*(Partidos!$I$2:$I$73&gt;Partidos!$H$2:$H$73))</f>
        <v>0</v>
      </c>
      <c r="F37" s="1" t="n">
        <f aca="false">SUMPRODUCT((Partidos!$L$2:$L$73=B37)*(Partidos!$H$2:$H$73&lt;&gt;"")*(Partidos!$H$2:$H$73=Partidos!$I$2:$I$73))+SUMPRODUCT((Partidos!$M$2:$M$73=B37)*(Partidos!$I$2:$I$73&lt;&gt;"")*(Partidos!$I$2:$I$73=Partidos!$H$2:$H$73))</f>
        <v>0</v>
      </c>
      <c r="G37" s="1" t="n">
        <f aca="false">D37-E37-F37</f>
        <v>0</v>
      </c>
      <c r="H37" s="1" t="n">
        <f aca="false">SUMIFS(Partidos!$H$2:$H$73,Partidos!$L$2:$L$73,B37)+SUMIFS(Partidos!$I$2:$I$73,Partidos!$M$2:$M$73,B37)</f>
        <v>0</v>
      </c>
      <c r="I37" s="1" t="n">
        <f aca="false">SUMIFS(Partidos!$I$2:$I$73,Partidos!$L$2:$L$73,B37)+SUMIFS(Partidos!$H$2:$H$73,Partidos!$M$2:$M$73,B37)</f>
        <v>0</v>
      </c>
      <c r="J37" s="1" t="n">
        <f aca="false">H37-I37</f>
        <v>0</v>
      </c>
      <c r="K37" s="1" t="n">
        <f aca="false">E37*3+F37</f>
        <v>0</v>
      </c>
      <c r="L37" s="1" t="n">
        <v>0</v>
      </c>
      <c r="M37" s="1" t="str">
        <f aca="false">IF(COUNTIFS($A$2:$A$49,A37,$D$2:$D$49,"&gt;=1")&lt;4,"",1+COUNTIFS($A$2:$A$49,A37,$K$2:$K$49,"&gt;"&amp;K37)+COUNTIFS($A$2:$A$49,A37,$K$2:$K$49,K37,$L$2:$L$49,"&gt;"&amp;L37)+COUNTIFS($A$2:$A$49,A37,$K$2:$K$49,K37,$L$2:$L$49,L37,$J$2:$J$49,"&gt;"&amp;J37)+COUNTIFS($A$2:$A$49,A37,$K$2:$K$49,K37,$L$2:$L$49,L37,$J$2:$J$49,J37,$H$2:$H$49,"&gt;"&amp;H37)+SUMPRODUCT(($A$2:$A$49=A37)*($K$2:$K$49=K37)*($L$2:$L$49=L37)*($J$2:$J$49=J37)*($H$2:$H$49=H37)*(ROW($A$2:$A$49)&lt;ROW(A37))))</f>
        <v/>
      </c>
      <c r="N37" s="1" t="str">
        <f aca="false">IF(M37="","",IF(M37&lt;=2,"Directo",IF(M37=3,"Posible mejor 3°","")))</f>
        <v/>
      </c>
      <c r="O37" s="1" t="str">
        <f aca="false">IF(M37="","",A37&amp;M37)</f>
        <v/>
      </c>
      <c r="P37" s="1" t="str">
        <f aca="false">C37</f>
        <v>Noruega</v>
      </c>
      <c r="Q37" s="1" t="str">
        <f aca="false">B37</f>
        <v>NOR</v>
      </c>
    </row>
    <row r="38" customFormat="false" ht="14.25" hidden="false" customHeight="true" outlineLevel="0" collapsed="false">
      <c r="A38" s="1" t="s">
        <v>150</v>
      </c>
      <c r="B38" s="1" t="s">
        <v>152</v>
      </c>
      <c r="C38" s="1" t="s">
        <v>153</v>
      </c>
      <c r="D38" s="1" t="n">
        <f aca="false">COUNTIFS(Partidos!$L$2:$L$73,B38,Partidos!$H$2:$H$73,"&lt;&gt;")+COUNTIFS(Partidos!$M$2:$M$73,B38,Partidos!$I$2:$I$73,"&lt;&gt;")</f>
        <v>0</v>
      </c>
      <c r="E38" s="1" t="n">
        <f aca="false">SUMPRODUCT((Partidos!$L$2:$L$73=B38)*(Partidos!$H$2:$H$73&lt;&gt;"")*(Partidos!$H$2:$H$73&gt;Partidos!$I$2:$I$73))+SUMPRODUCT((Partidos!$M$2:$M$73=B38)*(Partidos!$I$2:$I$73&lt;&gt;"")*(Partidos!$I$2:$I$73&gt;Partidos!$H$2:$H$73))</f>
        <v>0</v>
      </c>
      <c r="F38" s="1" t="n">
        <f aca="false">SUMPRODUCT((Partidos!$L$2:$L$73=B38)*(Partidos!$H$2:$H$73&lt;&gt;"")*(Partidos!$H$2:$H$73=Partidos!$I$2:$I$73))+SUMPRODUCT((Partidos!$M$2:$M$73=B38)*(Partidos!$I$2:$I$73&lt;&gt;"")*(Partidos!$I$2:$I$73=Partidos!$H$2:$H$73))</f>
        <v>0</v>
      </c>
      <c r="G38" s="1" t="n">
        <f aca="false">D38-E38-F38</f>
        <v>0</v>
      </c>
      <c r="H38" s="1" t="n">
        <f aca="false">SUMIFS(Partidos!$H$2:$H$73,Partidos!$L$2:$L$73,B38)+SUMIFS(Partidos!$I$2:$I$73,Partidos!$M$2:$M$73,B38)</f>
        <v>0</v>
      </c>
      <c r="I38" s="1" t="n">
        <f aca="false">SUMIFS(Partidos!$I$2:$I$73,Partidos!$L$2:$L$73,B38)+SUMIFS(Partidos!$H$2:$H$73,Partidos!$M$2:$M$73,B38)</f>
        <v>0</v>
      </c>
      <c r="J38" s="1" t="n">
        <f aca="false">H38-I38</f>
        <v>0</v>
      </c>
      <c r="K38" s="1" t="n">
        <f aca="false">E38*3+F38</f>
        <v>0</v>
      </c>
      <c r="L38" s="1" t="n">
        <v>0</v>
      </c>
      <c r="M38" s="1" t="str">
        <f aca="false">IF(COUNTIFS($A$2:$A$49,A38,$D$2:$D$49,"&gt;=1")&lt;4,"",1+COUNTIFS($A$2:$A$49,A38,$K$2:$K$49,"&gt;"&amp;K38)+COUNTIFS($A$2:$A$49,A38,$K$2:$K$49,K38,$L$2:$L$49,"&gt;"&amp;L38)+COUNTIFS($A$2:$A$49,A38,$K$2:$K$49,K38,$L$2:$L$49,L38,$J$2:$J$49,"&gt;"&amp;J38)+COUNTIFS($A$2:$A$49,A38,$K$2:$K$49,K38,$L$2:$L$49,L38,$J$2:$J$49,J38,$H$2:$H$49,"&gt;"&amp;H38)+SUMPRODUCT(($A$2:$A$49=A38)*($K$2:$K$49=K38)*($L$2:$L$49=L38)*($J$2:$J$49=J38)*($H$2:$H$49=H38)*(ROW($A$2:$A$49)&lt;ROW(A38))))</f>
        <v/>
      </c>
      <c r="N38" s="1" t="str">
        <f aca="false">IF(M38="","",IF(M38&lt;=2,"Directo",IF(M38=3,"Posible mejor 3°","")))</f>
        <v/>
      </c>
      <c r="O38" s="1" t="str">
        <f aca="false">IF(M38="","",A38&amp;M38)</f>
        <v/>
      </c>
      <c r="P38" s="1" t="str">
        <f aca="false">C38</f>
        <v>Argentina</v>
      </c>
      <c r="Q38" s="1" t="str">
        <f aca="false">B38</f>
        <v>ARG</v>
      </c>
    </row>
    <row r="39" customFormat="false" ht="14.25" hidden="false" customHeight="true" outlineLevel="0" collapsed="false">
      <c r="A39" s="1" t="s">
        <v>150</v>
      </c>
      <c r="B39" s="1" t="s">
        <v>155</v>
      </c>
      <c r="C39" s="1" t="s">
        <v>156</v>
      </c>
      <c r="D39" s="1" t="n">
        <f aca="false">COUNTIFS(Partidos!$L$2:$L$73,B39,Partidos!$H$2:$H$73,"&lt;&gt;")+COUNTIFS(Partidos!$M$2:$M$73,B39,Partidos!$I$2:$I$73,"&lt;&gt;")</f>
        <v>0</v>
      </c>
      <c r="E39" s="1" t="n">
        <f aca="false">SUMPRODUCT((Partidos!$L$2:$L$73=B39)*(Partidos!$H$2:$H$73&lt;&gt;"")*(Partidos!$H$2:$H$73&gt;Partidos!$I$2:$I$73))+SUMPRODUCT((Partidos!$M$2:$M$73=B39)*(Partidos!$I$2:$I$73&lt;&gt;"")*(Partidos!$I$2:$I$73&gt;Partidos!$H$2:$H$73))</f>
        <v>0</v>
      </c>
      <c r="F39" s="1" t="n">
        <f aca="false">SUMPRODUCT((Partidos!$L$2:$L$73=B39)*(Partidos!$H$2:$H$73&lt;&gt;"")*(Partidos!$H$2:$H$73=Partidos!$I$2:$I$73))+SUMPRODUCT((Partidos!$M$2:$M$73=B39)*(Partidos!$I$2:$I$73&lt;&gt;"")*(Partidos!$I$2:$I$73=Partidos!$H$2:$H$73))</f>
        <v>0</v>
      </c>
      <c r="G39" s="1" t="n">
        <f aca="false">D39-E39-F39</f>
        <v>0</v>
      </c>
      <c r="H39" s="1" t="n">
        <f aca="false">SUMIFS(Partidos!$H$2:$H$73,Partidos!$L$2:$L$73,B39)+SUMIFS(Partidos!$I$2:$I$73,Partidos!$M$2:$M$73,B39)</f>
        <v>0</v>
      </c>
      <c r="I39" s="1" t="n">
        <f aca="false">SUMIFS(Partidos!$I$2:$I$73,Partidos!$L$2:$L$73,B39)+SUMIFS(Partidos!$H$2:$H$73,Partidos!$M$2:$M$73,B39)</f>
        <v>0</v>
      </c>
      <c r="J39" s="1" t="n">
        <f aca="false">H39-I39</f>
        <v>0</v>
      </c>
      <c r="K39" s="1" t="n">
        <f aca="false">E39*3+F39</f>
        <v>0</v>
      </c>
      <c r="L39" s="1" t="n">
        <v>0</v>
      </c>
      <c r="M39" s="1" t="str">
        <f aca="false">IF(COUNTIFS($A$2:$A$49,A39,$D$2:$D$49,"&gt;=1")&lt;4,"",1+COUNTIFS($A$2:$A$49,A39,$K$2:$K$49,"&gt;"&amp;K39)+COUNTIFS($A$2:$A$49,A39,$K$2:$K$49,K39,$L$2:$L$49,"&gt;"&amp;L39)+COUNTIFS($A$2:$A$49,A39,$K$2:$K$49,K39,$L$2:$L$49,L39,$J$2:$J$49,"&gt;"&amp;J39)+COUNTIFS($A$2:$A$49,A39,$K$2:$K$49,K39,$L$2:$L$49,L39,$J$2:$J$49,J39,$H$2:$H$49,"&gt;"&amp;H39)+SUMPRODUCT(($A$2:$A$49=A39)*($K$2:$K$49=K39)*($L$2:$L$49=L39)*($J$2:$J$49=J39)*($H$2:$H$49=H39)*(ROW($A$2:$A$49)&lt;ROW(A39))))</f>
        <v/>
      </c>
      <c r="N39" s="1" t="str">
        <f aca="false">IF(M39="","",IF(M39&lt;=2,"Directo",IF(M39=3,"Posible mejor 3°","")))</f>
        <v/>
      </c>
      <c r="O39" s="1" t="str">
        <f aca="false">IF(M39="","",A39&amp;M39)</f>
        <v/>
      </c>
      <c r="P39" s="1" t="str">
        <f aca="false">C39</f>
        <v>Argelia</v>
      </c>
      <c r="Q39" s="1" t="str">
        <f aca="false">B39</f>
        <v>ALG</v>
      </c>
    </row>
    <row r="40" customFormat="false" ht="14.25" hidden="false" customHeight="true" outlineLevel="0" collapsed="false">
      <c r="A40" s="1" t="s">
        <v>150</v>
      </c>
      <c r="B40" s="1" t="s">
        <v>158</v>
      </c>
      <c r="C40" s="1" t="s">
        <v>159</v>
      </c>
      <c r="D40" s="1" t="n">
        <f aca="false">COUNTIFS(Partidos!$L$2:$L$73,B40,Partidos!$H$2:$H$73,"&lt;&gt;")+COUNTIFS(Partidos!$M$2:$M$73,B40,Partidos!$I$2:$I$73,"&lt;&gt;")</f>
        <v>0</v>
      </c>
      <c r="E40" s="1" t="n">
        <f aca="false">SUMPRODUCT((Partidos!$L$2:$L$73=B40)*(Partidos!$H$2:$H$73&lt;&gt;"")*(Partidos!$H$2:$H$73&gt;Partidos!$I$2:$I$73))+SUMPRODUCT((Partidos!$M$2:$M$73=B40)*(Partidos!$I$2:$I$73&lt;&gt;"")*(Partidos!$I$2:$I$73&gt;Partidos!$H$2:$H$73))</f>
        <v>0</v>
      </c>
      <c r="F40" s="1" t="n">
        <f aca="false">SUMPRODUCT((Partidos!$L$2:$L$73=B40)*(Partidos!$H$2:$H$73&lt;&gt;"")*(Partidos!$H$2:$H$73=Partidos!$I$2:$I$73))+SUMPRODUCT((Partidos!$M$2:$M$73=B40)*(Partidos!$I$2:$I$73&lt;&gt;"")*(Partidos!$I$2:$I$73=Partidos!$H$2:$H$73))</f>
        <v>0</v>
      </c>
      <c r="G40" s="1" t="n">
        <f aca="false">D40-E40-F40</f>
        <v>0</v>
      </c>
      <c r="H40" s="1" t="n">
        <f aca="false">SUMIFS(Partidos!$H$2:$H$73,Partidos!$L$2:$L$73,B40)+SUMIFS(Partidos!$I$2:$I$73,Partidos!$M$2:$M$73,B40)</f>
        <v>0</v>
      </c>
      <c r="I40" s="1" t="n">
        <f aca="false">SUMIFS(Partidos!$I$2:$I$73,Partidos!$L$2:$L$73,B40)+SUMIFS(Partidos!$H$2:$H$73,Partidos!$M$2:$M$73,B40)</f>
        <v>0</v>
      </c>
      <c r="J40" s="1" t="n">
        <f aca="false">H40-I40</f>
        <v>0</v>
      </c>
      <c r="K40" s="1" t="n">
        <f aca="false">E40*3+F40</f>
        <v>0</v>
      </c>
      <c r="L40" s="1" t="n">
        <v>0</v>
      </c>
      <c r="M40" s="1" t="str">
        <f aca="false">IF(COUNTIFS($A$2:$A$49,A40,$D$2:$D$49,"&gt;=1")&lt;4,"",1+COUNTIFS($A$2:$A$49,A40,$K$2:$K$49,"&gt;"&amp;K40)+COUNTIFS($A$2:$A$49,A40,$K$2:$K$49,K40,$L$2:$L$49,"&gt;"&amp;L40)+COUNTIFS($A$2:$A$49,A40,$K$2:$K$49,K40,$L$2:$L$49,L40,$J$2:$J$49,"&gt;"&amp;J40)+COUNTIFS($A$2:$A$49,A40,$K$2:$K$49,K40,$L$2:$L$49,L40,$J$2:$J$49,J40,$H$2:$H$49,"&gt;"&amp;H40)+SUMPRODUCT(($A$2:$A$49=A40)*($K$2:$K$49=K40)*($L$2:$L$49=L40)*($J$2:$J$49=J40)*($H$2:$H$49=H40)*(ROW($A$2:$A$49)&lt;ROW(A40))))</f>
        <v/>
      </c>
      <c r="N40" s="1" t="str">
        <f aca="false">IF(M40="","",IF(M40&lt;=2,"Directo",IF(M40=3,"Posible mejor 3°","")))</f>
        <v/>
      </c>
      <c r="O40" s="1" t="str">
        <f aca="false">IF(M40="","",A40&amp;M40)</f>
        <v/>
      </c>
      <c r="P40" s="1" t="str">
        <f aca="false">C40</f>
        <v>Austria</v>
      </c>
      <c r="Q40" s="1" t="str">
        <f aca="false">B40</f>
        <v>AUT</v>
      </c>
    </row>
    <row r="41" customFormat="false" ht="14.25" hidden="false" customHeight="true" outlineLevel="0" collapsed="false">
      <c r="A41" s="1" t="s">
        <v>150</v>
      </c>
      <c r="B41" s="1" t="s">
        <v>161</v>
      </c>
      <c r="C41" s="1" t="s">
        <v>162</v>
      </c>
      <c r="D41" s="1" t="n">
        <f aca="false">COUNTIFS(Partidos!$L$2:$L$73,B41,Partidos!$H$2:$H$73,"&lt;&gt;")+COUNTIFS(Partidos!$M$2:$M$73,B41,Partidos!$I$2:$I$73,"&lt;&gt;")</f>
        <v>0</v>
      </c>
      <c r="E41" s="1" t="n">
        <f aca="false">SUMPRODUCT((Partidos!$L$2:$L$73=B41)*(Partidos!$H$2:$H$73&lt;&gt;"")*(Partidos!$H$2:$H$73&gt;Partidos!$I$2:$I$73))+SUMPRODUCT((Partidos!$M$2:$M$73=B41)*(Partidos!$I$2:$I$73&lt;&gt;"")*(Partidos!$I$2:$I$73&gt;Partidos!$H$2:$H$73))</f>
        <v>0</v>
      </c>
      <c r="F41" s="1" t="n">
        <f aca="false">SUMPRODUCT((Partidos!$L$2:$L$73=B41)*(Partidos!$H$2:$H$73&lt;&gt;"")*(Partidos!$H$2:$H$73=Partidos!$I$2:$I$73))+SUMPRODUCT((Partidos!$M$2:$M$73=B41)*(Partidos!$I$2:$I$73&lt;&gt;"")*(Partidos!$I$2:$I$73=Partidos!$H$2:$H$73))</f>
        <v>0</v>
      </c>
      <c r="G41" s="1" t="n">
        <f aca="false">D41-E41-F41</f>
        <v>0</v>
      </c>
      <c r="H41" s="1" t="n">
        <f aca="false">SUMIFS(Partidos!$H$2:$H$73,Partidos!$L$2:$L$73,B41)+SUMIFS(Partidos!$I$2:$I$73,Partidos!$M$2:$M$73,B41)</f>
        <v>0</v>
      </c>
      <c r="I41" s="1" t="n">
        <f aca="false">SUMIFS(Partidos!$I$2:$I$73,Partidos!$L$2:$L$73,B41)+SUMIFS(Partidos!$H$2:$H$73,Partidos!$M$2:$M$73,B41)</f>
        <v>0</v>
      </c>
      <c r="J41" s="1" t="n">
        <f aca="false">H41-I41</f>
        <v>0</v>
      </c>
      <c r="K41" s="1" t="n">
        <f aca="false">E41*3+F41</f>
        <v>0</v>
      </c>
      <c r="L41" s="1" t="n">
        <v>0</v>
      </c>
      <c r="M41" s="1" t="str">
        <f aca="false">IF(COUNTIFS($A$2:$A$49,A41,$D$2:$D$49,"&gt;=1")&lt;4,"",1+COUNTIFS($A$2:$A$49,A41,$K$2:$K$49,"&gt;"&amp;K41)+COUNTIFS($A$2:$A$49,A41,$K$2:$K$49,K41,$L$2:$L$49,"&gt;"&amp;L41)+COUNTIFS($A$2:$A$49,A41,$K$2:$K$49,K41,$L$2:$L$49,L41,$J$2:$J$49,"&gt;"&amp;J41)+COUNTIFS($A$2:$A$49,A41,$K$2:$K$49,K41,$L$2:$L$49,L41,$J$2:$J$49,J41,$H$2:$H$49,"&gt;"&amp;H41)+SUMPRODUCT(($A$2:$A$49=A41)*($K$2:$K$49=K41)*($L$2:$L$49=L41)*($J$2:$J$49=J41)*($H$2:$H$49=H41)*(ROW($A$2:$A$49)&lt;ROW(A41))))</f>
        <v/>
      </c>
      <c r="N41" s="1" t="str">
        <f aca="false">IF(M41="","",IF(M41&lt;=2,"Directo",IF(M41=3,"Posible mejor 3°","")))</f>
        <v/>
      </c>
      <c r="O41" s="1" t="str">
        <f aca="false">IF(M41="","",A41&amp;M41)</f>
        <v/>
      </c>
      <c r="P41" s="1" t="str">
        <f aca="false">C41</f>
        <v>Jordania</v>
      </c>
      <c r="Q41" s="1" t="str">
        <f aca="false">B41</f>
        <v>JOR</v>
      </c>
    </row>
    <row r="42" customFormat="false" ht="14.25" hidden="false" customHeight="true" outlineLevel="0" collapsed="false">
      <c r="A42" s="1" t="s">
        <v>163</v>
      </c>
      <c r="B42" s="1" t="s">
        <v>165</v>
      </c>
      <c r="C42" s="1" t="s">
        <v>166</v>
      </c>
      <c r="D42" s="1" t="n">
        <f aca="false">COUNTIFS(Partidos!$L$2:$L$73,B42,Partidos!$H$2:$H$73,"&lt;&gt;")+COUNTIFS(Partidos!$M$2:$M$73,B42,Partidos!$I$2:$I$73,"&lt;&gt;")</f>
        <v>0</v>
      </c>
      <c r="E42" s="1" t="n">
        <f aca="false">SUMPRODUCT((Partidos!$L$2:$L$73=B42)*(Partidos!$H$2:$H$73&lt;&gt;"")*(Partidos!$H$2:$H$73&gt;Partidos!$I$2:$I$73))+SUMPRODUCT((Partidos!$M$2:$M$73=B42)*(Partidos!$I$2:$I$73&lt;&gt;"")*(Partidos!$I$2:$I$73&gt;Partidos!$H$2:$H$73))</f>
        <v>0</v>
      </c>
      <c r="F42" s="1" t="n">
        <f aca="false">SUMPRODUCT((Partidos!$L$2:$L$73=B42)*(Partidos!$H$2:$H$73&lt;&gt;"")*(Partidos!$H$2:$H$73=Partidos!$I$2:$I$73))+SUMPRODUCT((Partidos!$M$2:$M$73=B42)*(Partidos!$I$2:$I$73&lt;&gt;"")*(Partidos!$I$2:$I$73=Partidos!$H$2:$H$73))</f>
        <v>0</v>
      </c>
      <c r="G42" s="1" t="n">
        <f aca="false">D42-E42-F42</f>
        <v>0</v>
      </c>
      <c r="H42" s="1" t="n">
        <f aca="false">SUMIFS(Partidos!$H$2:$H$73,Partidos!$L$2:$L$73,B42)+SUMIFS(Partidos!$I$2:$I$73,Partidos!$M$2:$M$73,B42)</f>
        <v>0</v>
      </c>
      <c r="I42" s="1" t="n">
        <f aca="false">SUMIFS(Partidos!$I$2:$I$73,Partidos!$L$2:$L$73,B42)+SUMIFS(Partidos!$H$2:$H$73,Partidos!$M$2:$M$73,B42)</f>
        <v>0</v>
      </c>
      <c r="J42" s="1" t="n">
        <f aca="false">H42-I42</f>
        <v>0</v>
      </c>
      <c r="K42" s="1" t="n">
        <f aca="false">E42*3+F42</f>
        <v>0</v>
      </c>
      <c r="L42" s="1" t="n">
        <v>0</v>
      </c>
      <c r="M42" s="1" t="str">
        <f aca="false">IF(COUNTIFS($A$2:$A$49,A42,$D$2:$D$49,"&gt;=1")&lt;4,"",1+COUNTIFS($A$2:$A$49,A42,$K$2:$K$49,"&gt;"&amp;K42)+COUNTIFS($A$2:$A$49,A42,$K$2:$K$49,K42,$L$2:$L$49,"&gt;"&amp;L42)+COUNTIFS($A$2:$A$49,A42,$K$2:$K$49,K42,$L$2:$L$49,L42,$J$2:$J$49,"&gt;"&amp;J42)+COUNTIFS($A$2:$A$49,A42,$K$2:$K$49,K42,$L$2:$L$49,L42,$J$2:$J$49,J42,$H$2:$H$49,"&gt;"&amp;H42)+SUMPRODUCT(($A$2:$A$49=A42)*($K$2:$K$49=K42)*($L$2:$L$49=L42)*($J$2:$J$49=J42)*($H$2:$H$49=H42)*(ROW($A$2:$A$49)&lt;ROW(A42))))</f>
        <v/>
      </c>
      <c r="N42" s="1" t="str">
        <f aca="false">IF(M42="","",IF(M42&lt;=2,"Directo",IF(M42=3,"Posible mejor 3°","")))</f>
        <v/>
      </c>
      <c r="O42" s="1" t="str">
        <f aca="false">IF(M42="","",A42&amp;M42)</f>
        <v/>
      </c>
      <c r="P42" s="1" t="str">
        <f aca="false">C42</f>
        <v>Portugal</v>
      </c>
      <c r="Q42" s="1" t="str">
        <f aca="false">B42</f>
        <v>POR</v>
      </c>
    </row>
    <row r="43" customFormat="false" ht="14.25" hidden="false" customHeight="true" outlineLevel="0" collapsed="false">
      <c r="A43" s="1" t="s">
        <v>163</v>
      </c>
      <c r="B43" s="1" t="s">
        <v>168</v>
      </c>
      <c r="C43" s="1" t="s">
        <v>169</v>
      </c>
      <c r="D43" s="1" t="n">
        <f aca="false">COUNTIFS(Partidos!$L$2:$L$73,B43,Partidos!$H$2:$H$73,"&lt;&gt;")+COUNTIFS(Partidos!$M$2:$M$73,B43,Partidos!$I$2:$I$73,"&lt;&gt;")</f>
        <v>0</v>
      </c>
      <c r="E43" s="1" t="n">
        <f aca="false">SUMPRODUCT((Partidos!$L$2:$L$73=B43)*(Partidos!$H$2:$H$73&lt;&gt;"")*(Partidos!$H$2:$H$73&gt;Partidos!$I$2:$I$73))+SUMPRODUCT((Partidos!$M$2:$M$73=B43)*(Partidos!$I$2:$I$73&lt;&gt;"")*(Partidos!$I$2:$I$73&gt;Partidos!$H$2:$H$73))</f>
        <v>0</v>
      </c>
      <c r="F43" s="1" t="n">
        <f aca="false">SUMPRODUCT((Partidos!$L$2:$L$73=B43)*(Partidos!$H$2:$H$73&lt;&gt;"")*(Partidos!$H$2:$H$73=Partidos!$I$2:$I$73))+SUMPRODUCT((Partidos!$M$2:$M$73=B43)*(Partidos!$I$2:$I$73&lt;&gt;"")*(Partidos!$I$2:$I$73=Partidos!$H$2:$H$73))</f>
        <v>0</v>
      </c>
      <c r="G43" s="1" t="n">
        <f aca="false">D43-E43-F43</f>
        <v>0</v>
      </c>
      <c r="H43" s="1" t="n">
        <f aca="false">SUMIFS(Partidos!$H$2:$H$73,Partidos!$L$2:$L$73,B43)+SUMIFS(Partidos!$I$2:$I$73,Partidos!$M$2:$M$73,B43)</f>
        <v>0</v>
      </c>
      <c r="I43" s="1" t="n">
        <f aca="false">SUMIFS(Partidos!$I$2:$I$73,Partidos!$L$2:$L$73,B43)+SUMIFS(Partidos!$H$2:$H$73,Partidos!$M$2:$M$73,B43)</f>
        <v>0</v>
      </c>
      <c r="J43" s="1" t="n">
        <f aca="false">H43-I43</f>
        <v>0</v>
      </c>
      <c r="K43" s="1" t="n">
        <f aca="false">E43*3+F43</f>
        <v>0</v>
      </c>
      <c r="L43" s="1" t="n">
        <v>0</v>
      </c>
      <c r="M43" s="1" t="str">
        <f aca="false">IF(COUNTIFS($A$2:$A$49,A43,$D$2:$D$49,"&gt;=1")&lt;4,"",1+COUNTIFS($A$2:$A$49,A43,$K$2:$K$49,"&gt;"&amp;K43)+COUNTIFS($A$2:$A$49,A43,$K$2:$K$49,K43,$L$2:$L$49,"&gt;"&amp;L43)+COUNTIFS($A$2:$A$49,A43,$K$2:$K$49,K43,$L$2:$L$49,L43,$J$2:$J$49,"&gt;"&amp;J43)+COUNTIFS($A$2:$A$49,A43,$K$2:$K$49,K43,$L$2:$L$49,L43,$J$2:$J$49,J43,$H$2:$H$49,"&gt;"&amp;H43)+SUMPRODUCT(($A$2:$A$49=A43)*($K$2:$K$49=K43)*($L$2:$L$49=L43)*($J$2:$J$49=J43)*($H$2:$H$49=H43)*(ROW($A$2:$A$49)&lt;ROW(A43))))</f>
        <v/>
      </c>
      <c r="N43" s="1" t="str">
        <f aca="false">IF(M43="","",IF(M43&lt;=2,"Directo",IF(M43=3,"Posible mejor 3°","")))</f>
        <v/>
      </c>
      <c r="O43" s="1" t="str">
        <f aca="false">IF(M43="","",A43&amp;M43)</f>
        <v/>
      </c>
      <c r="P43" s="1" t="str">
        <f aca="false">C43</f>
        <v>RD Congo</v>
      </c>
      <c r="Q43" s="1" t="str">
        <f aca="false">B43</f>
        <v>COD</v>
      </c>
    </row>
    <row r="44" customFormat="false" ht="14.25" hidden="false" customHeight="true" outlineLevel="0" collapsed="false">
      <c r="A44" s="1" t="s">
        <v>163</v>
      </c>
      <c r="B44" s="1" t="s">
        <v>171</v>
      </c>
      <c r="C44" s="1" t="s">
        <v>172</v>
      </c>
      <c r="D44" s="1" t="n">
        <f aca="false">COUNTIFS(Partidos!$L$2:$L$73,B44,Partidos!$H$2:$H$73,"&lt;&gt;")+COUNTIFS(Partidos!$M$2:$M$73,B44,Partidos!$I$2:$I$73,"&lt;&gt;")</f>
        <v>0</v>
      </c>
      <c r="E44" s="1" t="n">
        <f aca="false">SUMPRODUCT((Partidos!$L$2:$L$73=B44)*(Partidos!$H$2:$H$73&lt;&gt;"")*(Partidos!$H$2:$H$73&gt;Partidos!$I$2:$I$73))+SUMPRODUCT((Partidos!$M$2:$M$73=B44)*(Partidos!$I$2:$I$73&lt;&gt;"")*(Partidos!$I$2:$I$73&gt;Partidos!$H$2:$H$73))</f>
        <v>0</v>
      </c>
      <c r="F44" s="1" t="n">
        <f aca="false">SUMPRODUCT((Partidos!$L$2:$L$73=B44)*(Partidos!$H$2:$H$73&lt;&gt;"")*(Partidos!$H$2:$H$73=Partidos!$I$2:$I$73))+SUMPRODUCT((Partidos!$M$2:$M$73=B44)*(Partidos!$I$2:$I$73&lt;&gt;"")*(Partidos!$I$2:$I$73=Partidos!$H$2:$H$73))</f>
        <v>0</v>
      </c>
      <c r="G44" s="1" t="n">
        <f aca="false">D44-E44-F44</f>
        <v>0</v>
      </c>
      <c r="H44" s="1" t="n">
        <f aca="false">SUMIFS(Partidos!$H$2:$H$73,Partidos!$L$2:$L$73,B44)+SUMIFS(Partidos!$I$2:$I$73,Partidos!$M$2:$M$73,B44)</f>
        <v>0</v>
      </c>
      <c r="I44" s="1" t="n">
        <f aca="false">SUMIFS(Partidos!$I$2:$I$73,Partidos!$L$2:$L$73,B44)+SUMIFS(Partidos!$H$2:$H$73,Partidos!$M$2:$M$73,B44)</f>
        <v>0</v>
      </c>
      <c r="J44" s="1" t="n">
        <f aca="false">H44-I44</f>
        <v>0</v>
      </c>
      <c r="K44" s="1" t="n">
        <f aca="false">E44*3+F44</f>
        <v>0</v>
      </c>
      <c r="L44" s="1" t="n">
        <v>0</v>
      </c>
      <c r="M44" s="1" t="str">
        <f aca="false">IF(COUNTIFS($A$2:$A$49,A44,$D$2:$D$49,"&gt;=1")&lt;4,"",1+COUNTIFS($A$2:$A$49,A44,$K$2:$K$49,"&gt;"&amp;K44)+COUNTIFS($A$2:$A$49,A44,$K$2:$K$49,K44,$L$2:$L$49,"&gt;"&amp;L44)+COUNTIFS($A$2:$A$49,A44,$K$2:$K$49,K44,$L$2:$L$49,L44,$J$2:$J$49,"&gt;"&amp;J44)+COUNTIFS($A$2:$A$49,A44,$K$2:$K$49,K44,$L$2:$L$49,L44,$J$2:$J$49,J44,$H$2:$H$49,"&gt;"&amp;H44)+SUMPRODUCT(($A$2:$A$49=A44)*($K$2:$K$49=K44)*($L$2:$L$49=L44)*($J$2:$J$49=J44)*($H$2:$H$49=H44)*(ROW($A$2:$A$49)&lt;ROW(A44))))</f>
        <v/>
      </c>
      <c r="N44" s="1" t="str">
        <f aca="false">IF(M44="","",IF(M44&lt;=2,"Directo",IF(M44=3,"Posible mejor 3°","")))</f>
        <v/>
      </c>
      <c r="O44" s="1" t="str">
        <f aca="false">IF(M44="","",A44&amp;M44)</f>
        <v/>
      </c>
      <c r="P44" s="1" t="str">
        <f aca="false">C44</f>
        <v>Uzbekistán</v>
      </c>
      <c r="Q44" s="1" t="str">
        <f aca="false">B44</f>
        <v>UZB</v>
      </c>
    </row>
    <row r="45" customFormat="false" ht="14.25" hidden="false" customHeight="true" outlineLevel="0" collapsed="false">
      <c r="A45" s="1" t="s">
        <v>163</v>
      </c>
      <c r="B45" s="1" t="s">
        <v>174</v>
      </c>
      <c r="C45" s="1" t="s">
        <v>175</v>
      </c>
      <c r="D45" s="1" t="n">
        <f aca="false">COUNTIFS(Partidos!$L$2:$L$73,B45,Partidos!$H$2:$H$73,"&lt;&gt;")+COUNTIFS(Partidos!$M$2:$M$73,B45,Partidos!$I$2:$I$73,"&lt;&gt;")</f>
        <v>0</v>
      </c>
      <c r="E45" s="1" t="n">
        <f aca="false">SUMPRODUCT((Partidos!$L$2:$L$73=B45)*(Partidos!$H$2:$H$73&lt;&gt;"")*(Partidos!$H$2:$H$73&gt;Partidos!$I$2:$I$73))+SUMPRODUCT((Partidos!$M$2:$M$73=B45)*(Partidos!$I$2:$I$73&lt;&gt;"")*(Partidos!$I$2:$I$73&gt;Partidos!$H$2:$H$73))</f>
        <v>0</v>
      </c>
      <c r="F45" s="1" t="n">
        <f aca="false">SUMPRODUCT((Partidos!$L$2:$L$73=B45)*(Partidos!$H$2:$H$73&lt;&gt;"")*(Partidos!$H$2:$H$73=Partidos!$I$2:$I$73))+SUMPRODUCT((Partidos!$M$2:$M$73=B45)*(Partidos!$I$2:$I$73&lt;&gt;"")*(Partidos!$I$2:$I$73=Partidos!$H$2:$H$73))</f>
        <v>0</v>
      </c>
      <c r="G45" s="1" t="n">
        <f aca="false">D45-E45-F45</f>
        <v>0</v>
      </c>
      <c r="H45" s="1" t="n">
        <f aca="false">SUMIFS(Partidos!$H$2:$H$73,Partidos!$L$2:$L$73,B45)+SUMIFS(Partidos!$I$2:$I$73,Partidos!$M$2:$M$73,B45)</f>
        <v>0</v>
      </c>
      <c r="I45" s="1" t="n">
        <f aca="false">SUMIFS(Partidos!$I$2:$I$73,Partidos!$L$2:$L$73,B45)+SUMIFS(Partidos!$H$2:$H$73,Partidos!$M$2:$M$73,B45)</f>
        <v>0</v>
      </c>
      <c r="J45" s="1" t="n">
        <f aca="false">H45-I45</f>
        <v>0</v>
      </c>
      <c r="K45" s="1" t="n">
        <f aca="false">E45*3+F45</f>
        <v>0</v>
      </c>
      <c r="L45" s="1" t="n">
        <v>0</v>
      </c>
      <c r="M45" s="1" t="str">
        <f aca="false">IF(COUNTIFS($A$2:$A$49,A45,$D$2:$D$49,"&gt;=1")&lt;4,"",1+COUNTIFS($A$2:$A$49,A45,$K$2:$K$49,"&gt;"&amp;K45)+COUNTIFS($A$2:$A$49,A45,$K$2:$K$49,K45,$L$2:$L$49,"&gt;"&amp;L45)+COUNTIFS($A$2:$A$49,A45,$K$2:$K$49,K45,$L$2:$L$49,L45,$J$2:$J$49,"&gt;"&amp;J45)+COUNTIFS($A$2:$A$49,A45,$K$2:$K$49,K45,$L$2:$L$49,L45,$J$2:$J$49,J45,$H$2:$H$49,"&gt;"&amp;H45)+SUMPRODUCT(($A$2:$A$49=A45)*($K$2:$K$49=K45)*($L$2:$L$49=L45)*($J$2:$J$49=J45)*($H$2:$H$49=H45)*(ROW($A$2:$A$49)&lt;ROW(A45))))</f>
        <v/>
      </c>
      <c r="N45" s="1" t="str">
        <f aca="false">IF(M45="","",IF(M45&lt;=2,"Directo",IF(M45=3,"Posible mejor 3°","")))</f>
        <v/>
      </c>
      <c r="O45" s="1" t="str">
        <f aca="false">IF(M45="","",A45&amp;M45)</f>
        <v/>
      </c>
      <c r="P45" s="1" t="str">
        <f aca="false">C45</f>
        <v>Colombia</v>
      </c>
      <c r="Q45" s="1" t="str">
        <f aca="false">B45</f>
        <v>COL</v>
      </c>
    </row>
    <row r="46" customFormat="false" ht="14.25" hidden="false" customHeight="true" outlineLevel="0" collapsed="false">
      <c r="A46" s="1" t="s">
        <v>176</v>
      </c>
      <c r="B46" s="1" t="s">
        <v>178</v>
      </c>
      <c r="C46" s="1" t="s">
        <v>179</v>
      </c>
      <c r="D46" s="1" t="n">
        <f aca="false">COUNTIFS(Partidos!$L$2:$L$73,B46,Partidos!$H$2:$H$73,"&lt;&gt;")+COUNTIFS(Partidos!$M$2:$M$73,B46,Partidos!$I$2:$I$73,"&lt;&gt;")</f>
        <v>0</v>
      </c>
      <c r="E46" s="1" t="n">
        <f aca="false">SUMPRODUCT((Partidos!$L$2:$L$73=B46)*(Partidos!$H$2:$H$73&lt;&gt;"")*(Partidos!$H$2:$H$73&gt;Partidos!$I$2:$I$73))+SUMPRODUCT((Partidos!$M$2:$M$73=B46)*(Partidos!$I$2:$I$73&lt;&gt;"")*(Partidos!$I$2:$I$73&gt;Partidos!$H$2:$H$73))</f>
        <v>0</v>
      </c>
      <c r="F46" s="1" t="n">
        <f aca="false">SUMPRODUCT((Partidos!$L$2:$L$73=B46)*(Partidos!$H$2:$H$73&lt;&gt;"")*(Partidos!$H$2:$H$73=Partidos!$I$2:$I$73))+SUMPRODUCT((Partidos!$M$2:$M$73=B46)*(Partidos!$I$2:$I$73&lt;&gt;"")*(Partidos!$I$2:$I$73=Partidos!$H$2:$H$73))</f>
        <v>0</v>
      </c>
      <c r="G46" s="1" t="n">
        <f aca="false">D46-E46-F46</f>
        <v>0</v>
      </c>
      <c r="H46" s="1" t="n">
        <f aca="false">SUMIFS(Partidos!$H$2:$H$73,Partidos!$L$2:$L$73,B46)+SUMIFS(Partidos!$I$2:$I$73,Partidos!$M$2:$M$73,B46)</f>
        <v>0</v>
      </c>
      <c r="I46" s="1" t="n">
        <f aca="false">SUMIFS(Partidos!$I$2:$I$73,Partidos!$L$2:$L$73,B46)+SUMIFS(Partidos!$H$2:$H$73,Partidos!$M$2:$M$73,B46)</f>
        <v>0</v>
      </c>
      <c r="J46" s="1" t="n">
        <f aca="false">H46-I46</f>
        <v>0</v>
      </c>
      <c r="K46" s="1" t="n">
        <f aca="false">E46*3+F46</f>
        <v>0</v>
      </c>
      <c r="L46" s="1" t="n">
        <v>0</v>
      </c>
      <c r="M46" s="1" t="str">
        <f aca="false">IF(COUNTIFS($A$2:$A$49,A46,$D$2:$D$49,"&gt;=1")&lt;4,"",1+COUNTIFS($A$2:$A$49,A46,$K$2:$K$49,"&gt;"&amp;K46)+COUNTIFS($A$2:$A$49,A46,$K$2:$K$49,K46,$L$2:$L$49,"&gt;"&amp;L46)+COUNTIFS($A$2:$A$49,A46,$K$2:$K$49,K46,$L$2:$L$49,L46,$J$2:$J$49,"&gt;"&amp;J46)+COUNTIFS($A$2:$A$49,A46,$K$2:$K$49,K46,$L$2:$L$49,L46,$J$2:$J$49,J46,$H$2:$H$49,"&gt;"&amp;H46)+SUMPRODUCT(($A$2:$A$49=A46)*($K$2:$K$49=K46)*($L$2:$L$49=L46)*($J$2:$J$49=J46)*($H$2:$H$49=H46)*(ROW($A$2:$A$49)&lt;ROW(A46))))</f>
        <v/>
      </c>
      <c r="N46" s="1" t="str">
        <f aca="false">IF(M46="","",IF(M46&lt;=2,"Directo",IF(M46=3,"Posible mejor 3°","")))</f>
        <v/>
      </c>
      <c r="O46" s="1" t="str">
        <f aca="false">IF(M46="","",A46&amp;M46)</f>
        <v/>
      </c>
      <c r="P46" s="1" t="str">
        <f aca="false">C46</f>
        <v>Inglaterra</v>
      </c>
      <c r="Q46" s="1" t="str">
        <f aca="false">B46</f>
        <v>ENG</v>
      </c>
    </row>
    <row r="47" customFormat="false" ht="14.25" hidden="false" customHeight="true" outlineLevel="0" collapsed="false">
      <c r="A47" s="1" t="s">
        <v>176</v>
      </c>
      <c r="B47" s="1" t="s">
        <v>181</v>
      </c>
      <c r="C47" s="1" t="s">
        <v>182</v>
      </c>
      <c r="D47" s="1" t="n">
        <f aca="false">COUNTIFS(Partidos!$L$2:$L$73,B47,Partidos!$H$2:$H$73,"&lt;&gt;")+COUNTIFS(Partidos!$M$2:$M$73,B47,Partidos!$I$2:$I$73,"&lt;&gt;")</f>
        <v>0</v>
      </c>
      <c r="E47" s="1" t="n">
        <f aca="false">SUMPRODUCT((Partidos!$L$2:$L$73=B47)*(Partidos!$H$2:$H$73&lt;&gt;"")*(Partidos!$H$2:$H$73&gt;Partidos!$I$2:$I$73))+SUMPRODUCT((Partidos!$M$2:$M$73=B47)*(Partidos!$I$2:$I$73&lt;&gt;"")*(Partidos!$I$2:$I$73&gt;Partidos!$H$2:$H$73))</f>
        <v>0</v>
      </c>
      <c r="F47" s="1" t="n">
        <f aca="false">SUMPRODUCT((Partidos!$L$2:$L$73=B47)*(Partidos!$H$2:$H$73&lt;&gt;"")*(Partidos!$H$2:$H$73=Partidos!$I$2:$I$73))+SUMPRODUCT((Partidos!$M$2:$M$73=B47)*(Partidos!$I$2:$I$73&lt;&gt;"")*(Partidos!$I$2:$I$73=Partidos!$H$2:$H$73))</f>
        <v>0</v>
      </c>
      <c r="G47" s="1" t="n">
        <f aca="false">D47-E47-F47</f>
        <v>0</v>
      </c>
      <c r="H47" s="1" t="n">
        <f aca="false">SUMIFS(Partidos!$H$2:$H$73,Partidos!$L$2:$L$73,B47)+SUMIFS(Partidos!$I$2:$I$73,Partidos!$M$2:$M$73,B47)</f>
        <v>0</v>
      </c>
      <c r="I47" s="1" t="n">
        <f aca="false">SUMIFS(Partidos!$I$2:$I$73,Partidos!$L$2:$L$73,B47)+SUMIFS(Partidos!$H$2:$H$73,Partidos!$M$2:$M$73,B47)</f>
        <v>0</v>
      </c>
      <c r="J47" s="1" t="n">
        <f aca="false">H47-I47</f>
        <v>0</v>
      </c>
      <c r="K47" s="1" t="n">
        <f aca="false">E47*3+F47</f>
        <v>0</v>
      </c>
      <c r="L47" s="1" t="n">
        <v>0</v>
      </c>
      <c r="M47" s="1" t="str">
        <f aca="false">IF(COUNTIFS($A$2:$A$49,A47,$D$2:$D$49,"&gt;=1")&lt;4,"",1+COUNTIFS($A$2:$A$49,A47,$K$2:$K$49,"&gt;"&amp;K47)+COUNTIFS($A$2:$A$49,A47,$K$2:$K$49,K47,$L$2:$L$49,"&gt;"&amp;L47)+COUNTIFS($A$2:$A$49,A47,$K$2:$K$49,K47,$L$2:$L$49,L47,$J$2:$J$49,"&gt;"&amp;J47)+COUNTIFS($A$2:$A$49,A47,$K$2:$K$49,K47,$L$2:$L$49,L47,$J$2:$J$49,J47,$H$2:$H$49,"&gt;"&amp;H47)+SUMPRODUCT(($A$2:$A$49=A47)*($K$2:$K$49=K47)*($L$2:$L$49=L47)*($J$2:$J$49=J47)*($H$2:$H$49=H47)*(ROW($A$2:$A$49)&lt;ROW(A47))))</f>
        <v/>
      </c>
      <c r="N47" s="1" t="str">
        <f aca="false">IF(M47="","",IF(M47&lt;=2,"Directo",IF(M47=3,"Posible mejor 3°","")))</f>
        <v/>
      </c>
      <c r="O47" s="1" t="str">
        <f aca="false">IF(M47="","",A47&amp;M47)</f>
        <v/>
      </c>
      <c r="P47" s="1" t="str">
        <f aca="false">C47</f>
        <v>Croacia</v>
      </c>
      <c r="Q47" s="1" t="str">
        <f aca="false">B47</f>
        <v>CRO</v>
      </c>
    </row>
    <row r="48" customFormat="false" ht="14.25" hidden="false" customHeight="true" outlineLevel="0" collapsed="false">
      <c r="A48" s="1" t="s">
        <v>176</v>
      </c>
      <c r="B48" s="1" t="s">
        <v>184</v>
      </c>
      <c r="C48" s="1" t="s">
        <v>185</v>
      </c>
      <c r="D48" s="1" t="n">
        <f aca="false">COUNTIFS(Partidos!$L$2:$L$73,B48,Partidos!$H$2:$H$73,"&lt;&gt;")+COUNTIFS(Partidos!$M$2:$M$73,B48,Partidos!$I$2:$I$73,"&lt;&gt;")</f>
        <v>0</v>
      </c>
      <c r="E48" s="1" t="n">
        <f aca="false">SUMPRODUCT((Partidos!$L$2:$L$73=B48)*(Partidos!$H$2:$H$73&lt;&gt;"")*(Partidos!$H$2:$H$73&gt;Partidos!$I$2:$I$73))+SUMPRODUCT((Partidos!$M$2:$M$73=B48)*(Partidos!$I$2:$I$73&lt;&gt;"")*(Partidos!$I$2:$I$73&gt;Partidos!$H$2:$H$73))</f>
        <v>0</v>
      </c>
      <c r="F48" s="1" t="n">
        <f aca="false">SUMPRODUCT((Partidos!$L$2:$L$73=B48)*(Partidos!$H$2:$H$73&lt;&gt;"")*(Partidos!$H$2:$H$73=Partidos!$I$2:$I$73))+SUMPRODUCT((Partidos!$M$2:$M$73=B48)*(Partidos!$I$2:$I$73&lt;&gt;"")*(Partidos!$I$2:$I$73=Partidos!$H$2:$H$73))</f>
        <v>0</v>
      </c>
      <c r="G48" s="1" t="n">
        <f aca="false">D48-E48-F48</f>
        <v>0</v>
      </c>
      <c r="H48" s="1" t="n">
        <f aca="false">SUMIFS(Partidos!$H$2:$H$73,Partidos!$L$2:$L$73,B48)+SUMIFS(Partidos!$I$2:$I$73,Partidos!$M$2:$M$73,B48)</f>
        <v>0</v>
      </c>
      <c r="I48" s="1" t="n">
        <f aca="false">SUMIFS(Partidos!$I$2:$I$73,Partidos!$L$2:$L$73,B48)+SUMIFS(Partidos!$H$2:$H$73,Partidos!$M$2:$M$73,B48)</f>
        <v>0</v>
      </c>
      <c r="J48" s="1" t="n">
        <f aca="false">H48-I48</f>
        <v>0</v>
      </c>
      <c r="K48" s="1" t="n">
        <f aca="false">E48*3+F48</f>
        <v>0</v>
      </c>
      <c r="L48" s="1" t="n">
        <v>0</v>
      </c>
      <c r="M48" s="1" t="str">
        <f aca="false">IF(COUNTIFS($A$2:$A$49,A48,$D$2:$D$49,"&gt;=1")&lt;4,"",1+COUNTIFS($A$2:$A$49,A48,$K$2:$K$49,"&gt;"&amp;K48)+COUNTIFS($A$2:$A$49,A48,$K$2:$K$49,K48,$L$2:$L$49,"&gt;"&amp;L48)+COUNTIFS($A$2:$A$49,A48,$K$2:$K$49,K48,$L$2:$L$49,L48,$J$2:$J$49,"&gt;"&amp;J48)+COUNTIFS($A$2:$A$49,A48,$K$2:$K$49,K48,$L$2:$L$49,L48,$J$2:$J$49,J48,$H$2:$H$49,"&gt;"&amp;H48)+SUMPRODUCT(($A$2:$A$49=A48)*($K$2:$K$49=K48)*($L$2:$L$49=L48)*($J$2:$J$49=J48)*($H$2:$H$49=H48)*(ROW($A$2:$A$49)&lt;ROW(A48))))</f>
        <v/>
      </c>
      <c r="N48" s="1" t="str">
        <f aca="false">IF(M48="","",IF(M48&lt;=2,"Directo",IF(M48=3,"Posible mejor 3°","")))</f>
        <v/>
      </c>
      <c r="O48" s="1" t="str">
        <f aca="false">IF(M48="","",A48&amp;M48)</f>
        <v/>
      </c>
      <c r="P48" s="1" t="str">
        <f aca="false">C48</f>
        <v>Ghana</v>
      </c>
      <c r="Q48" s="1" t="str">
        <f aca="false">B48</f>
        <v>GHA</v>
      </c>
    </row>
    <row r="49" customFormat="false" ht="14.25" hidden="false" customHeight="true" outlineLevel="0" collapsed="false">
      <c r="A49" s="1" t="s">
        <v>176</v>
      </c>
      <c r="B49" s="1" t="s">
        <v>187</v>
      </c>
      <c r="C49" s="1" t="s">
        <v>188</v>
      </c>
      <c r="D49" s="1" t="n">
        <f aca="false">COUNTIFS(Partidos!$L$2:$L$73,B49,Partidos!$H$2:$H$73,"&lt;&gt;")+COUNTIFS(Partidos!$M$2:$M$73,B49,Partidos!$I$2:$I$73,"&lt;&gt;")</f>
        <v>0</v>
      </c>
      <c r="E49" s="1" t="n">
        <f aca="false">SUMPRODUCT((Partidos!$L$2:$L$73=B49)*(Partidos!$H$2:$H$73&lt;&gt;"")*(Partidos!$H$2:$H$73&gt;Partidos!$I$2:$I$73))+SUMPRODUCT((Partidos!$M$2:$M$73=B49)*(Partidos!$I$2:$I$73&lt;&gt;"")*(Partidos!$I$2:$I$73&gt;Partidos!$H$2:$H$73))</f>
        <v>0</v>
      </c>
      <c r="F49" s="1" t="n">
        <f aca="false">SUMPRODUCT((Partidos!$L$2:$L$73=B49)*(Partidos!$H$2:$H$73&lt;&gt;"")*(Partidos!$H$2:$H$73=Partidos!$I$2:$I$73))+SUMPRODUCT((Partidos!$M$2:$M$73=B49)*(Partidos!$I$2:$I$73&lt;&gt;"")*(Partidos!$I$2:$I$73=Partidos!$H$2:$H$73))</f>
        <v>0</v>
      </c>
      <c r="G49" s="1" t="n">
        <f aca="false">D49-E49-F49</f>
        <v>0</v>
      </c>
      <c r="H49" s="1" t="n">
        <f aca="false">SUMIFS(Partidos!$H$2:$H$73,Partidos!$L$2:$L$73,B49)+SUMIFS(Partidos!$I$2:$I$73,Partidos!$M$2:$M$73,B49)</f>
        <v>0</v>
      </c>
      <c r="I49" s="1" t="n">
        <f aca="false">SUMIFS(Partidos!$I$2:$I$73,Partidos!$L$2:$L$73,B49)+SUMIFS(Partidos!$H$2:$H$73,Partidos!$M$2:$M$73,B49)</f>
        <v>0</v>
      </c>
      <c r="J49" s="1" t="n">
        <f aca="false">H49-I49</f>
        <v>0</v>
      </c>
      <c r="K49" s="1" t="n">
        <f aca="false">E49*3+F49</f>
        <v>0</v>
      </c>
      <c r="L49" s="1" t="n">
        <v>0</v>
      </c>
      <c r="M49" s="1" t="str">
        <f aca="false">IF(COUNTIFS($A$2:$A$49,A49,$D$2:$D$49,"&gt;=1")&lt;4,"",1+COUNTIFS($A$2:$A$49,A49,$K$2:$K$49,"&gt;"&amp;K49)+COUNTIFS($A$2:$A$49,A49,$K$2:$K$49,K49,$L$2:$L$49,"&gt;"&amp;L49)+COUNTIFS($A$2:$A$49,A49,$K$2:$K$49,K49,$L$2:$L$49,L49,$J$2:$J$49,"&gt;"&amp;J49)+COUNTIFS($A$2:$A$49,A49,$K$2:$K$49,K49,$L$2:$L$49,L49,$J$2:$J$49,J49,$H$2:$H$49,"&gt;"&amp;H49)+SUMPRODUCT(($A$2:$A$49=A49)*($K$2:$K$49=K49)*($L$2:$L$49=L49)*($J$2:$J$49=J49)*($H$2:$H$49=H49)*(ROW($A$2:$A$49)&lt;ROW(A49))))</f>
        <v/>
      </c>
      <c r="N49" s="1" t="str">
        <f aca="false">IF(M49="","",IF(M49&lt;=2,"Directo",IF(M49=3,"Posible mejor 3°","")))</f>
        <v/>
      </c>
      <c r="O49" s="1" t="str">
        <f aca="false">IF(M49="","",A49&amp;M49)</f>
        <v/>
      </c>
      <c r="P49" s="1" t="str">
        <f aca="false">C49</f>
        <v>Panamá</v>
      </c>
      <c r="Q49" s="1" t="str">
        <f aca="false">B49</f>
        <v>PAN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9"/>
    <col collapsed="false" customWidth="true" hidden="false" outlineLevel="0" max="4" min="4" style="1" width="22"/>
    <col collapsed="false" customWidth="true" hidden="false" outlineLevel="0" max="12" min="5" style="1" width="6"/>
    <col collapsed="false" customWidth="true" hidden="true" outlineLevel="0" max="20" min="14" style="1" width="13"/>
  </cols>
  <sheetData>
    <row r="1" customFormat="false" ht="15" hidden="false" customHeight="true" outlineLevel="0" collapsed="false">
      <c r="A1" s="67" t="s">
        <v>387</v>
      </c>
      <c r="B1" s="67" t="s">
        <v>29</v>
      </c>
      <c r="C1" s="67" t="s">
        <v>31</v>
      </c>
      <c r="D1" s="67" t="s">
        <v>32</v>
      </c>
      <c r="E1" s="67" t="s">
        <v>373</v>
      </c>
      <c r="F1" s="67" t="s">
        <v>374</v>
      </c>
      <c r="G1" s="67" t="s">
        <v>375</v>
      </c>
      <c r="H1" s="67" t="s">
        <v>376</v>
      </c>
      <c r="I1" s="67" t="s">
        <v>377</v>
      </c>
      <c r="J1" s="67" t="s">
        <v>378</v>
      </c>
      <c r="K1" s="67" t="s">
        <v>379</v>
      </c>
      <c r="L1" s="67" t="s">
        <v>380</v>
      </c>
      <c r="N1" s="68" t="s">
        <v>388</v>
      </c>
      <c r="O1" s="68" t="s">
        <v>389</v>
      </c>
      <c r="P1" s="68" t="s">
        <v>390</v>
      </c>
      <c r="Q1" s="68" t="s">
        <v>391</v>
      </c>
      <c r="R1" s="68" t="s">
        <v>392</v>
      </c>
      <c r="S1" s="68" t="s">
        <v>393</v>
      </c>
      <c r="T1" s="68" t="s">
        <v>394</v>
      </c>
    </row>
    <row r="2" customFormat="false" ht="15" hidden="false" customHeight="true" outlineLevel="0" collapsed="false">
      <c r="A2" s="69" t="n">
        <v>1</v>
      </c>
      <c r="B2" s="70" t="s">
        <v>33</v>
      </c>
      <c r="C2" s="69" t="str">
        <f aca="false">INDEX($N$2:$N$49,SUMPRODUCT(($O$2:$O$49="A")*($T$2:$T$49=1)*ROW($N$2:$N$49))-1)</f>
        <v>MEX</v>
      </c>
      <c r="D2" s="69" t="str">
        <f aca="false">VLOOKUP(C2,Clasificacion!$B$2:$C$49,2,FALSE())</f>
        <v>México</v>
      </c>
      <c r="E2" s="69" t="n">
        <f aca="false">VLOOKUP(C2,Clasificacion!$B$2:$K$49,3,FALSE())</f>
        <v>1</v>
      </c>
      <c r="F2" s="69" t="n">
        <f aca="false">VLOOKUP(C2,Clasificacion!$B$2:$K$49,4,FALSE())</f>
        <v>1</v>
      </c>
      <c r="G2" s="69" t="n">
        <f aca="false">VLOOKUP(C2,Clasificacion!$B$2:$K$49,5,FALSE())</f>
        <v>0</v>
      </c>
      <c r="H2" s="69" t="n">
        <f aca="false">VLOOKUP(C2,Clasificacion!$B$2:$K$49,6,FALSE())</f>
        <v>0</v>
      </c>
      <c r="I2" s="69" t="n">
        <f aca="false">VLOOKUP(C2,Clasificacion!$B$2:$K$49,7,FALSE())</f>
        <v>2</v>
      </c>
      <c r="J2" s="69" t="n">
        <f aca="false">VLOOKUP(C2,Clasificacion!$B$2:$K$49,8,FALSE())</f>
        <v>0</v>
      </c>
      <c r="K2" s="69" t="n">
        <f aca="false">VLOOKUP(C2,Clasificacion!$B$2:$K$49,9,FALSE())</f>
        <v>2</v>
      </c>
      <c r="L2" s="69" t="n">
        <f aca="false">VLOOKUP(C2,Clasificacion!$B$2:$K$49,10,FALSE())</f>
        <v>3</v>
      </c>
      <c r="N2" s="71" t="str">
        <f aca="false">Clasificacion!B2</f>
        <v>MEX</v>
      </c>
      <c r="O2" s="71" t="str">
        <f aca="false">Clasificacion!A2</f>
        <v>A</v>
      </c>
      <c r="P2" s="71" t="n">
        <f aca="false">Clasificacion!K2</f>
        <v>3</v>
      </c>
      <c r="Q2" s="71" t="n">
        <f aca="false">Clasificacion!J2</f>
        <v>2</v>
      </c>
      <c r="R2" s="71" t="n">
        <f aca="false">Clasificacion!H2</f>
        <v>2</v>
      </c>
      <c r="S2" s="71" t="n">
        <f aca="false">P2*1000000+Q2*10000+R2*100-ROW()</f>
        <v>3020198</v>
      </c>
      <c r="T2" s="71" t="n">
        <f aca="false">SUMPRODUCT(($O$2:$O$49=O2)*($S$2:$S$49&gt;S2))+1</f>
        <v>1</v>
      </c>
    </row>
    <row r="3" customFormat="false" ht="15" hidden="false" customHeight="true" outlineLevel="0" collapsed="false">
      <c r="A3" s="72" t="n">
        <v>2</v>
      </c>
      <c r="B3" s="73" t="s">
        <v>33</v>
      </c>
      <c r="C3" s="72" t="str">
        <f aca="false">INDEX($N$2:$N$49,SUMPRODUCT(($O$2:$O$49="A")*($T$2:$T$49=2)*ROW($N$2:$N$49))-1)</f>
        <v>KOR</v>
      </c>
      <c r="D3" s="72" t="str">
        <f aca="false">VLOOKUP(C3,Clasificacion!$B$2:$C$49,2,FALSE())</f>
        <v>Corea República</v>
      </c>
      <c r="E3" s="72" t="n">
        <f aca="false">VLOOKUP(C3,Clasificacion!$B$2:$K$49,3,FALSE())</f>
        <v>0</v>
      </c>
      <c r="F3" s="72" t="n">
        <f aca="false">VLOOKUP(C3,Clasificacion!$B$2:$K$49,4,FALSE())</f>
        <v>0</v>
      </c>
      <c r="G3" s="72" t="n">
        <f aca="false">VLOOKUP(C3,Clasificacion!$B$2:$K$49,5,FALSE())</f>
        <v>0</v>
      </c>
      <c r="H3" s="72" t="n">
        <f aca="false">VLOOKUP(C3,Clasificacion!$B$2:$K$49,6,FALSE())</f>
        <v>0</v>
      </c>
      <c r="I3" s="72" t="n">
        <f aca="false">VLOOKUP(C3,Clasificacion!$B$2:$K$49,7,FALSE())</f>
        <v>0</v>
      </c>
      <c r="J3" s="72" t="n">
        <f aca="false">VLOOKUP(C3,Clasificacion!$B$2:$K$49,8,FALSE())</f>
        <v>0</v>
      </c>
      <c r="K3" s="72" t="n">
        <f aca="false">VLOOKUP(C3,Clasificacion!$B$2:$K$49,9,FALSE())</f>
        <v>0</v>
      </c>
      <c r="L3" s="72" t="n">
        <f aca="false">VLOOKUP(C3,Clasificacion!$B$2:$K$49,10,FALSE())</f>
        <v>0</v>
      </c>
      <c r="N3" s="71" t="str">
        <f aca="false">Clasificacion!B3</f>
        <v>RSA</v>
      </c>
      <c r="O3" s="71" t="str">
        <f aca="false">Clasificacion!A3</f>
        <v>A</v>
      </c>
      <c r="P3" s="71" t="n">
        <f aca="false">Clasificacion!K3</f>
        <v>0</v>
      </c>
      <c r="Q3" s="71" t="n">
        <f aca="false">Clasificacion!J3</f>
        <v>-2</v>
      </c>
      <c r="R3" s="71" t="n">
        <f aca="false">Clasificacion!H3</f>
        <v>0</v>
      </c>
      <c r="S3" s="71" t="n">
        <f aca="false">P3*1000000+Q3*10000+R3*100-ROW()</f>
        <v>-20003</v>
      </c>
      <c r="T3" s="71" t="n">
        <f aca="false">SUMPRODUCT(($O$2:$O$49=O3)*($S$2:$S$49&gt;S3))+1</f>
        <v>4</v>
      </c>
    </row>
    <row r="4" customFormat="false" ht="15" hidden="false" customHeight="true" outlineLevel="0" collapsed="false">
      <c r="A4" s="74" t="n">
        <v>3</v>
      </c>
      <c r="B4" s="75" t="s">
        <v>33</v>
      </c>
      <c r="C4" s="74" t="str">
        <f aca="false">INDEX($N$2:$N$49,SUMPRODUCT(($O$2:$O$49="A")*($T$2:$T$49=3)*ROW($N$2:$N$49))-1)</f>
        <v>CZE</v>
      </c>
      <c r="D4" s="74" t="str">
        <f aca="false">VLOOKUP(C4,Clasificacion!$B$2:$C$49,2,FALSE())</f>
        <v>Chequia</v>
      </c>
      <c r="E4" s="74" t="n">
        <f aca="false">VLOOKUP(C4,Clasificacion!$B$2:$K$49,3,FALSE())</f>
        <v>0</v>
      </c>
      <c r="F4" s="74" t="n">
        <f aca="false">VLOOKUP(C4,Clasificacion!$B$2:$K$49,4,FALSE())</f>
        <v>0</v>
      </c>
      <c r="G4" s="74" t="n">
        <f aca="false">VLOOKUP(C4,Clasificacion!$B$2:$K$49,5,FALSE())</f>
        <v>0</v>
      </c>
      <c r="H4" s="74" t="n">
        <f aca="false">VLOOKUP(C4,Clasificacion!$B$2:$K$49,6,FALSE())</f>
        <v>0</v>
      </c>
      <c r="I4" s="74" t="n">
        <f aca="false">VLOOKUP(C4,Clasificacion!$B$2:$K$49,7,FALSE())</f>
        <v>0</v>
      </c>
      <c r="J4" s="74" t="n">
        <f aca="false">VLOOKUP(C4,Clasificacion!$B$2:$K$49,8,FALSE())</f>
        <v>0</v>
      </c>
      <c r="K4" s="74" t="n">
        <f aca="false">VLOOKUP(C4,Clasificacion!$B$2:$K$49,9,FALSE())</f>
        <v>0</v>
      </c>
      <c r="L4" s="74" t="n">
        <f aca="false">VLOOKUP(C4,Clasificacion!$B$2:$K$49,10,FALSE())</f>
        <v>0</v>
      </c>
      <c r="N4" s="71" t="str">
        <f aca="false">Clasificacion!B4</f>
        <v>KOR</v>
      </c>
      <c r="O4" s="71" t="str">
        <f aca="false">Clasificacion!A4</f>
        <v>A</v>
      </c>
      <c r="P4" s="71" t="n">
        <f aca="false">Clasificacion!K4</f>
        <v>0</v>
      </c>
      <c r="Q4" s="71" t="n">
        <f aca="false">Clasificacion!J4</f>
        <v>0</v>
      </c>
      <c r="R4" s="71" t="n">
        <f aca="false">Clasificacion!H4</f>
        <v>0</v>
      </c>
      <c r="S4" s="71" t="n">
        <f aca="false">P4*1000000+Q4*10000+R4*100-ROW()</f>
        <v>-4</v>
      </c>
      <c r="T4" s="71" t="n">
        <f aca="false">SUMPRODUCT(($O$2:$O$49=O4)*($S$2:$S$49&gt;S4))+1</f>
        <v>2</v>
      </c>
    </row>
    <row r="5" customFormat="false" ht="15" hidden="false" customHeight="true" outlineLevel="0" collapsed="false">
      <c r="A5" s="74" t="n">
        <v>4</v>
      </c>
      <c r="B5" s="75" t="s">
        <v>33</v>
      </c>
      <c r="C5" s="74" t="str">
        <f aca="false">INDEX($N$2:$N$49,SUMPRODUCT(($O$2:$O$49="A")*($T$2:$T$49=4)*ROW($N$2:$N$49))-1)</f>
        <v>RSA</v>
      </c>
      <c r="D5" s="74" t="str">
        <f aca="false">VLOOKUP(C5,Clasificacion!$B$2:$C$49,2,FALSE())</f>
        <v>Sudáfrica</v>
      </c>
      <c r="E5" s="74" t="n">
        <f aca="false">VLOOKUP(C5,Clasificacion!$B$2:$K$49,3,FALSE())</f>
        <v>1</v>
      </c>
      <c r="F5" s="74" t="n">
        <f aca="false">VLOOKUP(C5,Clasificacion!$B$2:$K$49,4,FALSE())</f>
        <v>0</v>
      </c>
      <c r="G5" s="74" t="n">
        <f aca="false">VLOOKUP(C5,Clasificacion!$B$2:$K$49,5,FALSE())</f>
        <v>0</v>
      </c>
      <c r="H5" s="74" t="n">
        <f aca="false">VLOOKUP(C5,Clasificacion!$B$2:$K$49,6,FALSE())</f>
        <v>1</v>
      </c>
      <c r="I5" s="74" t="n">
        <f aca="false">VLOOKUP(C5,Clasificacion!$B$2:$K$49,7,FALSE())</f>
        <v>0</v>
      </c>
      <c r="J5" s="74" t="n">
        <f aca="false">VLOOKUP(C5,Clasificacion!$B$2:$K$49,8,FALSE())</f>
        <v>2</v>
      </c>
      <c r="K5" s="74" t="n">
        <f aca="false">VLOOKUP(C5,Clasificacion!$B$2:$K$49,9,FALSE())</f>
        <v>-2</v>
      </c>
      <c r="L5" s="74" t="n">
        <f aca="false">VLOOKUP(C5,Clasificacion!$B$2:$K$49,10,FALSE())</f>
        <v>0</v>
      </c>
      <c r="N5" s="71" t="str">
        <f aca="false">Clasificacion!B5</f>
        <v>CZE</v>
      </c>
      <c r="O5" s="71" t="str">
        <f aca="false">Clasificacion!A5</f>
        <v>A</v>
      </c>
      <c r="P5" s="71" t="n">
        <f aca="false">Clasificacion!K5</f>
        <v>0</v>
      </c>
      <c r="Q5" s="71" t="n">
        <f aca="false">Clasificacion!J5</f>
        <v>0</v>
      </c>
      <c r="R5" s="71" t="n">
        <f aca="false">Clasificacion!H5</f>
        <v>0</v>
      </c>
      <c r="S5" s="71" t="n">
        <f aca="false">P5*1000000+Q5*10000+R5*100-ROW()</f>
        <v>-5</v>
      </c>
      <c r="T5" s="71" t="n">
        <f aca="false">SUMPRODUCT(($O$2:$O$49=O5)*($S$2:$S$49&gt;S5))+1</f>
        <v>3</v>
      </c>
    </row>
    <row r="6" customFormat="false" ht="15" hidden="false" customHeight="true" outlineLevel="0" collapsed="false">
      <c r="A6" s="69" t="n">
        <v>1</v>
      </c>
      <c r="B6" s="70" t="s">
        <v>46</v>
      </c>
      <c r="C6" s="69" t="str">
        <f aca="false">INDEX($N$2:$N$49,SUMPRODUCT(($O$2:$O$49="B")*($T$2:$T$49=1)*ROW($N$2:$N$49))-1)</f>
        <v>CAN</v>
      </c>
      <c r="D6" s="69" t="str">
        <f aca="false">VLOOKUP(C6,Clasificacion!$B$2:$C$49,2,FALSE())</f>
        <v>Canadá</v>
      </c>
      <c r="E6" s="69" t="n">
        <f aca="false">VLOOKUP(C6,Clasificacion!$B$2:$K$49,3,FALSE())</f>
        <v>0</v>
      </c>
      <c r="F6" s="69" t="n">
        <f aca="false">VLOOKUP(C6,Clasificacion!$B$2:$K$49,4,FALSE())</f>
        <v>0</v>
      </c>
      <c r="G6" s="69" t="n">
        <f aca="false">VLOOKUP(C6,Clasificacion!$B$2:$K$49,5,FALSE())</f>
        <v>0</v>
      </c>
      <c r="H6" s="69" t="n">
        <f aca="false">VLOOKUP(C6,Clasificacion!$B$2:$K$49,6,FALSE())</f>
        <v>0</v>
      </c>
      <c r="I6" s="69" t="n">
        <f aca="false">VLOOKUP(C6,Clasificacion!$B$2:$K$49,7,FALSE())</f>
        <v>0</v>
      </c>
      <c r="J6" s="69" t="n">
        <f aca="false">VLOOKUP(C6,Clasificacion!$B$2:$K$49,8,FALSE())</f>
        <v>0</v>
      </c>
      <c r="K6" s="69" t="n">
        <f aca="false">VLOOKUP(C6,Clasificacion!$B$2:$K$49,9,FALSE())</f>
        <v>0</v>
      </c>
      <c r="L6" s="69" t="n">
        <f aca="false">VLOOKUP(C6,Clasificacion!$B$2:$K$49,10,FALSE())</f>
        <v>0</v>
      </c>
      <c r="N6" s="71" t="str">
        <f aca="false">Clasificacion!B6</f>
        <v>CAN</v>
      </c>
      <c r="O6" s="71" t="str">
        <f aca="false">Clasificacion!A6</f>
        <v>B</v>
      </c>
      <c r="P6" s="71" t="n">
        <f aca="false">Clasificacion!K6</f>
        <v>0</v>
      </c>
      <c r="Q6" s="71" t="n">
        <f aca="false">Clasificacion!J6</f>
        <v>0</v>
      </c>
      <c r="R6" s="71" t="n">
        <f aca="false">Clasificacion!H6</f>
        <v>0</v>
      </c>
      <c r="S6" s="71" t="n">
        <f aca="false">P6*1000000+Q6*10000+R6*100-ROW()</f>
        <v>-6</v>
      </c>
      <c r="T6" s="71" t="n">
        <f aca="false">SUMPRODUCT(($O$2:$O$49=O6)*($S$2:$S$49&gt;S6))+1</f>
        <v>1</v>
      </c>
    </row>
    <row r="7" customFormat="false" ht="15" hidden="false" customHeight="true" outlineLevel="0" collapsed="false">
      <c r="A7" s="72" t="n">
        <v>2</v>
      </c>
      <c r="B7" s="73" t="s">
        <v>46</v>
      </c>
      <c r="C7" s="72" t="str">
        <f aca="false">INDEX($N$2:$N$49,SUMPRODUCT(($O$2:$O$49="B")*($T$2:$T$49=2)*ROW($N$2:$N$49))-1)</f>
        <v>BIH</v>
      </c>
      <c r="D7" s="72" t="str">
        <f aca="false">VLOOKUP(C7,Clasificacion!$B$2:$C$49,2,FALSE())</f>
        <v>Bosnia y Herzegovina</v>
      </c>
      <c r="E7" s="72" t="n">
        <f aca="false">VLOOKUP(C7,Clasificacion!$B$2:$K$49,3,FALSE())</f>
        <v>0</v>
      </c>
      <c r="F7" s="72" t="n">
        <f aca="false">VLOOKUP(C7,Clasificacion!$B$2:$K$49,4,FALSE())</f>
        <v>0</v>
      </c>
      <c r="G7" s="72" t="n">
        <f aca="false">VLOOKUP(C7,Clasificacion!$B$2:$K$49,5,FALSE())</f>
        <v>0</v>
      </c>
      <c r="H7" s="72" t="n">
        <f aca="false">VLOOKUP(C7,Clasificacion!$B$2:$K$49,6,FALSE())</f>
        <v>0</v>
      </c>
      <c r="I7" s="72" t="n">
        <f aca="false">VLOOKUP(C7,Clasificacion!$B$2:$K$49,7,FALSE())</f>
        <v>0</v>
      </c>
      <c r="J7" s="72" t="n">
        <f aca="false">VLOOKUP(C7,Clasificacion!$B$2:$K$49,8,FALSE())</f>
        <v>0</v>
      </c>
      <c r="K7" s="72" t="n">
        <f aca="false">VLOOKUP(C7,Clasificacion!$B$2:$K$49,9,FALSE())</f>
        <v>0</v>
      </c>
      <c r="L7" s="72" t="n">
        <f aca="false">VLOOKUP(C7,Clasificacion!$B$2:$K$49,10,FALSE())</f>
        <v>0</v>
      </c>
      <c r="N7" s="71" t="str">
        <f aca="false">Clasificacion!B7</f>
        <v>BIH</v>
      </c>
      <c r="O7" s="71" t="str">
        <f aca="false">Clasificacion!A7</f>
        <v>B</v>
      </c>
      <c r="P7" s="71" t="n">
        <f aca="false">Clasificacion!K7</f>
        <v>0</v>
      </c>
      <c r="Q7" s="71" t="n">
        <f aca="false">Clasificacion!J7</f>
        <v>0</v>
      </c>
      <c r="R7" s="71" t="n">
        <f aca="false">Clasificacion!H7</f>
        <v>0</v>
      </c>
      <c r="S7" s="71" t="n">
        <f aca="false">P7*1000000+Q7*10000+R7*100-ROW()</f>
        <v>-7</v>
      </c>
      <c r="T7" s="71" t="n">
        <f aca="false">SUMPRODUCT(($O$2:$O$49=O7)*($S$2:$S$49&gt;S7))+1</f>
        <v>2</v>
      </c>
    </row>
    <row r="8" customFormat="false" ht="15" hidden="false" customHeight="true" outlineLevel="0" collapsed="false">
      <c r="A8" s="74" t="n">
        <v>3</v>
      </c>
      <c r="B8" s="75" t="s">
        <v>46</v>
      </c>
      <c r="C8" s="74" t="str">
        <f aca="false">INDEX($N$2:$N$49,SUMPRODUCT(($O$2:$O$49="B")*($T$2:$T$49=3)*ROW($N$2:$N$49))-1)</f>
        <v>QAT</v>
      </c>
      <c r="D8" s="74" t="str">
        <f aca="false">VLOOKUP(C8,Clasificacion!$B$2:$C$49,2,FALSE())</f>
        <v>Qatar</v>
      </c>
      <c r="E8" s="74" t="n">
        <f aca="false">VLOOKUP(C8,Clasificacion!$B$2:$K$49,3,FALSE())</f>
        <v>0</v>
      </c>
      <c r="F8" s="74" t="n">
        <f aca="false">VLOOKUP(C8,Clasificacion!$B$2:$K$49,4,FALSE())</f>
        <v>0</v>
      </c>
      <c r="G8" s="74" t="n">
        <f aca="false">VLOOKUP(C8,Clasificacion!$B$2:$K$49,5,FALSE())</f>
        <v>0</v>
      </c>
      <c r="H8" s="74" t="n">
        <f aca="false">VLOOKUP(C8,Clasificacion!$B$2:$K$49,6,FALSE())</f>
        <v>0</v>
      </c>
      <c r="I8" s="74" t="n">
        <f aca="false">VLOOKUP(C8,Clasificacion!$B$2:$K$49,7,FALSE())</f>
        <v>0</v>
      </c>
      <c r="J8" s="74" t="n">
        <f aca="false">VLOOKUP(C8,Clasificacion!$B$2:$K$49,8,FALSE())</f>
        <v>0</v>
      </c>
      <c r="K8" s="74" t="n">
        <f aca="false">VLOOKUP(C8,Clasificacion!$B$2:$K$49,9,FALSE())</f>
        <v>0</v>
      </c>
      <c r="L8" s="74" t="n">
        <f aca="false">VLOOKUP(C8,Clasificacion!$B$2:$K$49,10,FALSE())</f>
        <v>0</v>
      </c>
      <c r="N8" s="71" t="str">
        <f aca="false">Clasificacion!B8</f>
        <v>QAT</v>
      </c>
      <c r="O8" s="71" t="str">
        <f aca="false">Clasificacion!A8</f>
        <v>B</v>
      </c>
      <c r="P8" s="71" t="n">
        <f aca="false">Clasificacion!K8</f>
        <v>0</v>
      </c>
      <c r="Q8" s="71" t="n">
        <f aca="false">Clasificacion!J8</f>
        <v>0</v>
      </c>
      <c r="R8" s="71" t="n">
        <f aca="false">Clasificacion!H8</f>
        <v>0</v>
      </c>
      <c r="S8" s="71" t="n">
        <f aca="false">P8*1000000+Q8*10000+R8*100-ROW()</f>
        <v>-8</v>
      </c>
      <c r="T8" s="71" t="n">
        <f aca="false">SUMPRODUCT(($O$2:$O$49=O8)*($S$2:$S$49&gt;S8))+1</f>
        <v>3</v>
      </c>
    </row>
    <row r="9" customFormat="false" ht="15" hidden="false" customHeight="true" outlineLevel="0" collapsed="false">
      <c r="A9" s="74" t="n">
        <v>4</v>
      </c>
      <c r="B9" s="75" t="s">
        <v>46</v>
      </c>
      <c r="C9" s="74" t="str">
        <f aca="false">INDEX($N$2:$N$49,SUMPRODUCT(($O$2:$O$49="B")*($T$2:$T$49=4)*ROW($N$2:$N$49))-1)</f>
        <v>SUI</v>
      </c>
      <c r="D9" s="74" t="str">
        <f aca="false">VLOOKUP(C9,Clasificacion!$B$2:$C$49,2,FALSE())</f>
        <v>Suiza</v>
      </c>
      <c r="E9" s="74" t="n">
        <f aca="false">VLOOKUP(C9,Clasificacion!$B$2:$K$49,3,FALSE())</f>
        <v>0</v>
      </c>
      <c r="F9" s="74" t="n">
        <f aca="false">VLOOKUP(C9,Clasificacion!$B$2:$K$49,4,FALSE())</f>
        <v>0</v>
      </c>
      <c r="G9" s="74" t="n">
        <f aca="false">VLOOKUP(C9,Clasificacion!$B$2:$K$49,5,FALSE())</f>
        <v>0</v>
      </c>
      <c r="H9" s="74" t="n">
        <f aca="false">VLOOKUP(C9,Clasificacion!$B$2:$K$49,6,FALSE())</f>
        <v>0</v>
      </c>
      <c r="I9" s="74" t="n">
        <f aca="false">VLOOKUP(C9,Clasificacion!$B$2:$K$49,7,FALSE())</f>
        <v>0</v>
      </c>
      <c r="J9" s="74" t="n">
        <f aca="false">VLOOKUP(C9,Clasificacion!$B$2:$K$49,8,FALSE())</f>
        <v>0</v>
      </c>
      <c r="K9" s="74" t="n">
        <f aca="false">VLOOKUP(C9,Clasificacion!$B$2:$K$49,9,FALSE())</f>
        <v>0</v>
      </c>
      <c r="L9" s="74" t="n">
        <f aca="false">VLOOKUP(C9,Clasificacion!$B$2:$K$49,10,FALSE())</f>
        <v>0</v>
      </c>
      <c r="N9" s="71" t="str">
        <f aca="false">Clasificacion!B9</f>
        <v>SUI</v>
      </c>
      <c r="O9" s="71" t="str">
        <f aca="false">Clasificacion!A9</f>
        <v>B</v>
      </c>
      <c r="P9" s="71" t="n">
        <f aca="false">Clasificacion!K9</f>
        <v>0</v>
      </c>
      <c r="Q9" s="71" t="n">
        <f aca="false">Clasificacion!J9</f>
        <v>0</v>
      </c>
      <c r="R9" s="71" t="n">
        <f aca="false">Clasificacion!H9</f>
        <v>0</v>
      </c>
      <c r="S9" s="71" t="n">
        <f aca="false">P9*1000000+Q9*10000+R9*100-ROW()</f>
        <v>-9</v>
      </c>
      <c r="T9" s="71" t="n">
        <f aca="false">SUMPRODUCT(($O$2:$O$49=O9)*($S$2:$S$49&gt;S9))+1</f>
        <v>4</v>
      </c>
    </row>
    <row r="10" customFormat="false" ht="15" hidden="false" customHeight="true" outlineLevel="0" collapsed="false">
      <c r="A10" s="69" t="n">
        <v>1</v>
      </c>
      <c r="B10" s="70" t="s">
        <v>59</v>
      </c>
      <c r="C10" s="69" t="str">
        <f aca="false">INDEX($N$2:$N$49,SUMPRODUCT(($O$2:$O$49="C")*($T$2:$T$49=1)*ROW($N$2:$N$49))-1)</f>
        <v>BRA</v>
      </c>
      <c r="D10" s="69" t="str">
        <f aca="false">VLOOKUP(C10,Clasificacion!$B$2:$C$49,2,FALSE())</f>
        <v>Brasil</v>
      </c>
      <c r="E10" s="69" t="n">
        <f aca="false">VLOOKUP(C10,Clasificacion!$B$2:$K$49,3,FALSE())</f>
        <v>0</v>
      </c>
      <c r="F10" s="69" t="n">
        <f aca="false">VLOOKUP(C10,Clasificacion!$B$2:$K$49,4,FALSE())</f>
        <v>0</v>
      </c>
      <c r="G10" s="69" t="n">
        <f aca="false">VLOOKUP(C10,Clasificacion!$B$2:$K$49,5,FALSE())</f>
        <v>0</v>
      </c>
      <c r="H10" s="69" t="n">
        <f aca="false">VLOOKUP(C10,Clasificacion!$B$2:$K$49,6,FALSE())</f>
        <v>0</v>
      </c>
      <c r="I10" s="69" t="n">
        <f aca="false">VLOOKUP(C10,Clasificacion!$B$2:$K$49,7,FALSE())</f>
        <v>0</v>
      </c>
      <c r="J10" s="69" t="n">
        <f aca="false">VLOOKUP(C10,Clasificacion!$B$2:$K$49,8,FALSE())</f>
        <v>0</v>
      </c>
      <c r="K10" s="69" t="n">
        <f aca="false">VLOOKUP(C10,Clasificacion!$B$2:$K$49,9,FALSE())</f>
        <v>0</v>
      </c>
      <c r="L10" s="69" t="n">
        <f aca="false">VLOOKUP(C10,Clasificacion!$B$2:$K$49,10,FALSE())</f>
        <v>0</v>
      </c>
      <c r="N10" s="71" t="str">
        <f aca="false">Clasificacion!B10</f>
        <v>BRA</v>
      </c>
      <c r="O10" s="71" t="str">
        <f aca="false">Clasificacion!A10</f>
        <v>C</v>
      </c>
      <c r="P10" s="71" t="n">
        <f aca="false">Clasificacion!K10</f>
        <v>0</v>
      </c>
      <c r="Q10" s="71" t="n">
        <f aca="false">Clasificacion!J10</f>
        <v>0</v>
      </c>
      <c r="R10" s="71" t="n">
        <f aca="false">Clasificacion!H10</f>
        <v>0</v>
      </c>
      <c r="S10" s="71" t="n">
        <f aca="false">P10*1000000+Q10*10000+R10*100-ROW()</f>
        <v>-10</v>
      </c>
      <c r="T10" s="71" t="n">
        <f aca="false">SUMPRODUCT(($O$2:$O$49=O10)*($S$2:$S$49&gt;S10))+1</f>
        <v>1</v>
      </c>
    </row>
    <row r="11" customFormat="false" ht="15" hidden="false" customHeight="true" outlineLevel="0" collapsed="false">
      <c r="A11" s="72" t="n">
        <v>2</v>
      </c>
      <c r="B11" s="73" t="s">
        <v>59</v>
      </c>
      <c r="C11" s="72" t="str">
        <f aca="false">INDEX($N$2:$N$49,SUMPRODUCT(($O$2:$O$49="C")*($T$2:$T$49=2)*ROW($N$2:$N$49))-1)</f>
        <v>MAR</v>
      </c>
      <c r="D11" s="72" t="str">
        <f aca="false">VLOOKUP(C11,Clasificacion!$B$2:$C$49,2,FALSE())</f>
        <v>Marruecos</v>
      </c>
      <c r="E11" s="72" t="n">
        <f aca="false">VLOOKUP(C11,Clasificacion!$B$2:$K$49,3,FALSE())</f>
        <v>0</v>
      </c>
      <c r="F11" s="72" t="n">
        <f aca="false">VLOOKUP(C11,Clasificacion!$B$2:$K$49,4,FALSE())</f>
        <v>0</v>
      </c>
      <c r="G11" s="72" t="n">
        <f aca="false">VLOOKUP(C11,Clasificacion!$B$2:$K$49,5,FALSE())</f>
        <v>0</v>
      </c>
      <c r="H11" s="72" t="n">
        <f aca="false">VLOOKUP(C11,Clasificacion!$B$2:$K$49,6,FALSE())</f>
        <v>0</v>
      </c>
      <c r="I11" s="72" t="n">
        <f aca="false">VLOOKUP(C11,Clasificacion!$B$2:$K$49,7,FALSE())</f>
        <v>0</v>
      </c>
      <c r="J11" s="72" t="n">
        <f aca="false">VLOOKUP(C11,Clasificacion!$B$2:$K$49,8,FALSE())</f>
        <v>0</v>
      </c>
      <c r="K11" s="72" t="n">
        <f aca="false">VLOOKUP(C11,Clasificacion!$B$2:$K$49,9,FALSE())</f>
        <v>0</v>
      </c>
      <c r="L11" s="72" t="n">
        <f aca="false">VLOOKUP(C11,Clasificacion!$B$2:$K$49,10,FALSE())</f>
        <v>0</v>
      </c>
      <c r="N11" s="71" t="str">
        <f aca="false">Clasificacion!B11</f>
        <v>MAR</v>
      </c>
      <c r="O11" s="71" t="str">
        <f aca="false">Clasificacion!A11</f>
        <v>C</v>
      </c>
      <c r="P11" s="71" t="n">
        <f aca="false">Clasificacion!K11</f>
        <v>0</v>
      </c>
      <c r="Q11" s="71" t="n">
        <f aca="false">Clasificacion!J11</f>
        <v>0</v>
      </c>
      <c r="R11" s="71" t="n">
        <f aca="false">Clasificacion!H11</f>
        <v>0</v>
      </c>
      <c r="S11" s="71" t="n">
        <f aca="false">P11*1000000+Q11*10000+R11*100-ROW()</f>
        <v>-11</v>
      </c>
      <c r="T11" s="71" t="n">
        <f aca="false">SUMPRODUCT(($O$2:$O$49=O11)*($S$2:$S$49&gt;S11))+1</f>
        <v>2</v>
      </c>
    </row>
    <row r="12" customFormat="false" ht="15" hidden="false" customHeight="true" outlineLevel="0" collapsed="false">
      <c r="A12" s="74" t="n">
        <v>3</v>
      </c>
      <c r="B12" s="75" t="s">
        <v>59</v>
      </c>
      <c r="C12" s="74" t="str">
        <f aca="false">INDEX($N$2:$N$49,SUMPRODUCT(($O$2:$O$49="C")*($T$2:$T$49=3)*ROW($N$2:$N$49))-1)</f>
        <v>HAI</v>
      </c>
      <c r="D12" s="74" t="str">
        <f aca="false">VLOOKUP(C12,Clasificacion!$B$2:$C$49,2,FALSE())</f>
        <v>Haití</v>
      </c>
      <c r="E12" s="74" t="n">
        <f aca="false">VLOOKUP(C12,Clasificacion!$B$2:$K$49,3,FALSE())</f>
        <v>0</v>
      </c>
      <c r="F12" s="74" t="n">
        <f aca="false">VLOOKUP(C12,Clasificacion!$B$2:$K$49,4,FALSE())</f>
        <v>0</v>
      </c>
      <c r="G12" s="74" t="n">
        <f aca="false">VLOOKUP(C12,Clasificacion!$B$2:$K$49,5,FALSE())</f>
        <v>0</v>
      </c>
      <c r="H12" s="74" t="n">
        <f aca="false">VLOOKUP(C12,Clasificacion!$B$2:$K$49,6,FALSE())</f>
        <v>0</v>
      </c>
      <c r="I12" s="74" t="n">
        <f aca="false">VLOOKUP(C12,Clasificacion!$B$2:$K$49,7,FALSE())</f>
        <v>0</v>
      </c>
      <c r="J12" s="74" t="n">
        <f aca="false">VLOOKUP(C12,Clasificacion!$B$2:$K$49,8,FALSE())</f>
        <v>0</v>
      </c>
      <c r="K12" s="74" t="n">
        <f aca="false">VLOOKUP(C12,Clasificacion!$B$2:$K$49,9,FALSE())</f>
        <v>0</v>
      </c>
      <c r="L12" s="74" t="n">
        <f aca="false">VLOOKUP(C12,Clasificacion!$B$2:$K$49,10,FALSE())</f>
        <v>0</v>
      </c>
      <c r="N12" s="71" t="str">
        <f aca="false">Clasificacion!B12</f>
        <v>HAI</v>
      </c>
      <c r="O12" s="71" t="str">
        <f aca="false">Clasificacion!A12</f>
        <v>C</v>
      </c>
      <c r="P12" s="71" t="n">
        <f aca="false">Clasificacion!K12</f>
        <v>0</v>
      </c>
      <c r="Q12" s="71" t="n">
        <f aca="false">Clasificacion!J12</f>
        <v>0</v>
      </c>
      <c r="R12" s="71" t="n">
        <f aca="false">Clasificacion!H12</f>
        <v>0</v>
      </c>
      <c r="S12" s="71" t="n">
        <f aca="false">P12*1000000+Q12*10000+R12*100-ROW()</f>
        <v>-12</v>
      </c>
      <c r="T12" s="71" t="n">
        <f aca="false">SUMPRODUCT(($O$2:$O$49=O12)*($S$2:$S$49&gt;S12))+1</f>
        <v>3</v>
      </c>
    </row>
    <row r="13" customFormat="false" ht="15" hidden="false" customHeight="true" outlineLevel="0" collapsed="false">
      <c r="A13" s="74" t="n">
        <v>4</v>
      </c>
      <c r="B13" s="75" t="s">
        <v>59</v>
      </c>
      <c r="C13" s="74" t="str">
        <f aca="false">INDEX($N$2:$N$49,SUMPRODUCT(($O$2:$O$49="C")*($T$2:$T$49=4)*ROW($N$2:$N$49))-1)</f>
        <v>SCO</v>
      </c>
      <c r="D13" s="74" t="str">
        <f aca="false">VLOOKUP(C13,Clasificacion!$B$2:$C$49,2,FALSE())</f>
        <v>Escocia</v>
      </c>
      <c r="E13" s="74" t="n">
        <f aca="false">VLOOKUP(C13,Clasificacion!$B$2:$K$49,3,FALSE())</f>
        <v>0</v>
      </c>
      <c r="F13" s="74" t="n">
        <f aca="false">VLOOKUP(C13,Clasificacion!$B$2:$K$49,4,FALSE())</f>
        <v>0</v>
      </c>
      <c r="G13" s="74" t="n">
        <f aca="false">VLOOKUP(C13,Clasificacion!$B$2:$K$49,5,FALSE())</f>
        <v>0</v>
      </c>
      <c r="H13" s="74" t="n">
        <f aca="false">VLOOKUP(C13,Clasificacion!$B$2:$K$49,6,FALSE())</f>
        <v>0</v>
      </c>
      <c r="I13" s="74" t="n">
        <f aca="false">VLOOKUP(C13,Clasificacion!$B$2:$K$49,7,FALSE())</f>
        <v>0</v>
      </c>
      <c r="J13" s="74" t="n">
        <f aca="false">VLOOKUP(C13,Clasificacion!$B$2:$K$49,8,FALSE())</f>
        <v>0</v>
      </c>
      <c r="K13" s="74" t="n">
        <f aca="false">VLOOKUP(C13,Clasificacion!$B$2:$K$49,9,FALSE())</f>
        <v>0</v>
      </c>
      <c r="L13" s="74" t="n">
        <f aca="false">VLOOKUP(C13,Clasificacion!$B$2:$K$49,10,FALSE())</f>
        <v>0</v>
      </c>
      <c r="N13" s="71" t="str">
        <f aca="false">Clasificacion!B13</f>
        <v>SCO</v>
      </c>
      <c r="O13" s="71" t="str">
        <f aca="false">Clasificacion!A13</f>
        <v>C</v>
      </c>
      <c r="P13" s="71" t="n">
        <f aca="false">Clasificacion!K13</f>
        <v>0</v>
      </c>
      <c r="Q13" s="71" t="n">
        <f aca="false">Clasificacion!J13</f>
        <v>0</v>
      </c>
      <c r="R13" s="71" t="n">
        <f aca="false">Clasificacion!H13</f>
        <v>0</v>
      </c>
      <c r="S13" s="71" t="n">
        <f aca="false">P13*1000000+Q13*10000+R13*100-ROW()</f>
        <v>-13</v>
      </c>
      <c r="T13" s="71" t="n">
        <f aca="false">SUMPRODUCT(($O$2:$O$49=O13)*($S$2:$S$49&gt;S13))+1</f>
        <v>4</v>
      </c>
    </row>
    <row r="14" customFormat="false" ht="15" hidden="false" customHeight="true" outlineLevel="0" collapsed="false">
      <c r="A14" s="69" t="n">
        <v>1</v>
      </c>
      <c r="B14" s="70" t="s">
        <v>72</v>
      </c>
      <c r="C14" s="69" t="str">
        <f aca="false">INDEX($N$2:$N$49,SUMPRODUCT(($O$2:$O$49="D")*($T$2:$T$49=1)*ROW($N$2:$N$49))-1)</f>
        <v>USA</v>
      </c>
      <c r="D14" s="69" t="str">
        <f aca="false">VLOOKUP(C14,Clasificacion!$B$2:$C$49,2,FALSE())</f>
        <v>Estados Unidos</v>
      </c>
      <c r="E14" s="69" t="n">
        <f aca="false">VLOOKUP(C14,Clasificacion!$B$2:$K$49,3,FALSE())</f>
        <v>0</v>
      </c>
      <c r="F14" s="69" t="n">
        <f aca="false">VLOOKUP(C14,Clasificacion!$B$2:$K$49,4,FALSE())</f>
        <v>0</v>
      </c>
      <c r="G14" s="69" t="n">
        <f aca="false">VLOOKUP(C14,Clasificacion!$B$2:$K$49,5,FALSE())</f>
        <v>0</v>
      </c>
      <c r="H14" s="69" t="n">
        <f aca="false">VLOOKUP(C14,Clasificacion!$B$2:$K$49,6,FALSE())</f>
        <v>0</v>
      </c>
      <c r="I14" s="69" t="n">
        <f aca="false">VLOOKUP(C14,Clasificacion!$B$2:$K$49,7,FALSE())</f>
        <v>0</v>
      </c>
      <c r="J14" s="69" t="n">
        <f aca="false">VLOOKUP(C14,Clasificacion!$B$2:$K$49,8,FALSE())</f>
        <v>0</v>
      </c>
      <c r="K14" s="69" t="n">
        <f aca="false">VLOOKUP(C14,Clasificacion!$B$2:$K$49,9,FALSE())</f>
        <v>0</v>
      </c>
      <c r="L14" s="69" t="n">
        <f aca="false">VLOOKUP(C14,Clasificacion!$B$2:$K$49,10,FALSE())</f>
        <v>0</v>
      </c>
      <c r="N14" s="71" t="str">
        <f aca="false">Clasificacion!B14</f>
        <v>USA</v>
      </c>
      <c r="O14" s="71" t="str">
        <f aca="false">Clasificacion!A14</f>
        <v>D</v>
      </c>
      <c r="P14" s="71" t="n">
        <f aca="false">Clasificacion!K14</f>
        <v>0</v>
      </c>
      <c r="Q14" s="71" t="n">
        <f aca="false">Clasificacion!J14</f>
        <v>0</v>
      </c>
      <c r="R14" s="71" t="n">
        <f aca="false">Clasificacion!H14</f>
        <v>0</v>
      </c>
      <c r="S14" s="71" t="n">
        <f aca="false">P14*1000000+Q14*10000+R14*100-ROW()</f>
        <v>-14</v>
      </c>
      <c r="T14" s="71" t="n">
        <f aca="false">SUMPRODUCT(($O$2:$O$49=O14)*($S$2:$S$49&gt;S14))+1</f>
        <v>1</v>
      </c>
    </row>
    <row r="15" customFormat="false" ht="15" hidden="false" customHeight="true" outlineLevel="0" collapsed="false">
      <c r="A15" s="72" t="n">
        <v>2</v>
      </c>
      <c r="B15" s="73" t="s">
        <v>72</v>
      </c>
      <c r="C15" s="72" t="str">
        <f aca="false">INDEX($N$2:$N$49,SUMPRODUCT(($O$2:$O$49="D")*($T$2:$T$49=2)*ROW($N$2:$N$49))-1)</f>
        <v>PAR</v>
      </c>
      <c r="D15" s="72" t="str">
        <f aca="false">VLOOKUP(C15,Clasificacion!$B$2:$C$49,2,FALSE())</f>
        <v>Paraguay</v>
      </c>
      <c r="E15" s="72" t="n">
        <f aca="false">VLOOKUP(C15,Clasificacion!$B$2:$K$49,3,FALSE())</f>
        <v>0</v>
      </c>
      <c r="F15" s="72" t="n">
        <f aca="false">VLOOKUP(C15,Clasificacion!$B$2:$K$49,4,FALSE())</f>
        <v>0</v>
      </c>
      <c r="G15" s="72" t="n">
        <f aca="false">VLOOKUP(C15,Clasificacion!$B$2:$K$49,5,FALSE())</f>
        <v>0</v>
      </c>
      <c r="H15" s="72" t="n">
        <f aca="false">VLOOKUP(C15,Clasificacion!$B$2:$K$49,6,FALSE())</f>
        <v>0</v>
      </c>
      <c r="I15" s="72" t="n">
        <f aca="false">VLOOKUP(C15,Clasificacion!$B$2:$K$49,7,FALSE())</f>
        <v>0</v>
      </c>
      <c r="J15" s="72" t="n">
        <f aca="false">VLOOKUP(C15,Clasificacion!$B$2:$K$49,8,FALSE())</f>
        <v>0</v>
      </c>
      <c r="K15" s="72" t="n">
        <f aca="false">VLOOKUP(C15,Clasificacion!$B$2:$K$49,9,FALSE())</f>
        <v>0</v>
      </c>
      <c r="L15" s="72" t="n">
        <f aca="false">VLOOKUP(C15,Clasificacion!$B$2:$K$49,10,FALSE())</f>
        <v>0</v>
      </c>
      <c r="N15" s="71" t="str">
        <f aca="false">Clasificacion!B15</f>
        <v>PAR</v>
      </c>
      <c r="O15" s="71" t="str">
        <f aca="false">Clasificacion!A15</f>
        <v>D</v>
      </c>
      <c r="P15" s="71" t="n">
        <f aca="false">Clasificacion!K15</f>
        <v>0</v>
      </c>
      <c r="Q15" s="71" t="n">
        <f aca="false">Clasificacion!J15</f>
        <v>0</v>
      </c>
      <c r="R15" s="71" t="n">
        <f aca="false">Clasificacion!H15</f>
        <v>0</v>
      </c>
      <c r="S15" s="71" t="n">
        <f aca="false">P15*1000000+Q15*10000+R15*100-ROW()</f>
        <v>-15</v>
      </c>
      <c r="T15" s="71" t="n">
        <f aca="false">SUMPRODUCT(($O$2:$O$49=O15)*($S$2:$S$49&gt;S15))+1</f>
        <v>2</v>
      </c>
    </row>
    <row r="16" customFormat="false" ht="15" hidden="false" customHeight="true" outlineLevel="0" collapsed="false">
      <c r="A16" s="74" t="n">
        <v>3</v>
      </c>
      <c r="B16" s="75" t="s">
        <v>72</v>
      </c>
      <c r="C16" s="74" t="str">
        <f aca="false">INDEX($N$2:$N$49,SUMPRODUCT(($O$2:$O$49="D")*($T$2:$T$49=3)*ROW($N$2:$N$49))-1)</f>
        <v>AUS</v>
      </c>
      <c r="D16" s="74" t="str">
        <f aca="false">VLOOKUP(C16,Clasificacion!$B$2:$C$49,2,FALSE())</f>
        <v>Australia</v>
      </c>
      <c r="E16" s="74" t="n">
        <f aca="false">VLOOKUP(C16,Clasificacion!$B$2:$K$49,3,FALSE())</f>
        <v>0</v>
      </c>
      <c r="F16" s="74" t="n">
        <f aca="false">VLOOKUP(C16,Clasificacion!$B$2:$K$49,4,FALSE())</f>
        <v>0</v>
      </c>
      <c r="G16" s="74" t="n">
        <f aca="false">VLOOKUP(C16,Clasificacion!$B$2:$K$49,5,FALSE())</f>
        <v>0</v>
      </c>
      <c r="H16" s="74" t="n">
        <f aca="false">VLOOKUP(C16,Clasificacion!$B$2:$K$49,6,FALSE())</f>
        <v>0</v>
      </c>
      <c r="I16" s="74" t="n">
        <f aca="false">VLOOKUP(C16,Clasificacion!$B$2:$K$49,7,FALSE())</f>
        <v>0</v>
      </c>
      <c r="J16" s="74" t="n">
        <f aca="false">VLOOKUP(C16,Clasificacion!$B$2:$K$49,8,FALSE())</f>
        <v>0</v>
      </c>
      <c r="K16" s="74" t="n">
        <f aca="false">VLOOKUP(C16,Clasificacion!$B$2:$K$49,9,FALSE())</f>
        <v>0</v>
      </c>
      <c r="L16" s="74" t="n">
        <f aca="false">VLOOKUP(C16,Clasificacion!$B$2:$K$49,10,FALSE())</f>
        <v>0</v>
      </c>
      <c r="N16" s="71" t="str">
        <f aca="false">Clasificacion!B16</f>
        <v>AUS</v>
      </c>
      <c r="O16" s="71" t="str">
        <f aca="false">Clasificacion!A16</f>
        <v>D</v>
      </c>
      <c r="P16" s="71" t="n">
        <f aca="false">Clasificacion!K16</f>
        <v>0</v>
      </c>
      <c r="Q16" s="71" t="n">
        <f aca="false">Clasificacion!J16</f>
        <v>0</v>
      </c>
      <c r="R16" s="71" t="n">
        <f aca="false">Clasificacion!H16</f>
        <v>0</v>
      </c>
      <c r="S16" s="71" t="n">
        <f aca="false">P16*1000000+Q16*10000+R16*100-ROW()</f>
        <v>-16</v>
      </c>
      <c r="T16" s="71" t="n">
        <f aca="false">SUMPRODUCT(($O$2:$O$49=O16)*($S$2:$S$49&gt;S16))+1</f>
        <v>3</v>
      </c>
    </row>
    <row r="17" customFormat="false" ht="15" hidden="false" customHeight="true" outlineLevel="0" collapsed="false">
      <c r="A17" s="74" t="n">
        <v>4</v>
      </c>
      <c r="B17" s="75" t="s">
        <v>72</v>
      </c>
      <c r="C17" s="74" t="str">
        <f aca="false">INDEX($N$2:$N$49,SUMPRODUCT(($O$2:$O$49="D")*($T$2:$T$49=4)*ROW($N$2:$N$49))-1)</f>
        <v>TUR</v>
      </c>
      <c r="D17" s="74" t="str">
        <f aca="false">VLOOKUP(C17,Clasificacion!$B$2:$C$49,2,FALSE())</f>
        <v>Türkiye</v>
      </c>
      <c r="E17" s="74" t="n">
        <f aca="false">VLOOKUP(C17,Clasificacion!$B$2:$K$49,3,FALSE())</f>
        <v>0</v>
      </c>
      <c r="F17" s="74" t="n">
        <f aca="false">VLOOKUP(C17,Clasificacion!$B$2:$K$49,4,FALSE())</f>
        <v>0</v>
      </c>
      <c r="G17" s="74" t="n">
        <f aca="false">VLOOKUP(C17,Clasificacion!$B$2:$K$49,5,FALSE())</f>
        <v>0</v>
      </c>
      <c r="H17" s="74" t="n">
        <f aca="false">VLOOKUP(C17,Clasificacion!$B$2:$K$49,6,FALSE())</f>
        <v>0</v>
      </c>
      <c r="I17" s="74" t="n">
        <f aca="false">VLOOKUP(C17,Clasificacion!$B$2:$K$49,7,FALSE())</f>
        <v>0</v>
      </c>
      <c r="J17" s="74" t="n">
        <f aca="false">VLOOKUP(C17,Clasificacion!$B$2:$K$49,8,FALSE())</f>
        <v>0</v>
      </c>
      <c r="K17" s="74" t="n">
        <f aca="false">VLOOKUP(C17,Clasificacion!$B$2:$K$49,9,FALSE())</f>
        <v>0</v>
      </c>
      <c r="L17" s="74" t="n">
        <f aca="false">VLOOKUP(C17,Clasificacion!$B$2:$K$49,10,FALSE())</f>
        <v>0</v>
      </c>
      <c r="N17" s="71" t="str">
        <f aca="false">Clasificacion!B17</f>
        <v>TUR</v>
      </c>
      <c r="O17" s="71" t="str">
        <f aca="false">Clasificacion!A17</f>
        <v>D</v>
      </c>
      <c r="P17" s="71" t="n">
        <f aca="false">Clasificacion!K17</f>
        <v>0</v>
      </c>
      <c r="Q17" s="71" t="n">
        <f aca="false">Clasificacion!J17</f>
        <v>0</v>
      </c>
      <c r="R17" s="71" t="n">
        <f aca="false">Clasificacion!H17</f>
        <v>0</v>
      </c>
      <c r="S17" s="71" t="n">
        <f aca="false">P17*1000000+Q17*10000+R17*100-ROW()</f>
        <v>-17</v>
      </c>
      <c r="T17" s="71" t="n">
        <f aca="false">SUMPRODUCT(($O$2:$O$49=O17)*($S$2:$S$49&gt;S17))+1</f>
        <v>4</v>
      </c>
    </row>
    <row r="18" customFormat="false" ht="15" hidden="false" customHeight="true" outlineLevel="0" collapsed="false">
      <c r="A18" s="69" t="n">
        <v>1</v>
      </c>
      <c r="B18" s="70" t="s">
        <v>85</v>
      </c>
      <c r="C18" s="69" t="str">
        <f aca="false">INDEX($N$2:$N$49,SUMPRODUCT(($O$2:$O$49="E")*($T$2:$T$49=1)*ROW($N$2:$N$49))-1)</f>
        <v>GER</v>
      </c>
      <c r="D18" s="69" t="str">
        <f aca="false">VLOOKUP(C18,Clasificacion!$B$2:$C$49,2,FALSE())</f>
        <v>Alemania</v>
      </c>
      <c r="E18" s="69" t="n">
        <f aca="false">VLOOKUP(C18,Clasificacion!$B$2:$K$49,3,FALSE())</f>
        <v>0</v>
      </c>
      <c r="F18" s="69" t="n">
        <f aca="false">VLOOKUP(C18,Clasificacion!$B$2:$K$49,4,FALSE())</f>
        <v>0</v>
      </c>
      <c r="G18" s="69" t="n">
        <f aca="false">VLOOKUP(C18,Clasificacion!$B$2:$K$49,5,FALSE())</f>
        <v>0</v>
      </c>
      <c r="H18" s="69" t="n">
        <f aca="false">VLOOKUP(C18,Clasificacion!$B$2:$K$49,6,FALSE())</f>
        <v>0</v>
      </c>
      <c r="I18" s="69" t="n">
        <f aca="false">VLOOKUP(C18,Clasificacion!$B$2:$K$49,7,FALSE())</f>
        <v>0</v>
      </c>
      <c r="J18" s="69" t="n">
        <f aca="false">VLOOKUP(C18,Clasificacion!$B$2:$K$49,8,FALSE())</f>
        <v>0</v>
      </c>
      <c r="K18" s="69" t="n">
        <f aca="false">VLOOKUP(C18,Clasificacion!$B$2:$K$49,9,FALSE())</f>
        <v>0</v>
      </c>
      <c r="L18" s="69" t="n">
        <f aca="false">VLOOKUP(C18,Clasificacion!$B$2:$K$49,10,FALSE())</f>
        <v>0</v>
      </c>
      <c r="N18" s="71" t="str">
        <f aca="false">Clasificacion!B18</f>
        <v>GER</v>
      </c>
      <c r="O18" s="71" t="str">
        <f aca="false">Clasificacion!A18</f>
        <v>E</v>
      </c>
      <c r="P18" s="71" t="n">
        <f aca="false">Clasificacion!K18</f>
        <v>0</v>
      </c>
      <c r="Q18" s="71" t="n">
        <f aca="false">Clasificacion!J18</f>
        <v>0</v>
      </c>
      <c r="R18" s="71" t="n">
        <f aca="false">Clasificacion!H18</f>
        <v>0</v>
      </c>
      <c r="S18" s="71" t="n">
        <f aca="false">P18*1000000+Q18*10000+R18*100-ROW()</f>
        <v>-18</v>
      </c>
      <c r="T18" s="71" t="n">
        <f aca="false">SUMPRODUCT(($O$2:$O$49=O18)*($S$2:$S$49&gt;S18))+1</f>
        <v>1</v>
      </c>
    </row>
    <row r="19" customFormat="false" ht="15" hidden="false" customHeight="true" outlineLevel="0" collapsed="false">
      <c r="A19" s="72" t="n">
        <v>2</v>
      </c>
      <c r="B19" s="73" t="s">
        <v>85</v>
      </c>
      <c r="C19" s="72" t="str">
        <f aca="false">INDEX($N$2:$N$49,SUMPRODUCT(($O$2:$O$49="E")*($T$2:$T$49=2)*ROW($N$2:$N$49))-1)</f>
        <v>CUW</v>
      </c>
      <c r="D19" s="72" t="str">
        <f aca="false">VLOOKUP(C19,Clasificacion!$B$2:$C$49,2,FALSE())</f>
        <v>Curazao</v>
      </c>
      <c r="E19" s="72" t="n">
        <f aca="false">VLOOKUP(C19,Clasificacion!$B$2:$K$49,3,FALSE())</f>
        <v>0</v>
      </c>
      <c r="F19" s="72" t="n">
        <f aca="false">VLOOKUP(C19,Clasificacion!$B$2:$K$49,4,FALSE())</f>
        <v>0</v>
      </c>
      <c r="G19" s="72" t="n">
        <f aca="false">VLOOKUP(C19,Clasificacion!$B$2:$K$49,5,FALSE())</f>
        <v>0</v>
      </c>
      <c r="H19" s="72" t="n">
        <f aca="false">VLOOKUP(C19,Clasificacion!$B$2:$K$49,6,FALSE())</f>
        <v>0</v>
      </c>
      <c r="I19" s="72" t="n">
        <f aca="false">VLOOKUP(C19,Clasificacion!$B$2:$K$49,7,FALSE())</f>
        <v>0</v>
      </c>
      <c r="J19" s="72" t="n">
        <f aca="false">VLOOKUP(C19,Clasificacion!$B$2:$K$49,8,FALSE())</f>
        <v>0</v>
      </c>
      <c r="K19" s="72" t="n">
        <f aca="false">VLOOKUP(C19,Clasificacion!$B$2:$K$49,9,FALSE())</f>
        <v>0</v>
      </c>
      <c r="L19" s="72" t="n">
        <f aca="false">VLOOKUP(C19,Clasificacion!$B$2:$K$49,10,FALSE())</f>
        <v>0</v>
      </c>
      <c r="N19" s="71" t="str">
        <f aca="false">Clasificacion!B19</f>
        <v>CUW</v>
      </c>
      <c r="O19" s="71" t="str">
        <f aca="false">Clasificacion!A19</f>
        <v>E</v>
      </c>
      <c r="P19" s="71" t="n">
        <f aca="false">Clasificacion!K19</f>
        <v>0</v>
      </c>
      <c r="Q19" s="71" t="n">
        <f aca="false">Clasificacion!J19</f>
        <v>0</v>
      </c>
      <c r="R19" s="71" t="n">
        <f aca="false">Clasificacion!H19</f>
        <v>0</v>
      </c>
      <c r="S19" s="71" t="n">
        <f aca="false">P19*1000000+Q19*10000+R19*100-ROW()</f>
        <v>-19</v>
      </c>
      <c r="T19" s="71" t="n">
        <f aca="false">SUMPRODUCT(($O$2:$O$49=O19)*($S$2:$S$49&gt;S19))+1</f>
        <v>2</v>
      </c>
    </row>
    <row r="20" customFormat="false" ht="15" hidden="false" customHeight="true" outlineLevel="0" collapsed="false">
      <c r="A20" s="74" t="n">
        <v>3</v>
      </c>
      <c r="B20" s="75" t="s">
        <v>85</v>
      </c>
      <c r="C20" s="74" t="str">
        <f aca="false">INDEX($N$2:$N$49,SUMPRODUCT(($O$2:$O$49="E")*($T$2:$T$49=3)*ROW($N$2:$N$49))-1)</f>
        <v>CIV</v>
      </c>
      <c r="D20" s="74" t="str">
        <f aca="false">VLOOKUP(C20,Clasificacion!$B$2:$C$49,2,FALSE())</f>
        <v>Costa de Marfil</v>
      </c>
      <c r="E20" s="74" t="n">
        <f aca="false">VLOOKUP(C20,Clasificacion!$B$2:$K$49,3,FALSE())</f>
        <v>0</v>
      </c>
      <c r="F20" s="74" t="n">
        <f aca="false">VLOOKUP(C20,Clasificacion!$B$2:$K$49,4,FALSE())</f>
        <v>0</v>
      </c>
      <c r="G20" s="74" t="n">
        <f aca="false">VLOOKUP(C20,Clasificacion!$B$2:$K$49,5,FALSE())</f>
        <v>0</v>
      </c>
      <c r="H20" s="74" t="n">
        <f aca="false">VLOOKUP(C20,Clasificacion!$B$2:$K$49,6,FALSE())</f>
        <v>0</v>
      </c>
      <c r="I20" s="74" t="n">
        <f aca="false">VLOOKUP(C20,Clasificacion!$B$2:$K$49,7,FALSE())</f>
        <v>0</v>
      </c>
      <c r="J20" s="74" t="n">
        <f aca="false">VLOOKUP(C20,Clasificacion!$B$2:$K$49,8,FALSE())</f>
        <v>0</v>
      </c>
      <c r="K20" s="74" t="n">
        <f aca="false">VLOOKUP(C20,Clasificacion!$B$2:$K$49,9,FALSE())</f>
        <v>0</v>
      </c>
      <c r="L20" s="74" t="n">
        <f aca="false">VLOOKUP(C20,Clasificacion!$B$2:$K$49,10,FALSE())</f>
        <v>0</v>
      </c>
      <c r="N20" s="71" t="str">
        <f aca="false">Clasificacion!B20</f>
        <v>CIV</v>
      </c>
      <c r="O20" s="71" t="str">
        <f aca="false">Clasificacion!A20</f>
        <v>E</v>
      </c>
      <c r="P20" s="71" t="n">
        <f aca="false">Clasificacion!K20</f>
        <v>0</v>
      </c>
      <c r="Q20" s="71" t="n">
        <f aca="false">Clasificacion!J20</f>
        <v>0</v>
      </c>
      <c r="R20" s="71" t="n">
        <f aca="false">Clasificacion!H20</f>
        <v>0</v>
      </c>
      <c r="S20" s="71" t="n">
        <f aca="false">P20*1000000+Q20*10000+R20*100-ROW()</f>
        <v>-20</v>
      </c>
      <c r="T20" s="71" t="n">
        <f aca="false">SUMPRODUCT(($O$2:$O$49=O20)*($S$2:$S$49&gt;S20))+1</f>
        <v>3</v>
      </c>
    </row>
    <row r="21" customFormat="false" ht="15" hidden="false" customHeight="true" outlineLevel="0" collapsed="false">
      <c r="A21" s="74" t="n">
        <v>4</v>
      </c>
      <c r="B21" s="75" t="s">
        <v>85</v>
      </c>
      <c r="C21" s="74" t="str">
        <f aca="false">INDEX($N$2:$N$49,SUMPRODUCT(($O$2:$O$49="E")*($T$2:$T$49=4)*ROW($N$2:$N$49))-1)</f>
        <v>ECU</v>
      </c>
      <c r="D21" s="74" t="str">
        <f aca="false">VLOOKUP(C21,Clasificacion!$B$2:$C$49,2,FALSE())</f>
        <v>Ecuador</v>
      </c>
      <c r="E21" s="74" t="n">
        <f aca="false">VLOOKUP(C21,Clasificacion!$B$2:$K$49,3,FALSE())</f>
        <v>0</v>
      </c>
      <c r="F21" s="74" t="n">
        <f aca="false">VLOOKUP(C21,Clasificacion!$B$2:$K$49,4,FALSE())</f>
        <v>0</v>
      </c>
      <c r="G21" s="74" t="n">
        <f aca="false">VLOOKUP(C21,Clasificacion!$B$2:$K$49,5,FALSE())</f>
        <v>0</v>
      </c>
      <c r="H21" s="74" t="n">
        <f aca="false">VLOOKUP(C21,Clasificacion!$B$2:$K$49,6,FALSE())</f>
        <v>0</v>
      </c>
      <c r="I21" s="74" t="n">
        <f aca="false">VLOOKUP(C21,Clasificacion!$B$2:$K$49,7,FALSE())</f>
        <v>0</v>
      </c>
      <c r="J21" s="74" t="n">
        <f aca="false">VLOOKUP(C21,Clasificacion!$B$2:$K$49,8,FALSE())</f>
        <v>0</v>
      </c>
      <c r="K21" s="74" t="n">
        <f aca="false">VLOOKUP(C21,Clasificacion!$B$2:$K$49,9,FALSE())</f>
        <v>0</v>
      </c>
      <c r="L21" s="74" t="n">
        <f aca="false">VLOOKUP(C21,Clasificacion!$B$2:$K$49,10,FALSE())</f>
        <v>0</v>
      </c>
      <c r="N21" s="71" t="str">
        <f aca="false">Clasificacion!B21</f>
        <v>ECU</v>
      </c>
      <c r="O21" s="71" t="str">
        <f aca="false">Clasificacion!A21</f>
        <v>E</v>
      </c>
      <c r="P21" s="71" t="n">
        <f aca="false">Clasificacion!K21</f>
        <v>0</v>
      </c>
      <c r="Q21" s="71" t="n">
        <f aca="false">Clasificacion!J21</f>
        <v>0</v>
      </c>
      <c r="R21" s="71" t="n">
        <f aca="false">Clasificacion!H21</f>
        <v>0</v>
      </c>
      <c r="S21" s="71" t="n">
        <f aca="false">P21*1000000+Q21*10000+R21*100-ROW()</f>
        <v>-21</v>
      </c>
      <c r="T21" s="71" t="n">
        <f aca="false">SUMPRODUCT(($O$2:$O$49=O21)*($S$2:$S$49&gt;S21))+1</f>
        <v>4</v>
      </c>
    </row>
    <row r="22" customFormat="false" ht="15" hidden="false" customHeight="true" outlineLevel="0" collapsed="false">
      <c r="A22" s="69" t="n">
        <v>1</v>
      </c>
      <c r="B22" s="70" t="s">
        <v>98</v>
      </c>
      <c r="C22" s="69" t="str">
        <f aca="false">INDEX($N$2:$N$49,SUMPRODUCT(($O$2:$O$49="F")*($T$2:$T$49=1)*ROW($N$2:$N$49))-1)</f>
        <v>NED</v>
      </c>
      <c r="D22" s="69" t="str">
        <f aca="false">VLOOKUP(C22,Clasificacion!$B$2:$C$49,2,FALSE())</f>
        <v>Países Bajos</v>
      </c>
      <c r="E22" s="69" t="n">
        <f aca="false">VLOOKUP(C22,Clasificacion!$B$2:$K$49,3,FALSE())</f>
        <v>0</v>
      </c>
      <c r="F22" s="69" t="n">
        <f aca="false">VLOOKUP(C22,Clasificacion!$B$2:$K$49,4,FALSE())</f>
        <v>0</v>
      </c>
      <c r="G22" s="69" t="n">
        <f aca="false">VLOOKUP(C22,Clasificacion!$B$2:$K$49,5,FALSE())</f>
        <v>0</v>
      </c>
      <c r="H22" s="69" t="n">
        <f aca="false">VLOOKUP(C22,Clasificacion!$B$2:$K$49,6,FALSE())</f>
        <v>0</v>
      </c>
      <c r="I22" s="69" t="n">
        <f aca="false">VLOOKUP(C22,Clasificacion!$B$2:$K$49,7,FALSE())</f>
        <v>0</v>
      </c>
      <c r="J22" s="69" t="n">
        <f aca="false">VLOOKUP(C22,Clasificacion!$B$2:$K$49,8,FALSE())</f>
        <v>0</v>
      </c>
      <c r="K22" s="69" t="n">
        <f aca="false">VLOOKUP(C22,Clasificacion!$B$2:$K$49,9,FALSE())</f>
        <v>0</v>
      </c>
      <c r="L22" s="69" t="n">
        <f aca="false">VLOOKUP(C22,Clasificacion!$B$2:$K$49,10,FALSE())</f>
        <v>0</v>
      </c>
      <c r="N22" s="71" t="str">
        <f aca="false">Clasificacion!B22</f>
        <v>NED</v>
      </c>
      <c r="O22" s="71" t="str">
        <f aca="false">Clasificacion!A22</f>
        <v>F</v>
      </c>
      <c r="P22" s="71" t="n">
        <f aca="false">Clasificacion!K22</f>
        <v>0</v>
      </c>
      <c r="Q22" s="71" t="n">
        <f aca="false">Clasificacion!J22</f>
        <v>0</v>
      </c>
      <c r="R22" s="71" t="n">
        <f aca="false">Clasificacion!H22</f>
        <v>0</v>
      </c>
      <c r="S22" s="71" t="n">
        <f aca="false">P22*1000000+Q22*10000+R22*100-ROW()</f>
        <v>-22</v>
      </c>
      <c r="T22" s="71" t="n">
        <f aca="false">SUMPRODUCT(($O$2:$O$49=O22)*($S$2:$S$49&gt;S22))+1</f>
        <v>1</v>
      </c>
    </row>
    <row r="23" customFormat="false" ht="15" hidden="false" customHeight="true" outlineLevel="0" collapsed="false">
      <c r="A23" s="72" t="n">
        <v>2</v>
      </c>
      <c r="B23" s="73" t="s">
        <v>98</v>
      </c>
      <c r="C23" s="72" t="str">
        <f aca="false">INDEX($N$2:$N$49,SUMPRODUCT(($O$2:$O$49="F")*($T$2:$T$49=2)*ROW($N$2:$N$49))-1)</f>
        <v>JPN</v>
      </c>
      <c r="D23" s="72" t="str">
        <f aca="false">VLOOKUP(C23,Clasificacion!$B$2:$C$49,2,FALSE())</f>
        <v>Japón</v>
      </c>
      <c r="E23" s="72" t="n">
        <f aca="false">VLOOKUP(C23,Clasificacion!$B$2:$K$49,3,FALSE())</f>
        <v>0</v>
      </c>
      <c r="F23" s="72" t="n">
        <f aca="false">VLOOKUP(C23,Clasificacion!$B$2:$K$49,4,FALSE())</f>
        <v>0</v>
      </c>
      <c r="G23" s="72" t="n">
        <f aca="false">VLOOKUP(C23,Clasificacion!$B$2:$K$49,5,FALSE())</f>
        <v>0</v>
      </c>
      <c r="H23" s="72" t="n">
        <f aca="false">VLOOKUP(C23,Clasificacion!$B$2:$K$49,6,FALSE())</f>
        <v>0</v>
      </c>
      <c r="I23" s="72" t="n">
        <f aca="false">VLOOKUP(C23,Clasificacion!$B$2:$K$49,7,FALSE())</f>
        <v>0</v>
      </c>
      <c r="J23" s="72" t="n">
        <f aca="false">VLOOKUP(C23,Clasificacion!$B$2:$K$49,8,FALSE())</f>
        <v>0</v>
      </c>
      <c r="K23" s="72" t="n">
        <f aca="false">VLOOKUP(C23,Clasificacion!$B$2:$K$49,9,FALSE())</f>
        <v>0</v>
      </c>
      <c r="L23" s="72" t="n">
        <f aca="false">VLOOKUP(C23,Clasificacion!$B$2:$K$49,10,FALSE())</f>
        <v>0</v>
      </c>
      <c r="N23" s="71" t="str">
        <f aca="false">Clasificacion!B23</f>
        <v>JPN</v>
      </c>
      <c r="O23" s="71" t="str">
        <f aca="false">Clasificacion!A23</f>
        <v>F</v>
      </c>
      <c r="P23" s="71" t="n">
        <f aca="false">Clasificacion!K23</f>
        <v>0</v>
      </c>
      <c r="Q23" s="71" t="n">
        <f aca="false">Clasificacion!J23</f>
        <v>0</v>
      </c>
      <c r="R23" s="71" t="n">
        <f aca="false">Clasificacion!H23</f>
        <v>0</v>
      </c>
      <c r="S23" s="71" t="n">
        <f aca="false">P23*1000000+Q23*10000+R23*100-ROW()</f>
        <v>-23</v>
      </c>
      <c r="T23" s="71" t="n">
        <f aca="false">SUMPRODUCT(($O$2:$O$49=O23)*($S$2:$S$49&gt;S23))+1</f>
        <v>2</v>
      </c>
    </row>
    <row r="24" customFormat="false" ht="15" hidden="false" customHeight="true" outlineLevel="0" collapsed="false">
      <c r="A24" s="74" t="n">
        <v>3</v>
      </c>
      <c r="B24" s="75" t="s">
        <v>98</v>
      </c>
      <c r="C24" s="74" t="str">
        <f aca="false">INDEX($N$2:$N$49,SUMPRODUCT(($O$2:$O$49="F")*($T$2:$T$49=3)*ROW($N$2:$N$49))-1)</f>
        <v>SWE</v>
      </c>
      <c r="D24" s="74" t="str">
        <f aca="false">VLOOKUP(C24,Clasificacion!$B$2:$C$49,2,FALSE())</f>
        <v>Suecia</v>
      </c>
      <c r="E24" s="74" t="n">
        <f aca="false">VLOOKUP(C24,Clasificacion!$B$2:$K$49,3,FALSE())</f>
        <v>0</v>
      </c>
      <c r="F24" s="74" t="n">
        <f aca="false">VLOOKUP(C24,Clasificacion!$B$2:$K$49,4,FALSE())</f>
        <v>0</v>
      </c>
      <c r="G24" s="74" t="n">
        <f aca="false">VLOOKUP(C24,Clasificacion!$B$2:$K$49,5,FALSE())</f>
        <v>0</v>
      </c>
      <c r="H24" s="74" t="n">
        <f aca="false">VLOOKUP(C24,Clasificacion!$B$2:$K$49,6,FALSE())</f>
        <v>0</v>
      </c>
      <c r="I24" s="74" t="n">
        <f aca="false">VLOOKUP(C24,Clasificacion!$B$2:$K$49,7,FALSE())</f>
        <v>0</v>
      </c>
      <c r="J24" s="74" t="n">
        <f aca="false">VLOOKUP(C24,Clasificacion!$B$2:$K$49,8,FALSE())</f>
        <v>0</v>
      </c>
      <c r="K24" s="74" t="n">
        <f aca="false">VLOOKUP(C24,Clasificacion!$B$2:$K$49,9,FALSE())</f>
        <v>0</v>
      </c>
      <c r="L24" s="74" t="n">
        <f aca="false">VLOOKUP(C24,Clasificacion!$B$2:$K$49,10,FALSE())</f>
        <v>0</v>
      </c>
      <c r="N24" s="71" t="str">
        <f aca="false">Clasificacion!B24</f>
        <v>SWE</v>
      </c>
      <c r="O24" s="71" t="str">
        <f aca="false">Clasificacion!A24</f>
        <v>F</v>
      </c>
      <c r="P24" s="71" t="n">
        <f aca="false">Clasificacion!K24</f>
        <v>0</v>
      </c>
      <c r="Q24" s="71" t="n">
        <f aca="false">Clasificacion!J24</f>
        <v>0</v>
      </c>
      <c r="R24" s="71" t="n">
        <f aca="false">Clasificacion!H24</f>
        <v>0</v>
      </c>
      <c r="S24" s="71" t="n">
        <f aca="false">P24*1000000+Q24*10000+R24*100-ROW()</f>
        <v>-24</v>
      </c>
      <c r="T24" s="71" t="n">
        <f aca="false">SUMPRODUCT(($O$2:$O$49=O24)*($S$2:$S$49&gt;S24))+1</f>
        <v>3</v>
      </c>
    </row>
    <row r="25" customFormat="false" ht="15" hidden="false" customHeight="true" outlineLevel="0" collapsed="false">
      <c r="A25" s="74" t="n">
        <v>4</v>
      </c>
      <c r="B25" s="75" t="s">
        <v>98</v>
      </c>
      <c r="C25" s="74" t="str">
        <f aca="false">INDEX($N$2:$N$49,SUMPRODUCT(($O$2:$O$49="F")*($T$2:$T$49=4)*ROW($N$2:$N$49))-1)</f>
        <v>TUN</v>
      </c>
      <c r="D25" s="74" t="str">
        <f aca="false">VLOOKUP(C25,Clasificacion!$B$2:$C$49,2,FALSE())</f>
        <v>Túnez</v>
      </c>
      <c r="E25" s="74" t="n">
        <f aca="false">VLOOKUP(C25,Clasificacion!$B$2:$K$49,3,FALSE())</f>
        <v>0</v>
      </c>
      <c r="F25" s="74" t="n">
        <f aca="false">VLOOKUP(C25,Clasificacion!$B$2:$K$49,4,FALSE())</f>
        <v>0</v>
      </c>
      <c r="G25" s="74" t="n">
        <f aca="false">VLOOKUP(C25,Clasificacion!$B$2:$K$49,5,FALSE())</f>
        <v>0</v>
      </c>
      <c r="H25" s="74" t="n">
        <f aca="false">VLOOKUP(C25,Clasificacion!$B$2:$K$49,6,FALSE())</f>
        <v>0</v>
      </c>
      <c r="I25" s="74" t="n">
        <f aca="false">VLOOKUP(C25,Clasificacion!$B$2:$K$49,7,FALSE())</f>
        <v>0</v>
      </c>
      <c r="J25" s="74" t="n">
        <f aca="false">VLOOKUP(C25,Clasificacion!$B$2:$K$49,8,FALSE())</f>
        <v>0</v>
      </c>
      <c r="K25" s="74" t="n">
        <f aca="false">VLOOKUP(C25,Clasificacion!$B$2:$K$49,9,FALSE())</f>
        <v>0</v>
      </c>
      <c r="L25" s="74" t="n">
        <f aca="false">VLOOKUP(C25,Clasificacion!$B$2:$K$49,10,FALSE())</f>
        <v>0</v>
      </c>
      <c r="N25" s="71" t="str">
        <f aca="false">Clasificacion!B25</f>
        <v>TUN</v>
      </c>
      <c r="O25" s="71" t="str">
        <f aca="false">Clasificacion!A25</f>
        <v>F</v>
      </c>
      <c r="P25" s="71" t="n">
        <f aca="false">Clasificacion!K25</f>
        <v>0</v>
      </c>
      <c r="Q25" s="71" t="n">
        <f aca="false">Clasificacion!J25</f>
        <v>0</v>
      </c>
      <c r="R25" s="71" t="n">
        <f aca="false">Clasificacion!H25</f>
        <v>0</v>
      </c>
      <c r="S25" s="71" t="n">
        <f aca="false">P25*1000000+Q25*10000+R25*100-ROW()</f>
        <v>-25</v>
      </c>
      <c r="T25" s="71" t="n">
        <f aca="false">SUMPRODUCT(($O$2:$O$49=O25)*($S$2:$S$49&gt;S25))+1</f>
        <v>4</v>
      </c>
    </row>
    <row r="26" customFormat="false" ht="15" hidden="false" customHeight="true" outlineLevel="0" collapsed="false">
      <c r="A26" s="69" t="n">
        <v>1</v>
      </c>
      <c r="B26" s="70" t="s">
        <v>111</v>
      </c>
      <c r="C26" s="69" t="str">
        <f aca="false">INDEX($N$2:$N$49,SUMPRODUCT(($O$2:$O$49="G")*($T$2:$T$49=1)*ROW($N$2:$N$49))-1)</f>
        <v>BEL</v>
      </c>
      <c r="D26" s="69" t="str">
        <f aca="false">VLOOKUP(C26,Clasificacion!$B$2:$C$49,2,FALSE())</f>
        <v>Bélgica</v>
      </c>
      <c r="E26" s="69" t="n">
        <f aca="false">VLOOKUP(C26,Clasificacion!$B$2:$K$49,3,FALSE())</f>
        <v>0</v>
      </c>
      <c r="F26" s="69" t="n">
        <f aca="false">VLOOKUP(C26,Clasificacion!$B$2:$K$49,4,FALSE())</f>
        <v>0</v>
      </c>
      <c r="G26" s="69" t="n">
        <f aca="false">VLOOKUP(C26,Clasificacion!$B$2:$K$49,5,FALSE())</f>
        <v>0</v>
      </c>
      <c r="H26" s="69" t="n">
        <f aca="false">VLOOKUP(C26,Clasificacion!$B$2:$K$49,6,FALSE())</f>
        <v>0</v>
      </c>
      <c r="I26" s="69" t="n">
        <f aca="false">VLOOKUP(C26,Clasificacion!$B$2:$K$49,7,FALSE())</f>
        <v>0</v>
      </c>
      <c r="J26" s="69" t="n">
        <f aca="false">VLOOKUP(C26,Clasificacion!$B$2:$K$49,8,FALSE())</f>
        <v>0</v>
      </c>
      <c r="K26" s="69" t="n">
        <f aca="false">VLOOKUP(C26,Clasificacion!$B$2:$K$49,9,FALSE())</f>
        <v>0</v>
      </c>
      <c r="L26" s="69" t="n">
        <f aca="false">VLOOKUP(C26,Clasificacion!$B$2:$K$49,10,FALSE())</f>
        <v>0</v>
      </c>
      <c r="N26" s="71" t="str">
        <f aca="false">Clasificacion!B26</f>
        <v>BEL</v>
      </c>
      <c r="O26" s="71" t="str">
        <f aca="false">Clasificacion!A26</f>
        <v>G</v>
      </c>
      <c r="P26" s="71" t="n">
        <f aca="false">Clasificacion!K26</f>
        <v>0</v>
      </c>
      <c r="Q26" s="71" t="n">
        <f aca="false">Clasificacion!J26</f>
        <v>0</v>
      </c>
      <c r="R26" s="71" t="n">
        <f aca="false">Clasificacion!H26</f>
        <v>0</v>
      </c>
      <c r="S26" s="71" t="n">
        <f aca="false">P26*1000000+Q26*10000+R26*100-ROW()</f>
        <v>-26</v>
      </c>
      <c r="T26" s="71" t="n">
        <f aca="false">SUMPRODUCT(($O$2:$O$49=O26)*($S$2:$S$49&gt;S26))+1</f>
        <v>1</v>
      </c>
    </row>
    <row r="27" customFormat="false" ht="15" hidden="false" customHeight="true" outlineLevel="0" collapsed="false">
      <c r="A27" s="72" t="n">
        <v>2</v>
      </c>
      <c r="B27" s="73" t="s">
        <v>111</v>
      </c>
      <c r="C27" s="72" t="str">
        <f aca="false">INDEX($N$2:$N$49,SUMPRODUCT(($O$2:$O$49="G")*($T$2:$T$49=2)*ROW($N$2:$N$49))-1)</f>
        <v>EGY</v>
      </c>
      <c r="D27" s="72" t="str">
        <f aca="false">VLOOKUP(C27,Clasificacion!$B$2:$C$49,2,FALSE())</f>
        <v>Egipto</v>
      </c>
      <c r="E27" s="72" t="n">
        <f aca="false">VLOOKUP(C27,Clasificacion!$B$2:$K$49,3,FALSE())</f>
        <v>0</v>
      </c>
      <c r="F27" s="72" t="n">
        <f aca="false">VLOOKUP(C27,Clasificacion!$B$2:$K$49,4,FALSE())</f>
        <v>0</v>
      </c>
      <c r="G27" s="72" t="n">
        <f aca="false">VLOOKUP(C27,Clasificacion!$B$2:$K$49,5,FALSE())</f>
        <v>0</v>
      </c>
      <c r="H27" s="72" t="n">
        <f aca="false">VLOOKUP(C27,Clasificacion!$B$2:$K$49,6,FALSE())</f>
        <v>0</v>
      </c>
      <c r="I27" s="72" t="n">
        <f aca="false">VLOOKUP(C27,Clasificacion!$B$2:$K$49,7,FALSE())</f>
        <v>0</v>
      </c>
      <c r="J27" s="72" t="n">
        <f aca="false">VLOOKUP(C27,Clasificacion!$B$2:$K$49,8,FALSE())</f>
        <v>0</v>
      </c>
      <c r="K27" s="72" t="n">
        <f aca="false">VLOOKUP(C27,Clasificacion!$B$2:$K$49,9,FALSE())</f>
        <v>0</v>
      </c>
      <c r="L27" s="72" t="n">
        <f aca="false">VLOOKUP(C27,Clasificacion!$B$2:$K$49,10,FALSE())</f>
        <v>0</v>
      </c>
      <c r="N27" s="71" t="str">
        <f aca="false">Clasificacion!B27</f>
        <v>EGY</v>
      </c>
      <c r="O27" s="71" t="str">
        <f aca="false">Clasificacion!A27</f>
        <v>G</v>
      </c>
      <c r="P27" s="71" t="n">
        <f aca="false">Clasificacion!K27</f>
        <v>0</v>
      </c>
      <c r="Q27" s="71" t="n">
        <f aca="false">Clasificacion!J27</f>
        <v>0</v>
      </c>
      <c r="R27" s="71" t="n">
        <f aca="false">Clasificacion!H27</f>
        <v>0</v>
      </c>
      <c r="S27" s="71" t="n">
        <f aca="false">P27*1000000+Q27*10000+R27*100-ROW()</f>
        <v>-27</v>
      </c>
      <c r="T27" s="71" t="n">
        <f aca="false">SUMPRODUCT(($O$2:$O$49=O27)*($S$2:$S$49&gt;S27))+1</f>
        <v>2</v>
      </c>
    </row>
    <row r="28" customFormat="false" ht="15" hidden="false" customHeight="true" outlineLevel="0" collapsed="false">
      <c r="A28" s="74" t="n">
        <v>3</v>
      </c>
      <c r="B28" s="75" t="s">
        <v>111</v>
      </c>
      <c r="C28" s="74" t="str">
        <f aca="false">INDEX($N$2:$N$49,SUMPRODUCT(($O$2:$O$49="G")*($T$2:$T$49=3)*ROW($N$2:$N$49))-1)</f>
        <v>IRN</v>
      </c>
      <c r="D28" s="74" t="str">
        <f aca="false">VLOOKUP(C28,Clasificacion!$B$2:$C$49,2,FALSE())</f>
        <v>Irán</v>
      </c>
      <c r="E28" s="74" t="n">
        <f aca="false">VLOOKUP(C28,Clasificacion!$B$2:$K$49,3,FALSE())</f>
        <v>0</v>
      </c>
      <c r="F28" s="74" t="n">
        <f aca="false">VLOOKUP(C28,Clasificacion!$B$2:$K$49,4,FALSE())</f>
        <v>0</v>
      </c>
      <c r="G28" s="74" t="n">
        <f aca="false">VLOOKUP(C28,Clasificacion!$B$2:$K$49,5,FALSE())</f>
        <v>0</v>
      </c>
      <c r="H28" s="74" t="n">
        <f aca="false">VLOOKUP(C28,Clasificacion!$B$2:$K$49,6,FALSE())</f>
        <v>0</v>
      </c>
      <c r="I28" s="74" t="n">
        <f aca="false">VLOOKUP(C28,Clasificacion!$B$2:$K$49,7,FALSE())</f>
        <v>0</v>
      </c>
      <c r="J28" s="74" t="n">
        <f aca="false">VLOOKUP(C28,Clasificacion!$B$2:$K$49,8,FALSE())</f>
        <v>0</v>
      </c>
      <c r="K28" s="74" t="n">
        <f aca="false">VLOOKUP(C28,Clasificacion!$B$2:$K$49,9,FALSE())</f>
        <v>0</v>
      </c>
      <c r="L28" s="74" t="n">
        <f aca="false">VLOOKUP(C28,Clasificacion!$B$2:$K$49,10,FALSE())</f>
        <v>0</v>
      </c>
      <c r="N28" s="71" t="str">
        <f aca="false">Clasificacion!B28</f>
        <v>IRN</v>
      </c>
      <c r="O28" s="71" t="str">
        <f aca="false">Clasificacion!A28</f>
        <v>G</v>
      </c>
      <c r="P28" s="71" t="n">
        <f aca="false">Clasificacion!K28</f>
        <v>0</v>
      </c>
      <c r="Q28" s="71" t="n">
        <f aca="false">Clasificacion!J28</f>
        <v>0</v>
      </c>
      <c r="R28" s="71" t="n">
        <f aca="false">Clasificacion!H28</f>
        <v>0</v>
      </c>
      <c r="S28" s="71" t="n">
        <f aca="false">P28*1000000+Q28*10000+R28*100-ROW()</f>
        <v>-28</v>
      </c>
      <c r="T28" s="71" t="n">
        <f aca="false">SUMPRODUCT(($O$2:$O$49=O28)*($S$2:$S$49&gt;S28))+1</f>
        <v>3</v>
      </c>
    </row>
    <row r="29" customFormat="false" ht="15" hidden="false" customHeight="true" outlineLevel="0" collapsed="false">
      <c r="A29" s="74" t="n">
        <v>4</v>
      </c>
      <c r="B29" s="75" t="s">
        <v>111</v>
      </c>
      <c r="C29" s="74" t="str">
        <f aca="false">INDEX($N$2:$N$49,SUMPRODUCT(($O$2:$O$49="G")*($T$2:$T$49=4)*ROW($N$2:$N$49))-1)</f>
        <v>NZL</v>
      </c>
      <c r="D29" s="74" t="str">
        <f aca="false">VLOOKUP(C29,Clasificacion!$B$2:$C$49,2,FALSE())</f>
        <v>Nueva Zelanda</v>
      </c>
      <c r="E29" s="74" t="n">
        <f aca="false">VLOOKUP(C29,Clasificacion!$B$2:$K$49,3,FALSE())</f>
        <v>0</v>
      </c>
      <c r="F29" s="74" t="n">
        <f aca="false">VLOOKUP(C29,Clasificacion!$B$2:$K$49,4,FALSE())</f>
        <v>0</v>
      </c>
      <c r="G29" s="74" t="n">
        <f aca="false">VLOOKUP(C29,Clasificacion!$B$2:$K$49,5,FALSE())</f>
        <v>0</v>
      </c>
      <c r="H29" s="74" t="n">
        <f aca="false">VLOOKUP(C29,Clasificacion!$B$2:$K$49,6,FALSE())</f>
        <v>0</v>
      </c>
      <c r="I29" s="74" t="n">
        <f aca="false">VLOOKUP(C29,Clasificacion!$B$2:$K$49,7,FALSE())</f>
        <v>0</v>
      </c>
      <c r="J29" s="74" t="n">
        <f aca="false">VLOOKUP(C29,Clasificacion!$B$2:$K$49,8,FALSE())</f>
        <v>0</v>
      </c>
      <c r="K29" s="74" t="n">
        <f aca="false">VLOOKUP(C29,Clasificacion!$B$2:$K$49,9,FALSE())</f>
        <v>0</v>
      </c>
      <c r="L29" s="74" t="n">
        <f aca="false">VLOOKUP(C29,Clasificacion!$B$2:$K$49,10,FALSE())</f>
        <v>0</v>
      </c>
      <c r="N29" s="71" t="str">
        <f aca="false">Clasificacion!B29</f>
        <v>NZL</v>
      </c>
      <c r="O29" s="71" t="str">
        <f aca="false">Clasificacion!A29</f>
        <v>G</v>
      </c>
      <c r="P29" s="71" t="n">
        <f aca="false">Clasificacion!K29</f>
        <v>0</v>
      </c>
      <c r="Q29" s="71" t="n">
        <f aca="false">Clasificacion!J29</f>
        <v>0</v>
      </c>
      <c r="R29" s="71" t="n">
        <f aca="false">Clasificacion!H29</f>
        <v>0</v>
      </c>
      <c r="S29" s="71" t="n">
        <f aca="false">P29*1000000+Q29*10000+R29*100-ROW()</f>
        <v>-29</v>
      </c>
      <c r="T29" s="71" t="n">
        <f aca="false">SUMPRODUCT(($O$2:$O$49=O29)*($S$2:$S$49&gt;S29))+1</f>
        <v>4</v>
      </c>
    </row>
    <row r="30" customFormat="false" ht="15" hidden="false" customHeight="true" outlineLevel="0" collapsed="false">
      <c r="A30" s="69" t="n">
        <v>1</v>
      </c>
      <c r="B30" s="70" t="s">
        <v>124</v>
      </c>
      <c r="C30" s="69" t="str">
        <f aca="false">INDEX($N$2:$N$49,SUMPRODUCT(($O$2:$O$49="H")*($T$2:$T$49=1)*ROW($N$2:$N$49))-1)</f>
        <v>ESP</v>
      </c>
      <c r="D30" s="69" t="str">
        <f aca="false">VLOOKUP(C30,Clasificacion!$B$2:$C$49,2,FALSE())</f>
        <v>España</v>
      </c>
      <c r="E30" s="69" t="n">
        <f aca="false">VLOOKUP(C30,Clasificacion!$B$2:$K$49,3,FALSE())</f>
        <v>0</v>
      </c>
      <c r="F30" s="69" t="n">
        <f aca="false">VLOOKUP(C30,Clasificacion!$B$2:$K$49,4,FALSE())</f>
        <v>0</v>
      </c>
      <c r="G30" s="69" t="n">
        <f aca="false">VLOOKUP(C30,Clasificacion!$B$2:$K$49,5,FALSE())</f>
        <v>0</v>
      </c>
      <c r="H30" s="69" t="n">
        <f aca="false">VLOOKUP(C30,Clasificacion!$B$2:$K$49,6,FALSE())</f>
        <v>0</v>
      </c>
      <c r="I30" s="69" t="n">
        <f aca="false">VLOOKUP(C30,Clasificacion!$B$2:$K$49,7,FALSE())</f>
        <v>0</v>
      </c>
      <c r="J30" s="69" t="n">
        <f aca="false">VLOOKUP(C30,Clasificacion!$B$2:$K$49,8,FALSE())</f>
        <v>0</v>
      </c>
      <c r="K30" s="69" t="n">
        <f aca="false">VLOOKUP(C30,Clasificacion!$B$2:$K$49,9,FALSE())</f>
        <v>0</v>
      </c>
      <c r="L30" s="69" t="n">
        <f aca="false">VLOOKUP(C30,Clasificacion!$B$2:$K$49,10,FALSE())</f>
        <v>0</v>
      </c>
      <c r="N30" s="71" t="str">
        <f aca="false">Clasificacion!B30</f>
        <v>ESP</v>
      </c>
      <c r="O30" s="71" t="str">
        <f aca="false">Clasificacion!A30</f>
        <v>H</v>
      </c>
      <c r="P30" s="71" t="n">
        <f aca="false">Clasificacion!K30</f>
        <v>0</v>
      </c>
      <c r="Q30" s="71" t="n">
        <f aca="false">Clasificacion!J30</f>
        <v>0</v>
      </c>
      <c r="R30" s="71" t="n">
        <f aca="false">Clasificacion!H30</f>
        <v>0</v>
      </c>
      <c r="S30" s="71" t="n">
        <f aca="false">P30*1000000+Q30*10000+R30*100-ROW()</f>
        <v>-30</v>
      </c>
      <c r="T30" s="71" t="n">
        <f aca="false">SUMPRODUCT(($O$2:$O$49=O30)*($S$2:$S$49&gt;S30))+1</f>
        <v>1</v>
      </c>
    </row>
    <row r="31" customFormat="false" ht="15" hidden="false" customHeight="true" outlineLevel="0" collapsed="false">
      <c r="A31" s="72" t="n">
        <v>2</v>
      </c>
      <c r="B31" s="73" t="s">
        <v>124</v>
      </c>
      <c r="C31" s="72" t="str">
        <f aca="false">INDEX($N$2:$N$49,SUMPRODUCT(($O$2:$O$49="H")*($T$2:$T$49=2)*ROW($N$2:$N$49))-1)</f>
        <v>CPV</v>
      </c>
      <c r="D31" s="72" t="str">
        <f aca="false">VLOOKUP(C31,Clasificacion!$B$2:$C$49,2,FALSE())</f>
        <v>Cabo Verde</v>
      </c>
      <c r="E31" s="72" t="n">
        <f aca="false">VLOOKUP(C31,Clasificacion!$B$2:$K$49,3,FALSE())</f>
        <v>0</v>
      </c>
      <c r="F31" s="72" t="n">
        <f aca="false">VLOOKUP(C31,Clasificacion!$B$2:$K$49,4,FALSE())</f>
        <v>0</v>
      </c>
      <c r="G31" s="72" t="n">
        <f aca="false">VLOOKUP(C31,Clasificacion!$B$2:$K$49,5,FALSE())</f>
        <v>0</v>
      </c>
      <c r="H31" s="72" t="n">
        <f aca="false">VLOOKUP(C31,Clasificacion!$B$2:$K$49,6,FALSE())</f>
        <v>0</v>
      </c>
      <c r="I31" s="72" t="n">
        <f aca="false">VLOOKUP(C31,Clasificacion!$B$2:$K$49,7,FALSE())</f>
        <v>0</v>
      </c>
      <c r="J31" s="72" t="n">
        <f aca="false">VLOOKUP(C31,Clasificacion!$B$2:$K$49,8,FALSE())</f>
        <v>0</v>
      </c>
      <c r="K31" s="72" t="n">
        <f aca="false">VLOOKUP(C31,Clasificacion!$B$2:$K$49,9,FALSE())</f>
        <v>0</v>
      </c>
      <c r="L31" s="72" t="n">
        <f aca="false">VLOOKUP(C31,Clasificacion!$B$2:$K$49,10,FALSE())</f>
        <v>0</v>
      </c>
      <c r="N31" s="71" t="str">
        <f aca="false">Clasificacion!B31</f>
        <v>CPV</v>
      </c>
      <c r="O31" s="71" t="str">
        <f aca="false">Clasificacion!A31</f>
        <v>H</v>
      </c>
      <c r="P31" s="71" t="n">
        <f aca="false">Clasificacion!K31</f>
        <v>0</v>
      </c>
      <c r="Q31" s="71" t="n">
        <f aca="false">Clasificacion!J31</f>
        <v>0</v>
      </c>
      <c r="R31" s="71" t="n">
        <f aca="false">Clasificacion!H31</f>
        <v>0</v>
      </c>
      <c r="S31" s="71" t="n">
        <f aca="false">P31*1000000+Q31*10000+R31*100-ROW()</f>
        <v>-31</v>
      </c>
      <c r="T31" s="71" t="n">
        <f aca="false">SUMPRODUCT(($O$2:$O$49=O31)*($S$2:$S$49&gt;S31))+1</f>
        <v>2</v>
      </c>
    </row>
    <row r="32" customFormat="false" ht="15" hidden="false" customHeight="true" outlineLevel="0" collapsed="false">
      <c r="A32" s="74" t="n">
        <v>3</v>
      </c>
      <c r="B32" s="75" t="s">
        <v>124</v>
      </c>
      <c r="C32" s="74" t="str">
        <f aca="false">INDEX($N$2:$N$49,SUMPRODUCT(($O$2:$O$49="H")*($T$2:$T$49=3)*ROW($N$2:$N$49))-1)</f>
        <v>KSA</v>
      </c>
      <c r="D32" s="74" t="str">
        <f aca="false">VLOOKUP(C32,Clasificacion!$B$2:$C$49,2,FALSE())</f>
        <v>Arabia Saudita</v>
      </c>
      <c r="E32" s="74" t="n">
        <f aca="false">VLOOKUP(C32,Clasificacion!$B$2:$K$49,3,FALSE())</f>
        <v>0</v>
      </c>
      <c r="F32" s="74" t="n">
        <f aca="false">VLOOKUP(C32,Clasificacion!$B$2:$K$49,4,FALSE())</f>
        <v>0</v>
      </c>
      <c r="G32" s="74" t="n">
        <f aca="false">VLOOKUP(C32,Clasificacion!$B$2:$K$49,5,FALSE())</f>
        <v>0</v>
      </c>
      <c r="H32" s="74" t="n">
        <f aca="false">VLOOKUP(C32,Clasificacion!$B$2:$K$49,6,FALSE())</f>
        <v>0</v>
      </c>
      <c r="I32" s="74" t="n">
        <f aca="false">VLOOKUP(C32,Clasificacion!$B$2:$K$49,7,FALSE())</f>
        <v>0</v>
      </c>
      <c r="J32" s="74" t="n">
        <f aca="false">VLOOKUP(C32,Clasificacion!$B$2:$K$49,8,FALSE())</f>
        <v>0</v>
      </c>
      <c r="K32" s="74" t="n">
        <f aca="false">VLOOKUP(C32,Clasificacion!$B$2:$K$49,9,FALSE())</f>
        <v>0</v>
      </c>
      <c r="L32" s="74" t="n">
        <f aca="false">VLOOKUP(C32,Clasificacion!$B$2:$K$49,10,FALSE())</f>
        <v>0</v>
      </c>
      <c r="N32" s="71" t="str">
        <f aca="false">Clasificacion!B32</f>
        <v>KSA</v>
      </c>
      <c r="O32" s="71" t="str">
        <f aca="false">Clasificacion!A32</f>
        <v>H</v>
      </c>
      <c r="P32" s="71" t="n">
        <f aca="false">Clasificacion!K32</f>
        <v>0</v>
      </c>
      <c r="Q32" s="71" t="n">
        <f aca="false">Clasificacion!J32</f>
        <v>0</v>
      </c>
      <c r="R32" s="71" t="n">
        <f aca="false">Clasificacion!H32</f>
        <v>0</v>
      </c>
      <c r="S32" s="71" t="n">
        <f aca="false">P32*1000000+Q32*10000+R32*100-ROW()</f>
        <v>-32</v>
      </c>
      <c r="T32" s="71" t="n">
        <f aca="false">SUMPRODUCT(($O$2:$O$49=O32)*($S$2:$S$49&gt;S32))+1</f>
        <v>3</v>
      </c>
    </row>
    <row r="33" customFormat="false" ht="15" hidden="false" customHeight="true" outlineLevel="0" collapsed="false">
      <c r="A33" s="74" t="n">
        <v>4</v>
      </c>
      <c r="B33" s="75" t="s">
        <v>124</v>
      </c>
      <c r="C33" s="74" t="str">
        <f aca="false">INDEX($N$2:$N$49,SUMPRODUCT(($O$2:$O$49="H")*($T$2:$T$49=4)*ROW($N$2:$N$49))-1)</f>
        <v>URU</v>
      </c>
      <c r="D33" s="74" t="str">
        <f aca="false">VLOOKUP(C33,Clasificacion!$B$2:$C$49,2,FALSE())</f>
        <v>Uruguay</v>
      </c>
      <c r="E33" s="74" t="n">
        <f aca="false">VLOOKUP(C33,Clasificacion!$B$2:$K$49,3,FALSE())</f>
        <v>0</v>
      </c>
      <c r="F33" s="74" t="n">
        <f aca="false">VLOOKUP(C33,Clasificacion!$B$2:$K$49,4,FALSE())</f>
        <v>0</v>
      </c>
      <c r="G33" s="74" t="n">
        <f aca="false">VLOOKUP(C33,Clasificacion!$B$2:$K$49,5,FALSE())</f>
        <v>0</v>
      </c>
      <c r="H33" s="74" t="n">
        <f aca="false">VLOOKUP(C33,Clasificacion!$B$2:$K$49,6,FALSE())</f>
        <v>0</v>
      </c>
      <c r="I33" s="74" t="n">
        <f aca="false">VLOOKUP(C33,Clasificacion!$B$2:$K$49,7,FALSE())</f>
        <v>0</v>
      </c>
      <c r="J33" s="74" t="n">
        <f aca="false">VLOOKUP(C33,Clasificacion!$B$2:$K$49,8,FALSE())</f>
        <v>0</v>
      </c>
      <c r="K33" s="74" t="n">
        <f aca="false">VLOOKUP(C33,Clasificacion!$B$2:$K$49,9,FALSE())</f>
        <v>0</v>
      </c>
      <c r="L33" s="74" t="n">
        <f aca="false">VLOOKUP(C33,Clasificacion!$B$2:$K$49,10,FALSE())</f>
        <v>0</v>
      </c>
      <c r="N33" s="71" t="str">
        <f aca="false">Clasificacion!B33</f>
        <v>URU</v>
      </c>
      <c r="O33" s="71" t="str">
        <f aca="false">Clasificacion!A33</f>
        <v>H</v>
      </c>
      <c r="P33" s="71" t="n">
        <f aca="false">Clasificacion!K33</f>
        <v>0</v>
      </c>
      <c r="Q33" s="71" t="n">
        <f aca="false">Clasificacion!J33</f>
        <v>0</v>
      </c>
      <c r="R33" s="71" t="n">
        <f aca="false">Clasificacion!H33</f>
        <v>0</v>
      </c>
      <c r="S33" s="71" t="n">
        <f aca="false">P33*1000000+Q33*10000+R33*100-ROW()</f>
        <v>-33</v>
      </c>
      <c r="T33" s="71" t="n">
        <f aca="false">SUMPRODUCT(($O$2:$O$49=O33)*($S$2:$S$49&gt;S33))+1</f>
        <v>4</v>
      </c>
    </row>
    <row r="34" customFormat="false" ht="15" hidden="false" customHeight="true" outlineLevel="0" collapsed="false">
      <c r="A34" s="69" t="n">
        <v>1</v>
      </c>
      <c r="B34" s="70" t="s">
        <v>137</v>
      </c>
      <c r="C34" s="69" t="str">
        <f aca="false">INDEX($N$2:$N$49,SUMPRODUCT(($O$2:$O$49="I")*($T$2:$T$49=1)*ROW($N$2:$N$49))-1)</f>
        <v>FRA</v>
      </c>
      <c r="D34" s="69" t="str">
        <f aca="false">VLOOKUP(C34,Clasificacion!$B$2:$C$49,2,FALSE())</f>
        <v>Francia</v>
      </c>
      <c r="E34" s="69" t="n">
        <f aca="false">VLOOKUP(C34,Clasificacion!$B$2:$K$49,3,FALSE())</f>
        <v>0</v>
      </c>
      <c r="F34" s="69" t="n">
        <f aca="false">VLOOKUP(C34,Clasificacion!$B$2:$K$49,4,FALSE())</f>
        <v>0</v>
      </c>
      <c r="G34" s="69" t="n">
        <f aca="false">VLOOKUP(C34,Clasificacion!$B$2:$K$49,5,FALSE())</f>
        <v>0</v>
      </c>
      <c r="H34" s="69" t="n">
        <f aca="false">VLOOKUP(C34,Clasificacion!$B$2:$K$49,6,FALSE())</f>
        <v>0</v>
      </c>
      <c r="I34" s="69" t="n">
        <f aca="false">VLOOKUP(C34,Clasificacion!$B$2:$K$49,7,FALSE())</f>
        <v>0</v>
      </c>
      <c r="J34" s="69" t="n">
        <f aca="false">VLOOKUP(C34,Clasificacion!$B$2:$K$49,8,FALSE())</f>
        <v>0</v>
      </c>
      <c r="K34" s="69" t="n">
        <f aca="false">VLOOKUP(C34,Clasificacion!$B$2:$K$49,9,FALSE())</f>
        <v>0</v>
      </c>
      <c r="L34" s="69" t="n">
        <f aca="false">VLOOKUP(C34,Clasificacion!$B$2:$K$49,10,FALSE())</f>
        <v>0</v>
      </c>
      <c r="N34" s="71" t="str">
        <f aca="false">Clasificacion!B34</f>
        <v>FRA</v>
      </c>
      <c r="O34" s="71" t="str">
        <f aca="false">Clasificacion!A34</f>
        <v>I</v>
      </c>
      <c r="P34" s="71" t="n">
        <f aca="false">Clasificacion!K34</f>
        <v>0</v>
      </c>
      <c r="Q34" s="71" t="n">
        <f aca="false">Clasificacion!J34</f>
        <v>0</v>
      </c>
      <c r="R34" s="71" t="n">
        <f aca="false">Clasificacion!H34</f>
        <v>0</v>
      </c>
      <c r="S34" s="71" t="n">
        <f aca="false">P34*1000000+Q34*10000+R34*100-ROW()</f>
        <v>-34</v>
      </c>
      <c r="T34" s="71" t="n">
        <f aca="false">SUMPRODUCT(($O$2:$O$49=O34)*($S$2:$S$49&gt;S34))+1</f>
        <v>1</v>
      </c>
    </row>
    <row r="35" customFormat="false" ht="15" hidden="false" customHeight="true" outlineLevel="0" collapsed="false">
      <c r="A35" s="72" t="n">
        <v>2</v>
      </c>
      <c r="B35" s="73" t="s">
        <v>137</v>
      </c>
      <c r="C35" s="72" t="str">
        <f aca="false">INDEX($N$2:$N$49,SUMPRODUCT(($O$2:$O$49="I")*($T$2:$T$49=2)*ROW($N$2:$N$49))-1)</f>
        <v>SEN</v>
      </c>
      <c r="D35" s="72" t="str">
        <f aca="false">VLOOKUP(C35,Clasificacion!$B$2:$C$49,2,FALSE())</f>
        <v>Senegal</v>
      </c>
      <c r="E35" s="72" t="n">
        <f aca="false">VLOOKUP(C35,Clasificacion!$B$2:$K$49,3,FALSE())</f>
        <v>0</v>
      </c>
      <c r="F35" s="72" t="n">
        <f aca="false">VLOOKUP(C35,Clasificacion!$B$2:$K$49,4,FALSE())</f>
        <v>0</v>
      </c>
      <c r="G35" s="72" t="n">
        <f aca="false">VLOOKUP(C35,Clasificacion!$B$2:$K$49,5,FALSE())</f>
        <v>0</v>
      </c>
      <c r="H35" s="72" t="n">
        <f aca="false">VLOOKUP(C35,Clasificacion!$B$2:$K$49,6,FALSE())</f>
        <v>0</v>
      </c>
      <c r="I35" s="72" t="n">
        <f aca="false">VLOOKUP(C35,Clasificacion!$B$2:$K$49,7,FALSE())</f>
        <v>0</v>
      </c>
      <c r="J35" s="72" t="n">
        <f aca="false">VLOOKUP(C35,Clasificacion!$B$2:$K$49,8,FALSE())</f>
        <v>0</v>
      </c>
      <c r="K35" s="72" t="n">
        <f aca="false">VLOOKUP(C35,Clasificacion!$B$2:$K$49,9,FALSE())</f>
        <v>0</v>
      </c>
      <c r="L35" s="72" t="n">
        <f aca="false">VLOOKUP(C35,Clasificacion!$B$2:$K$49,10,FALSE())</f>
        <v>0</v>
      </c>
      <c r="N35" s="71" t="str">
        <f aca="false">Clasificacion!B35</f>
        <v>SEN</v>
      </c>
      <c r="O35" s="71" t="str">
        <f aca="false">Clasificacion!A35</f>
        <v>I</v>
      </c>
      <c r="P35" s="71" t="n">
        <f aca="false">Clasificacion!K35</f>
        <v>0</v>
      </c>
      <c r="Q35" s="71" t="n">
        <f aca="false">Clasificacion!J35</f>
        <v>0</v>
      </c>
      <c r="R35" s="71" t="n">
        <f aca="false">Clasificacion!H35</f>
        <v>0</v>
      </c>
      <c r="S35" s="71" t="n">
        <f aca="false">P35*1000000+Q35*10000+R35*100-ROW()</f>
        <v>-35</v>
      </c>
      <c r="T35" s="71" t="n">
        <f aca="false">SUMPRODUCT(($O$2:$O$49=O35)*($S$2:$S$49&gt;S35))+1</f>
        <v>2</v>
      </c>
    </row>
    <row r="36" customFormat="false" ht="15" hidden="false" customHeight="true" outlineLevel="0" collapsed="false">
      <c r="A36" s="74" t="n">
        <v>3</v>
      </c>
      <c r="B36" s="75" t="s">
        <v>137</v>
      </c>
      <c r="C36" s="74" t="str">
        <f aca="false">INDEX($N$2:$N$49,SUMPRODUCT(($O$2:$O$49="I")*($T$2:$T$49=3)*ROW($N$2:$N$49))-1)</f>
        <v>IRQ</v>
      </c>
      <c r="D36" s="74" t="str">
        <f aca="false">VLOOKUP(C36,Clasificacion!$B$2:$C$49,2,FALSE())</f>
        <v>Irak</v>
      </c>
      <c r="E36" s="74" t="n">
        <f aca="false">VLOOKUP(C36,Clasificacion!$B$2:$K$49,3,FALSE())</f>
        <v>0</v>
      </c>
      <c r="F36" s="74" t="n">
        <f aca="false">VLOOKUP(C36,Clasificacion!$B$2:$K$49,4,FALSE())</f>
        <v>0</v>
      </c>
      <c r="G36" s="74" t="n">
        <f aca="false">VLOOKUP(C36,Clasificacion!$B$2:$K$49,5,FALSE())</f>
        <v>0</v>
      </c>
      <c r="H36" s="74" t="n">
        <f aca="false">VLOOKUP(C36,Clasificacion!$B$2:$K$49,6,FALSE())</f>
        <v>0</v>
      </c>
      <c r="I36" s="74" t="n">
        <f aca="false">VLOOKUP(C36,Clasificacion!$B$2:$K$49,7,FALSE())</f>
        <v>0</v>
      </c>
      <c r="J36" s="74" t="n">
        <f aca="false">VLOOKUP(C36,Clasificacion!$B$2:$K$49,8,FALSE())</f>
        <v>0</v>
      </c>
      <c r="K36" s="74" t="n">
        <f aca="false">VLOOKUP(C36,Clasificacion!$B$2:$K$49,9,FALSE())</f>
        <v>0</v>
      </c>
      <c r="L36" s="74" t="n">
        <f aca="false">VLOOKUP(C36,Clasificacion!$B$2:$K$49,10,FALSE())</f>
        <v>0</v>
      </c>
      <c r="N36" s="71" t="str">
        <f aca="false">Clasificacion!B36</f>
        <v>IRQ</v>
      </c>
      <c r="O36" s="71" t="str">
        <f aca="false">Clasificacion!A36</f>
        <v>I</v>
      </c>
      <c r="P36" s="71" t="n">
        <f aca="false">Clasificacion!K36</f>
        <v>0</v>
      </c>
      <c r="Q36" s="71" t="n">
        <f aca="false">Clasificacion!J36</f>
        <v>0</v>
      </c>
      <c r="R36" s="71" t="n">
        <f aca="false">Clasificacion!H36</f>
        <v>0</v>
      </c>
      <c r="S36" s="71" t="n">
        <f aca="false">P36*1000000+Q36*10000+R36*100-ROW()</f>
        <v>-36</v>
      </c>
      <c r="T36" s="71" t="n">
        <f aca="false">SUMPRODUCT(($O$2:$O$49=O36)*($S$2:$S$49&gt;S36))+1</f>
        <v>3</v>
      </c>
    </row>
    <row r="37" customFormat="false" ht="15" hidden="false" customHeight="true" outlineLevel="0" collapsed="false">
      <c r="A37" s="74" t="n">
        <v>4</v>
      </c>
      <c r="B37" s="75" t="s">
        <v>137</v>
      </c>
      <c r="C37" s="74" t="str">
        <f aca="false">INDEX($N$2:$N$49,SUMPRODUCT(($O$2:$O$49="I")*($T$2:$T$49=4)*ROW($N$2:$N$49))-1)</f>
        <v>NOR</v>
      </c>
      <c r="D37" s="74" t="str">
        <f aca="false">VLOOKUP(C37,Clasificacion!$B$2:$C$49,2,FALSE())</f>
        <v>Noruega</v>
      </c>
      <c r="E37" s="74" t="n">
        <f aca="false">VLOOKUP(C37,Clasificacion!$B$2:$K$49,3,FALSE())</f>
        <v>0</v>
      </c>
      <c r="F37" s="74" t="n">
        <f aca="false">VLOOKUP(C37,Clasificacion!$B$2:$K$49,4,FALSE())</f>
        <v>0</v>
      </c>
      <c r="G37" s="74" t="n">
        <f aca="false">VLOOKUP(C37,Clasificacion!$B$2:$K$49,5,FALSE())</f>
        <v>0</v>
      </c>
      <c r="H37" s="74" t="n">
        <f aca="false">VLOOKUP(C37,Clasificacion!$B$2:$K$49,6,FALSE())</f>
        <v>0</v>
      </c>
      <c r="I37" s="74" t="n">
        <f aca="false">VLOOKUP(C37,Clasificacion!$B$2:$K$49,7,FALSE())</f>
        <v>0</v>
      </c>
      <c r="J37" s="74" t="n">
        <f aca="false">VLOOKUP(C37,Clasificacion!$B$2:$K$49,8,FALSE())</f>
        <v>0</v>
      </c>
      <c r="K37" s="74" t="n">
        <f aca="false">VLOOKUP(C37,Clasificacion!$B$2:$K$49,9,FALSE())</f>
        <v>0</v>
      </c>
      <c r="L37" s="74" t="n">
        <f aca="false">VLOOKUP(C37,Clasificacion!$B$2:$K$49,10,FALSE())</f>
        <v>0</v>
      </c>
      <c r="N37" s="71" t="str">
        <f aca="false">Clasificacion!B37</f>
        <v>NOR</v>
      </c>
      <c r="O37" s="71" t="str">
        <f aca="false">Clasificacion!A37</f>
        <v>I</v>
      </c>
      <c r="P37" s="71" t="n">
        <f aca="false">Clasificacion!K37</f>
        <v>0</v>
      </c>
      <c r="Q37" s="71" t="n">
        <f aca="false">Clasificacion!J37</f>
        <v>0</v>
      </c>
      <c r="R37" s="71" t="n">
        <f aca="false">Clasificacion!H37</f>
        <v>0</v>
      </c>
      <c r="S37" s="71" t="n">
        <f aca="false">P37*1000000+Q37*10000+R37*100-ROW()</f>
        <v>-37</v>
      </c>
      <c r="T37" s="71" t="n">
        <f aca="false">SUMPRODUCT(($O$2:$O$49=O37)*($S$2:$S$49&gt;S37))+1</f>
        <v>4</v>
      </c>
    </row>
    <row r="38" customFormat="false" ht="15" hidden="false" customHeight="true" outlineLevel="0" collapsed="false">
      <c r="A38" s="69" t="n">
        <v>1</v>
      </c>
      <c r="B38" s="70" t="s">
        <v>150</v>
      </c>
      <c r="C38" s="69" t="str">
        <f aca="false">INDEX($N$2:$N$49,SUMPRODUCT(($O$2:$O$49="J")*($T$2:$T$49=1)*ROW($N$2:$N$49))-1)</f>
        <v>ARG</v>
      </c>
      <c r="D38" s="69" t="str">
        <f aca="false">VLOOKUP(C38,Clasificacion!$B$2:$C$49,2,FALSE())</f>
        <v>Argentina</v>
      </c>
      <c r="E38" s="69" t="n">
        <f aca="false">VLOOKUP(C38,Clasificacion!$B$2:$K$49,3,FALSE())</f>
        <v>0</v>
      </c>
      <c r="F38" s="69" t="n">
        <f aca="false">VLOOKUP(C38,Clasificacion!$B$2:$K$49,4,FALSE())</f>
        <v>0</v>
      </c>
      <c r="G38" s="69" t="n">
        <f aca="false">VLOOKUP(C38,Clasificacion!$B$2:$K$49,5,FALSE())</f>
        <v>0</v>
      </c>
      <c r="H38" s="69" t="n">
        <f aca="false">VLOOKUP(C38,Clasificacion!$B$2:$K$49,6,FALSE())</f>
        <v>0</v>
      </c>
      <c r="I38" s="69" t="n">
        <f aca="false">VLOOKUP(C38,Clasificacion!$B$2:$K$49,7,FALSE())</f>
        <v>0</v>
      </c>
      <c r="J38" s="69" t="n">
        <f aca="false">VLOOKUP(C38,Clasificacion!$B$2:$K$49,8,FALSE())</f>
        <v>0</v>
      </c>
      <c r="K38" s="69" t="n">
        <f aca="false">VLOOKUP(C38,Clasificacion!$B$2:$K$49,9,FALSE())</f>
        <v>0</v>
      </c>
      <c r="L38" s="69" t="n">
        <f aca="false">VLOOKUP(C38,Clasificacion!$B$2:$K$49,10,FALSE())</f>
        <v>0</v>
      </c>
      <c r="N38" s="71" t="str">
        <f aca="false">Clasificacion!B38</f>
        <v>ARG</v>
      </c>
      <c r="O38" s="71" t="str">
        <f aca="false">Clasificacion!A38</f>
        <v>J</v>
      </c>
      <c r="P38" s="71" t="n">
        <f aca="false">Clasificacion!K38</f>
        <v>0</v>
      </c>
      <c r="Q38" s="71" t="n">
        <f aca="false">Clasificacion!J38</f>
        <v>0</v>
      </c>
      <c r="R38" s="71" t="n">
        <f aca="false">Clasificacion!H38</f>
        <v>0</v>
      </c>
      <c r="S38" s="71" t="n">
        <f aca="false">P38*1000000+Q38*10000+R38*100-ROW()</f>
        <v>-38</v>
      </c>
      <c r="T38" s="71" t="n">
        <f aca="false">SUMPRODUCT(($O$2:$O$49=O38)*($S$2:$S$49&gt;S38))+1</f>
        <v>1</v>
      </c>
    </row>
    <row r="39" customFormat="false" ht="15" hidden="false" customHeight="true" outlineLevel="0" collapsed="false">
      <c r="A39" s="72" t="n">
        <v>2</v>
      </c>
      <c r="B39" s="73" t="s">
        <v>150</v>
      </c>
      <c r="C39" s="72" t="str">
        <f aca="false">INDEX($N$2:$N$49,SUMPRODUCT(($O$2:$O$49="J")*($T$2:$T$49=2)*ROW($N$2:$N$49))-1)</f>
        <v>ALG</v>
      </c>
      <c r="D39" s="72" t="str">
        <f aca="false">VLOOKUP(C39,Clasificacion!$B$2:$C$49,2,FALSE())</f>
        <v>Argelia</v>
      </c>
      <c r="E39" s="72" t="n">
        <f aca="false">VLOOKUP(C39,Clasificacion!$B$2:$K$49,3,FALSE())</f>
        <v>0</v>
      </c>
      <c r="F39" s="72" t="n">
        <f aca="false">VLOOKUP(C39,Clasificacion!$B$2:$K$49,4,FALSE())</f>
        <v>0</v>
      </c>
      <c r="G39" s="72" t="n">
        <f aca="false">VLOOKUP(C39,Clasificacion!$B$2:$K$49,5,FALSE())</f>
        <v>0</v>
      </c>
      <c r="H39" s="72" t="n">
        <f aca="false">VLOOKUP(C39,Clasificacion!$B$2:$K$49,6,FALSE())</f>
        <v>0</v>
      </c>
      <c r="I39" s="72" t="n">
        <f aca="false">VLOOKUP(C39,Clasificacion!$B$2:$K$49,7,FALSE())</f>
        <v>0</v>
      </c>
      <c r="J39" s="72" t="n">
        <f aca="false">VLOOKUP(C39,Clasificacion!$B$2:$K$49,8,FALSE())</f>
        <v>0</v>
      </c>
      <c r="K39" s="72" t="n">
        <f aca="false">VLOOKUP(C39,Clasificacion!$B$2:$K$49,9,FALSE())</f>
        <v>0</v>
      </c>
      <c r="L39" s="72" t="n">
        <f aca="false">VLOOKUP(C39,Clasificacion!$B$2:$K$49,10,FALSE())</f>
        <v>0</v>
      </c>
      <c r="N39" s="71" t="str">
        <f aca="false">Clasificacion!B39</f>
        <v>ALG</v>
      </c>
      <c r="O39" s="71" t="str">
        <f aca="false">Clasificacion!A39</f>
        <v>J</v>
      </c>
      <c r="P39" s="71" t="n">
        <f aca="false">Clasificacion!K39</f>
        <v>0</v>
      </c>
      <c r="Q39" s="71" t="n">
        <f aca="false">Clasificacion!J39</f>
        <v>0</v>
      </c>
      <c r="R39" s="71" t="n">
        <f aca="false">Clasificacion!H39</f>
        <v>0</v>
      </c>
      <c r="S39" s="71" t="n">
        <f aca="false">P39*1000000+Q39*10000+R39*100-ROW()</f>
        <v>-39</v>
      </c>
      <c r="T39" s="71" t="n">
        <f aca="false">SUMPRODUCT(($O$2:$O$49=O39)*($S$2:$S$49&gt;S39))+1</f>
        <v>2</v>
      </c>
    </row>
    <row r="40" customFormat="false" ht="15" hidden="false" customHeight="true" outlineLevel="0" collapsed="false">
      <c r="A40" s="74" t="n">
        <v>3</v>
      </c>
      <c r="B40" s="75" t="s">
        <v>150</v>
      </c>
      <c r="C40" s="74" t="str">
        <f aca="false">INDEX($N$2:$N$49,SUMPRODUCT(($O$2:$O$49="J")*($T$2:$T$49=3)*ROW($N$2:$N$49))-1)</f>
        <v>AUT</v>
      </c>
      <c r="D40" s="74" t="str">
        <f aca="false">VLOOKUP(C40,Clasificacion!$B$2:$C$49,2,FALSE())</f>
        <v>Austria</v>
      </c>
      <c r="E40" s="74" t="n">
        <f aca="false">VLOOKUP(C40,Clasificacion!$B$2:$K$49,3,FALSE())</f>
        <v>0</v>
      </c>
      <c r="F40" s="74" t="n">
        <f aca="false">VLOOKUP(C40,Clasificacion!$B$2:$K$49,4,FALSE())</f>
        <v>0</v>
      </c>
      <c r="G40" s="74" t="n">
        <f aca="false">VLOOKUP(C40,Clasificacion!$B$2:$K$49,5,FALSE())</f>
        <v>0</v>
      </c>
      <c r="H40" s="74" t="n">
        <f aca="false">VLOOKUP(C40,Clasificacion!$B$2:$K$49,6,FALSE())</f>
        <v>0</v>
      </c>
      <c r="I40" s="74" t="n">
        <f aca="false">VLOOKUP(C40,Clasificacion!$B$2:$K$49,7,FALSE())</f>
        <v>0</v>
      </c>
      <c r="J40" s="74" t="n">
        <f aca="false">VLOOKUP(C40,Clasificacion!$B$2:$K$49,8,FALSE())</f>
        <v>0</v>
      </c>
      <c r="K40" s="74" t="n">
        <f aca="false">VLOOKUP(C40,Clasificacion!$B$2:$K$49,9,FALSE())</f>
        <v>0</v>
      </c>
      <c r="L40" s="74" t="n">
        <f aca="false">VLOOKUP(C40,Clasificacion!$B$2:$K$49,10,FALSE())</f>
        <v>0</v>
      </c>
      <c r="N40" s="71" t="str">
        <f aca="false">Clasificacion!B40</f>
        <v>AUT</v>
      </c>
      <c r="O40" s="71" t="str">
        <f aca="false">Clasificacion!A40</f>
        <v>J</v>
      </c>
      <c r="P40" s="71" t="n">
        <f aca="false">Clasificacion!K40</f>
        <v>0</v>
      </c>
      <c r="Q40" s="71" t="n">
        <f aca="false">Clasificacion!J40</f>
        <v>0</v>
      </c>
      <c r="R40" s="71" t="n">
        <f aca="false">Clasificacion!H40</f>
        <v>0</v>
      </c>
      <c r="S40" s="71" t="n">
        <f aca="false">P40*1000000+Q40*10000+R40*100-ROW()</f>
        <v>-40</v>
      </c>
      <c r="T40" s="71" t="n">
        <f aca="false">SUMPRODUCT(($O$2:$O$49=O40)*($S$2:$S$49&gt;S40))+1</f>
        <v>3</v>
      </c>
    </row>
    <row r="41" customFormat="false" ht="15" hidden="false" customHeight="true" outlineLevel="0" collapsed="false">
      <c r="A41" s="74" t="n">
        <v>4</v>
      </c>
      <c r="B41" s="75" t="s">
        <v>150</v>
      </c>
      <c r="C41" s="74" t="str">
        <f aca="false">INDEX($N$2:$N$49,SUMPRODUCT(($O$2:$O$49="J")*($T$2:$T$49=4)*ROW($N$2:$N$49))-1)</f>
        <v>JOR</v>
      </c>
      <c r="D41" s="74" t="str">
        <f aca="false">VLOOKUP(C41,Clasificacion!$B$2:$C$49,2,FALSE())</f>
        <v>Jordania</v>
      </c>
      <c r="E41" s="74" t="n">
        <f aca="false">VLOOKUP(C41,Clasificacion!$B$2:$K$49,3,FALSE())</f>
        <v>0</v>
      </c>
      <c r="F41" s="74" t="n">
        <f aca="false">VLOOKUP(C41,Clasificacion!$B$2:$K$49,4,FALSE())</f>
        <v>0</v>
      </c>
      <c r="G41" s="74" t="n">
        <f aca="false">VLOOKUP(C41,Clasificacion!$B$2:$K$49,5,FALSE())</f>
        <v>0</v>
      </c>
      <c r="H41" s="74" t="n">
        <f aca="false">VLOOKUP(C41,Clasificacion!$B$2:$K$49,6,FALSE())</f>
        <v>0</v>
      </c>
      <c r="I41" s="74" t="n">
        <f aca="false">VLOOKUP(C41,Clasificacion!$B$2:$K$49,7,FALSE())</f>
        <v>0</v>
      </c>
      <c r="J41" s="74" t="n">
        <f aca="false">VLOOKUP(C41,Clasificacion!$B$2:$K$49,8,FALSE())</f>
        <v>0</v>
      </c>
      <c r="K41" s="74" t="n">
        <f aca="false">VLOOKUP(C41,Clasificacion!$B$2:$K$49,9,FALSE())</f>
        <v>0</v>
      </c>
      <c r="L41" s="74" t="n">
        <f aca="false">VLOOKUP(C41,Clasificacion!$B$2:$K$49,10,FALSE())</f>
        <v>0</v>
      </c>
      <c r="N41" s="71" t="str">
        <f aca="false">Clasificacion!B41</f>
        <v>JOR</v>
      </c>
      <c r="O41" s="71" t="str">
        <f aca="false">Clasificacion!A41</f>
        <v>J</v>
      </c>
      <c r="P41" s="71" t="n">
        <f aca="false">Clasificacion!K41</f>
        <v>0</v>
      </c>
      <c r="Q41" s="71" t="n">
        <f aca="false">Clasificacion!J41</f>
        <v>0</v>
      </c>
      <c r="R41" s="71" t="n">
        <f aca="false">Clasificacion!H41</f>
        <v>0</v>
      </c>
      <c r="S41" s="71" t="n">
        <f aca="false">P41*1000000+Q41*10000+R41*100-ROW()</f>
        <v>-41</v>
      </c>
      <c r="T41" s="71" t="n">
        <f aca="false">SUMPRODUCT(($O$2:$O$49=O41)*($S$2:$S$49&gt;S41))+1</f>
        <v>4</v>
      </c>
    </row>
    <row r="42" customFormat="false" ht="15" hidden="false" customHeight="true" outlineLevel="0" collapsed="false">
      <c r="A42" s="69" t="n">
        <v>1</v>
      </c>
      <c r="B42" s="70" t="s">
        <v>163</v>
      </c>
      <c r="C42" s="69" t="str">
        <f aca="false">INDEX($N$2:$N$49,SUMPRODUCT(($O$2:$O$49="K")*($T$2:$T$49=1)*ROW($N$2:$N$49))-1)</f>
        <v>POR</v>
      </c>
      <c r="D42" s="69" t="str">
        <f aca="false">VLOOKUP(C42,Clasificacion!$B$2:$C$49,2,FALSE())</f>
        <v>Portugal</v>
      </c>
      <c r="E42" s="69" t="n">
        <f aca="false">VLOOKUP(C42,Clasificacion!$B$2:$K$49,3,FALSE())</f>
        <v>0</v>
      </c>
      <c r="F42" s="69" t="n">
        <f aca="false">VLOOKUP(C42,Clasificacion!$B$2:$K$49,4,FALSE())</f>
        <v>0</v>
      </c>
      <c r="G42" s="69" t="n">
        <f aca="false">VLOOKUP(C42,Clasificacion!$B$2:$K$49,5,FALSE())</f>
        <v>0</v>
      </c>
      <c r="H42" s="69" t="n">
        <f aca="false">VLOOKUP(C42,Clasificacion!$B$2:$K$49,6,FALSE())</f>
        <v>0</v>
      </c>
      <c r="I42" s="69" t="n">
        <f aca="false">VLOOKUP(C42,Clasificacion!$B$2:$K$49,7,FALSE())</f>
        <v>0</v>
      </c>
      <c r="J42" s="69" t="n">
        <f aca="false">VLOOKUP(C42,Clasificacion!$B$2:$K$49,8,FALSE())</f>
        <v>0</v>
      </c>
      <c r="K42" s="69" t="n">
        <f aca="false">VLOOKUP(C42,Clasificacion!$B$2:$K$49,9,FALSE())</f>
        <v>0</v>
      </c>
      <c r="L42" s="69" t="n">
        <f aca="false">VLOOKUP(C42,Clasificacion!$B$2:$K$49,10,FALSE())</f>
        <v>0</v>
      </c>
      <c r="N42" s="71" t="str">
        <f aca="false">Clasificacion!B42</f>
        <v>POR</v>
      </c>
      <c r="O42" s="71" t="str">
        <f aca="false">Clasificacion!A42</f>
        <v>K</v>
      </c>
      <c r="P42" s="71" t="n">
        <f aca="false">Clasificacion!K42</f>
        <v>0</v>
      </c>
      <c r="Q42" s="71" t="n">
        <f aca="false">Clasificacion!J42</f>
        <v>0</v>
      </c>
      <c r="R42" s="71" t="n">
        <f aca="false">Clasificacion!H42</f>
        <v>0</v>
      </c>
      <c r="S42" s="71" t="n">
        <f aca="false">P42*1000000+Q42*10000+R42*100-ROW()</f>
        <v>-42</v>
      </c>
      <c r="T42" s="71" t="n">
        <f aca="false">SUMPRODUCT(($O$2:$O$49=O42)*($S$2:$S$49&gt;S42))+1</f>
        <v>1</v>
      </c>
    </row>
    <row r="43" customFormat="false" ht="15" hidden="false" customHeight="true" outlineLevel="0" collapsed="false">
      <c r="A43" s="72" t="n">
        <v>2</v>
      </c>
      <c r="B43" s="73" t="s">
        <v>163</v>
      </c>
      <c r="C43" s="72" t="str">
        <f aca="false">INDEX($N$2:$N$49,SUMPRODUCT(($O$2:$O$49="K")*($T$2:$T$49=2)*ROW($N$2:$N$49))-1)</f>
        <v>COD</v>
      </c>
      <c r="D43" s="72" t="str">
        <f aca="false">VLOOKUP(C43,Clasificacion!$B$2:$C$49,2,FALSE())</f>
        <v>RD Congo</v>
      </c>
      <c r="E43" s="72" t="n">
        <f aca="false">VLOOKUP(C43,Clasificacion!$B$2:$K$49,3,FALSE())</f>
        <v>0</v>
      </c>
      <c r="F43" s="72" t="n">
        <f aca="false">VLOOKUP(C43,Clasificacion!$B$2:$K$49,4,FALSE())</f>
        <v>0</v>
      </c>
      <c r="G43" s="72" t="n">
        <f aca="false">VLOOKUP(C43,Clasificacion!$B$2:$K$49,5,FALSE())</f>
        <v>0</v>
      </c>
      <c r="H43" s="72" t="n">
        <f aca="false">VLOOKUP(C43,Clasificacion!$B$2:$K$49,6,FALSE())</f>
        <v>0</v>
      </c>
      <c r="I43" s="72" t="n">
        <f aca="false">VLOOKUP(C43,Clasificacion!$B$2:$K$49,7,FALSE())</f>
        <v>0</v>
      </c>
      <c r="J43" s="72" t="n">
        <f aca="false">VLOOKUP(C43,Clasificacion!$B$2:$K$49,8,FALSE())</f>
        <v>0</v>
      </c>
      <c r="K43" s="72" t="n">
        <f aca="false">VLOOKUP(C43,Clasificacion!$B$2:$K$49,9,FALSE())</f>
        <v>0</v>
      </c>
      <c r="L43" s="72" t="n">
        <f aca="false">VLOOKUP(C43,Clasificacion!$B$2:$K$49,10,FALSE())</f>
        <v>0</v>
      </c>
      <c r="N43" s="71" t="str">
        <f aca="false">Clasificacion!B43</f>
        <v>COD</v>
      </c>
      <c r="O43" s="71" t="str">
        <f aca="false">Clasificacion!A43</f>
        <v>K</v>
      </c>
      <c r="P43" s="71" t="n">
        <f aca="false">Clasificacion!K43</f>
        <v>0</v>
      </c>
      <c r="Q43" s="71" t="n">
        <f aca="false">Clasificacion!J43</f>
        <v>0</v>
      </c>
      <c r="R43" s="71" t="n">
        <f aca="false">Clasificacion!H43</f>
        <v>0</v>
      </c>
      <c r="S43" s="71" t="n">
        <f aca="false">P43*1000000+Q43*10000+R43*100-ROW()</f>
        <v>-43</v>
      </c>
      <c r="T43" s="71" t="n">
        <f aca="false">SUMPRODUCT(($O$2:$O$49=O43)*($S$2:$S$49&gt;S43))+1</f>
        <v>2</v>
      </c>
    </row>
    <row r="44" customFormat="false" ht="15" hidden="false" customHeight="true" outlineLevel="0" collapsed="false">
      <c r="A44" s="74" t="n">
        <v>3</v>
      </c>
      <c r="B44" s="75" t="s">
        <v>163</v>
      </c>
      <c r="C44" s="74" t="str">
        <f aca="false">INDEX($N$2:$N$49,SUMPRODUCT(($O$2:$O$49="K")*($T$2:$T$49=3)*ROW($N$2:$N$49))-1)</f>
        <v>UZB</v>
      </c>
      <c r="D44" s="74" t="str">
        <f aca="false">VLOOKUP(C44,Clasificacion!$B$2:$C$49,2,FALSE())</f>
        <v>Uzbekistán</v>
      </c>
      <c r="E44" s="74" t="n">
        <f aca="false">VLOOKUP(C44,Clasificacion!$B$2:$K$49,3,FALSE())</f>
        <v>0</v>
      </c>
      <c r="F44" s="74" t="n">
        <f aca="false">VLOOKUP(C44,Clasificacion!$B$2:$K$49,4,FALSE())</f>
        <v>0</v>
      </c>
      <c r="G44" s="74" t="n">
        <f aca="false">VLOOKUP(C44,Clasificacion!$B$2:$K$49,5,FALSE())</f>
        <v>0</v>
      </c>
      <c r="H44" s="74" t="n">
        <f aca="false">VLOOKUP(C44,Clasificacion!$B$2:$K$49,6,FALSE())</f>
        <v>0</v>
      </c>
      <c r="I44" s="74" t="n">
        <f aca="false">VLOOKUP(C44,Clasificacion!$B$2:$K$49,7,FALSE())</f>
        <v>0</v>
      </c>
      <c r="J44" s="74" t="n">
        <f aca="false">VLOOKUP(C44,Clasificacion!$B$2:$K$49,8,FALSE())</f>
        <v>0</v>
      </c>
      <c r="K44" s="74" t="n">
        <f aca="false">VLOOKUP(C44,Clasificacion!$B$2:$K$49,9,FALSE())</f>
        <v>0</v>
      </c>
      <c r="L44" s="74" t="n">
        <f aca="false">VLOOKUP(C44,Clasificacion!$B$2:$K$49,10,FALSE())</f>
        <v>0</v>
      </c>
      <c r="N44" s="71" t="str">
        <f aca="false">Clasificacion!B44</f>
        <v>UZB</v>
      </c>
      <c r="O44" s="71" t="str">
        <f aca="false">Clasificacion!A44</f>
        <v>K</v>
      </c>
      <c r="P44" s="71" t="n">
        <f aca="false">Clasificacion!K44</f>
        <v>0</v>
      </c>
      <c r="Q44" s="71" t="n">
        <f aca="false">Clasificacion!J44</f>
        <v>0</v>
      </c>
      <c r="R44" s="71" t="n">
        <f aca="false">Clasificacion!H44</f>
        <v>0</v>
      </c>
      <c r="S44" s="71" t="n">
        <f aca="false">P44*1000000+Q44*10000+R44*100-ROW()</f>
        <v>-44</v>
      </c>
      <c r="T44" s="71" t="n">
        <f aca="false">SUMPRODUCT(($O$2:$O$49=O44)*($S$2:$S$49&gt;S44))+1</f>
        <v>3</v>
      </c>
    </row>
    <row r="45" customFormat="false" ht="15" hidden="false" customHeight="true" outlineLevel="0" collapsed="false">
      <c r="A45" s="74" t="n">
        <v>4</v>
      </c>
      <c r="B45" s="75" t="s">
        <v>163</v>
      </c>
      <c r="C45" s="74" t="str">
        <f aca="false">INDEX($N$2:$N$49,SUMPRODUCT(($O$2:$O$49="K")*($T$2:$T$49=4)*ROW($N$2:$N$49))-1)</f>
        <v>COL</v>
      </c>
      <c r="D45" s="74" t="str">
        <f aca="false">VLOOKUP(C45,Clasificacion!$B$2:$C$49,2,FALSE())</f>
        <v>Colombia</v>
      </c>
      <c r="E45" s="74" t="n">
        <f aca="false">VLOOKUP(C45,Clasificacion!$B$2:$K$49,3,FALSE())</f>
        <v>0</v>
      </c>
      <c r="F45" s="74" t="n">
        <f aca="false">VLOOKUP(C45,Clasificacion!$B$2:$K$49,4,FALSE())</f>
        <v>0</v>
      </c>
      <c r="G45" s="74" t="n">
        <f aca="false">VLOOKUP(C45,Clasificacion!$B$2:$K$49,5,FALSE())</f>
        <v>0</v>
      </c>
      <c r="H45" s="74" t="n">
        <f aca="false">VLOOKUP(C45,Clasificacion!$B$2:$K$49,6,FALSE())</f>
        <v>0</v>
      </c>
      <c r="I45" s="74" t="n">
        <f aca="false">VLOOKUP(C45,Clasificacion!$B$2:$K$49,7,FALSE())</f>
        <v>0</v>
      </c>
      <c r="J45" s="74" t="n">
        <f aca="false">VLOOKUP(C45,Clasificacion!$B$2:$K$49,8,FALSE())</f>
        <v>0</v>
      </c>
      <c r="K45" s="74" t="n">
        <f aca="false">VLOOKUP(C45,Clasificacion!$B$2:$K$49,9,FALSE())</f>
        <v>0</v>
      </c>
      <c r="L45" s="74" t="n">
        <f aca="false">VLOOKUP(C45,Clasificacion!$B$2:$K$49,10,FALSE())</f>
        <v>0</v>
      </c>
      <c r="N45" s="71" t="str">
        <f aca="false">Clasificacion!B45</f>
        <v>COL</v>
      </c>
      <c r="O45" s="71" t="str">
        <f aca="false">Clasificacion!A45</f>
        <v>K</v>
      </c>
      <c r="P45" s="71" t="n">
        <f aca="false">Clasificacion!K45</f>
        <v>0</v>
      </c>
      <c r="Q45" s="71" t="n">
        <f aca="false">Clasificacion!J45</f>
        <v>0</v>
      </c>
      <c r="R45" s="71" t="n">
        <f aca="false">Clasificacion!H45</f>
        <v>0</v>
      </c>
      <c r="S45" s="71" t="n">
        <f aca="false">P45*1000000+Q45*10000+R45*100-ROW()</f>
        <v>-45</v>
      </c>
      <c r="T45" s="71" t="n">
        <f aca="false">SUMPRODUCT(($O$2:$O$49=O45)*($S$2:$S$49&gt;S45))+1</f>
        <v>4</v>
      </c>
    </row>
    <row r="46" customFormat="false" ht="15" hidden="false" customHeight="true" outlineLevel="0" collapsed="false">
      <c r="A46" s="69" t="n">
        <v>1</v>
      </c>
      <c r="B46" s="70" t="s">
        <v>176</v>
      </c>
      <c r="C46" s="69" t="str">
        <f aca="false">INDEX($N$2:$N$49,SUMPRODUCT(($O$2:$O$49="L")*($T$2:$T$49=1)*ROW($N$2:$N$49))-1)</f>
        <v>ENG</v>
      </c>
      <c r="D46" s="69" t="str">
        <f aca="false">VLOOKUP(C46,Clasificacion!$B$2:$C$49,2,FALSE())</f>
        <v>Inglaterra</v>
      </c>
      <c r="E46" s="69" t="n">
        <f aca="false">VLOOKUP(C46,Clasificacion!$B$2:$K$49,3,FALSE())</f>
        <v>0</v>
      </c>
      <c r="F46" s="69" t="n">
        <f aca="false">VLOOKUP(C46,Clasificacion!$B$2:$K$49,4,FALSE())</f>
        <v>0</v>
      </c>
      <c r="G46" s="69" t="n">
        <f aca="false">VLOOKUP(C46,Clasificacion!$B$2:$K$49,5,FALSE())</f>
        <v>0</v>
      </c>
      <c r="H46" s="69" t="n">
        <f aca="false">VLOOKUP(C46,Clasificacion!$B$2:$K$49,6,FALSE())</f>
        <v>0</v>
      </c>
      <c r="I46" s="69" t="n">
        <f aca="false">VLOOKUP(C46,Clasificacion!$B$2:$K$49,7,FALSE())</f>
        <v>0</v>
      </c>
      <c r="J46" s="69" t="n">
        <f aca="false">VLOOKUP(C46,Clasificacion!$B$2:$K$49,8,FALSE())</f>
        <v>0</v>
      </c>
      <c r="K46" s="69" t="n">
        <f aca="false">VLOOKUP(C46,Clasificacion!$B$2:$K$49,9,FALSE())</f>
        <v>0</v>
      </c>
      <c r="L46" s="69" t="n">
        <f aca="false">VLOOKUP(C46,Clasificacion!$B$2:$K$49,10,FALSE())</f>
        <v>0</v>
      </c>
      <c r="N46" s="71" t="str">
        <f aca="false">Clasificacion!B46</f>
        <v>ENG</v>
      </c>
      <c r="O46" s="71" t="str">
        <f aca="false">Clasificacion!A46</f>
        <v>L</v>
      </c>
      <c r="P46" s="71" t="n">
        <f aca="false">Clasificacion!K46</f>
        <v>0</v>
      </c>
      <c r="Q46" s="71" t="n">
        <f aca="false">Clasificacion!J46</f>
        <v>0</v>
      </c>
      <c r="R46" s="71" t="n">
        <f aca="false">Clasificacion!H46</f>
        <v>0</v>
      </c>
      <c r="S46" s="71" t="n">
        <f aca="false">P46*1000000+Q46*10000+R46*100-ROW()</f>
        <v>-46</v>
      </c>
      <c r="T46" s="71" t="n">
        <f aca="false">SUMPRODUCT(($O$2:$O$49=O46)*($S$2:$S$49&gt;S46))+1</f>
        <v>1</v>
      </c>
    </row>
    <row r="47" customFormat="false" ht="15" hidden="false" customHeight="true" outlineLevel="0" collapsed="false">
      <c r="A47" s="72" t="n">
        <v>2</v>
      </c>
      <c r="B47" s="73" t="s">
        <v>176</v>
      </c>
      <c r="C47" s="72" t="str">
        <f aca="false">INDEX($N$2:$N$49,SUMPRODUCT(($O$2:$O$49="L")*($T$2:$T$49=2)*ROW($N$2:$N$49))-1)</f>
        <v>CRO</v>
      </c>
      <c r="D47" s="72" t="str">
        <f aca="false">VLOOKUP(C47,Clasificacion!$B$2:$C$49,2,FALSE())</f>
        <v>Croacia</v>
      </c>
      <c r="E47" s="72" t="n">
        <f aca="false">VLOOKUP(C47,Clasificacion!$B$2:$K$49,3,FALSE())</f>
        <v>0</v>
      </c>
      <c r="F47" s="72" t="n">
        <f aca="false">VLOOKUP(C47,Clasificacion!$B$2:$K$49,4,FALSE())</f>
        <v>0</v>
      </c>
      <c r="G47" s="72" t="n">
        <f aca="false">VLOOKUP(C47,Clasificacion!$B$2:$K$49,5,FALSE())</f>
        <v>0</v>
      </c>
      <c r="H47" s="72" t="n">
        <f aca="false">VLOOKUP(C47,Clasificacion!$B$2:$K$49,6,FALSE())</f>
        <v>0</v>
      </c>
      <c r="I47" s="72" t="n">
        <f aca="false">VLOOKUP(C47,Clasificacion!$B$2:$K$49,7,FALSE())</f>
        <v>0</v>
      </c>
      <c r="J47" s="72" t="n">
        <f aca="false">VLOOKUP(C47,Clasificacion!$B$2:$K$49,8,FALSE())</f>
        <v>0</v>
      </c>
      <c r="K47" s="72" t="n">
        <f aca="false">VLOOKUP(C47,Clasificacion!$B$2:$K$49,9,FALSE())</f>
        <v>0</v>
      </c>
      <c r="L47" s="72" t="n">
        <f aca="false">VLOOKUP(C47,Clasificacion!$B$2:$K$49,10,FALSE())</f>
        <v>0</v>
      </c>
      <c r="N47" s="71" t="str">
        <f aca="false">Clasificacion!B47</f>
        <v>CRO</v>
      </c>
      <c r="O47" s="71" t="str">
        <f aca="false">Clasificacion!A47</f>
        <v>L</v>
      </c>
      <c r="P47" s="71" t="n">
        <f aca="false">Clasificacion!K47</f>
        <v>0</v>
      </c>
      <c r="Q47" s="71" t="n">
        <f aca="false">Clasificacion!J47</f>
        <v>0</v>
      </c>
      <c r="R47" s="71" t="n">
        <f aca="false">Clasificacion!H47</f>
        <v>0</v>
      </c>
      <c r="S47" s="71" t="n">
        <f aca="false">P47*1000000+Q47*10000+R47*100-ROW()</f>
        <v>-47</v>
      </c>
      <c r="T47" s="71" t="n">
        <f aca="false">SUMPRODUCT(($O$2:$O$49=O47)*($S$2:$S$49&gt;S47))+1</f>
        <v>2</v>
      </c>
    </row>
    <row r="48" customFormat="false" ht="15" hidden="false" customHeight="true" outlineLevel="0" collapsed="false">
      <c r="A48" s="74" t="n">
        <v>3</v>
      </c>
      <c r="B48" s="75" t="s">
        <v>176</v>
      </c>
      <c r="C48" s="74" t="str">
        <f aca="false">INDEX($N$2:$N$49,SUMPRODUCT(($O$2:$O$49="L")*($T$2:$T$49=3)*ROW($N$2:$N$49))-1)</f>
        <v>GHA</v>
      </c>
      <c r="D48" s="74" t="str">
        <f aca="false">VLOOKUP(C48,Clasificacion!$B$2:$C$49,2,FALSE())</f>
        <v>Ghana</v>
      </c>
      <c r="E48" s="74" t="n">
        <f aca="false">VLOOKUP(C48,Clasificacion!$B$2:$K$49,3,FALSE())</f>
        <v>0</v>
      </c>
      <c r="F48" s="74" t="n">
        <f aca="false">VLOOKUP(C48,Clasificacion!$B$2:$K$49,4,FALSE())</f>
        <v>0</v>
      </c>
      <c r="G48" s="74" t="n">
        <f aca="false">VLOOKUP(C48,Clasificacion!$B$2:$K$49,5,FALSE())</f>
        <v>0</v>
      </c>
      <c r="H48" s="74" t="n">
        <f aca="false">VLOOKUP(C48,Clasificacion!$B$2:$K$49,6,FALSE())</f>
        <v>0</v>
      </c>
      <c r="I48" s="74" t="n">
        <f aca="false">VLOOKUP(C48,Clasificacion!$B$2:$K$49,7,FALSE())</f>
        <v>0</v>
      </c>
      <c r="J48" s="74" t="n">
        <f aca="false">VLOOKUP(C48,Clasificacion!$B$2:$K$49,8,FALSE())</f>
        <v>0</v>
      </c>
      <c r="K48" s="74" t="n">
        <f aca="false">VLOOKUP(C48,Clasificacion!$B$2:$K$49,9,FALSE())</f>
        <v>0</v>
      </c>
      <c r="L48" s="74" t="n">
        <f aca="false">VLOOKUP(C48,Clasificacion!$B$2:$K$49,10,FALSE())</f>
        <v>0</v>
      </c>
      <c r="N48" s="71" t="str">
        <f aca="false">Clasificacion!B48</f>
        <v>GHA</v>
      </c>
      <c r="O48" s="71" t="str">
        <f aca="false">Clasificacion!A48</f>
        <v>L</v>
      </c>
      <c r="P48" s="71" t="n">
        <f aca="false">Clasificacion!K48</f>
        <v>0</v>
      </c>
      <c r="Q48" s="71" t="n">
        <f aca="false">Clasificacion!J48</f>
        <v>0</v>
      </c>
      <c r="R48" s="71" t="n">
        <f aca="false">Clasificacion!H48</f>
        <v>0</v>
      </c>
      <c r="S48" s="71" t="n">
        <f aca="false">P48*1000000+Q48*10000+R48*100-ROW()</f>
        <v>-48</v>
      </c>
      <c r="T48" s="71" t="n">
        <f aca="false">SUMPRODUCT(($O$2:$O$49=O48)*($S$2:$S$49&gt;S48))+1</f>
        <v>3</v>
      </c>
    </row>
    <row r="49" customFormat="false" ht="15" hidden="false" customHeight="true" outlineLevel="0" collapsed="false">
      <c r="A49" s="74" t="n">
        <v>4</v>
      </c>
      <c r="B49" s="75" t="s">
        <v>176</v>
      </c>
      <c r="C49" s="74" t="str">
        <f aca="false">INDEX($N$2:$N$49,SUMPRODUCT(($O$2:$O$49="L")*($T$2:$T$49=4)*ROW($N$2:$N$49))-1)</f>
        <v>PAN</v>
      </c>
      <c r="D49" s="74" t="str">
        <f aca="false">VLOOKUP(C49,Clasificacion!$B$2:$C$49,2,FALSE())</f>
        <v>Panamá</v>
      </c>
      <c r="E49" s="74" t="n">
        <f aca="false">VLOOKUP(C49,Clasificacion!$B$2:$K$49,3,FALSE())</f>
        <v>0</v>
      </c>
      <c r="F49" s="74" t="n">
        <f aca="false">VLOOKUP(C49,Clasificacion!$B$2:$K$49,4,FALSE())</f>
        <v>0</v>
      </c>
      <c r="G49" s="74" t="n">
        <f aca="false">VLOOKUP(C49,Clasificacion!$B$2:$K$49,5,FALSE())</f>
        <v>0</v>
      </c>
      <c r="H49" s="74" t="n">
        <f aca="false">VLOOKUP(C49,Clasificacion!$B$2:$K$49,6,FALSE())</f>
        <v>0</v>
      </c>
      <c r="I49" s="74" t="n">
        <f aca="false">VLOOKUP(C49,Clasificacion!$B$2:$K$49,7,FALSE())</f>
        <v>0</v>
      </c>
      <c r="J49" s="74" t="n">
        <f aca="false">VLOOKUP(C49,Clasificacion!$B$2:$K$49,8,FALSE())</f>
        <v>0</v>
      </c>
      <c r="K49" s="74" t="n">
        <f aca="false">VLOOKUP(C49,Clasificacion!$B$2:$K$49,9,FALSE())</f>
        <v>0</v>
      </c>
      <c r="L49" s="74" t="n">
        <f aca="false">VLOOKUP(C49,Clasificacion!$B$2:$K$49,10,FALSE())</f>
        <v>0</v>
      </c>
      <c r="N49" s="71" t="str">
        <f aca="false">Clasificacion!B49</f>
        <v>PAN</v>
      </c>
      <c r="O49" s="71" t="str">
        <f aca="false">Clasificacion!A49</f>
        <v>L</v>
      </c>
      <c r="P49" s="71" t="n">
        <f aca="false">Clasificacion!K49</f>
        <v>0</v>
      </c>
      <c r="Q49" s="71" t="n">
        <f aca="false">Clasificacion!J49</f>
        <v>0</v>
      </c>
      <c r="R49" s="71" t="n">
        <f aca="false">Clasificacion!H49</f>
        <v>0</v>
      </c>
      <c r="S49" s="71" t="n">
        <f aca="false">P49*1000000+Q49*10000+R49*100-ROW()</f>
        <v>-49</v>
      </c>
      <c r="T49" s="71" t="n">
        <f aca="false">SUMPRODUCT(($O$2:$O$49=O49)*($S$2:$S$49&gt;S49))+1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24"/>
    <col collapsed="false" customWidth="true" hidden="false" outlineLevel="0" max="6" min="4" style="1" width="7"/>
    <col collapsed="false" customWidth="true" hidden="false" outlineLevel="0" max="7" min="7" style="1" width="16"/>
    <col collapsed="false" customWidth="true" hidden="false" outlineLevel="0" max="8" min="8" style="1" width="15"/>
    <col collapsed="false" customWidth="true" hidden="false" outlineLevel="0" max="9" min="9" style="1" width="20"/>
  </cols>
  <sheetData>
    <row r="1" customFormat="false" ht="24" hidden="false" customHeight="true" outlineLevel="0" collapsed="false">
      <c r="A1" s="4" t="s">
        <v>29</v>
      </c>
      <c r="B1" s="4" t="s">
        <v>31</v>
      </c>
      <c r="C1" s="4" t="s">
        <v>32</v>
      </c>
      <c r="D1" s="4" t="s">
        <v>380</v>
      </c>
      <c r="E1" s="4" t="s">
        <v>379</v>
      </c>
      <c r="F1" s="4" t="s">
        <v>377</v>
      </c>
      <c r="G1" s="4" t="s">
        <v>381</v>
      </c>
      <c r="H1" s="4" t="s">
        <v>395</v>
      </c>
      <c r="I1" s="4" t="s">
        <v>396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4.25" hidden="false" customHeight="true" outlineLevel="0" collapsed="false">
      <c r="A2" s="1" t="s">
        <v>33</v>
      </c>
      <c r="B2" s="1" t="str">
        <f aca="false">IFERROR(INDEX(Clasificacion!$B$2:$B$49,SUMPRODUCT((Clasificacion!$A$2:$A$49=A2)*(Clasificacion!$M$2:$M$49=3)*(ROW(Clasificacion!$B$2:$B$49)-ROW(Clasificacion!$B$2)+1))),"")</f>
        <v>MEX</v>
      </c>
      <c r="C2" s="1" t="str">
        <f aca="false">IF(B2="","",INDEX(Clasificacion!$C$2:$C$49,MATCH(B2,Clasificacion!$B$2:$B$49,0)))</f>
        <v>México</v>
      </c>
      <c r="D2" s="1" t="n">
        <f aca="false">IF(B2="","",INDEX(Clasificacion!$K$2:$K$49,MATCH(B2,Clasificacion!$B$2:$B$49,0)))</f>
        <v>3</v>
      </c>
      <c r="E2" s="1" t="n">
        <f aca="false">IF(B2="","",INDEX(Clasificacion!$J$2:$J$49,MATCH(B2,Clasificacion!$B$2:$B$49,0)))</f>
        <v>2</v>
      </c>
      <c r="F2" s="1" t="n">
        <f aca="false">IF(B2="","",INDEX(Clasificacion!$H$2:$H$49,MATCH(B2,Clasificacion!$B$2:$B$49,0)))</f>
        <v>2</v>
      </c>
      <c r="G2" s="1" t="n">
        <f aca="false">IF(B2="","",INDEX(Clasificacion!$L$2:$L$49,MATCH(B2,Clasificacion!$B$2:$B$49,0)))</f>
        <v>0</v>
      </c>
      <c r="H2" s="1" t="n">
        <f aca="false">IF(B2="","",1+COUNTIFS($D$2:$D$13,"&gt;"&amp;D2)+COUNTIFS($D$2:$D$13,D2,$G$2:$G$13,"&gt;"&amp;G2)+COUNTIFS($D$2:$D$13,D2,$G$2:$G$13,G2,$E$2:$E$13,"&gt;"&amp;E2)+COUNTIFS($D$2:$D$13,D2,$G$2:$G$13,G2,$E$2:$E$13,E2,$F$2:$F$13,"&gt;"&amp;F2)+SUMPRODUCT(($D$2:$D$13=D2)*($G$2:$G$13=G2)*($E$2:$E$13=E2)*($F$2:$F$13=F2)*(ROW($A$2:$A$13)&lt;ROW(A2))))</f>
        <v>1</v>
      </c>
      <c r="I2" s="1" t="str">
        <f aca="false">IF(H2="","",IF(H2&lt;=8,"Sí","No"))</f>
        <v>Sí</v>
      </c>
    </row>
    <row r="3" customFormat="false" ht="14.25" hidden="false" customHeight="true" outlineLevel="0" collapsed="false">
      <c r="A3" s="1" t="s">
        <v>46</v>
      </c>
      <c r="B3" s="1" t="str">
        <f aca="false">IFERROR(INDEX(Clasificacion!$B$2:$B$49,SUMPRODUCT((Clasificacion!$A$2:$A$49=A3)*(Clasificacion!$M$2:$M$49=3)*(ROW(Clasificacion!$B$2:$B$49)-ROW(Clasificacion!$B$2)+1))),"")</f>
        <v>RSA</v>
      </c>
      <c r="C3" s="1" t="str">
        <f aca="false">IF(B3="","",INDEX(Clasificacion!$C$2:$C$49,MATCH(B3,Clasificacion!$B$2:$B$49,0)))</f>
        <v>Sudáfrica</v>
      </c>
      <c r="D3" s="1" t="n">
        <f aca="false">IF(B3="","",INDEX(Clasificacion!$K$2:$K$49,MATCH(B3,Clasificacion!$B$2:$B$49,0)))</f>
        <v>0</v>
      </c>
      <c r="E3" s="1" t="n">
        <f aca="false">IF(B3="","",INDEX(Clasificacion!$J$2:$J$49,MATCH(B3,Clasificacion!$B$2:$B$49,0)))</f>
        <v>-2</v>
      </c>
      <c r="F3" s="1" t="n">
        <f aca="false">IF(B3="","",INDEX(Clasificacion!$H$2:$H$49,MATCH(B3,Clasificacion!$B$2:$B$49,0)))</f>
        <v>0</v>
      </c>
      <c r="G3" s="1" t="n">
        <f aca="false">IF(B3="","",INDEX(Clasificacion!$L$2:$L$49,MATCH(B3,Clasificacion!$B$2:$B$49,0)))</f>
        <v>0</v>
      </c>
      <c r="H3" s="1" t="n">
        <f aca="false">IF(B3="","",1+COUNTIFS($D$2:$D$13,"&gt;"&amp;D3)+COUNTIFS($D$2:$D$13,D3,$G$2:$G$13,"&gt;"&amp;G3)+COUNTIFS($D$2:$D$13,D3,$G$2:$G$13,G3,$E$2:$E$13,"&gt;"&amp;E3)+COUNTIFS($D$2:$D$13,D3,$G$2:$G$13,G3,$E$2:$E$13,E3,$F$2:$F$13,"&gt;"&amp;F3)+SUMPRODUCT(($D$2:$D$13=D3)*($G$2:$G$13=G3)*($E$2:$E$13=E3)*($F$2:$F$13=F3)*(ROW($A$2:$A$13)&lt;ROW(A3))))</f>
        <v>12</v>
      </c>
      <c r="I3" s="1" t="str">
        <f aca="false">IF(H3="","",IF(H3&lt;=8,"Sí","No"))</f>
        <v>No</v>
      </c>
    </row>
    <row r="4" customFormat="false" ht="14.25" hidden="false" customHeight="true" outlineLevel="0" collapsed="false">
      <c r="A4" s="1" t="s">
        <v>59</v>
      </c>
      <c r="B4" s="1" t="str">
        <f aca="false">IFERROR(INDEX(Clasificacion!$B$2:$B$49,SUMPRODUCT((Clasificacion!$A$2:$A$49=A4)*(Clasificacion!$M$2:$M$49=3)*(ROW(Clasificacion!$B$2:$B$49)-ROW(Clasificacion!$B$2)+1))),"")</f>
        <v>KOR</v>
      </c>
      <c r="C4" s="1" t="str">
        <f aca="false">IF(B4="","",INDEX(Clasificacion!$C$2:$C$49,MATCH(B4,Clasificacion!$B$2:$B$49,0)))</f>
        <v>Corea República</v>
      </c>
      <c r="D4" s="1" t="n">
        <f aca="false">IF(B4="","",INDEX(Clasificacion!$K$2:$K$49,MATCH(B4,Clasificacion!$B$2:$B$49,0)))</f>
        <v>0</v>
      </c>
      <c r="E4" s="1" t="n">
        <f aca="false">IF(B4="","",INDEX(Clasificacion!$J$2:$J$49,MATCH(B4,Clasificacion!$B$2:$B$49,0)))</f>
        <v>0</v>
      </c>
      <c r="F4" s="1" t="n">
        <f aca="false">IF(B4="","",INDEX(Clasificacion!$H$2:$H$49,MATCH(B4,Clasificacion!$B$2:$B$49,0)))</f>
        <v>0</v>
      </c>
      <c r="G4" s="1" t="n">
        <f aca="false">IF(B4="","",INDEX(Clasificacion!$L$2:$L$49,MATCH(B4,Clasificacion!$B$2:$B$49,0)))</f>
        <v>0</v>
      </c>
      <c r="H4" s="1" t="n">
        <f aca="false">IF(B4="","",1+COUNTIFS($D$2:$D$13,"&gt;"&amp;D4)+COUNTIFS($D$2:$D$13,D4,$G$2:$G$13,"&gt;"&amp;G4)+COUNTIFS($D$2:$D$13,D4,$G$2:$G$13,G4,$E$2:$E$13,"&gt;"&amp;E4)+COUNTIFS($D$2:$D$13,D4,$G$2:$G$13,G4,$E$2:$E$13,E4,$F$2:$F$13,"&gt;"&amp;F4)+SUMPRODUCT(($D$2:$D$13=D4)*($G$2:$G$13=G4)*($E$2:$E$13=E4)*($F$2:$F$13=F4)*(ROW($A$2:$A$13)&lt;ROW(A4))))</f>
        <v>2</v>
      </c>
      <c r="I4" s="1" t="str">
        <f aca="false">IF(H4="","",IF(H4&lt;=8,"Sí","No"))</f>
        <v>Sí</v>
      </c>
    </row>
    <row r="5" customFormat="false" ht="14.25" hidden="false" customHeight="true" outlineLevel="0" collapsed="false">
      <c r="A5" s="1" t="s">
        <v>72</v>
      </c>
      <c r="B5" s="1" t="str">
        <f aca="false">IFERROR(INDEX(Clasificacion!$B$2:$B$49,SUMPRODUCT((Clasificacion!$A$2:$A$49=A5)*(Clasificacion!$M$2:$M$49=3)*(ROW(Clasificacion!$B$2:$B$49)-ROW(Clasificacion!$B$2)+1))),"")</f>
        <v>CZE</v>
      </c>
      <c r="C5" s="1" t="str">
        <f aca="false">IF(B5="","",INDEX(Clasificacion!$C$2:$C$49,MATCH(B5,Clasificacion!$B$2:$B$49,0)))</f>
        <v>Chequia</v>
      </c>
      <c r="D5" s="1" t="n">
        <f aca="false">IF(B5="","",INDEX(Clasificacion!$K$2:$K$49,MATCH(B5,Clasificacion!$B$2:$B$49,0)))</f>
        <v>0</v>
      </c>
      <c r="E5" s="1" t="n">
        <f aca="false">IF(B5="","",INDEX(Clasificacion!$J$2:$J$49,MATCH(B5,Clasificacion!$B$2:$B$49,0)))</f>
        <v>0</v>
      </c>
      <c r="F5" s="1" t="n">
        <f aca="false">IF(B5="","",INDEX(Clasificacion!$H$2:$H$49,MATCH(B5,Clasificacion!$B$2:$B$49,0)))</f>
        <v>0</v>
      </c>
      <c r="G5" s="1" t="n">
        <f aca="false">IF(B5="","",INDEX(Clasificacion!$L$2:$L$49,MATCH(B5,Clasificacion!$B$2:$B$49,0)))</f>
        <v>0</v>
      </c>
      <c r="H5" s="1" t="n">
        <f aca="false">IF(B5="","",1+COUNTIFS($D$2:$D$13,"&gt;"&amp;D5)+COUNTIFS($D$2:$D$13,D5,$G$2:$G$13,"&gt;"&amp;G5)+COUNTIFS($D$2:$D$13,D5,$G$2:$G$13,G5,$E$2:$E$13,"&gt;"&amp;E5)+COUNTIFS($D$2:$D$13,D5,$G$2:$G$13,G5,$E$2:$E$13,E5,$F$2:$F$13,"&gt;"&amp;F5)+SUMPRODUCT(($D$2:$D$13=D5)*($G$2:$G$13=G5)*($E$2:$E$13=E5)*($F$2:$F$13=F5)*(ROW($A$2:$A$13)&lt;ROW(A5))))</f>
        <v>3</v>
      </c>
      <c r="I5" s="1" t="str">
        <f aca="false">IF(H5="","",IF(H5&lt;=8,"Sí","No"))</f>
        <v>Sí</v>
      </c>
    </row>
    <row r="6" customFormat="false" ht="14.25" hidden="false" customHeight="true" outlineLevel="0" collapsed="false">
      <c r="A6" s="1" t="s">
        <v>85</v>
      </c>
      <c r="B6" s="1" t="str">
        <f aca="false">IFERROR(INDEX(Clasificacion!$B$2:$B$49,SUMPRODUCT((Clasificacion!$A$2:$A$49=A6)*(Clasificacion!$M$2:$M$49=3)*(ROW(Clasificacion!$B$2:$B$49)-ROW(Clasificacion!$B$2)+1))),"")</f>
        <v>CAN</v>
      </c>
      <c r="C6" s="1" t="str">
        <f aca="false">IF(B6="","",INDEX(Clasificacion!$C$2:$C$49,MATCH(B6,Clasificacion!$B$2:$B$49,0)))</f>
        <v>Canadá</v>
      </c>
      <c r="D6" s="1" t="n">
        <f aca="false">IF(B6="","",INDEX(Clasificacion!$K$2:$K$49,MATCH(B6,Clasificacion!$B$2:$B$49,0)))</f>
        <v>0</v>
      </c>
      <c r="E6" s="1" t="n">
        <f aca="false">IF(B6="","",INDEX(Clasificacion!$J$2:$J$49,MATCH(B6,Clasificacion!$B$2:$B$49,0)))</f>
        <v>0</v>
      </c>
      <c r="F6" s="1" t="n">
        <f aca="false">IF(B6="","",INDEX(Clasificacion!$H$2:$H$49,MATCH(B6,Clasificacion!$B$2:$B$49,0)))</f>
        <v>0</v>
      </c>
      <c r="G6" s="1" t="n">
        <f aca="false">IF(B6="","",INDEX(Clasificacion!$L$2:$L$49,MATCH(B6,Clasificacion!$B$2:$B$49,0)))</f>
        <v>0</v>
      </c>
      <c r="H6" s="1" t="n">
        <f aca="false">IF(B6="","",1+COUNTIFS($D$2:$D$13,"&gt;"&amp;D6)+COUNTIFS($D$2:$D$13,D6,$G$2:$G$13,"&gt;"&amp;G6)+COUNTIFS($D$2:$D$13,D6,$G$2:$G$13,G6,$E$2:$E$13,"&gt;"&amp;E6)+COUNTIFS($D$2:$D$13,D6,$G$2:$G$13,G6,$E$2:$E$13,E6,$F$2:$F$13,"&gt;"&amp;F6)+SUMPRODUCT(($D$2:$D$13=D6)*($G$2:$G$13=G6)*($E$2:$E$13=E6)*($F$2:$F$13=F6)*(ROW($A$2:$A$13)&lt;ROW(A6))))</f>
        <v>4</v>
      </c>
      <c r="I6" s="1" t="str">
        <f aca="false">IF(H6="","",IF(H6&lt;=8,"Sí","No"))</f>
        <v>Sí</v>
      </c>
    </row>
    <row r="7" customFormat="false" ht="14.25" hidden="false" customHeight="true" outlineLevel="0" collapsed="false">
      <c r="A7" s="1" t="s">
        <v>98</v>
      </c>
      <c r="B7" s="1" t="str">
        <f aca="false">IFERROR(INDEX(Clasificacion!$B$2:$B$49,SUMPRODUCT((Clasificacion!$A$2:$A$49=A7)*(Clasificacion!$M$2:$M$49=3)*(ROW(Clasificacion!$B$2:$B$49)-ROW(Clasificacion!$B$2)+1))),"")</f>
        <v>BIH</v>
      </c>
      <c r="C7" s="1" t="str">
        <f aca="false">IF(B7="","",INDEX(Clasificacion!$C$2:$C$49,MATCH(B7,Clasificacion!$B$2:$B$49,0)))</f>
        <v>Bosnia y Herzegovina</v>
      </c>
      <c r="D7" s="1" t="n">
        <f aca="false">IF(B7="","",INDEX(Clasificacion!$K$2:$K$49,MATCH(B7,Clasificacion!$B$2:$B$49,0)))</f>
        <v>0</v>
      </c>
      <c r="E7" s="1" t="n">
        <f aca="false">IF(B7="","",INDEX(Clasificacion!$J$2:$J$49,MATCH(B7,Clasificacion!$B$2:$B$49,0)))</f>
        <v>0</v>
      </c>
      <c r="F7" s="1" t="n">
        <f aca="false">IF(B7="","",INDEX(Clasificacion!$H$2:$H$49,MATCH(B7,Clasificacion!$B$2:$B$49,0)))</f>
        <v>0</v>
      </c>
      <c r="G7" s="1" t="n">
        <f aca="false">IF(B7="","",INDEX(Clasificacion!$L$2:$L$49,MATCH(B7,Clasificacion!$B$2:$B$49,0)))</f>
        <v>0</v>
      </c>
      <c r="H7" s="1" t="n">
        <f aca="false">IF(B7="","",1+COUNTIFS($D$2:$D$13,"&gt;"&amp;D7)+COUNTIFS($D$2:$D$13,D7,$G$2:$G$13,"&gt;"&amp;G7)+COUNTIFS($D$2:$D$13,D7,$G$2:$G$13,G7,$E$2:$E$13,"&gt;"&amp;E7)+COUNTIFS($D$2:$D$13,D7,$G$2:$G$13,G7,$E$2:$E$13,E7,$F$2:$F$13,"&gt;"&amp;F7)+SUMPRODUCT(($D$2:$D$13=D7)*($G$2:$G$13=G7)*($E$2:$E$13=E7)*($F$2:$F$13=F7)*(ROW($A$2:$A$13)&lt;ROW(A7))))</f>
        <v>5</v>
      </c>
      <c r="I7" s="1" t="str">
        <f aca="false">IF(H7="","",IF(H7&lt;=8,"Sí","No"))</f>
        <v>Sí</v>
      </c>
    </row>
    <row r="8" customFormat="false" ht="14.25" hidden="false" customHeight="true" outlineLevel="0" collapsed="false">
      <c r="A8" s="1" t="s">
        <v>111</v>
      </c>
      <c r="B8" s="1" t="str">
        <f aca="false">IFERROR(INDEX(Clasificacion!$B$2:$B$49,SUMPRODUCT((Clasificacion!$A$2:$A$49=A8)*(Clasificacion!$M$2:$M$49=3)*(ROW(Clasificacion!$B$2:$B$49)-ROW(Clasificacion!$B$2)+1))),"")</f>
        <v>QAT</v>
      </c>
      <c r="C8" s="1" t="str">
        <f aca="false">IF(B8="","",INDEX(Clasificacion!$C$2:$C$49,MATCH(B8,Clasificacion!$B$2:$B$49,0)))</f>
        <v>Qatar</v>
      </c>
      <c r="D8" s="1" t="n">
        <f aca="false">IF(B8="","",INDEX(Clasificacion!$K$2:$K$49,MATCH(B8,Clasificacion!$B$2:$B$49,0)))</f>
        <v>0</v>
      </c>
      <c r="E8" s="1" t="n">
        <f aca="false">IF(B8="","",INDEX(Clasificacion!$J$2:$J$49,MATCH(B8,Clasificacion!$B$2:$B$49,0)))</f>
        <v>0</v>
      </c>
      <c r="F8" s="1" t="n">
        <f aca="false">IF(B8="","",INDEX(Clasificacion!$H$2:$H$49,MATCH(B8,Clasificacion!$B$2:$B$49,0)))</f>
        <v>0</v>
      </c>
      <c r="G8" s="1" t="n">
        <f aca="false">IF(B8="","",INDEX(Clasificacion!$L$2:$L$49,MATCH(B8,Clasificacion!$B$2:$B$49,0)))</f>
        <v>0</v>
      </c>
      <c r="H8" s="1" t="n">
        <f aca="false">IF(B8="","",1+COUNTIFS($D$2:$D$13,"&gt;"&amp;D8)+COUNTIFS($D$2:$D$13,D8,$G$2:$G$13,"&gt;"&amp;G8)+COUNTIFS($D$2:$D$13,D8,$G$2:$G$13,G8,$E$2:$E$13,"&gt;"&amp;E8)+COUNTIFS($D$2:$D$13,D8,$G$2:$G$13,G8,$E$2:$E$13,E8,$F$2:$F$13,"&gt;"&amp;F8)+SUMPRODUCT(($D$2:$D$13=D8)*($G$2:$G$13=G8)*($E$2:$E$13=E8)*($F$2:$F$13=F8)*(ROW($A$2:$A$13)&lt;ROW(A8))))</f>
        <v>6</v>
      </c>
      <c r="I8" s="1" t="str">
        <f aca="false">IF(H8="","",IF(H8&lt;=8,"Sí","No"))</f>
        <v>Sí</v>
      </c>
    </row>
    <row r="9" customFormat="false" ht="14.25" hidden="false" customHeight="true" outlineLevel="0" collapsed="false">
      <c r="A9" s="1" t="s">
        <v>124</v>
      </c>
      <c r="B9" s="1" t="str">
        <f aca="false">IFERROR(INDEX(Clasificacion!$B$2:$B$49,SUMPRODUCT((Clasificacion!$A$2:$A$49=A9)*(Clasificacion!$M$2:$M$49=3)*(ROW(Clasificacion!$B$2:$B$49)-ROW(Clasificacion!$B$2)+1))),"")</f>
        <v>SUI</v>
      </c>
      <c r="C9" s="1" t="str">
        <f aca="false">IF(B9="","",INDEX(Clasificacion!$C$2:$C$49,MATCH(B9,Clasificacion!$B$2:$B$49,0)))</f>
        <v>Suiza</v>
      </c>
      <c r="D9" s="1" t="n">
        <f aca="false">IF(B9="","",INDEX(Clasificacion!$K$2:$K$49,MATCH(B9,Clasificacion!$B$2:$B$49,0)))</f>
        <v>0</v>
      </c>
      <c r="E9" s="1" t="n">
        <f aca="false">IF(B9="","",INDEX(Clasificacion!$J$2:$J$49,MATCH(B9,Clasificacion!$B$2:$B$49,0)))</f>
        <v>0</v>
      </c>
      <c r="F9" s="1" t="n">
        <f aca="false">IF(B9="","",INDEX(Clasificacion!$H$2:$H$49,MATCH(B9,Clasificacion!$B$2:$B$49,0)))</f>
        <v>0</v>
      </c>
      <c r="G9" s="1" t="n">
        <f aca="false">IF(B9="","",INDEX(Clasificacion!$L$2:$L$49,MATCH(B9,Clasificacion!$B$2:$B$49,0)))</f>
        <v>0</v>
      </c>
      <c r="H9" s="1" t="n">
        <f aca="false">IF(B9="","",1+COUNTIFS($D$2:$D$13,"&gt;"&amp;D9)+COUNTIFS($D$2:$D$13,D9,$G$2:$G$13,"&gt;"&amp;G9)+COUNTIFS($D$2:$D$13,D9,$G$2:$G$13,G9,$E$2:$E$13,"&gt;"&amp;E9)+COUNTIFS($D$2:$D$13,D9,$G$2:$G$13,G9,$E$2:$E$13,E9,$F$2:$F$13,"&gt;"&amp;F9)+SUMPRODUCT(($D$2:$D$13=D9)*($G$2:$G$13=G9)*($E$2:$E$13=E9)*($F$2:$F$13=F9)*(ROW($A$2:$A$13)&lt;ROW(A9))))</f>
        <v>7</v>
      </c>
      <c r="I9" s="1" t="str">
        <f aca="false">IF(H9="","",IF(H9&lt;=8,"Sí","No"))</f>
        <v>Sí</v>
      </c>
    </row>
    <row r="10" customFormat="false" ht="14.25" hidden="false" customHeight="true" outlineLevel="0" collapsed="false">
      <c r="A10" s="1" t="s">
        <v>137</v>
      </c>
      <c r="B10" s="1" t="str">
        <f aca="false">IFERROR(INDEX(Clasificacion!$B$2:$B$49,SUMPRODUCT((Clasificacion!$A$2:$A$49=A10)*(Clasificacion!$M$2:$M$49=3)*(ROW(Clasificacion!$B$2:$B$49)-ROW(Clasificacion!$B$2)+1))),"")</f>
        <v>BRA</v>
      </c>
      <c r="C10" s="1" t="str">
        <f aca="false">IF(B10="","",INDEX(Clasificacion!$C$2:$C$49,MATCH(B10,Clasificacion!$B$2:$B$49,0)))</f>
        <v>Brasil</v>
      </c>
      <c r="D10" s="1" t="n">
        <f aca="false">IF(B10="","",INDEX(Clasificacion!$K$2:$K$49,MATCH(B10,Clasificacion!$B$2:$B$49,0)))</f>
        <v>0</v>
      </c>
      <c r="E10" s="1" t="n">
        <f aca="false">IF(B10="","",INDEX(Clasificacion!$J$2:$J$49,MATCH(B10,Clasificacion!$B$2:$B$49,0)))</f>
        <v>0</v>
      </c>
      <c r="F10" s="1" t="n">
        <f aca="false">IF(B10="","",INDEX(Clasificacion!$H$2:$H$49,MATCH(B10,Clasificacion!$B$2:$B$49,0)))</f>
        <v>0</v>
      </c>
      <c r="G10" s="1" t="n">
        <f aca="false">IF(B10="","",INDEX(Clasificacion!$L$2:$L$49,MATCH(B10,Clasificacion!$B$2:$B$49,0)))</f>
        <v>0</v>
      </c>
      <c r="H10" s="1" t="n">
        <f aca="false">IF(B10="","",1+COUNTIFS($D$2:$D$13,"&gt;"&amp;D10)+COUNTIFS($D$2:$D$13,D10,$G$2:$G$13,"&gt;"&amp;G10)+COUNTIFS($D$2:$D$13,D10,$G$2:$G$13,G10,$E$2:$E$13,"&gt;"&amp;E10)+COUNTIFS($D$2:$D$13,D10,$G$2:$G$13,G10,$E$2:$E$13,E10,$F$2:$F$13,"&gt;"&amp;F10)+SUMPRODUCT(($D$2:$D$13=D10)*($G$2:$G$13=G10)*($E$2:$E$13=E10)*($F$2:$F$13=F10)*(ROW($A$2:$A$13)&lt;ROW(A10))))</f>
        <v>8</v>
      </c>
      <c r="I10" s="1" t="str">
        <f aca="false">IF(H10="","",IF(H10&lt;=8,"Sí","No"))</f>
        <v>Sí</v>
      </c>
    </row>
    <row r="11" customFormat="false" ht="14.25" hidden="false" customHeight="true" outlineLevel="0" collapsed="false">
      <c r="A11" s="1" t="s">
        <v>150</v>
      </c>
      <c r="B11" s="1" t="str">
        <f aca="false">IFERROR(INDEX(Clasificacion!$B$2:$B$49,SUMPRODUCT((Clasificacion!$A$2:$A$49=A11)*(Clasificacion!$M$2:$M$49=3)*(ROW(Clasificacion!$B$2:$B$49)-ROW(Clasificacion!$B$2)+1))),"")</f>
        <v>MAR</v>
      </c>
      <c r="C11" s="1" t="str">
        <f aca="false">IF(B11="","",INDEX(Clasificacion!$C$2:$C$49,MATCH(B11,Clasificacion!$B$2:$B$49,0)))</f>
        <v>Marruecos</v>
      </c>
      <c r="D11" s="1" t="n">
        <f aca="false">IF(B11="","",INDEX(Clasificacion!$K$2:$K$49,MATCH(B11,Clasificacion!$B$2:$B$49,0)))</f>
        <v>0</v>
      </c>
      <c r="E11" s="1" t="n">
        <f aca="false">IF(B11="","",INDEX(Clasificacion!$J$2:$J$49,MATCH(B11,Clasificacion!$B$2:$B$49,0)))</f>
        <v>0</v>
      </c>
      <c r="F11" s="1" t="n">
        <f aca="false">IF(B11="","",INDEX(Clasificacion!$H$2:$H$49,MATCH(B11,Clasificacion!$B$2:$B$49,0)))</f>
        <v>0</v>
      </c>
      <c r="G11" s="1" t="n">
        <f aca="false">IF(B11="","",INDEX(Clasificacion!$L$2:$L$49,MATCH(B11,Clasificacion!$B$2:$B$49,0)))</f>
        <v>0</v>
      </c>
      <c r="H11" s="1" t="n">
        <f aca="false">IF(B11="","",1+COUNTIFS($D$2:$D$13,"&gt;"&amp;D11)+COUNTIFS($D$2:$D$13,D11,$G$2:$G$13,"&gt;"&amp;G11)+COUNTIFS($D$2:$D$13,D11,$G$2:$G$13,G11,$E$2:$E$13,"&gt;"&amp;E11)+COUNTIFS($D$2:$D$13,D11,$G$2:$G$13,G11,$E$2:$E$13,E11,$F$2:$F$13,"&gt;"&amp;F11)+SUMPRODUCT(($D$2:$D$13=D11)*($G$2:$G$13=G11)*($E$2:$E$13=E11)*($F$2:$F$13=F11)*(ROW($A$2:$A$13)&lt;ROW(A11))))</f>
        <v>9</v>
      </c>
      <c r="I11" s="1" t="str">
        <f aca="false">IF(H11="","",IF(H11&lt;=8,"Sí","No"))</f>
        <v>No</v>
      </c>
    </row>
    <row r="12" customFormat="false" ht="14.25" hidden="false" customHeight="true" outlineLevel="0" collapsed="false">
      <c r="A12" s="1" t="s">
        <v>163</v>
      </c>
      <c r="B12" s="1" t="str">
        <f aca="false">IFERROR(INDEX(Clasificacion!$B$2:$B$49,SUMPRODUCT((Clasificacion!$A$2:$A$49=A12)*(Clasificacion!$M$2:$M$49=3)*(ROW(Clasificacion!$B$2:$B$49)-ROW(Clasificacion!$B$2)+1))),"")</f>
        <v>HAI</v>
      </c>
      <c r="C12" s="1" t="str">
        <f aca="false">IF(B12="","",INDEX(Clasificacion!$C$2:$C$49,MATCH(B12,Clasificacion!$B$2:$B$49,0)))</f>
        <v>Haití</v>
      </c>
      <c r="D12" s="1" t="n">
        <f aca="false">IF(B12="","",INDEX(Clasificacion!$K$2:$K$49,MATCH(B12,Clasificacion!$B$2:$B$49,0)))</f>
        <v>0</v>
      </c>
      <c r="E12" s="1" t="n">
        <f aca="false">IF(B12="","",INDEX(Clasificacion!$J$2:$J$49,MATCH(B12,Clasificacion!$B$2:$B$49,0)))</f>
        <v>0</v>
      </c>
      <c r="F12" s="1" t="n">
        <f aca="false">IF(B12="","",INDEX(Clasificacion!$H$2:$H$49,MATCH(B12,Clasificacion!$B$2:$B$49,0)))</f>
        <v>0</v>
      </c>
      <c r="G12" s="1" t="n">
        <f aca="false">IF(B12="","",INDEX(Clasificacion!$L$2:$L$49,MATCH(B12,Clasificacion!$B$2:$B$49,0)))</f>
        <v>0</v>
      </c>
      <c r="H12" s="1" t="n">
        <f aca="false">IF(B12="","",1+COUNTIFS($D$2:$D$13,"&gt;"&amp;D12)+COUNTIFS($D$2:$D$13,D12,$G$2:$G$13,"&gt;"&amp;G12)+COUNTIFS($D$2:$D$13,D12,$G$2:$G$13,G12,$E$2:$E$13,"&gt;"&amp;E12)+COUNTIFS($D$2:$D$13,D12,$G$2:$G$13,G12,$E$2:$E$13,E12,$F$2:$F$13,"&gt;"&amp;F12)+SUMPRODUCT(($D$2:$D$13=D12)*($G$2:$G$13=G12)*($E$2:$E$13=E12)*($F$2:$F$13=F12)*(ROW($A$2:$A$13)&lt;ROW(A12))))</f>
        <v>10</v>
      </c>
      <c r="I12" s="1" t="str">
        <f aca="false">IF(H12="","",IF(H12&lt;=8,"Sí","No"))</f>
        <v>No</v>
      </c>
    </row>
    <row r="13" customFormat="false" ht="14.25" hidden="false" customHeight="true" outlineLevel="0" collapsed="false">
      <c r="A13" s="1" t="s">
        <v>176</v>
      </c>
      <c r="B13" s="1" t="str">
        <f aca="false">IFERROR(INDEX(Clasificacion!$B$2:$B$49,SUMPRODUCT((Clasificacion!$A$2:$A$49=A13)*(Clasificacion!$M$2:$M$49=3)*(ROW(Clasificacion!$B$2:$B$49)-ROW(Clasificacion!$B$2)+1))),"")</f>
        <v>SCO</v>
      </c>
      <c r="C13" s="1" t="str">
        <f aca="false">IF(B13="","",INDEX(Clasificacion!$C$2:$C$49,MATCH(B13,Clasificacion!$B$2:$B$49,0)))</f>
        <v>Escocia</v>
      </c>
      <c r="D13" s="1" t="n">
        <f aca="false">IF(B13="","",INDEX(Clasificacion!$K$2:$K$49,MATCH(B13,Clasificacion!$B$2:$B$49,0)))</f>
        <v>0</v>
      </c>
      <c r="E13" s="1" t="n">
        <f aca="false">IF(B13="","",INDEX(Clasificacion!$J$2:$J$49,MATCH(B13,Clasificacion!$B$2:$B$49,0)))</f>
        <v>0</v>
      </c>
      <c r="F13" s="1" t="n">
        <f aca="false">IF(B13="","",INDEX(Clasificacion!$H$2:$H$49,MATCH(B13,Clasificacion!$B$2:$B$49,0)))</f>
        <v>0</v>
      </c>
      <c r="G13" s="1" t="n">
        <f aca="false">IF(B13="","",INDEX(Clasificacion!$L$2:$L$49,MATCH(B13,Clasificacion!$B$2:$B$49,0)))</f>
        <v>0</v>
      </c>
      <c r="H13" s="1" t="n">
        <f aca="false">IF(B13="","",1+COUNTIFS($D$2:$D$13,"&gt;"&amp;D13)+COUNTIFS($D$2:$D$13,D13,$G$2:$G$13,"&gt;"&amp;G13)+COUNTIFS($D$2:$D$13,D13,$G$2:$G$13,G13,$E$2:$E$13,"&gt;"&amp;E13)+COUNTIFS($D$2:$D$13,D13,$G$2:$G$13,G13,$E$2:$E$13,E13,$F$2:$F$13,"&gt;"&amp;F13)+SUMPRODUCT(($D$2:$D$13=D13)*($G$2:$G$13=G13)*($E$2:$E$13=E13)*($F$2:$F$13=F13)*(ROW($A$2:$A$13)&lt;ROW(A13))))</f>
        <v>11</v>
      </c>
      <c r="I13" s="1" t="str">
        <f aca="false">IF(H13="","",IF(H13&lt;=8,"Sí","No"))</f>
        <v>No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7" min="5" style="1" width="24"/>
    <col collapsed="false" customWidth="true" hidden="false" outlineLevel="0" max="8" min="8" style="1" width="22"/>
  </cols>
  <sheetData>
    <row r="1" customFormat="false" ht="24" hidden="false" customHeight="true" outlineLevel="0" collapsed="false">
      <c r="A1" s="4" t="s">
        <v>244</v>
      </c>
      <c r="B1" s="33" t="s">
        <v>245</v>
      </c>
      <c r="C1" s="4" t="s">
        <v>246</v>
      </c>
      <c r="D1" s="4" t="s">
        <v>247</v>
      </c>
      <c r="E1" s="4" t="s">
        <v>397</v>
      </c>
      <c r="F1" s="4" t="s">
        <v>398</v>
      </c>
      <c r="G1" s="4" t="s">
        <v>253</v>
      </c>
      <c r="H1" s="4" t="s">
        <v>399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4.25" hidden="false" customHeight="true" outlineLevel="0" collapsed="false">
      <c r="A2" s="1" t="n">
        <v>73</v>
      </c>
      <c r="B2" s="1" t="n">
        <v>46201</v>
      </c>
      <c r="C2" s="1" t="s">
        <v>260</v>
      </c>
      <c r="D2" s="1" t="s">
        <v>292</v>
      </c>
      <c r="E2" s="1" t="s">
        <v>293</v>
      </c>
      <c r="F2" s="1" t="s">
        <v>294</v>
      </c>
      <c r="G2" s="1" t="s">
        <v>268</v>
      </c>
      <c r="H2" s="1" t="str">
        <f aca="false">INDEX(Partidos!$J$2:$J$105,MATCH(A2,Partidos!$A$2:$A$105,0))</f>
        <v/>
      </c>
    </row>
    <row r="3" customFormat="false" ht="14.25" hidden="false" customHeight="true" outlineLevel="0" collapsed="false">
      <c r="A3" s="1" t="n">
        <v>74</v>
      </c>
      <c r="B3" s="1" t="n">
        <v>46201</v>
      </c>
      <c r="C3" s="1" t="s">
        <v>295</v>
      </c>
      <c r="D3" s="1" t="s">
        <v>292</v>
      </c>
      <c r="E3" s="1" t="s">
        <v>296</v>
      </c>
      <c r="F3" s="1" t="s">
        <v>297</v>
      </c>
      <c r="G3" s="1" t="s">
        <v>269</v>
      </c>
      <c r="H3" s="1" t="str">
        <f aca="false">INDEX(Partidos!$J$2:$J$105,MATCH(A3,Partidos!$A$2:$A$105,0))</f>
        <v/>
      </c>
    </row>
    <row r="4" customFormat="false" ht="14.25" hidden="false" customHeight="true" outlineLevel="0" collapsed="false">
      <c r="A4" s="1" t="n">
        <v>75</v>
      </c>
      <c r="B4" s="1" t="n">
        <v>46202</v>
      </c>
      <c r="C4" s="1" t="s">
        <v>267</v>
      </c>
      <c r="D4" s="1" t="s">
        <v>292</v>
      </c>
      <c r="E4" s="1" t="s">
        <v>298</v>
      </c>
      <c r="F4" s="1" t="s">
        <v>299</v>
      </c>
      <c r="G4" s="1" t="s">
        <v>281</v>
      </c>
      <c r="H4" s="1" t="str">
        <f aca="false">INDEX(Partidos!$J$2:$J$105,MATCH(A4,Partidos!$A$2:$A$105,0))</f>
        <v/>
      </c>
    </row>
    <row r="5" customFormat="false" ht="14.25" hidden="false" customHeight="true" outlineLevel="0" collapsed="false">
      <c r="A5" s="1" t="n">
        <v>76</v>
      </c>
      <c r="B5" s="1" t="n">
        <v>46202</v>
      </c>
      <c r="C5" s="1" t="s">
        <v>277</v>
      </c>
      <c r="D5" s="1" t="s">
        <v>292</v>
      </c>
      <c r="E5" s="1" t="s">
        <v>300</v>
      </c>
      <c r="F5" s="1" t="s">
        <v>301</v>
      </c>
      <c r="G5" s="1" t="s">
        <v>278</v>
      </c>
      <c r="H5" s="1" t="str">
        <f aca="false">INDEX(Partidos!$J$2:$J$105,MATCH(A5,Partidos!$A$2:$A$105,0))</f>
        <v/>
      </c>
    </row>
    <row r="6" customFormat="false" ht="14.25" hidden="false" customHeight="true" outlineLevel="0" collapsed="false">
      <c r="A6" s="1" t="n">
        <v>77</v>
      </c>
      <c r="B6" s="1" t="n">
        <v>46202</v>
      </c>
      <c r="C6" s="1" t="s">
        <v>290</v>
      </c>
      <c r="D6" s="1" t="s">
        <v>292</v>
      </c>
      <c r="E6" s="1" t="s">
        <v>302</v>
      </c>
      <c r="F6" s="1" t="s">
        <v>303</v>
      </c>
      <c r="G6" s="1" t="s">
        <v>273</v>
      </c>
      <c r="H6" s="1" t="str">
        <f aca="false">INDEX(Partidos!$J$2:$J$105,MATCH(A6,Partidos!$A$2:$A$105,0))</f>
        <v/>
      </c>
    </row>
    <row r="7" customFormat="false" ht="14.25" hidden="false" customHeight="true" outlineLevel="0" collapsed="false">
      <c r="A7" s="1" t="n">
        <v>78</v>
      </c>
      <c r="B7" s="1" t="n">
        <v>46203</v>
      </c>
      <c r="C7" s="1" t="s">
        <v>277</v>
      </c>
      <c r="D7" s="1" t="s">
        <v>292</v>
      </c>
      <c r="E7" s="1" t="s">
        <v>304</v>
      </c>
      <c r="F7" s="1" t="s">
        <v>305</v>
      </c>
      <c r="G7" s="1" t="s">
        <v>280</v>
      </c>
      <c r="H7" s="1" t="str">
        <f aca="false">INDEX(Partidos!$J$2:$J$105,MATCH(A7,Partidos!$A$2:$A$105,0))</f>
        <v/>
      </c>
    </row>
    <row r="8" customFormat="false" ht="14.25" hidden="false" customHeight="true" outlineLevel="0" collapsed="false">
      <c r="A8" s="1" t="n">
        <v>79</v>
      </c>
      <c r="B8" s="1" t="n">
        <v>46203</v>
      </c>
      <c r="C8" s="1" t="s">
        <v>267</v>
      </c>
      <c r="D8" s="1" t="s">
        <v>292</v>
      </c>
      <c r="E8" s="1" t="s">
        <v>306</v>
      </c>
      <c r="F8" s="1" t="s">
        <v>307</v>
      </c>
      <c r="G8" s="1" t="s">
        <v>261</v>
      </c>
      <c r="H8" s="1" t="str">
        <f aca="false">INDEX(Partidos!$J$2:$J$105,MATCH(A8,Partidos!$A$2:$A$105,0))</f>
        <v/>
      </c>
    </row>
    <row r="9" customFormat="false" ht="14.25" hidden="false" customHeight="true" outlineLevel="0" collapsed="false">
      <c r="A9" s="1" t="n">
        <v>80</v>
      </c>
      <c r="B9" s="1" t="n">
        <v>46203</v>
      </c>
      <c r="C9" s="1" t="s">
        <v>283</v>
      </c>
      <c r="D9" s="1" t="s">
        <v>292</v>
      </c>
      <c r="E9" s="1" t="s">
        <v>308</v>
      </c>
      <c r="F9" s="1" t="s">
        <v>309</v>
      </c>
      <c r="G9" s="1" t="s">
        <v>284</v>
      </c>
      <c r="H9" s="1" t="str">
        <f aca="false">INDEX(Partidos!$J$2:$J$105,MATCH(A9,Partidos!$A$2:$A$105,0))</f>
        <v/>
      </c>
    </row>
    <row r="10" customFormat="false" ht="14.25" hidden="false" customHeight="true" outlineLevel="0" collapsed="false">
      <c r="A10" s="1" t="n">
        <v>81</v>
      </c>
      <c r="B10" s="1" t="n">
        <v>46204</v>
      </c>
      <c r="C10" s="1" t="s">
        <v>289</v>
      </c>
      <c r="D10" s="1" t="s">
        <v>292</v>
      </c>
      <c r="E10" s="1" t="s">
        <v>310</v>
      </c>
      <c r="F10" s="1" t="s">
        <v>311</v>
      </c>
      <c r="G10" s="1" t="s">
        <v>274</v>
      </c>
      <c r="H10" s="1" t="str">
        <f aca="false">INDEX(Partidos!$J$2:$J$105,MATCH(A10,Partidos!$A$2:$A$105,0))</f>
        <v/>
      </c>
    </row>
    <row r="11" customFormat="false" ht="14.25" hidden="false" customHeight="true" outlineLevel="0" collapsed="false">
      <c r="A11" s="1" t="n">
        <v>82</v>
      </c>
      <c r="B11" s="1" t="n">
        <v>46204</v>
      </c>
      <c r="C11" s="1" t="s">
        <v>279</v>
      </c>
      <c r="D11" s="1" t="s">
        <v>292</v>
      </c>
      <c r="E11" s="1" t="s">
        <v>312</v>
      </c>
      <c r="F11" s="1" t="s">
        <v>313</v>
      </c>
      <c r="G11" s="1" t="s">
        <v>285</v>
      </c>
      <c r="H11" s="1" t="str">
        <f aca="false">INDEX(Partidos!$J$2:$J$105,MATCH(A11,Partidos!$A$2:$A$105,0))</f>
        <v/>
      </c>
    </row>
    <row r="12" customFormat="false" ht="14.25" hidden="false" customHeight="true" outlineLevel="0" collapsed="false">
      <c r="A12" s="1" t="n">
        <v>83</v>
      </c>
      <c r="B12" s="1" t="n">
        <v>46205</v>
      </c>
      <c r="C12" s="1" t="s">
        <v>275</v>
      </c>
      <c r="D12" s="1" t="s">
        <v>292</v>
      </c>
      <c r="E12" s="1" t="s">
        <v>314</v>
      </c>
      <c r="F12" s="1" t="s">
        <v>315</v>
      </c>
      <c r="G12" s="1" t="s">
        <v>266</v>
      </c>
      <c r="H12" s="1" t="str">
        <f aca="false">INDEX(Partidos!$J$2:$J$105,MATCH(A12,Partidos!$A$2:$A$105,0))</f>
        <v/>
      </c>
    </row>
    <row r="13" customFormat="false" ht="14.25" hidden="false" customHeight="true" outlineLevel="0" collapsed="false">
      <c r="A13" s="1" t="n">
        <v>84</v>
      </c>
      <c r="B13" s="1" t="n">
        <v>46205</v>
      </c>
      <c r="C13" s="1" t="s">
        <v>260</v>
      </c>
      <c r="D13" s="1" t="s">
        <v>292</v>
      </c>
      <c r="E13" s="1" t="s">
        <v>316</v>
      </c>
      <c r="F13" s="1" t="s">
        <v>317</v>
      </c>
      <c r="G13" s="1" t="s">
        <v>268</v>
      </c>
      <c r="H13" s="1" t="str">
        <f aca="false">INDEX(Partidos!$J$2:$J$105,MATCH(A13,Partidos!$A$2:$A$105,0))</f>
        <v/>
      </c>
    </row>
    <row r="14" customFormat="false" ht="14.25" hidden="false" customHeight="true" outlineLevel="0" collapsed="false">
      <c r="A14" s="1" t="n">
        <v>85</v>
      </c>
      <c r="B14" s="1" t="n">
        <v>46206</v>
      </c>
      <c r="C14" s="1" t="s">
        <v>288</v>
      </c>
      <c r="D14" s="1" t="s">
        <v>292</v>
      </c>
      <c r="E14" s="1" t="s">
        <v>318</v>
      </c>
      <c r="F14" s="1" t="s">
        <v>319</v>
      </c>
      <c r="G14" s="1" t="s">
        <v>271</v>
      </c>
      <c r="H14" s="1" t="str">
        <f aca="false">INDEX(Partidos!$J$2:$J$105,MATCH(A14,Partidos!$A$2:$A$105,0))</f>
        <v/>
      </c>
    </row>
    <row r="15" customFormat="false" ht="14.25" hidden="false" customHeight="true" outlineLevel="0" collapsed="false">
      <c r="A15" s="1" t="n">
        <v>86</v>
      </c>
      <c r="B15" s="1" t="n">
        <v>46206</v>
      </c>
      <c r="C15" s="1" t="s">
        <v>272</v>
      </c>
      <c r="D15" s="1" t="s">
        <v>292</v>
      </c>
      <c r="E15" s="1" t="s">
        <v>320</v>
      </c>
      <c r="F15" s="1" t="s">
        <v>321</v>
      </c>
      <c r="G15" s="1" t="s">
        <v>282</v>
      </c>
      <c r="H15" s="1" t="str">
        <f aca="false">INDEX(Partidos!$J$2:$J$105,MATCH(A15,Partidos!$A$2:$A$105,0))</f>
        <v/>
      </c>
    </row>
    <row r="16" customFormat="false" ht="14.25" hidden="false" customHeight="true" outlineLevel="0" collapsed="false">
      <c r="A16" s="1" t="n">
        <v>87</v>
      </c>
      <c r="B16" s="1" t="n">
        <v>46206</v>
      </c>
      <c r="C16" s="1" t="s">
        <v>322</v>
      </c>
      <c r="D16" s="1" t="s">
        <v>292</v>
      </c>
      <c r="E16" s="1" t="s">
        <v>323</v>
      </c>
      <c r="F16" s="1" t="s">
        <v>324</v>
      </c>
      <c r="G16" s="1" t="s">
        <v>286</v>
      </c>
      <c r="H16" s="1" t="str">
        <f aca="false">INDEX(Partidos!$J$2:$J$105,MATCH(A16,Partidos!$A$2:$A$105,0))</f>
        <v/>
      </c>
    </row>
    <row r="17" customFormat="false" ht="14.25" hidden="false" customHeight="true" outlineLevel="0" collapsed="false">
      <c r="A17" s="1" t="n">
        <v>88</v>
      </c>
      <c r="B17" s="1" t="n">
        <v>46206</v>
      </c>
      <c r="C17" s="1" t="s">
        <v>325</v>
      </c>
      <c r="D17" s="1" t="s">
        <v>292</v>
      </c>
      <c r="E17" s="1" t="s">
        <v>326</v>
      </c>
      <c r="F17" s="1" t="s">
        <v>327</v>
      </c>
      <c r="G17" s="1" t="s">
        <v>280</v>
      </c>
      <c r="H17" s="1" t="str">
        <f aca="false">INDEX(Partidos!$J$2:$J$105,MATCH(A17,Partidos!$A$2:$A$105,0))</f>
        <v/>
      </c>
    </row>
    <row r="18" customFormat="false" ht="14.25" hidden="false" customHeight="true" outlineLevel="0" collapsed="false">
      <c r="A18" s="1" t="n">
        <v>89</v>
      </c>
      <c r="B18" s="1" t="n">
        <v>46207</v>
      </c>
      <c r="C18" s="1" t="s">
        <v>290</v>
      </c>
      <c r="D18" s="1" t="s">
        <v>328</v>
      </c>
      <c r="E18" s="1" t="s">
        <v>329</v>
      </c>
      <c r="F18" s="1" t="s">
        <v>330</v>
      </c>
      <c r="G18" s="1" t="s">
        <v>276</v>
      </c>
      <c r="H18" s="1" t="str">
        <f aca="false">INDEX(Partidos!$J$2:$J$105,MATCH(A18,Partidos!$A$2:$A$105,0))</f>
        <v/>
      </c>
    </row>
    <row r="19" customFormat="false" ht="14.25" hidden="false" customHeight="true" outlineLevel="0" collapsed="false">
      <c r="A19" s="1" t="n">
        <v>90</v>
      </c>
      <c r="B19" s="1" t="n">
        <v>46207</v>
      </c>
      <c r="C19" s="1" t="s">
        <v>277</v>
      </c>
      <c r="D19" s="1" t="s">
        <v>328</v>
      </c>
      <c r="E19" s="1" t="s">
        <v>331</v>
      </c>
      <c r="F19" s="1" t="s">
        <v>332</v>
      </c>
      <c r="G19" s="1" t="s">
        <v>278</v>
      </c>
      <c r="H19" s="1" t="str">
        <f aca="false">INDEX(Partidos!$J$2:$J$105,MATCH(A19,Partidos!$A$2:$A$105,0))</f>
        <v/>
      </c>
    </row>
    <row r="20" customFormat="false" ht="14.25" hidden="false" customHeight="true" outlineLevel="0" collapsed="false">
      <c r="A20" s="1" t="n">
        <v>91</v>
      </c>
      <c r="B20" s="1" t="n">
        <v>46208</v>
      </c>
      <c r="C20" s="1" t="s">
        <v>279</v>
      </c>
      <c r="D20" s="1" t="s">
        <v>328</v>
      </c>
      <c r="E20" s="1" t="s">
        <v>333</v>
      </c>
      <c r="F20" s="1" t="s">
        <v>334</v>
      </c>
      <c r="G20" s="1" t="s">
        <v>273</v>
      </c>
      <c r="H20" s="1" t="str">
        <f aca="false">INDEX(Partidos!$J$2:$J$105,MATCH(A20,Partidos!$A$2:$A$105,0))</f>
        <v/>
      </c>
    </row>
    <row r="21" customFormat="false" ht="14.25" hidden="false" customHeight="true" outlineLevel="0" collapsed="false">
      <c r="A21" s="1" t="n">
        <v>92</v>
      </c>
      <c r="B21" s="1" t="n">
        <v>46208</v>
      </c>
      <c r="C21" s="1" t="s">
        <v>289</v>
      </c>
      <c r="D21" s="1" t="s">
        <v>328</v>
      </c>
      <c r="E21" s="1" t="s">
        <v>335</v>
      </c>
      <c r="F21" s="1" t="s">
        <v>336</v>
      </c>
      <c r="G21" s="1" t="s">
        <v>261</v>
      </c>
      <c r="H21" s="1" t="str">
        <f aca="false">INDEX(Partidos!$J$2:$J$105,MATCH(A21,Partidos!$A$2:$A$105,0))</f>
        <v/>
      </c>
    </row>
    <row r="22" customFormat="false" ht="14.25" hidden="false" customHeight="true" outlineLevel="0" collapsed="false">
      <c r="A22" s="1" t="n">
        <v>93</v>
      </c>
      <c r="B22" s="1" t="n">
        <v>46209</v>
      </c>
      <c r="C22" s="1" t="s">
        <v>260</v>
      </c>
      <c r="D22" s="1" t="s">
        <v>328</v>
      </c>
      <c r="E22" s="1" t="s">
        <v>337</v>
      </c>
      <c r="F22" s="1" t="s">
        <v>338</v>
      </c>
      <c r="G22" s="1" t="s">
        <v>280</v>
      </c>
      <c r="H22" s="1" t="str">
        <f aca="false">INDEX(Partidos!$J$2:$J$105,MATCH(A22,Partidos!$A$2:$A$105,0))</f>
        <v/>
      </c>
    </row>
    <row r="23" customFormat="false" ht="14.25" hidden="false" customHeight="true" outlineLevel="0" collapsed="false">
      <c r="A23" s="1" t="n">
        <v>94</v>
      </c>
      <c r="B23" s="1" t="n">
        <v>46209</v>
      </c>
      <c r="C23" s="1" t="s">
        <v>289</v>
      </c>
      <c r="D23" s="1" t="s">
        <v>328</v>
      </c>
      <c r="E23" s="1" t="s">
        <v>339</v>
      </c>
      <c r="F23" s="1" t="s">
        <v>340</v>
      </c>
      <c r="G23" s="1" t="s">
        <v>285</v>
      </c>
      <c r="H23" s="1" t="str">
        <f aca="false">INDEX(Partidos!$J$2:$J$105,MATCH(A23,Partidos!$A$2:$A$105,0))</f>
        <v/>
      </c>
    </row>
    <row r="24" customFormat="false" ht="14.25" hidden="false" customHeight="true" outlineLevel="0" collapsed="false">
      <c r="A24" s="1" t="n">
        <v>95</v>
      </c>
      <c r="B24" s="1" t="n">
        <v>46210</v>
      </c>
      <c r="C24" s="1" t="s">
        <v>283</v>
      </c>
      <c r="D24" s="1" t="s">
        <v>328</v>
      </c>
      <c r="E24" s="1" t="s">
        <v>341</v>
      </c>
      <c r="F24" s="1" t="s">
        <v>342</v>
      </c>
      <c r="G24" s="1" t="s">
        <v>284</v>
      </c>
      <c r="H24" s="1" t="str">
        <f aca="false">INDEX(Partidos!$J$2:$J$105,MATCH(A24,Partidos!$A$2:$A$105,0))</f>
        <v/>
      </c>
    </row>
    <row r="25" customFormat="false" ht="14.25" hidden="false" customHeight="true" outlineLevel="0" collapsed="false">
      <c r="A25" s="1" t="n">
        <v>96</v>
      </c>
      <c r="B25" s="1" t="n">
        <v>46210</v>
      </c>
      <c r="C25" s="1" t="s">
        <v>279</v>
      </c>
      <c r="D25" s="1" t="s">
        <v>328</v>
      </c>
      <c r="E25" s="1" t="s">
        <v>343</v>
      </c>
      <c r="F25" s="1" t="s">
        <v>344</v>
      </c>
      <c r="G25" s="1" t="s">
        <v>271</v>
      </c>
      <c r="H25" s="1" t="str">
        <f aca="false">INDEX(Partidos!$J$2:$J$105,MATCH(A25,Partidos!$A$2:$A$105,0))</f>
        <v/>
      </c>
    </row>
    <row r="26" customFormat="false" ht="14.25" hidden="false" customHeight="true" outlineLevel="0" collapsed="false">
      <c r="A26" s="1" t="n">
        <v>97</v>
      </c>
      <c r="B26" s="1" t="n">
        <v>46212</v>
      </c>
      <c r="C26" s="1" t="s">
        <v>279</v>
      </c>
      <c r="D26" s="1" t="s">
        <v>345</v>
      </c>
      <c r="E26" s="1" t="s">
        <v>346</v>
      </c>
      <c r="F26" s="1" t="s">
        <v>347</v>
      </c>
      <c r="G26" s="1" t="s">
        <v>269</v>
      </c>
      <c r="H26" s="1" t="str">
        <f aca="false">INDEX(Partidos!$J$2:$J$105,MATCH(A26,Partidos!$A$2:$A$105,0))</f>
        <v/>
      </c>
    </row>
    <row r="27" customFormat="false" ht="14.25" hidden="false" customHeight="true" outlineLevel="0" collapsed="false">
      <c r="A27" s="1" t="n">
        <v>98</v>
      </c>
      <c r="B27" s="1" t="n">
        <v>46213</v>
      </c>
      <c r="C27" s="1" t="s">
        <v>260</v>
      </c>
      <c r="D27" s="1" t="s">
        <v>345</v>
      </c>
      <c r="E27" s="1" t="s">
        <v>348</v>
      </c>
      <c r="F27" s="1" t="s">
        <v>349</v>
      </c>
      <c r="G27" s="1" t="s">
        <v>268</v>
      </c>
      <c r="H27" s="1" t="str">
        <f aca="false">INDEX(Partidos!$J$2:$J$105,MATCH(A27,Partidos!$A$2:$A$105,0))</f>
        <v/>
      </c>
    </row>
    <row r="28" customFormat="false" ht="14.25" hidden="false" customHeight="true" outlineLevel="0" collapsed="false">
      <c r="A28" s="1" t="n">
        <v>99</v>
      </c>
      <c r="B28" s="1" t="n">
        <v>46214</v>
      </c>
      <c r="C28" s="1" t="s">
        <v>290</v>
      </c>
      <c r="D28" s="1" t="s">
        <v>345</v>
      </c>
      <c r="E28" s="1" t="s">
        <v>350</v>
      </c>
      <c r="F28" s="1" t="s">
        <v>351</v>
      </c>
      <c r="G28" s="1" t="s">
        <v>282</v>
      </c>
      <c r="H28" s="1" t="str">
        <f aca="false">INDEX(Partidos!$J$2:$J$105,MATCH(A28,Partidos!$A$2:$A$105,0))</f>
        <v/>
      </c>
    </row>
    <row r="29" customFormat="false" ht="14.25" hidden="false" customHeight="true" outlineLevel="0" collapsed="false">
      <c r="A29" s="1" t="n">
        <v>100</v>
      </c>
      <c r="B29" s="1" t="n">
        <v>46214</v>
      </c>
      <c r="C29" s="1" t="s">
        <v>267</v>
      </c>
      <c r="D29" s="1" t="s">
        <v>345</v>
      </c>
      <c r="E29" s="1" t="s">
        <v>352</v>
      </c>
      <c r="F29" s="1" t="s">
        <v>353</v>
      </c>
      <c r="G29" s="1" t="s">
        <v>286</v>
      </c>
      <c r="H29" s="1" t="str">
        <f aca="false">INDEX(Partidos!$J$2:$J$105,MATCH(A29,Partidos!$A$2:$A$105,0))</f>
        <v/>
      </c>
    </row>
    <row r="30" customFormat="false" ht="14.25" hidden="false" customHeight="true" outlineLevel="0" collapsed="false">
      <c r="A30" s="1" t="n">
        <v>101</v>
      </c>
      <c r="B30" s="1" t="n">
        <v>46217</v>
      </c>
      <c r="C30" s="1" t="s">
        <v>260</v>
      </c>
      <c r="D30" s="1" t="s">
        <v>354</v>
      </c>
      <c r="E30" s="1" t="s">
        <v>355</v>
      </c>
      <c r="F30" s="1" t="s">
        <v>356</v>
      </c>
      <c r="G30" s="1" t="s">
        <v>280</v>
      </c>
      <c r="H30" s="1" t="str">
        <f aca="false">INDEX(Partidos!$J$2:$J$105,MATCH(A30,Partidos!$A$2:$A$105,0))</f>
        <v/>
      </c>
    </row>
    <row r="31" customFormat="false" ht="14.25" hidden="false" customHeight="true" outlineLevel="0" collapsed="false">
      <c r="A31" s="1" t="n">
        <v>102</v>
      </c>
      <c r="B31" s="1" t="n">
        <v>46218</v>
      </c>
      <c r="C31" s="1" t="s">
        <v>260</v>
      </c>
      <c r="D31" s="1" t="s">
        <v>354</v>
      </c>
      <c r="E31" s="1" t="s">
        <v>357</v>
      </c>
      <c r="F31" s="1" t="s">
        <v>358</v>
      </c>
      <c r="G31" s="1" t="s">
        <v>284</v>
      </c>
      <c r="H31" s="1" t="str">
        <f aca="false">INDEX(Partidos!$J$2:$J$105,MATCH(A31,Partidos!$A$2:$A$105,0))</f>
        <v/>
      </c>
    </row>
    <row r="32" customFormat="false" ht="14.25" hidden="false" customHeight="true" outlineLevel="0" collapsed="false">
      <c r="A32" s="1" t="n">
        <v>103</v>
      </c>
      <c r="B32" s="1" t="n">
        <v>46221</v>
      </c>
      <c r="C32" s="1" t="s">
        <v>290</v>
      </c>
      <c r="D32" s="1" t="s">
        <v>359</v>
      </c>
      <c r="E32" s="1" t="s">
        <v>360</v>
      </c>
      <c r="F32" s="1" t="s">
        <v>361</v>
      </c>
      <c r="G32" s="1" t="s">
        <v>282</v>
      </c>
      <c r="H32" s="1" t="str">
        <f aca="false">INDEX(Partidos!$J$2:$J$105,MATCH(A32,Partidos!$A$2:$A$105,0))</f>
        <v/>
      </c>
    </row>
    <row r="33" customFormat="false" ht="14.25" hidden="false" customHeight="true" outlineLevel="0" collapsed="false">
      <c r="A33" s="1" t="n">
        <v>104</v>
      </c>
      <c r="B33" s="1" t="n">
        <v>46222</v>
      </c>
      <c r="C33" s="1" t="s">
        <v>260</v>
      </c>
      <c r="D33" s="1" t="s">
        <v>362</v>
      </c>
      <c r="E33" s="1" t="s">
        <v>363</v>
      </c>
      <c r="F33" s="1" t="s">
        <v>364</v>
      </c>
      <c r="G33" s="1" t="s">
        <v>273</v>
      </c>
      <c r="H33" s="1" t="str">
        <f aca="false">INDEX(Partidos!$J$2:$J$105,MATCH(A33,Partidos!$A$2:$A$105,0))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90"/>
    <col collapsed="false" customWidth="true" hidden="false" outlineLevel="0" max="3" min="3" style="1" width="60"/>
  </cols>
  <sheetData>
    <row r="1" customFormat="false" ht="24" hidden="false" customHeight="true" outlineLevel="0" collapsed="false">
      <c r="A1" s="4" t="s">
        <v>400</v>
      </c>
      <c r="B1" s="4" t="s">
        <v>401</v>
      </c>
      <c r="C1" s="4" t="s">
        <v>27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4.25" hidden="false" customHeight="true" outlineLevel="0" collapsed="false">
      <c r="A2" s="1" t="s">
        <v>402</v>
      </c>
      <c r="B2" s="1" t="s">
        <v>403</v>
      </c>
      <c r="C2" s="1" t="s">
        <v>404</v>
      </c>
    </row>
    <row r="3" customFormat="false" ht="14.25" hidden="false" customHeight="true" outlineLevel="0" collapsed="false">
      <c r="A3" s="1" t="s">
        <v>405</v>
      </c>
      <c r="B3" s="1" t="s">
        <v>406</v>
      </c>
      <c r="C3" s="1" t="s">
        <v>407</v>
      </c>
    </row>
    <row r="4" customFormat="false" ht="14.25" hidden="false" customHeight="true" outlineLevel="0" collapsed="false">
      <c r="A4" s="1" t="s">
        <v>259</v>
      </c>
      <c r="C4" s="1" t="s">
        <v>408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3" min="1" style="1" width="14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22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19" min="9" style="1" width="14"/>
  </cols>
  <sheetData>
    <row r="1" customFormat="false" ht="15" hidden="false" customHeight="true" outlineLevel="0" collapsed="false">
      <c r="A1" s="76" t="s">
        <v>409</v>
      </c>
      <c r="B1" s="76" t="s">
        <v>410</v>
      </c>
      <c r="C1" s="76" t="s">
        <v>411</v>
      </c>
      <c r="D1" s="76" t="s">
        <v>412</v>
      </c>
      <c r="E1" s="76" t="s">
        <v>413</v>
      </c>
      <c r="F1" s="76" t="s">
        <v>32</v>
      </c>
      <c r="G1" s="76" t="s">
        <v>31</v>
      </c>
      <c r="H1" s="76" t="s">
        <v>414</v>
      </c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1" t="s">
        <v>415</v>
      </c>
    </row>
    <row r="2" customFormat="false" ht="14.25" hidden="false" customHeight="true" outlineLevel="0" collapsed="false">
      <c r="A2" s="1" t="s">
        <v>416</v>
      </c>
      <c r="B2" s="1" t="n">
        <v>74</v>
      </c>
      <c r="C2" s="1" t="s">
        <v>417</v>
      </c>
      <c r="D2" s="1" t="s">
        <v>297</v>
      </c>
      <c r="E2" s="1" t="str">
        <f aca="false">IF($H$2="","",IFERROR(INDEX(Tabla_3ros!$B$2:$I$496,MATCH($H$2,Tabla_3ros!$A$2:$A$496,0),MATCH(B2,Tabla_3ros!$B$1:$I$1,0)),""))</f>
        <v>A</v>
      </c>
      <c r="F2" s="1" t="str">
        <f aca="false">IF(E2="","",VLOOKUP(E2,Mejores_Terceros!$A$2:$C$13,3,FALSE()))</f>
        <v>México</v>
      </c>
      <c r="G2" s="1" t="str">
        <f aca="false">IF(E2="","",VLOOKUP(E2,Mejores_Terceros!$A$2:$C$13,2,FALSE()))</f>
        <v>MEX</v>
      </c>
      <c r="H2" s="1" t="str">
        <f aca="false">IF(Mejores_Terceros!$I$2="Sí",Mejores_Terceros!$A$2,"")&amp;IF(Mejores_Terceros!$I$3="Sí",Mejores_Terceros!$A$3,"")&amp;IF(Mejores_Terceros!$I$4="Sí",Mejores_Terceros!$A$4,"")&amp;IF(Mejores_Terceros!$I$5="Sí",Mejores_Terceros!$A$5,"")&amp;IF(Mejores_Terceros!$I$6="Sí",Mejores_Terceros!$A$6,"")&amp;IF(Mejores_Terceros!$I$7="Sí",Mejores_Terceros!$A$7,"")&amp;IF(Mejores_Terceros!$I$8="Sí",Mejores_Terceros!$A$8,"")&amp;IF(Mejores_Terceros!$I$9="Sí",Mejores_Terceros!$A$9,"")&amp;IF(Mejores_Terceros!$I$10="Sí",Mejores_Terceros!$A$10,"")&amp;IF(Mejores_Terceros!$I$11="Sí",Mejores_Terceros!$A$11,"")&amp;IF(Mejores_Terceros!$I$12="Sí",Mejores_Terceros!$A$12,"")&amp;IF(Mejores_Terceros!$I$13="Sí",Mejores_Terceros!$A$13,"")</f>
        <v>ACDEFGHI</v>
      </c>
      <c r="W2" s="1" t="str">
        <f aca="false">IF(MIN(H2:S2)=999,"",IF(H2=MIN(H2:S2),"A",IF(I2=MIN(H2:S2),"B",IF(J2=MIN(H2:S2),"C",IF(K2=MIN(H2:S2),"D",IF(L2=MIN(H2:S2),"E",IF(M2=MIN(H2:S2),"F",IF(N2=MIN(H2:S2),"G",IF(O2=MIN(H2:S2),"H",IF(P2=MIN(H2:S2),"I",IF(Q2=MIN(H2:S2),"J",IF(R2=MIN(H2:S2),"K",IF(S2=MIN(H2:S2),"L","")))))))))))))</f>
        <v>B</v>
      </c>
    </row>
    <row r="3" customFormat="false" ht="14.25" hidden="false" customHeight="true" outlineLevel="0" collapsed="false">
      <c r="A3" s="1" t="s">
        <v>418</v>
      </c>
      <c r="B3" s="1" t="n">
        <v>77</v>
      </c>
      <c r="C3" s="1" t="s">
        <v>417</v>
      </c>
      <c r="D3" s="1" t="s">
        <v>303</v>
      </c>
      <c r="E3" s="1" t="str">
        <f aca="false">IF($H$2="","",IFERROR(INDEX(Tabla_3ros!$B$2:$I$496,MATCH($H$2,Tabla_3ros!$A$2:$A$496,0),MATCH(B3,Tabla_3ros!$B$1:$I$1,0)),""))</f>
        <v>C</v>
      </c>
      <c r="F3" s="1" t="str">
        <f aca="false">IF(E3="","",VLOOKUP(E3,Mejores_Terceros!$A$2:$C$13,3,FALSE()))</f>
        <v>Corea República</v>
      </c>
      <c r="G3" s="1" t="str">
        <f aca="false">IF(E3="","",VLOOKUP(E3,Mejores_Terceros!$A$2:$C$13,2,FALSE()))</f>
        <v>KOR</v>
      </c>
      <c r="H3" s="1" t="str">
        <f aca="false">$H$2</f>
        <v>ACDEFGHI</v>
      </c>
    </row>
    <row r="4" customFormat="false" ht="14.25" hidden="false" customHeight="true" outlineLevel="0" collapsed="false">
      <c r="A4" s="1" t="s">
        <v>419</v>
      </c>
      <c r="B4" s="1" t="n">
        <v>79</v>
      </c>
      <c r="C4" s="1" t="s">
        <v>417</v>
      </c>
      <c r="D4" s="1" t="s">
        <v>307</v>
      </c>
      <c r="E4" s="1" t="str">
        <f aca="false">IF($H$2="","",IFERROR(INDEX(Tabla_3ros!$B$2:$I$496,MATCH($H$2,Tabla_3ros!$A$2:$A$496,0),MATCH(B4,Tabla_3ros!$B$1:$I$1,0)),""))</f>
        <v>I</v>
      </c>
      <c r="F4" s="1" t="str">
        <f aca="false">IF(E4="","",VLOOKUP(E4,Mejores_Terceros!$A$2:$C$13,3,FALSE()))</f>
        <v>Brasil</v>
      </c>
      <c r="G4" s="1" t="str">
        <f aca="false">IF(E4="","",VLOOKUP(E4,Mejores_Terceros!$A$2:$C$13,2,FALSE()))</f>
        <v>BRA</v>
      </c>
      <c r="H4" s="1" t="str">
        <f aca="false">$H$2</f>
        <v>ACDEFGHI</v>
      </c>
    </row>
    <row r="5" customFormat="false" ht="14.25" hidden="false" customHeight="true" outlineLevel="0" collapsed="false">
      <c r="A5" s="1" t="s">
        <v>420</v>
      </c>
      <c r="B5" s="1" t="n">
        <v>80</v>
      </c>
      <c r="C5" s="1" t="s">
        <v>417</v>
      </c>
      <c r="D5" s="1" t="s">
        <v>309</v>
      </c>
      <c r="E5" s="1" t="str">
        <f aca="false">IF($H$2="","",IFERROR(INDEX(Tabla_3ros!$B$2:$I$496,MATCH($H$2,Tabla_3ros!$A$2:$A$496,0),MATCH(B5,Tabla_3ros!$B$1:$I$1,0)),""))</f>
        <v>E</v>
      </c>
      <c r="F5" s="1" t="str">
        <f aca="false">IF(E5="","",VLOOKUP(E5,Mejores_Terceros!$A$2:$C$13,3,FALSE()))</f>
        <v>Canadá</v>
      </c>
      <c r="G5" s="1" t="str">
        <f aca="false">IF(E5="","",VLOOKUP(E5,Mejores_Terceros!$A$2:$C$13,2,FALSE()))</f>
        <v>CAN</v>
      </c>
      <c r="H5" s="1" t="str">
        <f aca="false">$H$2</f>
        <v>ACDEFGHI</v>
      </c>
    </row>
    <row r="6" customFormat="false" ht="14.25" hidden="false" customHeight="true" outlineLevel="0" collapsed="false">
      <c r="A6" s="1" t="s">
        <v>421</v>
      </c>
      <c r="B6" s="1" t="n">
        <v>81</v>
      </c>
      <c r="C6" s="1" t="s">
        <v>417</v>
      </c>
      <c r="D6" s="1" t="s">
        <v>311</v>
      </c>
      <c r="E6" s="1" t="str">
        <f aca="false">IF($H$2="","",IFERROR(INDEX(Tabla_3ros!$B$2:$I$496,MATCH($H$2,Tabla_3ros!$A$2:$A$496,0),MATCH(B6,Tabla_3ros!$B$1:$I$1,0)),""))</f>
        <v>F</v>
      </c>
      <c r="F6" s="1" t="str">
        <f aca="false">IF(E6="","",VLOOKUP(E6,Mejores_Terceros!$A$2:$C$13,3,FALSE()))</f>
        <v>Bosnia y Herzegovina</v>
      </c>
      <c r="G6" s="1" t="str">
        <f aca="false">IF(E6="","",VLOOKUP(E6,Mejores_Terceros!$A$2:$C$13,2,FALSE()))</f>
        <v>BIH</v>
      </c>
      <c r="H6" s="1" t="str">
        <f aca="false">$H$2</f>
        <v>ACDEFGHI</v>
      </c>
    </row>
    <row r="7" customFormat="false" ht="14.25" hidden="false" customHeight="true" outlineLevel="0" collapsed="false">
      <c r="A7" s="1" t="s">
        <v>422</v>
      </c>
      <c r="B7" s="1" t="n">
        <v>82</v>
      </c>
      <c r="C7" s="1" t="s">
        <v>417</v>
      </c>
      <c r="D7" s="1" t="s">
        <v>313</v>
      </c>
      <c r="E7" s="1" t="str">
        <f aca="false">IF($H$2="","",IFERROR(INDEX(Tabla_3ros!$B$2:$I$496,MATCH($H$2,Tabla_3ros!$A$2:$A$496,0),MATCH(B7,Tabla_3ros!$B$1:$I$1,0)),""))</f>
        <v>H</v>
      </c>
      <c r="F7" s="1" t="str">
        <f aca="false">IF(E7="","",VLOOKUP(E7,Mejores_Terceros!$A$2:$C$13,3,FALSE()))</f>
        <v>Suiza</v>
      </c>
      <c r="G7" s="1" t="str">
        <f aca="false">IF(E7="","",VLOOKUP(E7,Mejores_Terceros!$A$2:$C$13,2,FALSE()))</f>
        <v>SUI</v>
      </c>
      <c r="H7" s="1" t="str">
        <f aca="false">$H$2</f>
        <v>ACDEFGHI</v>
      </c>
    </row>
    <row r="8" customFormat="false" ht="14.25" hidden="false" customHeight="true" outlineLevel="0" collapsed="false">
      <c r="A8" s="1" t="s">
        <v>423</v>
      </c>
      <c r="B8" s="1" t="n">
        <v>85</v>
      </c>
      <c r="C8" s="1" t="s">
        <v>417</v>
      </c>
      <c r="D8" s="1" t="s">
        <v>319</v>
      </c>
      <c r="E8" s="1" t="str">
        <f aca="false">IF($H$2="","",IFERROR(INDEX(Tabla_3ros!$B$2:$I$496,MATCH($H$2,Tabla_3ros!$A$2:$A$496,0),MATCH(B8,Tabla_3ros!$B$1:$I$1,0)),""))</f>
        <v>G</v>
      </c>
      <c r="F8" s="1" t="str">
        <f aca="false">IF(E8="","",VLOOKUP(E8,Mejores_Terceros!$A$2:$C$13,3,FALSE()))</f>
        <v>Qatar</v>
      </c>
      <c r="G8" s="1" t="str">
        <f aca="false">IF(E8="","",VLOOKUP(E8,Mejores_Terceros!$A$2:$C$13,2,FALSE()))</f>
        <v>QAT</v>
      </c>
      <c r="H8" s="1" t="str">
        <f aca="false">$H$2</f>
        <v>ACDEFGHI</v>
      </c>
    </row>
    <row r="9" customFormat="false" ht="14.25" hidden="false" customHeight="true" outlineLevel="0" collapsed="false">
      <c r="A9" s="1" t="s">
        <v>424</v>
      </c>
      <c r="B9" s="1" t="n">
        <v>87</v>
      </c>
      <c r="C9" s="1" t="s">
        <v>417</v>
      </c>
      <c r="D9" s="1" t="s">
        <v>324</v>
      </c>
      <c r="E9" s="1" t="str">
        <f aca="false">IF($H$2="","",IFERROR(INDEX(Tabla_3ros!$B$2:$I$496,MATCH($H$2,Tabla_3ros!$A$2:$A$496,0),MATCH(B9,Tabla_3ros!$B$1:$I$1,0)),""))</f>
        <v>D</v>
      </c>
      <c r="F9" s="1" t="str">
        <f aca="false">IF(E9="","",VLOOKUP(E9,Mejores_Terceros!$A$2:$C$13,3,FALSE()))</f>
        <v>Chequia</v>
      </c>
      <c r="G9" s="1" t="str">
        <f aca="false">IF(E9="","",VLOOKUP(E9,Mejores_Terceros!$A$2:$C$13,2,FALSE()))</f>
        <v>CZE</v>
      </c>
      <c r="H9" s="1" t="str">
        <f aca="false">$H$2</f>
        <v>ACDEFGHI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9" min="2" style="1" width="12"/>
  </cols>
  <sheetData>
    <row r="1" customFormat="false" ht="15" hidden="false" customHeight="true" outlineLevel="0" collapsed="false">
      <c r="A1" s="76" t="s">
        <v>425</v>
      </c>
      <c r="B1" s="76" t="n">
        <v>74</v>
      </c>
      <c r="C1" s="76" t="n">
        <v>77</v>
      </c>
      <c r="D1" s="76" t="n">
        <v>79</v>
      </c>
      <c r="E1" s="76" t="n">
        <v>80</v>
      </c>
      <c r="F1" s="76" t="n">
        <v>81</v>
      </c>
      <c r="G1" s="76" t="n">
        <v>82</v>
      </c>
      <c r="H1" s="76" t="n">
        <v>85</v>
      </c>
      <c r="I1" s="76" t="n">
        <v>87</v>
      </c>
    </row>
    <row r="2" customFormat="false" ht="14.25" hidden="false" customHeight="true" outlineLevel="0" collapsed="false">
      <c r="A2" s="1" t="s">
        <v>426</v>
      </c>
      <c r="B2" s="1" t="s">
        <v>59</v>
      </c>
      <c r="C2" s="1" t="s">
        <v>111</v>
      </c>
      <c r="D2" s="1" t="s">
        <v>124</v>
      </c>
      <c r="E2" s="1" t="s">
        <v>85</v>
      </c>
      <c r="F2" s="1" t="s">
        <v>46</v>
      </c>
      <c r="G2" s="1" t="s">
        <v>33</v>
      </c>
      <c r="H2" s="1" t="s">
        <v>98</v>
      </c>
      <c r="I2" s="1" t="s">
        <v>72</v>
      </c>
    </row>
    <row r="3" customFormat="false" ht="14.25" hidden="false" customHeight="true" outlineLevel="0" collapsed="false">
      <c r="A3" s="1" t="s">
        <v>427</v>
      </c>
      <c r="B3" s="1" t="s">
        <v>46</v>
      </c>
      <c r="C3" s="1" t="s">
        <v>98</v>
      </c>
      <c r="D3" s="1" t="s">
        <v>59</v>
      </c>
      <c r="E3" s="1" t="s">
        <v>85</v>
      </c>
      <c r="F3" s="1" t="s">
        <v>137</v>
      </c>
      <c r="G3" s="1" t="s">
        <v>33</v>
      </c>
      <c r="H3" s="1" t="s">
        <v>111</v>
      </c>
      <c r="I3" s="1" t="s">
        <v>72</v>
      </c>
    </row>
    <row r="4" customFormat="false" ht="14.25" hidden="false" customHeight="true" outlineLevel="0" collapsed="false">
      <c r="A4" s="1" t="s">
        <v>428</v>
      </c>
      <c r="B4" s="1" t="s">
        <v>46</v>
      </c>
      <c r="C4" s="1" t="s">
        <v>98</v>
      </c>
      <c r="D4" s="1" t="s">
        <v>59</v>
      </c>
      <c r="E4" s="1" t="s">
        <v>85</v>
      </c>
      <c r="F4" s="1" t="s">
        <v>150</v>
      </c>
      <c r="G4" s="1" t="s">
        <v>33</v>
      </c>
      <c r="H4" s="1" t="s">
        <v>111</v>
      </c>
      <c r="I4" s="1" t="s">
        <v>72</v>
      </c>
    </row>
    <row r="5" customFormat="false" ht="14.25" hidden="false" customHeight="true" outlineLevel="0" collapsed="false">
      <c r="A5" s="1" t="s">
        <v>429</v>
      </c>
      <c r="B5" s="1" t="s">
        <v>46</v>
      </c>
      <c r="C5" s="1" t="s">
        <v>98</v>
      </c>
      <c r="D5" s="1" t="s">
        <v>59</v>
      </c>
      <c r="E5" s="1" t="s">
        <v>163</v>
      </c>
      <c r="F5" s="1" t="s">
        <v>85</v>
      </c>
      <c r="G5" s="1" t="s">
        <v>33</v>
      </c>
      <c r="H5" s="1" t="s">
        <v>111</v>
      </c>
      <c r="I5" s="1" t="s">
        <v>72</v>
      </c>
    </row>
    <row r="6" customFormat="false" ht="14.25" hidden="false" customHeight="true" outlineLevel="0" collapsed="false">
      <c r="A6" s="1" t="s">
        <v>430</v>
      </c>
      <c r="B6" s="1" t="s">
        <v>72</v>
      </c>
      <c r="C6" s="1" t="s">
        <v>111</v>
      </c>
      <c r="D6" s="1" t="s">
        <v>59</v>
      </c>
      <c r="E6" s="1" t="s">
        <v>85</v>
      </c>
      <c r="F6" s="1" t="s">
        <v>46</v>
      </c>
      <c r="G6" s="1" t="s">
        <v>33</v>
      </c>
      <c r="H6" s="1" t="s">
        <v>98</v>
      </c>
      <c r="I6" s="1" t="s">
        <v>176</v>
      </c>
    </row>
    <row r="7" customFormat="false" ht="14.25" hidden="false" customHeight="true" outlineLevel="0" collapsed="false">
      <c r="A7" s="1" t="s">
        <v>431</v>
      </c>
      <c r="B7" s="1" t="s">
        <v>33</v>
      </c>
      <c r="C7" s="1" t="s">
        <v>59</v>
      </c>
      <c r="D7" s="1" t="s">
        <v>124</v>
      </c>
      <c r="E7" s="1" t="s">
        <v>85</v>
      </c>
      <c r="F7" s="1" t="s">
        <v>46</v>
      </c>
      <c r="G7" s="1" t="s">
        <v>137</v>
      </c>
      <c r="H7" s="1" t="s">
        <v>98</v>
      </c>
      <c r="I7" s="1" t="s">
        <v>72</v>
      </c>
    </row>
    <row r="8" customFormat="false" ht="14.25" hidden="false" customHeight="true" outlineLevel="0" collapsed="false">
      <c r="A8" s="1" t="s">
        <v>432</v>
      </c>
      <c r="B8" s="1" t="s">
        <v>33</v>
      </c>
      <c r="C8" s="1" t="s">
        <v>124</v>
      </c>
      <c r="D8" s="1" t="s">
        <v>59</v>
      </c>
      <c r="E8" s="1" t="s">
        <v>85</v>
      </c>
      <c r="F8" s="1" t="s">
        <v>46</v>
      </c>
      <c r="G8" s="1" t="s">
        <v>150</v>
      </c>
      <c r="H8" s="1" t="s">
        <v>98</v>
      </c>
      <c r="I8" s="1" t="s">
        <v>72</v>
      </c>
    </row>
    <row r="9" customFormat="false" ht="14.25" hidden="false" customHeight="true" outlineLevel="0" collapsed="false">
      <c r="A9" s="1" t="s">
        <v>433</v>
      </c>
      <c r="B9" s="1" t="s">
        <v>59</v>
      </c>
      <c r="C9" s="1" t="s">
        <v>124</v>
      </c>
      <c r="D9" s="1" t="s">
        <v>98</v>
      </c>
      <c r="E9" s="1" t="s">
        <v>163</v>
      </c>
      <c r="F9" s="1" t="s">
        <v>46</v>
      </c>
      <c r="G9" s="1" t="s">
        <v>33</v>
      </c>
      <c r="H9" s="1" t="s">
        <v>85</v>
      </c>
      <c r="I9" s="1" t="s">
        <v>72</v>
      </c>
    </row>
    <row r="10" customFormat="false" ht="14.25" hidden="false" customHeight="true" outlineLevel="0" collapsed="false">
      <c r="A10" s="1" t="s">
        <v>434</v>
      </c>
      <c r="B10" s="1" t="s">
        <v>72</v>
      </c>
      <c r="C10" s="1" t="s">
        <v>124</v>
      </c>
      <c r="D10" s="1" t="s">
        <v>59</v>
      </c>
      <c r="E10" s="1" t="s">
        <v>85</v>
      </c>
      <c r="F10" s="1" t="s">
        <v>46</v>
      </c>
      <c r="G10" s="1" t="s">
        <v>33</v>
      </c>
      <c r="H10" s="1" t="s">
        <v>98</v>
      </c>
      <c r="I10" s="1" t="s">
        <v>176</v>
      </c>
    </row>
    <row r="11" customFormat="false" ht="14.25" hidden="false" customHeight="true" outlineLevel="0" collapsed="false">
      <c r="A11" s="1" t="s">
        <v>435</v>
      </c>
      <c r="B11" s="1" t="s">
        <v>46</v>
      </c>
      <c r="C11" s="1" t="s">
        <v>59</v>
      </c>
      <c r="D11" s="1" t="s">
        <v>98</v>
      </c>
      <c r="E11" s="1" t="s">
        <v>85</v>
      </c>
      <c r="F11" s="1" t="s">
        <v>150</v>
      </c>
      <c r="G11" s="1" t="s">
        <v>33</v>
      </c>
      <c r="H11" s="1" t="s">
        <v>137</v>
      </c>
      <c r="I11" s="1" t="s">
        <v>72</v>
      </c>
    </row>
    <row r="12" customFormat="false" ht="14.25" hidden="false" customHeight="true" outlineLevel="0" collapsed="false">
      <c r="A12" s="1" t="s">
        <v>436</v>
      </c>
      <c r="B12" s="1" t="s">
        <v>46</v>
      </c>
      <c r="C12" s="1" t="s">
        <v>59</v>
      </c>
      <c r="D12" s="1" t="s">
        <v>98</v>
      </c>
      <c r="E12" s="1" t="s">
        <v>163</v>
      </c>
      <c r="F12" s="1" t="s">
        <v>137</v>
      </c>
      <c r="G12" s="1" t="s">
        <v>33</v>
      </c>
      <c r="H12" s="1" t="s">
        <v>85</v>
      </c>
      <c r="I12" s="1" t="s">
        <v>72</v>
      </c>
    </row>
    <row r="13" customFormat="false" ht="14.25" hidden="false" customHeight="true" outlineLevel="0" collapsed="false">
      <c r="A13" s="1" t="s">
        <v>437</v>
      </c>
      <c r="B13" s="1" t="s">
        <v>72</v>
      </c>
      <c r="C13" s="1" t="s">
        <v>59</v>
      </c>
      <c r="D13" s="1" t="s">
        <v>137</v>
      </c>
      <c r="E13" s="1" t="s">
        <v>85</v>
      </c>
      <c r="F13" s="1" t="s">
        <v>46</v>
      </c>
      <c r="G13" s="1" t="s">
        <v>33</v>
      </c>
      <c r="H13" s="1" t="s">
        <v>98</v>
      </c>
      <c r="I13" s="1" t="s">
        <v>176</v>
      </c>
    </row>
    <row r="14" customFormat="false" ht="14.25" hidden="false" customHeight="true" outlineLevel="0" collapsed="false">
      <c r="A14" s="1" t="s">
        <v>438</v>
      </c>
      <c r="B14" s="1" t="s">
        <v>46</v>
      </c>
      <c r="C14" s="1" t="s">
        <v>59</v>
      </c>
      <c r="D14" s="1" t="s">
        <v>85</v>
      </c>
      <c r="E14" s="1" t="s">
        <v>163</v>
      </c>
      <c r="F14" s="1" t="s">
        <v>150</v>
      </c>
      <c r="G14" s="1" t="s">
        <v>33</v>
      </c>
      <c r="H14" s="1" t="s">
        <v>98</v>
      </c>
      <c r="I14" s="1" t="s">
        <v>72</v>
      </c>
    </row>
    <row r="15" customFormat="false" ht="14.25" hidden="false" customHeight="true" outlineLevel="0" collapsed="false">
      <c r="A15" s="1" t="s">
        <v>439</v>
      </c>
      <c r="B15" s="1" t="s">
        <v>46</v>
      </c>
      <c r="C15" s="1" t="s">
        <v>72</v>
      </c>
      <c r="D15" s="1" t="s">
        <v>59</v>
      </c>
      <c r="E15" s="1" t="s">
        <v>85</v>
      </c>
      <c r="F15" s="1" t="s">
        <v>150</v>
      </c>
      <c r="G15" s="1" t="s">
        <v>33</v>
      </c>
      <c r="H15" s="1" t="s">
        <v>98</v>
      </c>
      <c r="I15" s="1" t="s">
        <v>176</v>
      </c>
    </row>
    <row r="16" customFormat="false" ht="14.25" hidden="false" customHeight="true" outlineLevel="0" collapsed="false">
      <c r="A16" s="1" t="s">
        <v>440</v>
      </c>
      <c r="B16" s="1" t="s">
        <v>98</v>
      </c>
      <c r="C16" s="1" t="s">
        <v>72</v>
      </c>
      <c r="D16" s="1" t="s">
        <v>59</v>
      </c>
      <c r="E16" s="1" t="s">
        <v>163</v>
      </c>
      <c r="F16" s="1" t="s">
        <v>46</v>
      </c>
      <c r="G16" s="1" t="s">
        <v>33</v>
      </c>
      <c r="H16" s="1" t="s">
        <v>85</v>
      </c>
      <c r="I16" s="1" t="s">
        <v>176</v>
      </c>
    </row>
    <row r="17" customFormat="false" ht="14.25" hidden="false" customHeight="true" outlineLevel="0" collapsed="false">
      <c r="A17" s="1" t="s">
        <v>441</v>
      </c>
      <c r="B17" s="1" t="s">
        <v>33</v>
      </c>
      <c r="C17" s="1" t="s">
        <v>59</v>
      </c>
      <c r="D17" s="1" t="s">
        <v>137</v>
      </c>
      <c r="E17" s="1" t="s">
        <v>85</v>
      </c>
      <c r="F17" s="1" t="s">
        <v>46</v>
      </c>
      <c r="G17" s="1" t="s">
        <v>124</v>
      </c>
      <c r="H17" s="1" t="s">
        <v>111</v>
      </c>
      <c r="I17" s="1" t="s">
        <v>72</v>
      </c>
    </row>
    <row r="18" customFormat="false" ht="14.25" hidden="false" customHeight="true" outlineLevel="0" collapsed="false">
      <c r="A18" s="1" t="s">
        <v>442</v>
      </c>
      <c r="B18" s="1" t="s">
        <v>33</v>
      </c>
      <c r="C18" s="1" t="s">
        <v>124</v>
      </c>
      <c r="D18" s="1" t="s">
        <v>59</v>
      </c>
      <c r="E18" s="1" t="s">
        <v>85</v>
      </c>
      <c r="F18" s="1" t="s">
        <v>46</v>
      </c>
      <c r="G18" s="1" t="s">
        <v>150</v>
      </c>
      <c r="H18" s="1" t="s">
        <v>111</v>
      </c>
      <c r="I18" s="1" t="s">
        <v>72</v>
      </c>
    </row>
    <row r="19" customFormat="false" ht="14.25" hidden="false" customHeight="true" outlineLevel="0" collapsed="false">
      <c r="A19" s="1" t="s">
        <v>443</v>
      </c>
      <c r="B19" s="1" t="s">
        <v>33</v>
      </c>
      <c r="C19" s="1" t="s">
        <v>111</v>
      </c>
      <c r="D19" s="1" t="s">
        <v>59</v>
      </c>
      <c r="E19" s="1" t="s">
        <v>163</v>
      </c>
      <c r="F19" s="1" t="s">
        <v>46</v>
      </c>
      <c r="G19" s="1" t="s">
        <v>124</v>
      </c>
      <c r="H19" s="1" t="s">
        <v>85</v>
      </c>
      <c r="I19" s="1" t="s">
        <v>72</v>
      </c>
    </row>
    <row r="20" customFormat="false" ht="14.25" hidden="false" customHeight="true" outlineLevel="0" collapsed="false">
      <c r="A20" s="1" t="s">
        <v>444</v>
      </c>
      <c r="B20" s="1" t="s">
        <v>72</v>
      </c>
      <c r="C20" s="1" t="s">
        <v>124</v>
      </c>
      <c r="D20" s="1" t="s">
        <v>59</v>
      </c>
      <c r="E20" s="1" t="s">
        <v>85</v>
      </c>
      <c r="F20" s="1" t="s">
        <v>46</v>
      </c>
      <c r="G20" s="1" t="s">
        <v>33</v>
      </c>
      <c r="H20" s="1" t="s">
        <v>111</v>
      </c>
      <c r="I20" s="1" t="s">
        <v>176</v>
      </c>
    </row>
    <row r="21" customFormat="false" ht="14.25" hidden="false" customHeight="true" outlineLevel="0" collapsed="false">
      <c r="A21" s="1" t="s">
        <v>445</v>
      </c>
      <c r="B21" s="1" t="s">
        <v>72</v>
      </c>
      <c r="C21" s="1" t="s">
        <v>59</v>
      </c>
      <c r="D21" s="1" t="s">
        <v>85</v>
      </c>
      <c r="E21" s="1" t="s">
        <v>137</v>
      </c>
      <c r="F21" s="1" t="s">
        <v>46</v>
      </c>
      <c r="G21" s="1" t="s">
        <v>33</v>
      </c>
      <c r="H21" s="1" t="s">
        <v>111</v>
      </c>
      <c r="I21" s="1" t="s">
        <v>150</v>
      </c>
    </row>
    <row r="22" customFormat="false" ht="14.25" hidden="false" customHeight="true" outlineLevel="0" collapsed="false">
      <c r="A22" s="1" t="s">
        <v>446</v>
      </c>
      <c r="B22" s="1" t="s">
        <v>72</v>
      </c>
      <c r="C22" s="1" t="s">
        <v>59</v>
      </c>
      <c r="D22" s="1" t="s">
        <v>85</v>
      </c>
      <c r="E22" s="1" t="s">
        <v>163</v>
      </c>
      <c r="F22" s="1" t="s">
        <v>46</v>
      </c>
      <c r="G22" s="1" t="s">
        <v>33</v>
      </c>
      <c r="H22" s="1" t="s">
        <v>111</v>
      </c>
      <c r="I22" s="1" t="s">
        <v>137</v>
      </c>
    </row>
    <row r="23" customFormat="false" ht="14.25" hidden="false" customHeight="true" outlineLevel="0" collapsed="false">
      <c r="A23" s="1" t="s">
        <v>447</v>
      </c>
      <c r="B23" s="1" t="s">
        <v>72</v>
      </c>
      <c r="C23" s="1" t="s">
        <v>111</v>
      </c>
      <c r="D23" s="1" t="s">
        <v>59</v>
      </c>
      <c r="E23" s="1" t="s">
        <v>85</v>
      </c>
      <c r="F23" s="1" t="s">
        <v>46</v>
      </c>
      <c r="G23" s="1" t="s">
        <v>33</v>
      </c>
      <c r="H23" s="1" t="s">
        <v>137</v>
      </c>
      <c r="I23" s="1" t="s">
        <v>176</v>
      </c>
    </row>
    <row r="24" customFormat="false" ht="14.25" hidden="false" customHeight="true" outlineLevel="0" collapsed="false">
      <c r="A24" s="1" t="s">
        <v>448</v>
      </c>
      <c r="B24" s="1" t="s">
        <v>33</v>
      </c>
      <c r="C24" s="1" t="s">
        <v>72</v>
      </c>
      <c r="D24" s="1" t="s">
        <v>59</v>
      </c>
      <c r="E24" s="1" t="s">
        <v>163</v>
      </c>
      <c r="F24" s="1" t="s">
        <v>46</v>
      </c>
      <c r="G24" s="1" t="s">
        <v>150</v>
      </c>
      <c r="H24" s="1" t="s">
        <v>111</v>
      </c>
      <c r="I24" s="1" t="s">
        <v>85</v>
      </c>
    </row>
    <row r="25" customFormat="false" ht="14.25" hidden="false" customHeight="true" outlineLevel="0" collapsed="false">
      <c r="A25" s="1" t="s">
        <v>449</v>
      </c>
      <c r="B25" s="1" t="s">
        <v>33</v>
      </c>
      <c r="C25" s="1" t="s">
        <v>72</v>
      </c>
      <c r="D25" s="1" t="s">
        <v>59</v>
      </c>
      <c r="E25" s="1" t="s">
        <v>85</v>
      </c>
      <c r="F25" s="1" t="s">
        <v>46</v>
      </c>
      <c r="G25" s="1" t="s">
        <v>150</v>
      </c>
      <c r="H25" s="1" t="s">
        <v>111</v>
      </c>
      <c r="I25" s="1" t="s">
        <v>176</v>
      </c>
    </row>
    <row r="26" customFormat="false" ht="14.25" hidden="false" customHeight="true" outlineLevel="0" collapsed="false">
      <c r="A26" s="1" t="s">
        <v>450</v>
      </c>
      <c r="B26" s="1" t="s">
        <v>72</v>
      </c>
      <c r="C26" s="1" t="s">
        <v>111</v>
      </c>
      <c r="D26" s="1" t="s">
        <v>59</v>
      </c>
      <c r="E26" s="1" t="s">
        <v>163</v>
      </c>
      <c r="F26" s="1" t="s">
        <v>46</v>
      </c>
      <c r="G26" s="1" t="s">
        <v>33</v>
      </c>
      <c r="H26" s="1" t="s">
        <v>85</v>
      </c>
      <c r="I26" s="1" t="s">
        <v>176</v>
      </c>
    </row>
    <row r="27" customFormat="false" ht="14.25" hidden="false" customHeight="true" outlineLevel="0" collapsed="false">
      <c r="A27" s="1" t="s">
        <v>451</v>
      </c>
      <c r="B27" s="1" t="s">
        <v>33</v>
      </c>
      <c r="C27" s="1" t="s">
        <v>59</v>
      </c>
      <c r="D27" s="1" t="s">
        <v>124</v>
      </c>
      <c r="E27" s="1" t="s">
        <v>137</v>
      </c>
      <c r="F27" s="1" t="s">
        <v>46</v>
      </c>
      <c r="G27" s="1" t="s">
        <v>150</v>
      </c>
      <c r="H27" s="1" t="s">
        <v>85</v>
      </c>
      <c r="I27" s="1" t="s">
        <v>72</v>
      </c>
    </row>
    <row r="28" customFormat="false" ht="14.25" hidden="false" customHeight="true" outlineLevel="0" collapsed="false">
      <c r="A28" s="1" t="s">
        <v>452</v>
      </c>
      <c r="B28" s="1" t="s">
        <v>33</v>
      </c>
      <c r="C28" s="1" t="s">
        <v>59</v>
      </c>
      <c r="D28" s="1" t="s">
        <v>124</v>
      </c>
      <c r="E28" s="1" t="s">
        <v>163</v>
      </c>
      <c r="F28" s="1" t="s">
        <v>46</v>
      </c>
      <c r="G28" s="1" t="s">
        <v>137</v>
      </c>
      <c r="H28" s="1" t="s">
        <v>85</v>
      </c>
      <c r="I28" s="1" t="s">
        <v>72</v>
      </c>
    </row>
    <row r="29" customFormat="false" ht="14.25" hidden="false" customHeight="true" outlineLevel="0" collapsed="false">
      <c r="A29" s="1" t="s">
        <v>453</v>
      </c>
      <c r="B29" s="1" t="s">
        <v>72</v>
      </c>
      <c r="C29" s="1" t="s">
        <v>59</v>
      </c>
      <c r="D29" s="1" t="s">
        <v>137</v>
      </c>
      <c r="E29" s="1" t="s">
        <v>124</v>
      </c>
      <c r="F29" s="1" t="s">
        <v>46</v>
      </c>
      <c r="G29" s="1" t="s">
        <v>33</v>
      </c>
      <c r="H29" s="1" t="s">
        <v>85</v>
      </c>
      <c r="I29" s="1" t="s">
        <v>176</v>
      </c>
    </row>
    <row r="30" customFormat="false" ht="14.25" hidden="false" customHeight="true" outlineLevel="0" collapsed="false">
      <c r="A30" s="1" t="s">
        <v>454</v>
      </c>
      <c r="B30" s="1" t="s">
        <v>33</v>
      </c>
      <c r="C30" s="1" t="s">
        <v>124</v>
      </c>
      <c r="D30" s="1" t="s">
        <v>59</v>
      </c>
      <c r="E30" s="1" t="s">
        <v>163</v>
      </c>
      <c r="F30" s="1" t="s">
        <v>46</v>
      </c>
      <c r="G30" s="1" t="s">
        <v>150</v>
      </c>
      <c r="H30" s="1" t="s">
        <v>85</v>
      </c>
      <c r="I30" s="1" t="s">
        <v>72</v>
      </c>
    </row>
    <row r="31" customFormat="false" ht="14.25" hidden="false" customHeight="true" outlineLevel="0" collapsed="false">
      <c r="A31" s="1" t="s">
        <v>455</v>
      </c>
      <c r="B31" s="1" t="s">
        <v>33</v>
      </c>
      <c r="C31" s="1" t="s">
        <v>72</v>
      </c>
      <c r="D31" s="1" t="s">
        <v>59</v>
      </c>
      <c r="E31" s="1" t="s">
        <v>124</v>
      </c>
      <c r="F31" s="1" t="s">
        <v>46</v>
      </c>
      <c r="G31" s="1" t="s">
        <v>150</v>
      </c>
      <c r="H31" s="1" t="s">
        <v>85</v>
      </c>
      <c r="I31" s="1" t="s">
        <v>176</v>
      </c>
    </row>
    <row r="32" customFormat="false" ht="14.25" hidden="false" customHeight="true" outlineLevel="0" collapsed="false">
      <c r="A32" s="1" t="s">
        <v>456</v>
      </c>
      <c r="B32" s="1" t="s">
        <v>72</v>
      </c>
      <c r="C32" s="1" t="s">
        <v>124</v>
      </c>
      <c r="D32" s="1" t="s">
        <v>59</v>
      </c>
      <c r="E32" s="1" t="s">
        <v>163</v>
      </c>
      <c r="F32" s="1" t="s">
        <v>46</v>
      </c>
      <c r="G32" s="1" t="s">
        <v>33</v>
      </c>
      <c r="H32" s="1" t="s">
        <v>85</v>
      </c>
      <c r="I32" s="1" t="s">
        <v>176</v>
      </c>
    </row>
    <row r="33" customFormat="false" ht="14.25" hidden="false" customHeight="true" outlineLevel="0" collapsed="false">
      <c r="A33" s="1" t="s">
        <v>457</v>
      </c>
      <c r="B33" s="1" t="s">
        <v>72</v>
      </c>
      <c r="C33" s="1" t="s">
        <v>59</v>
      </c>
      <c r="D33" s="1" t="s">
        <v>85</v>
      </c>
      <c r="E33" s="1" t="s">
        <v>163</v>
      </c>
      <c r="F33" s="1" t="s">
        <v>46</v>
      </c>
      <c r="G33" s="1" t="s">
        <v>33</v>
      </c>
      <c r="H33" s="1" t="s">
        <v>137</v>
      </c>
      <c r="I33" s="1" t="s">
        <v>150</v>
      </c>
    </row>
    <row r="34" customFormat="false" ht="14.25" hidden="false" customHeight="true" outlineLevel="0" collapsed="false">
      <c r="A34" s="1" t="s">
        <v>458</v>
      </c>
      <c r="B34" s="1" t="s">
        <v>72</v>
      </c>
      <c r="C34" s="1" t="s">
        <v>59</v>
      </c>
      <c r="D34" s="1" t="s">
        <v>85</v>
      </c>
      <c r="E34" s="1" t="s">
        <v>137</v>
      </c>
      <c r="F34" s="1" t="s">
        <v>46</v>
      </c>
      <c r="G34" s="1" t="s">
        <v>33</v>
      </c>
      <c r="H34" s="1" t="s">
        <v>150</v>
      </c>
      <c r="I34" s="1" t="s">
        <v>176</v>
      </c>
    </row>
    <row r="35" customFormat="false" ht="14.25" hidden="false" customHeight="true" outlineLevel="0" collapsed="false">
      <c r="A35" s="1" t="s">
        <v>459</v>
      </c>
      <c r="B35" s="1" t="s">
        <v>72</v>
      </c>
      <c r="C35" s="1" t="s">
        <v>59</v>
      </c>
      <c r="D35" s="1" t="s">
        <v>137</v>
      </c>
      <c r="E35" s="1" t="s">
        <v>163</v>
      </c>
      <c r="F35" s="1" t="s">
        <v>46</v>
      </c>
      <c r="G35" s="1" t="s">
        <v>33</v>
      </c>
      <c r="H35" s="1" t="s">
        <v>85</v>
      </c>
      <c r="I35" s="1" t="s">
        <v>176</v>
      </c>
    </row>
    <row r="36" customFormat="false" ht="14.25" hidden="false" customHeight="true" outlineLevel="0" collapsed="false">
      <c r="A36" s="1" t="s">
        <v>460</v>
      </c>
      <c r="B36" s="1" t="s">
        <v>72</v>
      </c>
      <c r="C36" s="1" t="s">
        <v>59</v>
      </c>
      <c r="D36" s="1" t="s">
        <v>85</v>
      </c>
      <c r="E36" s="1" t="s">
        <v>163</v>
      </c>
      <c r="F36" s="1" t="s">
        <v>46</v>
      </c>
      <c r="G36" s="1" t="s">
        <v>33</v>
      </c>
      <c r="H36" s="1" t="s">
        <v>150</v>
      </c>
      <c r="I36" s="1" t="s">
        <v>176</v>
      </c>
    </row>
    <row r="37" customFormat="false" ht="14.25" hidden="false" customHeight="true" outlineLevel="0" collapsed="false">
      <c r="A37" s="1" t="s">
        <v>461</v>
      </c>
      <c r="B37" s="1" t="s">
        <v>59</v>
      </c>
      <c r="C37" s="1" t="s">
        <v>111</v>
      </c>
      <c r="D37" s="1" t="s">
        <v>98</v>
      </c>
      <c r="E37" s="1" t="s">
        <v>124</v>
      </c>
      <c r="F37" s="1" t="s">
        <v>46</v>
      </c>
      <c r="G37" s="1" t="s">
        <v>33</v>
      </c>
      <c r="H37" s="1" t="s">
        <v>137</v>
      </c>
      <c r="I37" s="1" t="s">
        <v>72</v>
      </c>
    </row>
    <row r="38" customFormat="false" ht="14.25" hidden="false" customHeight="true" outlineLevel="0" collapsed="false">
      <c r="A38" s="1" t="s">
        <v>462</v>
      </c>
      <c r="B38" s="1" t="s">
        <v>46</v>
      </c>
      <c r="C38" s="1" t="s">
        <v>98</v>
      </c>
      <c r="D38" s="1" t="s">
        <v>59</v>
      </c>
      <c r="E38" s="1" t="s">
        <v>124</v>
      </c>
      <c r="F38" s="1" t="s">
        <v>150</v>
      </c>
      <c r="G38" s="1" t="s">
        <v>33</v>
      </c>
      <c r="H38" s="1" t="s">
        <v>111</v>
      </c>
      <c r="I38" s="1" t="s">
        <v>72</v>
      </c>
    </row>
    <row r="39" customFormat="false" ht="14.25" hidden="false" customHeight="true" outlineLevel="0" collapsed="false">
      <c r="A39" s="1" t="s">
        <v>463</v>
      </c>
      <c r="B39" s="1" t="s">
        <v>59</v>
      </c>
      <c r="C39" s="1" t="s">
        <v>111</v>
      </c>
      <c r="D39" s="1" t="s">
        <v>124</v>
      </c>
      <c r="E39" s="1" t="s">
        <v>163</v>
      </c>
      <c r="F39" s="1" t="s">
        <v>46</v>
      </c>
      <c r="G39" s="1" t="s">
        <v>33</v>
      </c>
      <c r="H39" s="1" t="s">
        <v>98</v>
      </c>
      <c r="I39" s="1" t="s">
        <v>72</v>
      </c>
    </row>
    <row r="40" customFormat="false" ht="14.25" hidden="false" customHeight="true" outlineLevel="0" collapsed="false">
      <c r="A40" s="1" t="s">
        <v>464</v>
      </c>
      <c r="B40" s="1" t="s">
        <v>72</v>
      </c>
      <c r="C40" s="1" t="s">
        <v>111</v>
      </c>
      <c r="D40" s="1" t="s">
        <v>59</v>
      </c>
      <c r="E40" s="1" t="s">
        <v>124</v>
      </c>
      <c r="F40" s="1" t="s">
        <v>46</v>
      </c>
      <c r="G40" s="1" t="s">
        <v>33</v>
      </c>
      <c r="H40" s="1" t="s">
        <v>98</v>
      </c>
      <c r="I40" s="1" t="s">
        <v>176</v>
      </c>
    </row>
    <row r="41" customFormat="false" ht="14.25" hidden="false" customHeight="true" outlineLevel="0" collapsed="false">
      <c r="A41" s="1" t="s">
        <v>465</v>
      </c>
      <c r="B41" s="1" t="s">
        <v>46</v>
      </c>
      <c r="C41" s="1" t="s">
        <v>98</v>
      </c>
      <c r="D41" s="1" t="s">
        <v>59</v>
      </c>
      <c r="E41" s="1" t="s">
        <v>137</v>
      </c>
      <c r="F41" s="1" t="s">
        <v>150</v>
      </c>
      <c r="G41" s="1" t="s">
        <v>33</v>
      </c>
      <c r="H41" s="1" t="s">
        <v>111</v>
      </c>
      <c r="I41" s="1" t="s">
        <v>72</v>
      </c>
    </row>
    <row r="42" customFormat="false" ht="14.25" hidden="false" customHeight="true" outlineLevel="0" collapsed="false">
      <c r="A42" s="1" t="s">
        <v>466</v>
      </c>
      <c r="B42" s="1" t="s">
        <v>46</v>
      </c>
      <c r="C42" s="1" t="s">
        <v>98</v>
      </c>
      <c r="D42" s="1" t="s">
        <v>59</v>
      </c>
      <c r="E42" s="1" t="s">
        <v>163</v>
      </c>
      <c r="F42" s="1" t="s">
        <v>137</v>
      </c>
      <c r="G42" s="1" t="s">
        <v>33</v>
      </c>
      <c r="H42" s="1" t="s">
        <v>111</v>
      </c>
      <c r="I42" s="1" t="s">
        <v>72</v>
      </c>
    </row>
    <row r="43" customFormat="false" ht="14.25" hidden="false" customHeight="true" outlineLevel="0" collapsed="false">
      <c r="A43" s="1" t="s">
        <v>467</v>
      </c>
      <c r="B43" s="1" t="s">
        <v>72</v>
      </c>
      <c r="C43" s="1" t="s">
        <v>111</v>
      </c>
      <c r="D43" s="1" t="s">
        <v>59</v>
      </c>
      <c r="E43" s="1" t="s">
        <v>137</v>
      </c>
      <c r="F43" s="1" t="s">
        <v>46</v>
      </c>
      <c r="G43" s="1" t="s">
        <v>33</v>
      </c>
      <c r="H43" s="1" t="s">
        <v>98</v>
      </c>
      <c r="I43" s="1" t="s">
        <v>176</v>
      </c>
    </row>
    <row r="44" customFormat="false" ht="14.25" hidden="false" customHeight="true" outlineLevel="0" collapsed="false">
      <c r="A44" s="1" t="s">
        <v>468</v>
      </c>
      <c r="B44" s="1" t="s">
        <v>46</v>
      </c>
      <c r="C44" s="1" t="s">
        <v>98</v>
      </c>
      <c r="D44" s="1" t="s">
        <v>59</v>
      </c>
      <c r="E44" s="1" t="s">
        <v>163</v>
      </c>
      <c r="F44" s="1" t="s">
        <v>150</v>
      </c>
      <c r="G44" s="1" t="s">
        <v>33</v>
      </c>
      <c r="H44" s="1" t="s">
        <v>111</v>
      </c>
      <c r="I44" s="1" t="s">
        <v>72</v>
      </c>
    </row>
    <row r="45" customFormat="false" ht="14.25" hidden="false" customHeight="true" outlineLevel="0" collapsed="false">
      <c r="A45" s="1" t="s">
        <v>469</v>
      </c>
      <c r="B45" s="1" t="s">
        <v>72</v>
      </c>
      <c r="C45" s="1" t="s">
        <v>111</v>
      </c>
      <c r="D45" s="1" t="s">
        <v>59</v>
      </c>
      <c r="E45" s="1" t="s">
        <v>150</v>
      </c>
      <c r="F45" s="1" t="s">
        <v>46</v>
      </c>
      <c r="G45" s="1" t="s">
        <v>33</v>
      </c>
      <c r="H45" s="1" t="s">
        <v>98</v>
      </c>
      <c r="I45" s="1" t="s">
        <v>176</v>
      </c>
    </row>
    <row r="46" customFormat="false" ht="14.25" hidden="false" customHeight="true" outlineLevel="0" collapsed="false">
      <c r="A46" s="1" t="s">
        <v>470</v>
      </c>
      <c r="B46" s="1" t="s">
        <v>72</v>
      </c>
      <c r="C46" s="1" t="s">
        <v>111</v>
      </c>
      <c r="D46" s="1" t="s">
        <v>59</v>
      </c>
      <c r="E46" s="1" t="s">
        <v>163</v>
      </c>
      <c r="F46" s="1" t="s">
        <v>46</v>
      </c>
      <c r="G46" s="1" t="s">
        <v>33</v>
      </c>
      <c r="H46" s="1" t="s">
        <v>98</v>
      </c>
      <c r="I46" s="1" t="s">
        <v>176</v>
      </c>
    </row>
    <row r="47" customFormat="false" ht="14.25" hidden="false" customHeight="true" outlineLevel="0" collapsed="false">
      <c r="A47" s="1" t="s">
        <v>471</v>
      </c>
      <c r="B47" s="1" t="s">
        <v>46</v>
      </c>
      <c r="C47" s="1" t="s">
        <v>59</v>
      </c>
      <c r="D47" s="1" t="s">
        <v>137</v>
      </c>
      <c r="E47" s="1" t="s">
        <v>124</v>
      </c>
      <c r="F47" s="1" t="s">
        <v>150</v>
      </c>
      <c r="G47" s="1" t="s">
        <v>33</v>
      </c>
      <c r="H47" s="1" t="s">
        <v>98</v>
      </c>
      <c r="I47" s="1" t="s">
        <v>72</v>
      </c>
    </row>
    <row r="48" customFormat="false" ht="14.25" hidden="false" customHeight="true" outlineLevel="0" collapsed="false">
      <c r="A48" s="1" t="s">
        <v>472</v>
      </c>
      <c r="B48" s="1" t="s">
        <v>33</v>
      </c>
      <c r="C48" s="1" t="s">
        <v>59</v>
      </c>
      <c r="D48" s="1" t="s">
        <v>124</v>
      </c>
      <c r="E48" s="1" t="s">
        <v>163</v>
      </c>
      <c r="F48" s="1" t="s">
        <v>46</v>
      </c>
      <c r="G48" s="1" t="s">
        <v>137</v>
      </c>
      <c r="H48" s="1" t="s">
        <v>98</v>
      </c>
      <c r="I48" s="1" t="s">
        <v>72</v>
      </c>
    </row>
    <row r="49" customFormat="false" ht="14.25" hidden="false" customHeight="true" outlineLevel="0" collapsed="false">
      <c r="A49" s="1" t="s">
        <v>473</v>
      </c>
      <c r="B49" s="1" t="s">
        <v>72</v>
      </c>
      <c r="C49" s="1" t="s">
        <v>59</v>
      </c>
      <c r="D49" s="1" t="s">
        <v>137</v>
      </c>
      <c r="E49" s="1" t="s">
        <v>124</v>
      </c>
      <c r="F49" s="1" t="s">
        <v>46</v>
      </c>
      <c r="G49" s="1" t="s">
        <v>33</v>
      </c>
      <c r="H49" s="1" t="s">
        <v>98</v>
      </c>
      <c r="I49" s="1" t="s">
        <v>176</v>
      </c>
    </row>
    <row r="50" customFormat="false" ht="14.25" hidden="false" customHeight="true" outlineLevel="0" collapsed="false">
      <c r="A50" s="1" t="s">
        <v>474</v>
      </c>
      <c r="B50" s="1" t="s">
        <v>33</v>
      </c>
      <c r="C50" s="1" t="s">
        <v>124</v>
      </c>
      <c r="D50" s="1" t="s">
        <v>59</v>
      </c>
      <c r="E50" s="1" t="s">
        <v>163</v>
      </c>
      <c r="F50" s="1" t="s">
        <v>46</v>
      </c>
      <c r="G50" s="1" t="s">
        <v>150</v>
      </c>
      <c r="H50" s="1" t="s">
        <v>98</v>
      </c>
      <c r="I50" s="1" t="s">
        <v>72</v>
      </c>
    </row>
    <row r="51" customFormat="false" ht="14.25" hidden="false" customHeight="true" outlineLevel="0" collapsed="false">
      <c r="A51" s="1" t="s">
        <v>475</v>
      </c>
      <c r="B51" s="1" t="s">
        <v>46</v>
      </c>
      <c r="C51" s="1" t="s">
        <v>72</v>
      </c>
      <c r="D51" s="1" t="s">
        <v>59</v>
      </c>
      <c r="E51" s="1" t="s">
        <v>124</v>
      </c>
      <c r="F51" s="1" t="s">
        <v>150</v>
      </c>
      <c r="G51" s="1" t="s">
        <v>33</v>
      </c>
      <c r="H51" s="1" t="s">
        <v>98</v>
      </c>
      <c r="I51" s="1" t="s">
        <v>176</v>
      </c>
    </row>
    <row r="52" customFormat="false" ht="14.25" hidden="false" customHeight="true" outlineLevel="0" collapsed="false">
      <c r="A52" s="1" t="s">
        <v>476</v>
      </c>
      <c r="B52" s="1" t="s">
        <v>72</v>
      </c>
      <c r="C52" s="1" t="s">
        <v>124</v>
      </c>
      <c r="D52" s="1" t="s">
        <v>59</v>
      </c>
      <c r="E52" s="1" t="s">
        <v>163</v>
      </c>
      <c r="F52" s="1" t="s">
        <v>46</v>
      </c>
      <c r="G52" s="1" t="s">
        <v>33</v>
      </c>
      <c r="H52" s="1" t="s">
        <v>98</v>
      </c>
      <c r="I52" s="1" t="s">
        <v>176</v>
      </c>
    </row>
    <row r="53" customFormat="false" ht="14.25" hidden="false" customHeight="true" outlineLevel="0" collapsed="false">
      <c r="A53" s="1" t="s">
        <v>477</v>
      </c>
      <c r="B53" s="1" t="s">
        <v>46</v>
      </c>
      <c r="C53" s="1" t="s">
        <v>59</v>
      </c>
      <c r="D53" s="1" t="s">
        <v>98</v>
      </c>
      <c r="E53" s="1" t="s">
        <v>163</v>
      </c>
      <c r="F53" s="1" t="s">
        <v>150</v>
      </c>
      <c r="G53" s="1" t="s">
        <v>33</v>
      </c>
      <c r="H53" s="1" t="s">
        <v>137</v>
      </c>
      <c r="I53" s="1" t="s">
        <v>72</v>
      </c>
    </row>
    <row r="54" customFormat="false" ht="14.25" hidden="false" customHeight="true" outlineLevel="0" collapsed="false">
      <c r="A54" s="1" t="s">
        <v>478</v>
      </c>
      <c r="B54" s="1" t="s">
        <v>46</v>
      </c>
      <c r="C54" s="1" t="s">
        <v>72</v>
      </c>
      <c r="D54" s="1" t="s">
        <v>59</v>
      </c>
      <c r="E54" s="1" t="s">
        <v>137</v>
      </c>
      <c r="F54" s="1" t="s">
        <v>150</v>
      </c>
      <c r="G54" s="1" t="s">
        <v>33</v>
      </c>
      <c r="H54" s="1" t="s">
        <v>98</v>
      </c>
      <c r="I54" s="1" t="s">
        <v>176</v>
      </c>
    </row>
    <row r="55" customFormat="false" ht="14.25" hidden="false" customHeight="true" outlineLevel="0" collapsed="false">
      <c r="A55" s="1" t="s">
        <v>479</v>
      </c>
      <c r="B55" s="1" t="s">
        <v>72</v>
      </c>
      <c r="C55" s="1" t="s">
        <v>59</v>
      </c>
      <c r="D55" s="1" t="s">
        <v>137</v>
      </c>
      <c r="E55" s="1" t="s">
        <v>163</v>
      </c>
      <c r="F55" s="1" t="s">
        <v>46</v>
      </c>
      <c r="G55" s="1" t="s">
        <v>33</v>
      </c>
      <c r="H55" s="1" t="s">
        <v>98</v>
      </c>
      <c r="I55" s="1" t="s">
        <v>176</v>
      </c>
    </row>
    <row r="56" customFormat="false" ht="14.25" hidden="false" customHeight="true" outlineLevel="0" collapsed="false">
      <c r="A56" s="1" t="s">
        <v>480</v>
      </c>
      <c r="B56" s="1" t="s">
        <v>46</v>
      </c>
      <c r="C56" s="1" t="s">
        <v>72</v>
      </c>
      <c r="D56" s="1" t="s">
        <v>59</v>
      </c>
      <c r="E56" s="1" t="s">
        <v>163</v>
      </c>
      <c r="F56" s="1" t="s">
        <v>150</v>
      </c>
      <c r="G56" s="1" t="s">
        <v>33</v>
      </c>
      <c r="H56" s="1" t="s">
        <v>98</v>
      </c>
      <c r="I56" s="1" t="s">
        <v>176</v>
      </c>
    </row>
    <row r="57" customFormat="false" ht="14.25" hidden="false" customHeight="true" outlineLevel="0" collapsed="false">
      <c r="A57" s="1" t="s">
        <v>481</v>
      </c>
      <c r="B57" s="1" t="s">
        <v>33</v>
      </c>
      <c r="C57" s="1" t="s">
        <v>72</v>
      </c>
      <c r="D57" s="1" t="s">
        <v>59</v>
      </c>
      <c r="E57" s="1" t="s">
        <v>124</v>
      </c>
      <c r="F57" s="1" t="s">
        <v>46</v>
      </c>
      <c r="G57" s="1" t="s">
        <v>150</v>
      </c>
      <c r="H57" s="1" t="s">
        <v>111</v>
      </c>
      <c r="I57" s="1" t="s">
        <v>137</v>
      </c>
    </row>
    <row r="58" customFormat="false" ht="14.25" hidden="false" customHeight="true" outlineLevel="0" collapsed="false">
      <c r="A58" s="1" t="s">
        <v>482</v>
      </c>
      <c r="B58" s="1" t="s">
        <v>33</v>
      </c>
      <c r="C58" s="1" t="s">
        <v>59</v>
      </c>
      <c r="D58" s="1" t="s">
        <v>137</v>
      </c>
      <c r="E58" s="1" t="s">
        <v>163</v>
      </c>
      <c r="F58" s="1" t="s">
        <v>46</v>
      </c>
      <c r="G58" s="1" t="s">
        <v>124</v>
      </c>
      <c r="H58" s="1" t="s">
        <v>111</v>
      </c>
      <c r="I58" s="1" t="s">
        <v>72</v>
      </c>
    </row>
    <row r="59" customFormat="false" ht="14.25" hidden="false" customHeight="true" outlineLevel="0" collapsed="false">
      <c r="A59" s="1" t="s">
        <v>483</v>
      </c>
      <c r="B59" s="1" t="s">
        <v>33</v>
      </c>
      <c r="C59" s="1" t="s">
        <v>72</v>
      </c>
      <c r="D59" s="1" t="s">
        <v>59</v>
      </c>
      <c r="E59" s="1" t="s">
        <v>124</v>
      </c>
      <c r="F59" s="1" t="s">
        <v>46</v>
      </c>
      <c r="G59" s="1" t="s">
        <v>137</v>
      </c>
      <c r="H59" s="1" t="s">
        <v>111</v>
      </c>
      <c r="I59" s="1" t="s">
        <v>176</v>
      </c>
    </row>
    <row r="60" customFormat="false" ht="14.25" hidden="false" customHeight="true" outlineLevel="0" collapsed="false">
      <c r="A60" s="1" t="s">
        <v>484</v>
      </c>
      <c r="B60" s="1" t="s">
        <v>33</v>
      </c>
      <c r="C60" s="1" t="s">
        <v>124</v>
      </c>
      <c r="D60" s="1" t="s">
        <v>59</v>
      </c>
      <c r="E60" s="1" t="s">
        <v>163</v>
      </c>
      <c r="F60" s="1" t="s">
        <v>46</v>
      </c>
      <c r="G60" s="1" t="s">
        <v>150</v>
      </c>
      <c r="H60" s="1" t="s">
        <v>111</v>
      </c>
      <c r="I60" s="1" t="s">
        <v>72</v>
      </c>
    </row>
    <row r="61" customFormat="false" ht="14.25" hidden="false" customHeight="true" outlineLevel="0" collapsed="false">
      <c r="A61" s="1" t="s">
        <v>485</v>
      </c>
      <c r="B61" s="1" t="s">
        <v>33</v>
      </c>
      <c r="C61" s="1" t="s">
        <v>72</v>
      </c>
      <c r="D61" s="1" t="s">
        <v>59</v>
      </c>
      <c r="E61" s="1" t="s">
        <v>124</v>
      </c>
      <c r="F61" s="1" t="s">
        <v>46</v>
      </c>
      <c r="G61" s="1" t="s">
        <v>150</v>
      </c>
      <c r="H61" s="1" t="s">
        <v>111</v>
      </c>
      <c r="I61" s="1" t="s">
        <v>176</v>
      </c>
    </row>
    <row r="62" customFormat="false" ht="14.25" hidden="false" customHeight="true" outlineLevel="0" collapsed="false">
      <c r="A62" s="1" t="s">
        <v>486</v>
      </c>
      <c r="B62" s="1" t="s">
        <v>72</v>
      </c>
      <c r="C62" s="1" t="s">
        <v>124</v>
      </c>
      <c r="D62" s="1" t="s">
        <v>59</v>
      </c>
      <c r="E62" s="1" t="s">
        <v>163</v>
      </c>
      <c r="F62" s="1" t="s">
        <v>46</v>
      </c>
      <c r="G62" s="1" t="s">
        <v>33</v>
      </c>
      <c r="H62" s="1" t="s">
        <v>111</v>
      </c>
      <c r="I62" s="1" t="s">
        <v>176</v>
      </c>
    </row>
    <row r="63" customFormat="false" ht="14.25" hidden="false" customHeight="true" outlineLevel="0" collapsed="false">
      <c r="A63" s="1" t="s">
        <v>487</v>
      </c>
      <c r="B63" s="1" t="s">
        <v>33</v>
      </c>
      <c r="C63" s="1" t="s">
        <v>72</v>
      </c>
      <c r="D63" s="1" t="s">
        <v>59</v>
      </c>
      <c r="E63" s="1" t="s">
        <v>163</v>
      </c>
      <c r="F63" s="1" t="s">
        <v>46</v>
      </c>
      <c r="G63" s="1" t="s">
        <v>150</v>
      </c>
      <c r="H63" s="1" t="s">
        <v>111</v>
      </c>
      <c r="I63" s="1" t="s">
        <v>137</v>
      </c>
    </row>
    <row r="64" customFormat="false" ht="14.25" hidden="false" customHeight="true" outlineLevel="0" collapsed="false">
      <c r="A64" s="1" t="s">
        <v>488</v>
      </c>
      <c r="B64" s="1" t="s">
        <v>33</v>
      </c>
      <c r="C64" s="1" t="s">
        <v>72</v>
      </c>
      <c r="D64" s="1" t="s">
        <v>59</v>
      </c>
      <c r="E64" s="1" t="s">
        <v>137</v>
      </c>
      <c r="F64" s="1" t="s">
        <v>46</v>
      </c>
      <c r="G64" s="1" t="s">
        <v>150</v>
      </c>
      <c r="H64" s="1" t="s">
        <v>111</v>
      </c>
      <c r="I64" s="1" t="s">
        <v>176</v>
      </c>
    </row>
    <row r="65" customFormat="false" ht="14.25" hidden="false" customHeight="true" outlineLevel="0" collapsed="false">
      <c r="A65" s="1" t="s">
        <v>489</v>
      </c>
      <c r="B65" s="1" t="s">
        <v>72</v>
      </c>
      <c r="C65" s="1" t="s">
        <v>111</v>
      </c>
      <c r="D65" s="1" t="s">
        <v>59</v>
      </c>
      <c r="E65" s="1" t="s">
        <v>163</v>
      </c>
      <c r="F65" s="1" t="s">
        <v>46</v>
      </c>
      <c r="G65" s="1" t="s">
        <v>33</v>
      </c>
      <c r="H65" s="1" t="s">
        <v>137</v>
      </c>
      <c r="I65" s="1" t="s">
        <v>176</v>
      </c>
    </row>
    <row r="66" customFormat="false" ht="14.25" hidden="false" customHeight="true" outlineLevel="0" collapsed="false">
      <c r="A66" s="1" t="s">
        <v>490</v>
      </c>
      <c r="B66" s="1" t="s">
        <v>72</v>
      </c>
      <c r="C66" s="1" t="s">
        <v>111</v>
      </c>
      <c r="D66" s="1" t="s">
        <v>59</v>
      </c>
      <c r="E66" s="1" t="s">
        <v>163</v>
      </c>
      <c r="F66" s="1" t="s">
        <v>46</v>
      </c>
      <c r="G66" s="1" t="s">
        <v>33</v>
      </c>
      <c r="H66" s="1" t="s">
        <v>150</v>
      </c>
      <c r="I66" s="1" t="s">
        <v>176</v>
      </c>
    </row>
    <row r="67" customFormat="false" ht="14.25" hidden="false" customHeight="true" outlineLevel="0" collapsed="false">
      <c r="A67" s="1" t="s">
        <v>491</v>
      </c>
      <c r="B67" s="1" t="s">
        <v>33</v>
      </c>
      <c r="C67" s="1" t="s">
        <v>124</v>
      </c>
      <c r="D67" s="1" t="s">
        <v>59</v>
      </c>
      <c r="E67" s="1" t="s">
        <v>163</v>
      </c>
      <c r="F67" s="1" t="s">
        <v>46</v>
      </c>
      <c r="G67" s="1" t="s">
        <v>150</v>
      </c>
      <c r="H67" s="1" t="s">
        <v>137</v>
      </c>
      <c r="I67" s="1" t="s">
        <v>72</v>
      </c>
    </row>
    <row r="68" customFormat="false" ht="14.25" hidden="false" customHeight="true" outlineLevel="0" collapsed="false">
      <c r="A68" s="1" t="s">
        <v>492</v>
      </c>
      <c r="B68" s="1" t="s">
        <v>33</v>
      </c>
      <c r="C68" s="1" t="s">
        <v>72</v>
      </c>
      <c r="D68" s="1" t="s">
        <v>59</v>
      </c>
      <c r="E68" s="1" t="s">
        <v>124</v>
      </c>
      <c r="F68" s="1" t="s">
        <v>46</v>
      </c>
      <c r="G68" s="1" t="s">
        <v>150</v>
      </c>
      <c r="H68" s="1" t="s">
        <v>137</v>
      </c>
      <c r="I68" s="1" t="s">
        <v>176</v>
      </c>
    </row>
    <row r="69" customFormat="false" ht="14.25" hidden="false" customHeight="true" outlineLevel="0" collapsed="false">
      <c r="A69" s="1" t="s">
        <v>493</v>
      </c>
      <c r="B69" s="1" t="s">
        <v>72</v>
      </c>
      <c r="C69" s="1" t="s">
        <v>124</v>
      </c>
      <c r="D69" s="1" t="s">
        <v>59</v>
      </c>
      <c r="E69" s="1" t="s">
        <v>163</v>
      </c>
      <c r="F69" s="1" t="s">
        <v>46</v>
      </c>
      <c r="G69" s="1" t="s">
        <v>33</v>
      </c>
      <c r="H69" s="1" t="s">
        <v>137</v>
      </c>
      <c r="I69" s="1" t="s">
        <v>176</v>
      </c>
    </row>
    <row r="70" customFormat="false" ht="14.25" hidden="false" customHeight="true" outlineLevel="0" collapsed="false">
      <c r="A70" s="1" t="s">
        <v>494</v>
      </c>
      <c r="B70" s="1" t="s">
        <v>72</v>
      </c>
      <c r="C70" s="1" t="s">
        <v>124</v>
      </c>
      <c r="D70" s="1" t="s">
        <v>59</v>
      </c>
      <c r="E70" s="1" t="s">
        <v>163</v>
      </c>
      <c r="F70" s="1" t="s">
        <v>46</v>
      </c>
      <c r="G70" s="1" t="s">
        <v>33</v>
      </c>
      <c r="H70" s="1" t="s">
        <v>150</v>
      </c>
      <c r="I70" s="1" t="s">
        <v>176</v>
      </c>
    </row>
    <row r="71" customFormat="false" ht="14.25" hidden="false" customHeight="true" outlineLevel="0" collapsed="false">
      <c r="A71" s="1" t="s">
        <v>495</v>
      </c>
      <c r="B71" s="1" t="s">
        <v>72</v>
      </c>
      <c r="C71" s="1" t="s">
        <v>59</v>
      </c>
      <c r="D71" s="1" t="s">
        <v>137</v>
      </c>
      <c r="E71" s="1" t="s">
        <v>163</v>
      </c>
      <c r="F71" s="1" t="s">
        <v>46</v>
      </c>
      <c r="G71" s="1" t="s">
        <v>33</v>
      </c>
      <c r="H71" s="1" t="s">
        <v>150</v>
      </c>
      <c r="I71" s="1" t="s">
        <v>176</v>
      </c>
    </row>
    <row r="72" customFormat="false" ht="14.25" hidden="false" customHeight="true" outlineLevel="0" collapsed="false">
      <c r="A72" s="1" t="s">
        <v>496</v>
      </c>
      <c r="B72" s="1" t="s">
        <v>59</v>
      </c>
      <c r="C72" s="1" t="s">
        <v>98</v>
      </c>
      <c r="D72" s="1" t="s">
        <v>137</v>
      </c>
      <c r="E72" s="1" t="s">
        <v>124</v>
      </c>
      <c r="F72" s="1" t="s">
        <v>46</v>
      </c>
      <c r="G72" s="1" t="s">
        <v>33</v>
      </c>
      <c r="H72" s="1" t="s">
        <v>111</v>
      </c>
      <c r="I72" s="1" t="s">
        <v>85</v>
      </c>
    </row>
    <row r="73" customFormat="false" ht="14.25" hidden="false" customHeight="true" outlineLevel="0" collapsed="false">
      <c r="A73" s="1" t="s">
        <v>497</v>
      </c>
      <c r="B73" s="1" t="s">
        <v>46</v>
      </c>
      <c r="C73" s="1" t="s">
        <v>98</v>
      </c>
      <c r="D73" s="1" t="s">
        <v>59</v>
      </c>
      <c r="E73" s="1" t="s">
        <v>124</v>
      </c>
      <c r="F73" s="1" t="s">
        <v>150</v>
      </c>
      <c r="G73" s="1" t="s">
        <v>33</v>
      </c>
      <c r="H73" s="1" t="s">
        <v>111</v>
      </c>
      <c r="I73" s="1" t="s">
        <v>85</v>
      </c>
    </row>
    <row r="74" customFormat="false" ht="14.25" hidden="false" customHeight="true" outlineLevel="0" collapsed="false">
      <c r="A74" s="1" t="s">
        <v>498</v>
      </c>
      <c r="B74" s="1" t="s">
        <v>59</v>
      </c>
      <c r="C74" s="1" t="s">
        <v>111</v>
      </c>
      <c r="D74" s="1" t="s">
        <v>124</v>
      </c>
      <c r="E74" s="1" t="s">
        <v>163</v>
      </c>
      <c r="F74" s="1" t="s">
        <v>46</v>
      </c>
      <c r="G74" s="1" t="s">
        <v>33</v>
      </c>
      <c r="H74" s="1" t="s">
        <v>98</v>
      </c>
      <c r="I74" s="1" t="s">
        <v>85</v>
      </c>
    </row>
    <row r="75" customFormat="false" ht="14.25" hidden="false" customHeight="true" outlineLevel="0" collapsed="false">
      <c r="A75" s="1" t="s">
        <v>499</v>
      </c>
      <c r="B75" s="1" t="s">
        <v>59</v>
      </c>
      <c r="C75" s="1" t="s">
        <v>111</v>
      </c>
      <c r="D75" s="1" t="s">
        <v>124</v>
      </c>
      <c r="E75" s="1" t="s">
        <v>85</v>
      </c>
      <c r="F75" s="1" t="s">
        <v>46</v>
      </c>
      <c r="G75" s="1" t="s">
        <v>33</v>
      </c>
      <c r="H75" s="1" t="s">
        <v>98</v>
      </c>
      <c r="I75" s="1" t="s">
        <v>176</v>
      </c>
    </row>
    <row r="76" customFormat="false" ht="14.25" hidden="false" customHeight="true" outlineLevel="0" collapsed="false">
      <c r="A76" s="1" t="s">
        <v>500</v>
      </c>
      <c r="B76" s="1" t="s">
        <v>46</v>
      </c>
      <c r="C76" s="1" t="s">
        <v>59</v>
      </c>
      <c r="D76" s="1" t="s">
        <v>98</v>
      </c>
      <c r="E76" s="1" t="s">
        <v>85</v>
      </c>
      <c r="F76" s="1" t="s">
        <v>150</v>
      </c>
      <c r="G76" s="1" t="s">
        <v>33</v>
      </c>
      <c r="H76" s="1" t="s">
        <v>111</v>
      </c>
      <c r="I76" s="1" t="s">
        <v>137</v>
      </c>
    </row>
    <row r="77" customFormat="false" ht="14.25" hidden="false" customHeight="true" outlineLevel="0" collapsed="false">
      <c r="A77" s="1" t="s">
        <v>501</v>
      </c>
      <c r="B77" s="1" t="s">
        <v>46</v>
      </c>
      <c r="C77" s="1" t="s">
        <v>59</v>
      </c>
      <c r="D77" s="1" t="s">
        <v>98</v>
      </c>
      <c r="E77" s="1" t="s">
        <v>163</v>
      </c>
      <c r="F77" s="1" t="s">
        <v>137</v>
      </c>
      <c r="G77" s="1" t="s">
        <v>33</v>
      </c>
      <c r="H77" s="1" t="s">
        <v>111</v>
      </c>
      <c r="I77" s="1" t="s">
        <v>85</v>
      </c>
    </row>
    <row r="78" customFormat="false" ht="14.25" hidden="false" customHeight="true" outlineLevel="0" collapsed="false">
      <c r="A78" s="1" t="s">
        <v>502</v>
      </c>
      <c r="B78" s="1" t="s">
        <v>46</v>
      </c>
      <c r="C78" s="1" t="s">
        <v>59</v>
      </c>
      <c r="D78" s="1" t="s">
        <v>98</v>
      </c>
      <c r="E78" s="1" t="s">
        <v>85</v>
      </c>
      <c r="F78" s="1" t="s">
        <v>137</v>
      </c>
      <c r="G78" s="1" t="s">
        <v>33</v>
      </c>
      <c r="H78" s="1" t="s">
        <v>111</v>
      </c>
      <c r="I78" s="1" t="s">
        <v>176</v>
      </c>
    </row>
    <row r="79" customFormat="false" ht="14.25" hidden="false" customHeight="true" outlineLevel="0" collapsed="false">
      <c r="A79" s="1" t="s">
        <v>503</v>
      </c>
      <c r="B79" s="1" t="s">
        <v>46</v>
      </c>
      <c r="C79" s="1" t="s">
        <v>98</v>
      </c>
      <c r="D79" s="1" t="s">
        <v>59</v>
      </c>
      <c r="E79" s="1" t="s">
        <v>163</v>
      </c>
      <c r="F79" s="1" t="s">
        <v>150</v>
      </c>
      <c r="G79" s="1" t="s">
        <v>33</v>
      </c>
      <c r="H79" s="1" t="s">
        <v>111</v>
      </c>
      <c r="I79" s="1" t="s">
        <v>85</v>
      </c>
    </row>
    <row r="80" customFormat="false" ht="14.25" hidden="false" customHeight="true" outlineLevel="0" collapsed="false">
      <c r="A80" s="1" t="s">
        <v>504</v>
      </c>
      <c r="B80" s="1" t="s">
        <v>46</v>
      </c>
      <c r="C80" s="1" t="s">
        <v>98</v>
      </c>
      <c r="D80" s="1" t="s">
        <v>59</v>
      </c>
      <c r="E80" s="1" t="s">
        <v>85</v>
      </c>
      <c r="F80" s="1" t="s">
        <v>150</v>
      </c>
      <c r="G80" s="1" t="s">
        <v>33</v>
      </c>
      <c r="H80" s="1" t="s">
        <v>111</v>
      </c>
      <c r="I80" s="1" t="s">
        <v>176</v>
      </c>
    </row>
    <row r="81" customFormat="false" ht="14.25" hidden="false" customHeight="true" outlineLevel="0" collapsed="false">
      <c r="A81" s="1" t="s">
        <v>505</v>
      </c>
      <c r="B81" s="1" t="s">
        <v>46</v>
      </c>
      <c r="C81" s="1" t="s">
        <v>59</v>
      </c>
      <c r="D81" s="1" t="s">
        <v>85</v>
      </c>
      <c r="E81" s="1" t="s">
        <v>163</v>
      </c>
      <c r="F81" s="1" t="s">
        <v>98</v>
      </c>
      <c r="G81" s="1" t="s">
        <v>33</v>
      </c>
      <c r="H81" s="1" t="s">
        <v>111</v>
      </c>
      <c r="I81" s="1" t="s">
        <v>176</v>
      </c>
    </row>
    <row r="82" customFormat="false" ht="14.25" hidden="false" customHeight="true" outlineLevel="0" collapsed="false">
      <c r="A82" s="1" t="s">
        <v>506</v>
      </c>
      <c r="B82" s="1" t="s">
        <v>33</v>
      </c>
      <c r="C82" s="1" t="s">
        <v>59</v>
      </c>
      <c r="D82" s="1" t="s">
        <v>98</v>
      </c>
      <c r="E82" s="1" t="s">
        <v>124</v>
      </c>
      <c r="F82" s="1" t="s">
        <v>46</v>
      </c>
      <c r="G82" s="1" t="s">
        <v>137</v>
      </c>
      <c r="H82" s="1" t="s">
        <v>150</v>
      </c>
      <c r="I82" s="1" t="s">
        <v>85</v>
      </c>
    </row>
    <row r="83" customFormat="false" ht="14.25" hidden="false" customHeight="true" outlineLevel="0" collapsed="false">
      <c r="A83" s="1" t="s">
        <v>507</v>
      </c>
      <c r="B83" s="1" t="s">
        <v>33</v>
      </c>
      <c r="C83" s="1" t="s">
        <v>59</v>
      </c>
      <c r="D83" s="1" t="s">
        <v>124</v>
      </c>
      <c r="E83" s="1" t="s">
        <v>163</v>
      </c>
      <c r="F83" s="1" t="s">
        <v>46</v>
      </c>
      <c r="G83" s="1" t="s">
        <v>137</v>
      </c>
      <c r="H83" s="1" t="s">
        <v>98</v>
      </c>
      <c r="I83" s="1" t="s">
        <v>85</v>
      </c>
    </row>
    <row r="84" customFormat="false" ht="14.25" hidden="false" customHeight="true" outlineLevel="0" collapsed="false">
      <c r="A84" s="1" t="s">
        <v>508</v>
      </c>
      <c r="B84" s="1" t="s">
        <v>33</v>
      </c>
      <c r="C84" s="1" t="s">
        <v>59</v>
      </c>
      <c r="D84" s="1" t="s">
        <v>124</v>
      </c>
      <c r="E84" s="1" t="s">
        <v>85</v>
      </c>
      <c r="F84" s="1" t="s">
        <v>46</v>
      </c>
      <c r="G84" s="1" t="s">
        <v>137</v>
      </c>
      <c r="H84" s="1" t="s">
        <v>98</v>
      </c>
      <c r="I84" s="1" t="s">
        <v>176</v>
      </c>
    </row>
    <row r="85" customFormat="false" ht="14.25" hidden="false" customHeight="true" outlineLevel="0" collapsed="false">
      <c r="A85" s="1" t="s">
        <v>509</v>
      </c>
      <c r="B85" s="1" t="s">
        <v>33</v>
      </c>
      <c r="C85" s="1" t="s">
        <v>59</v>
      </c>
      <c r="D85" s="1" t="s">
        <v>124</v>
      </c>
      <c r="E85" s="1" t="s">
        <v>163</v>
      </c>
      <c r="F85" s="1" t="s">
        <v>46</v>
      </c>
      <c r="G85" s="1" t="s">
        <v>150</v>
      </c>
      <c r="H85" s="1" t="s">
        <v>98</v>
      </c>
      <c r="I85" s="1" t="s">
        <v>85</v>
      </c>
    </row>
    <row r="86" customFormat="false" ht="14.25" hidden="false" customHeight="true" outlineLevel="0" collapsed="false">
      <c r="A86" s="1" t="s">
        <v>510</v>
      </c>
      <c r="B86" s="1" t="s">
        <v>33</v>
      </c>
      <c r="C86" s="1" t="s">
        <v>59</v>
      </c>
      <c r="D86" s="1" t="s">
        <v>124</v>
      </c>
      <c r="E86" s="1" t="s">
        <v>85</v>
      </c>
      <c r="F86" s="1" t="s">
        <v>46</v>
      </c>
      <c r="G86" s="1" t="s">
        <v>150</v>
      </c>
      <c r="H86" s="1" t="s">
        <v>98</v>
      </c>
      <c r="I86" s="1" t="s">
        <v>176</v>
      </c>
    </row>
    <row r="87" customFormat="false" ht="14.25" hidden="false" customHeight="true" outlineLevel="0" collapsed="false">
      <c r="A87" s="1" t="s">
        <v>511</v>
      </c>
      <c r="B87" s="1" t="s">
        <v>59</v>
      </c>
      <c r="C87" s="1" t="s">
        <v>98</v>
      </c>
      <c r="D87" s="1" t="s">
        <v>124</v>
      </c>
      <c r="E87" s="1" t="s">
        <v>163</v>
      </c>
      <c r="F87" s="1" t="s">
        <v>46</v>
      </c>
      <c r="G87" s="1" t="s">
        <v>33</v>
      </c>
      <c r="H87" s="1" t="s">
        <v>85</v>
      </c>
      <c r="I87" s="1" t="s">
        <v>176</v>
      </c>
    </row>
    <row r="88" customFormat="false" ht="14.25" hidden="false" customHeight="true" outlineLevel="0" collapsed="false">
      <c r="A88" s="1" t="s">
        <v>512</v>
      </c>
      <c r="B88" s="1" t="s">
        <v>33</v>
      </c>
      <c r="C88" s="1" t="s">
        <v>59</v>
      </c>
      <c r="D88" s="1" t="s">
        <v>98</v>
      </c>
      <c r="E88" s="1" t="s">
        <v>163</v>
      </c>
      <c r="F88" s="1" t="s">
        <v>46</v>
      </c>
      <c r="G88" s="1" t="s">
        <v>150</v>
      </c>
      <c r="H88" s="1" t="s">
        <v>137</v>
      </c>
      <c r="I88" s="1" t="s">
        <v>85</v>
      </c>
    </row>
    <row r="89" customFormat="false" ht="14.25" hidden="false" customHeight="true" outlineLevel="0" collapsed="false">
      <c r="A89" s="1" t="s">
        <v>513</v>
      </c>
      <c r="B89" s="1" t="s">
        <v>33</v>
      </c>
      <c r="C89" s="1" t="s">
        <v>59</v>
      </c>
      <c r="D89" s="1" t="s">
        <v>98</v>
      </c>
      <c r="E89" s="1" t="s">
        <v>85</v>
      </c>
      <c r="F89" s="1" t="s">
        <v>46</v>
      </c>
      <c r="G89" s="1" t="s">
        <v>150</v>
      </c>
      <c r="H89" s="1" t="s">
        <v>137</v>
      </c>
      <c r="I89" s="1" t="s">
        <v>176</v>
      </c>
    </row>
    <row r="90" customFormat="false" ht="14.25" hidden="false" customHeight="true" outlineLevel="0" collapsed="false">
      <c r="A90" s="1" t="s">
        <v>514</v>
      </c>
      <c r="B90" s="1" t="s">
        <v>46</v>
      </c>
      <c r="C90" s="1" t="s">
        <v>59</v>
      </c>
      <c r="D90" s="1" t="s">
        <v>98</v>
      </c>
      <c r="E90" s="1" t="s">
        <v>163</v>
      </c>
      <c r="F90" s="1" t="s">
        <v>137</v>
      </c>
      <c r="G90" s="1" t="s">
        <v>33</v>
      </c>
      <c r="H90" s="1" t="s">
        <v>85</v>
      </c>
      <c r="I90" s="1" t="s">
        <v>176</v>
      </c>
    </row>
    <row r="91" customFormat="false" ht="14.25" hidden="false" customHeight="true" outlineLevel="0" collapsed="false">
      <c r="A91" s="1" t="s">
        <v>515</v>
      </c>
      <c r="B91" s="1" t="s">
        <v>46</v>
      </c>
      <c r="C91" s="1" t="s">
        <v>59</v>
      </c>
      <c r="D91" s="1" t="s">
        <v>85</v>
      </c>
      <c r="E91" s="1" t="s">
        <v>163</v>
      </c>
      <c r="F91" s="1" t="s">
        <v>150</v>
      </c>
      <c r="G91" s="1" t="s">
        <v>33</v>
      </c>
      <c r="H91" s="1" t="s">
        <v>98</v>
      </c>
      <c r="I91" s="1" t="s">
        <v>176</v>
      </c>
    </row>
    <row r="92" customFormat="false" ht="14.25" hidden="false" customHeight="true" outlineLevel="0" collapsed="false">
      <c r="A92" s="1" t="s">
        <v>516</v>
      </c>
      <c r="B92" s="1" t="s">
        <v>33</v>
      </c>
      <c r="C92" s="1" t="s">
        <v>59</v>
      </c>
      <c r="D92" s="1" t="s">
        <v>124</v>
      </c>
      <c r="E92" s="1" t="s">
        <v>137</v>
      </c>
      <c r="F92" s="1" t="s">
        <v>46</v>
      </c>
      <c r="G92" s="1" t="s">
        <v>150</v>
      </c>
      <c r="H92" s="1" t="s">
        <v>111</v>
      </c>
      <c r="I92" s="1" t="s">
        <v>85</v>
      </c>
    </row>
    <row r="93" customFormat="false" ht="14.25" hidden="false" customHeight="true" outlineLevel="0" collapsed="false">
      <c r="A93" s="1" t="s">
        <v>517</v>
      </c>
      <c r="B93" s="1" t="s">
        <v>33</v>
      </c>
      <c r="C93" s="1" t="s">
        <v>59</v>
      </c>
      <c r="D93" s="1" t="s">
        <v>137</v>
      </c>
      <c r="E93" s="1" t="s">
        <v>163</v>
      </c>
      <c r="F93" s="1" t="s">
        <v>46</v>
      </c>
      <c r="G93" s="1" t="s">
        <v>124</v>
      </c>
      <c r="H93" s="1" t="s">
        <v>111</v>
      </c>
      <c r="I93" s="1" t="s">
        <v>85</v>
      </c>
    </row>
    <row r="94" customFormat="false" ht="14.25" hidden="false" customHeight="true" outlineLevel="0" collapsed="false">
      <c r="A94" s="1" t="s">
        <v>518</v>
      </c>
      <c r="B94" s="1" t="s">
        <v>33</v>
      </c>
      <c r="C94" s="1" t="s">
        <v>59</v>
      </c>
      <c r="D94" s="1" t="s">
        <v>137</v>
      </c>
      <c r="E94" s="1" t="s">
        <v>85</v>
      </c>
      <c r="F94" s="1" t="s">
        <v>46</v>
      </c>
      <c r="G94" s="1" t="s">
        <v>124</v>
      </c>
      <c r="H94" s="1" t="s">
        <v>111</v>
      </c>
      <c r="I94" s="1" t="s">
        <v>176</v>
      </c>
    </row>
    <row r="95" customFormat="false" ht="14.25" hidden="false" customHeight="true" outlineLevel="0" collapsed="false">
      <c r="A95" s="1" t="s">
        <v>519</v>
      </c>
      <c r="B95" s="1" t="s">
        <v>33</v>
      </c>
      <c r="C95" s="1" t="s">
        <v>124</v>
      </c>
      <c r="D95" s="1" t="s">
        <v>59</v>
      </c>
      <c r="E95" s="1" t="s">
        <v>163</v>
      </c>
      <c r="F95" s="1" t="s">
        <v>46</v>
      </c>
      <c r="G95" s="1" t="s">
        <v>150</v>
      </c>
      <c r="H95" s="1" t="s">
        <v>111</v>
      </c>
      <c r="I95" s="1" t="s">
        <v>85</v>
      </c>
    </row>
    <row r="96" customFormat="false" ht="14.25" hidden="false" customHeight="true" outlineLevel="0" collapsed="false">
      <c r="A96" s="1" t="s">
        <v>520</v>
      </c>
      <c r="B96" s="1" t="s">
        <v>33</v>
      </c>
      <c r="C96" s="1" t="s">
        <v>59</v>
      </c>
      <c r="D96" s="1" t="s">
        <v>85</v>
      </c>
      <c r="E96" s="1" t="s">
        <v>124</v>
      </c>
      <c r="F96" s="1" t="s">
        <v>46</v>
      </c>
      <c r="G96" s="1" t="s">
        <v>150</v>
      </c>
      <c r="H96" s="1" t="s">
        <v>111</v>
      </c>
      <c r="I96" s="1" t="s">
        <v>176</v>
      </c>
    </row>
    <row r="97" customFormat="false" ht="14.25" hidden="false" customHeight="true" outlineLevel="0" collapsed="false">
      <c r="A97" s="1" t="s">
        <v>521</v>
      </c>
      <c r="B97" s="1" t="s">
        <v>33</v>
      </c>
      <c r="C97" s="1" t="s">
        <v>111</v>
      </c>
      <c r="D97" s="1" t="s">
        <v>59</v>
      </c>
      <c r="E97" s="1" t="s">
        <v>163</v>
      </c>
      <c r="F97" s="1" t="s">
        <v>46</v>
      </c>
      <c r="G97" s="1" t="s">
        <v>124</v>
      </c>
      <c r="H97" s="1" t="s">
        <v>85</v>
      </c>
      <c r="I97" s="1" t="s">
        <v>176</v>
      </c>
    </row>
    <row r="98" customFormat="false" ht="14.25" hidden="false" customHeight="true" outlineLevel="0" collapsed="false">
      <c r="A98" s="1" t="s">
        <v>522</v>
      </c>
      <c r="B98" s="1" t="s">
        <v>33</v>
      </c>
      <c r="C98" s="1" t="s">
        <v>59</v>
      </c>
      <c r="D98" s="1" t="s">
        <v>85</v>
      </c>
      <c r="E98" s="1" t="s">
        <v>163</v>
      </c>
      <c r="F98" s="1" t="s">
        <v>46</v>
      </c>
      <c r="G98" s="1" t="s">
        <v>150</v>
      </c>
      <c r="H98" s="1" t="s">
        <v>111</v>
      </c>
      <c r="I98" s="1" t="s">
        <v>137</v>
      </c>
    </row>
    <row r="99" customFormat="false" ht="14.25" hidden="false" customHeight="true" outlineLevel="0" collapsed="false">
      <c r="A99" s="1" t="s">
        <v>523</v>
      </c>
      <c r="B99" s="1" t="s">
        <v>33</v>
      </c>
      <c r="C99" s="1" t="s">
        <v>59</v>
      </c>
      <c r="D99" s="1" t="s">
        <v>85</v>
      </c>
      <c r="E99" s="1" t="s">
        <v>137</v>
      </c>
      <c r="F99" s="1" t="s">
        <v>46</v>
      </c>
      <c r="G99" s="1" t="s">
        <v>150</v>
      </c>
      <c r="H99" s="1" t="s">
        <v>111</v>
      </c>
      <c r="I99" s="1" t="s">
        <v>176</v>
      </c>
    </row>
    <row r="100" customFormat="false" ht="14.25" hidden="false" customHeight="true" outlineLevel="0" collapsed="false">
      <c r="A100" s="1" t="s">
        <v>524</v>
      </c>
      <c r="B100" s="1" t="s">
        <v>33</v>
      </c>
      <c r="C100" s="1" t="s">
        <v>59</v>
      </c>
      <c r="D100" s="1" t="s">
        <v>85</v>
      </c>
      <c r="E100" s="1" t="s">
        <v>163</v>
      </c>
      <c r="F100" s="1" t="s">
        <v>46</v>
      </c>
      <c r="G100" s="1" t="s">
        <v>137</v>
      </c>
      <c r="H100" s="1" t="s">
        <v>111</v>
      </c>
      <c r="I100" s="1" t="s">
        <v>176</v>
      </c>
    </row>
    <row r="101" customFormat="false" ht="14.25" hidden="false" customHeight="true" outlineLevel="0" collapsed="false">
      <c r="A101" s="1" t="s">
        <v>525</v>
      </c>
      <c r="B101" s="1" t="s">
        <v>33</v>
      </c>
      <c r="C101" s="1" t="s">
        <v>59</v>
      </c>
      <c r="D101" s="1" t="s">
        <v>85</v>
      </c>
      <c r="E101" s="1" t="s">
        <v>163</v>
      </c>
      <c r="F101" s="1" t="s">
        <v>46</v>
      </c>
      <c r="G101" s="1" t="s">
        <v>150</v>
      </c>
      <c r="H101" s="1" t="s">
        <v>111</v>
      </c>
      <c r="I101" s="1" t="s">
        <v>176</v>
      </c>
    </row>
    <row r="102" customFormat="false" ht="14.25" hidden="false" customHeight="true" outlineLevel="0" collapsed="false">
      <c r="A102" s="1" t="s">
        <v>526</v>
      </c>
      <c r="B102" s="1" t="s">
        <v>33</v>
      </c>
      <c r="C102" s="1" t="s">
        <v>59</v>
      </c>
      <c r="D102" s="1" t="s">
        <v>124</v>
      </c>
      <c r="E102" s="1" t="s">
        <v>163</v>
      </c>
      <c r="F102" s="1" t="s">
        <v>46</v>
      </c>
      <c r="G102" s="1" t="s">
        <v>150</v>
      </c>
      <c r="H102" s="1" t="s">
        <v>85</v>
      </c>
      <c r="I102" s="1" t="s">
        <v>137</v>
      </c>
    </row>
    <row r="103" customFormat="false" ht="14.25" hidden="false" customHeight="true" outlineLevel="0" collapsed="false">
      <c r="A103" s="1" t="s">
        <v>527</v>
      </c>
      <c r="B103" s="1" t="s">
        <v>33</v>
      </c>
      <c r="C103" s="1" t="s">
        <v>59</v>
      </c>
      <c r="D103" s="1" t="s">
        <v>124</v>
      </c>
      <c r="E103" s="1" t="s">
        <v>137</v>
      </c>
      <c r="F103" s="1" t="s">
        <v>46</v>
      </c>
      <c r="G103" s="1" t="s">
        <v>150</v>
      </c>
      <c r="H103" s="1" t="s">
        <v>85</v>
      </c>
      <c r="I103" s="1" t="s">
        <v>176</v>
      </c>
    </row>
    <row r="104" customFormat="false" ht="14.25" hidden="false" customHeight="true" outlineLevel="0" collapsed="false">
      <c r="A104" s="1" t="s">
        <v>528</v>
      </c>
      <c r="B104" s="1" t="s">
        <v>33</v>
      </c>
      <c r="C104" s="1" t="s">
        <v>59</v>
      </c>
      <c r="D104" s="1" t="s">
        <v>124</v>
      </c>
      <c r="E104" s="1" t="s">
        <v>163</v>
      </c>
      <c r="F104" s="1" t="s">
        <v>46</v>
      </c>
      <c r="G104" s="1" t="s">
        <v>137</v>
      </c>
      <c r="H104" s="1" t="s">
        <v>85</v>
      </c>
      <c r="I104" s="1" t="s">
        <v>176</v>
      </c>
    </row>
    <row r="105" customFormat="false" ht="14.25" hidden="false" customHeight="true" outlineLevel="0" collapsed="false">
      <c r="A105" s="1" t="s">
        <v>529</v>
      </c>
      <c r="B105" s="1" t="s">
        <v>33</v>
      </c>
      <c r="C105" s="1" t="s">
        <v>59</v>
      </c>
      <c r="D105" s="1" t="s">
        <v>124</v>
      </c>
      <c r="E105" s="1" t="s">
        <v>163</v>
      </c>
      <c r="F105" s="1" t="s">
        <v>46</v>
      </c>
      <c r="G105" s="1" t="s">
        <v>150</v>
      </c>
      <c r="H105" s="1" t="s">
        <v>85</v>
      </c>
      <c r="I105" s="1" t="s">
        <v>176</v>
      </c>
    </row>
    <row r="106" customFormat="false" ht="14.25" hidden="false" customHeight="true" outlineLevel="0" collapsed="false">
      <c r="A106" s="1" t="s">
        <v>530</v>
      </c>
      <c r="B106" s="1" t="s">
        <v>33</v>
      </c>
      <c r="C106" s="1" t="s">
        <v>59</v>
      </c>
      <c r="D106" s="1" t="s">
        <v>85</v>
      </c>
      <c r="E106" s="1" t="s">
        <v>163</v>
      </c>
      <c r="F106" s="1" t="s">
        <v>46</v>
      </c>
      <c r="G106" s="1" t="s">
        <v>150</v>
      </c>
      <c r="H106" s="1" t="s">
        <v>137</v>
      </c>
      <c r="I106" s="1" t="s">
        <v>176</v>
      </c>
    </row>
    <row r="107" customFormat="false" ht="14.25" hidden="false" customHeight="true" outlineLevel="0" collapsed="false">
      <c r="A107" s="1" t="s">
        <v>531</v>
      </c>
      <c r="B107" s="1" t="s">
        <v>46</v>
      </c>
      <c r="C107" s="1" t="s">
        <v>98</v>
      </c>
      <c r="D107" s="1" t="s">
        <v>59</v>
      </c>
      <c r="E107" s="1" t="s">
        <v>124</v>
      </c>
      <c r="F107" s="1" t="s">
        <v>150</v>
      </c>
      <c r="G107" s="1" t="s">
        <v>33</v>
      </c>
      <c r="H107" s="1" t="s">
        <v>111</v>
      </c>
      <c r="I107" s="1" t="s">
        <v>137</v>
      </c>
    </row>
    <row r="108" customFormat="false" ht="14.25" hidden="false" customHeight="true" outlineLevel="0" collapsed="false">
      <c r="A108" s="1" t="s">
        <v>532</v>
      </c>
      <c r="B108" s="1" t="s">
        <v>59</v>
      </c>
      <c r="C108" s="1" t="s">
        <v>111</v>
      </c>
      <c r="D108" s="1" t="s">
        <v>124</v>
      </c>
      <c r="E108" s="1" t="s">
        <v>163</v>
      </c>
      <c r="F108" s="1" t="s">
        <v>46</v>
      </c>
      <c r="G108" s="1" t="s">
        <v>33</v>
      </c>
      <c r="H108" s="1" t="s">
        <v>98</v>
      </c>
      <c r="I108" s="1" t="s">
        <v>137</v>
      </c>
    </row>
    <row r="109" customFormat="false" ht="14.25" hidden="false" customHeight="true" outlineLevel="0" collapsed="false">
      <c r="A109" s="1" t="s">
        <v>533</v>
      </c>
      <c r="B109" s="1" t="s">
        <v>59</v>
      </c>
      <c r="C109" s="1" t="s">
        <v>98</v>
      </c>
      <c r="D109" s="1" t="s">
        <v>137</v>
      </c>
      <c r="E109" s="1" t="s">
        <v>124</v>
      </c>
      <c r="F109" s="1" t="s">
        <v>46</v>
      </c>
      <c r="G109" s="1" t="s">
        <v>33</v>
      </c>
      <c r="H109" s="1" t="s">
        <v>111</v>
      </c>
      <c r="I109" s="1" t="s">
        <v>176</v>
      </c>
    </row>
    <row r="110" customFormat="false" ht="14.25" hidden="false" customHeight="true" outlineLevel="0" collapsed="false">
      <c r="A110" s="1" t="s">
        <v>534</v>
      </c>
      <c r="B110" s="1" t="s">
        <v>59</v>
      </c>
      <c r="C110" s="1" t="s">
        <v>111</v>
      </c>
      <c r="D110" s="1" t="s">
        <v>124</v>
      </c>
      <c r="E110" s="1" t="s">
        <v>163</v>
      </c>
      <c r="F110" s="1" t="s">
        <v>46</v>
      </c>
      <c r="G110" s="1" t="s">
        <v>33</v>
      </c>
      <c r="H110" s="1" t="s">
        <v>98</v>
      </c>
      <c r="I110" s="1" t="s">
        <v>150</v>
      </c>
    </row>
    <row r="111" customFormat="false" ht="14.25" hidden="false" customHeight="true" outlineLevel="0" collapsed="false">
      <c r="A111" s="1" t="s">
        <v>535</v>
      </c>
      <c r="B111" s="1" t="s">
        <v>46</v>
      </c>
      <c r="C111" s="1" t="s">
        <v>98</v>
      </c>
      <c r="D111" s="1" t="s">
        <v>59</v>
      </c>
      <c r="E111" s="1" t="s">
        <v>124</v>
      </c>
      <c r="F111" s="1" t="s">
        <v>150</v>
      </c>
      <c r="G111" s="1" t="s">
        <v>33</v>
      </c>
      <c r="H111" s="1" t="s">
        <v>111</v>
      </c>
      <c r="I111" s="1" t="s">
        <v>176</v>
      </c>
    </row>
    <row r="112" customFormat="false" ht="14.25" hidden="false" customHeight="true" outlineLevel="0" collapsed="false">
      <c r="A112" s="1" t="s">
        <v>536</v>
      </c>
      <c r="B112" s="1" t="s">
        <v>59</v>
      </c>
      <c r="C112" s="1" t="s">
        <v>111</v>
      </c>
      <c r="D112" s="1" t="s">
        <v>124</v>
      </c>
      <c r="E112" s="1" t="s">
        <v>163</v>
      </c>
      <c r="F112" s="1" t="s">
        <v>46</v>
      </c>
      <c r="G112" s="1" t="s">
        <v>33</v>
      </c>
      <c r="H112" s="1" t="s">
        <v>98</v>
      </c>
      <c r="I112" s="1" t="s">
        <v>176</v>
      </c>
    </row>
    <row r="113" customFormat="false" ht="14.25" hidden="false" customHeight="true" outlineLevel="0" collapsed="false">
      <c r="A113" s="1" t="s">
        <v>537</v>
      </c>
      <c r="B113" s="1" t="s">
        <v>46</v>
      </c>
      <c r="C113" s="1" t="s">
        <v>98</v>
      </c>
      <c r="D113" s="1" t="s">
        <v>59</v>
      </c>
      <c r="E113" s="1" t="s">
        <v>163</v>
      </c>
      <c r="F113" s="1" t="s">
        <v>150</v>
      </c>
      <c r="G113" s="1" t="s">
        <v>33</v>
      </c>
      <c r="H113" s="1" t="s">
        <v>111</v>
      </c>
      <c r="I113" s="1" t="s">
        <v>137</v>
      </c>
    </row>
    <row r="114" customFormat="false" ht="14.25" hidden="false" customHeight="true" outlineLevel="0" collapsed="false">
      <c r="A114" s="1" t="s">
        <v>538</v>
      </c>
      <c r="B114" s="1" t="s">
        <v>46</v>
      </c>
      <c r="C114" s="1" t="s">
        <v>98</v>
      </c>
      <c r="D114" s="1" t="s">
        <v>59</v>
      </c>
      <c r="E114" s="1" t="s">
        <v>137</v>
      </c>
      <c r="F114" s="1" t="s">
        <v>150</v>
      </c>
      <c r="G114" s="1" t="s">
        <v>33</v>
      </c>
      <c r="H114" s="1" t="s">
        <v>111</v>
      </c>
      <c r="I114" s="1" t="s">
        <v>176</v>
      </c>
    </row>
    <row r="115" customFormat="false" ht="14.25" hidden="false" customHeight="true" outlineLevel="0" collapsed="false">
      <c r="A115" s="1" t="s">
        <v>539</v>
      </c>
      <c r="B115" s="1" t="s">
        <v>46</v>
      </c>
      <c r="C115" s="1" t="s">
        <v>59</v>
      </c>
      <c r="D115" s="1" t="s">
        <v>98</v>
      </c>
      <c r="E115" s="1" t="s">
        <v>163</v>
      </c>
      <c r="F115" s="1" t="s">
        <v>137</v>
      </c>
      <c r="G115" s="1" t="s">
        <v>33</v>
      </c>
      <c r="H115" s="1" t="s">
        <v>111</v>
      </c>
      <c r="I115" s="1" t="s">
        <v>176</v>
      </c>
    </row>
    <row r="116" customFormat="false" ht="14.25" hidden="false" customHeight="true" outlineLevel="0" collapsed="false">
      <c r="A116" s="1" t="s">
        <v>540</v>
      </c>
      <c r="B116" s="1" t="s">
        <v>46</v>
      </c>
      <c r="C116" s="1" t="s">
        <v>98</v>
      </c>
      <c r="D116" s="1" t="s">
        <v>59</v>
      </c>
      <c r="E116" s="1" t="s">
        <v>163</v>
      </c>
      <c r="F116" s="1" t="s">
        <v>150</v>
      </c>
      <c r="G116" s="1" t="s">
        <v>33</v>
      </c>
      <c r="H116" s="1" t="s">
        <v>111</v>
      </c>
      <c r="I116" s="1" t="s">
        <v>176</v>
      </c>
    </row>
    <row r="117" customFormat="false" ht="14.25" hidden="false" customHeight="true" outlineLevel="0" collapsed="false">
      <c r="A117" s="1" t="s">
        <v>541</v>
      </c>
      <c r="B117" s="1" t="s">
        <v>33</v>
      </c>
      <c r="C117" s="1" t="s">
        <v>59</v>
      </c>
      <c r="D117" s="1" t="s">
        <v>124</v>
      </c>
      <c r="E117" s="1" t="s">
        <v>163</v>
      </c>
      <c r="F117" s="1" t="s">
        <v>46</v>
      </c>
      <c r="G117" s="1" t="s">
        <v>150</v>
      </c>
      <c r="H117" s="1" t="s">
        <v>98</v>
      </c>
      <c r="I117" s="1" t="s">
        <v>137</v>
      </c>
    </row>
    <row r="118" customFormat="false" ht="14.25" hidden="false" customHeight="true" outlineLevel="0" collapsed="false">
      <c r="A118" s="1" t="s">
        <v>542</v>
      </c>
      <c r="B118" s="1" t="s">
        <v>33</v>
      </c>
      <c r="C118" s="1" t="s">
        <v>59</v>
      </c>
      <c r="D118" s="1" t="s">
        <v>98</v>
      </c>
      <c r="E118" s="1" t="s">
        <v>124</v>
      </c>
      <c r="F118" s="1" t="s">
        <v>46</v>
      </c>
      <c r="G118" s="1" t="s">
        <v>150</v>
      </c>
      <c r="H118" s="1" t="s">
        <v>137</v>
      </c>
      <c r="I118" s="1" t="s">
        <v>176</v>
      </c>
    </row>
    <row r="119" customFormat="false" ht="14.25" hidden="false" customHeight="true" outlineLevel="0" collapsed="false">
      <c r="A119" s="1" t="s">
        <v>543</v>
      </c>
      <c r="B119" s="1" t="s">
        <v>33</v>
      </c>
      <c r="C119" s="1" t="s">
        <v>59</v>
      </c>
      <c r="D119" s="1" t="s">
        <v>124</v>
      </c>
      <c r="E119" s="1" t="s">
        <v>163</v>
      </c>
      <c r="F119" s="1" t="s">
        <v>46</v>
      </c>
      <c r="G119" s="1" t="s">
        <v>137</v>
      </c>
      <c r="H119" s="1" t="s">
        <v>98</v>
      </c>
      <c r="I119" s="1" t="s">
        <v>176</v>
      </c>
    </row>
    <row r="120" customFormat="false" ht="14.25" hidden="false" customHeight="true" outlineLevel="0" collapsed="false">
      <c r="A120" s="1" t="s">
        <v>544</v>
      </c>
      <c r="B120" s="1" t="s">
        <v>33</v>
      </c>
      <c r="C120" s="1" t="s">
        <v>59</v>
      </c>
      <c r="D120" s="1" t="s">
        <v>124</v>
      </c>
      <c r="E120" s="1" t="s">
        <v>163</v>
      </c>
      <c r="F120" s="1" t="s">
        <v>46</v>
      </c>
      <c r="G120" s="1" t="s">
        <v>150</v>
      </c>
      <c r="H120" s="1" t="s">
        <v>98</v>
      </c>
      <c r="I120" s="1" t="s">
        <v>176</v>
      </c>
    </row>
    <row r="121" customFormat="false" ht="14.25" hidden="false" customHeight="true" outlineLevel="0" collapsed="false">
      <c r="A121" s="1" t="s">
        <v>545</v>
      </c>
      <c r="B121" s="1" t="s">
        <v>33</v>
      </c>
      <c r="C121" s="1" t="s">
        <v>59</v>
      </c>
      <c r="D121" s="1" t="s">
        <v>98</v>
      </c>
      <c r="E121" s="1" t="s">
        <v>163</v>
      </c>
      <c r="F121" s="1" t="s">
        <v>46</v>
      </c>
      <c r="G121" s="1" t="s">
        <v>150</v>
      </c>
      <c r="H121" s="1" t="s">
        <v>137</v>
      </c>
      <c r="I121" s="1" t="s">
        <v>176</v>
      </c>
    </row>
    <row r="122" customFormat="false" ht="14.25" hidden="false" customHeight="true" outlineLevel="0" collapsed="false">
      <c r="A122" s="1" t="s">
        <v>546</v>
      </c>
      <c r="B122" s="1" t="s">
        <v>33</v>
      </c>
      <c r="C122" s="1" t="s">
        <v>124</v>
      </c>
      <c r="D122" s="1" t="s">
        <v>59</v>
      </c>
      <c r="E122" s="1" t="s">
        <v>163</v>
      </c>
      <c r="F122" s="1" t="s">
        <v>46</v>
      </c>
      <c r="G122" s="1" t="s">
        <v>150</v>
      </c>
      <c r="H122" s="1" t="s">
        <v>111</v>
      </c>
      <c r="I122" s="1" t="s">
        <v>137</v>
      </c>
    </row>
    <row r="123" customFormat="false" ht="14.25" hidden="false" customHeight="true" outlineLevel="0" collapsed="false">
      <c r="A123" s="1" t="s">
        <v>547</v>
      </c>
      <c r="B123" s="1" t="s">
        <v>33</v>
      </c>
      <c r="C123" s="1" t="s">
        <v>59</v>
      </c>
      <c r="D123" s="1" t="s">
        <v>124</v>
      </c>
      <c r="E123" s="1" t="s">
        <v>137</v>
      </c>
      <c r="F123" s="1" t="s">
        <v>46</v>
      </c>
      <c r="G123" s="1" t="s">
        <v>150</v>
      </c>
      <c r="H123" s="1" t="s">
        <v>111</v>
      </c>
      <c r="I123" s="1" t="s">
        <v>176</v>
      </c>
    </row>
    <row r="124" customFormat="false" ht="14.25" hidden="false" customHeight="true" outlineLevel="0" collapsed="false">
      <c r="A124" s="1" t="s">
        <v>548</v>
      </c>
      <c r="B124" s="1" t="s">
        <v>33</v>
      </c>
      <c r="C124" s="1" t="s">
        <v>59</v>
      </c>
      <c r="D124" s="1" t="s">
        <v>137</v>
      </c>
      <c r="E124" s="1" t="s">
        <v>163</v>
      </c>
      <c r="F124" s="1" t="s">
        <v>46</v>
      </c>
      <c r="G124" s="1" t="s">
        <v>124</v>
      </c>
      <c r="H124" s="1" t="s">
        <v>111</v>
      </c>
      <c r="I124" s="1" t="s">
        <v>176</v>
      </c>
    </row>
    <row r="125" customFormat="false" ht="14.25" hidden="false" customHeight="true" outlineLevel="0" collapsed="false">
      <c r="A125" s="1" t="s">
        <v>549</v>
      </c>
      <c r="B125" s="1" t="s">
        <v>33</v>
      </c>
      <c r="C125" s="1" t="s">
        <v>124</v>
      </c>
      <c r="D125" s="1" t="s">
        <v>59</v>
      </c>
      <c r="E125" s="1" t="s">
        <v>163</v>
      </c>
      <c r="F125" s="1" t="s">
        <v>46</v>
      </c>
      <c r="G125" s="1" t="s">
        <v>150</v>
      </c>
      <c r="H125" s="1" t="s">
        <v>111</v>
      </c>
      <c r="I125" s="1" t="s">
        <v>176</v>
      </c>
    </row>
    <row r="126" customFormat="false" ht="14.25" hidden="false" customHeight="true" outlineLevel="0" collapsed="false">
      <c r="A126" s="1" t="s">
        <v>550</v>
      </c>
      <c r="B126" s="1" t="s">
        <v>33</v>
      </c>
      <c r="C126" s="1" t="s">
        <v>59</v>
      </c>
      <c r="D126" s="1" t="s">
        <v>137</v>
      </c>
      <c r="E126" s="1" t="s">
        <v>163</v>
      </c>
      <c r="F126" s="1" t="s">
        <v>46</v>
      </c>
      <c r="G126" s="1" t="s">
        <v>150</v>
      </c>
      <c r="H126" s="1" t="s">
        <v>111</v>
      </c>
      <c r="I126" s="1" t="s">
        <v>176</v>
      </c>
    </row>
    <row r="127" customFormat="false" ht="14.25" hidden="false" customHeight="true" outlineLevel="0" collapsed="false">
      <c r="A127" s="1" t="s">
        <v>551</v>
      </c>
      <c r="B127" s="1" t="s">
        <v>33</v>
      </c>
      <c r="C127" s="1" t="s">
        <v>59</v>
      </c>
      <c r="D127" s="1" t="s">
        <v>124</v>
      </c>
      <c r="E127" s="1" t="s">
        <v>163</v>
      </c>
      <c r="F127" s="1" t="s">
        <v>46</v>
      </c>
      <c r="G127" s="1" t="s">
        <v>150</v>
      </c>
      <c r="H127" s="1" t="s">
        <v>137</v>
      </c>
      <c r="I127" s="1" t="s">
        <v>176</v>
      </c>
    </row>
    <row r="128" customFormat="false" ht="14.25" hidden="false" customHeight="true" outlineLevel="0" collapsed="false">
      <c r="A128" s="1" t="s">
        <v>552</v>
      </c>
      <c r="B128" s="1" t="s">
        <v>33</v>
      </c>
      <c r="C128" s="1" t="s">
        <v>124</v>
      </c>
      <c r="D128" s="1" t="s">
        <v>98</v>
      </c>
      <c r="E128" s="1" t="s">
        <v>85</v>
      </c>
      <c r="F128" s="1" t="s">
        <v>46</v>
      </c>
      <c r="G128" s="1" t="s">
        <v>137</v>
      </c>
      <c r="H128" s="1" t="s">
        <v>111</v>
      </c>
      <c r="I128" s="1" t="s">
        <v>72</v>
      </c>
    </row>
    <row r="129" customFormat="false" ht="14.25" hidden="false" customHeight="true" outlineLevel="0" collapsed="false">
      <c r="A129" s="1" t="s">
        <v>553</v>
      </c>
      <c r="B129" s="1" t="s">
        <v>46</v>
      </c>
      <c r="C129" s="1" t="s">
        <v>98</v>
      </c>
      <c r="D129" s="1" t="s">
        <v>85</v>
      </c>
      <c r="E129" s="1" t="s">
        <v>124</v>
      </c>
      <c r="F129" s="1" t="s">
        <v>150</v>
      </c>
      <c r="G129" s="1" t="s">
        <v>33</v>
      </c>
      <c r="H129" s="1" t="s">
        <v>111</v>
      </c>
      <c r="I129" s="1" t="s">
        <v>72</v>
      </c>
    </row>
    <row r="130" customFormat="false" ht="14.25" hidden="false" customHeight="true" outlineLevel="0" collapsed="false">
      <c r="A130" s="1" t="s">
        <v>554</v>
      </c>
      <c r="B130" s="1" t="s">
        <v>98</v>
      </c>
      <c r="C130" s="1" t="s">
        <v>124</v>
      </c>
      <c r="D130" s="1" t="s">
        <v>85</v>
      </c>
      <c r="E130" s="1" t="s">
        <v>163</v>
      </c>
      <c r="F130" s="1" t="s">
        <v>46</v>
      </c>
      <c r="G130" s="1" t="s">
        <v>33</v>
      </c>
      <c r="H130" s="1" t="s">
        <v>111</v>
      </c>
      <c r="I130" s="1" t="s">
        <v>72</v>
      </c>
    </row>
    <row r="131" customFormat="false" ht="14.25" hidden="false" customHeight="true" outlineLevel="0" collapsed="false">
      <c r="A131" s="1" t="s">
        <v>555</v>
      </c>
      <c r="B131" s="1" t="s">
        <v>72</v>
      </c>
      <c r="C131" s="1" t="s">
        <v>124</v>
      </c>
      <c r="D131" s="1" t="s">
        <v>98</v>
      </c>
      <c r="E131" s="1" t="s">
        <v>85</v>
      </c>
      <c r="F131" s="1" t="s">
        <v>46</v>
      </c>
      <c r="G131" s="1" t="s">
        <v>33</v>
      </c>
      <c r="H131" s="1" t="s">
        <v>111</v>
      </c>
      <c r="I131" s="1" t="s">
        <v>176</v>
      </c>
    </row>
    <row r="132" customFormat="false" ht="14.25" hidden="false" customHeight="true" outlineLevel="0" collapsed="false">
      <c r="A132" s="1" t="s">
        <v>556</v>
      </c>
      <c r="B132" s="1" t="s">
        <v>98</v>
      </c>
      <c r="C132" s="1" t="s">
        <v>72</v>
      </c>
      <c r="D132" s="1" t="s">
        <v>85</v>
      </c>
      <c r="E132" s="1" t="s">
        <v>137</v>
      </c>
      <c r="F132" s="1" t="s">
        <v>46</v>
      </c>
      <c r="G132" s="1" t="s">
        <v>33</v>
      </c>
      <c r="H132" s="1" t="s">
        <v>111</v>
      </c>
      <c r="I132" s="1" t="s">
        <v>150</v>
      </c>
    </row>
    <row r="133" customFormat="false" ht="14.25" hidden="false" customHeight="true" outlineLevel="0" collapsed="false">
      <c r="A133" s="1" t="s">
        <v>557</v>
      </c>
      <c r="B133" s="1" t="s">
        <v>46</v>
      </c>
      <c r="C133" s="1" t="s">
        <v>72</v>
      </c>
      <c r="D133" s="1" t="s">
        <v>98</v>
      </c>
      <c r="E133" s="1" t="s">
        <v>163</v>
      </c>
      <c r="F133" s="1" t="s">
        <v>137</v>
      </c>
      <c r="G133" s="1" t="s">
        <v>33</v>
      </c>
      <c r="H133" s="1" t="s">
        <v>111</v>
      </c>
      <c r="I133" s="1" t="s">
        <v>85</v>
      </c>
    </row>
    <row r="134" customFormat="false" ht="14.25" hidden="false" customHeight="true" outlineLevel="0" collapsed="false">
      <c r="A134" s="1" t="s">
        <v>558</v>
      </c>
      <c r="B134" s="1" t="s">
        <v>46</v>
      </c>
      <c r="C134" s="1" t="s">
        <v>72</v>
      </c>
      <c r="D134" s="1" t="s">
        <v>98</v>
      </c>
      <c r="E134" s="1" t="s">
        <v>85</v>
      </c>
      <c r="F134" s="1" t="s">
        <v>137</v>
      </c>
      <c r="G134" s="1" t="s">
        <v>33</v>
      </c>
      <c r="H134" s="1" t="s">
        <v>111</v>
      </c>
      <c r="I134" s="1" t="s">
        <v>176</v>
      </c>
    </row>
    <row r="135" customFormat="false" ht="14.25" hidden="false" customHeight="true" outlineLevel="0" collapsed="false">
      <c r="A135" s="1" t="s">
        <v>559</v>
      </c>
      <c r="B135" s="1" t="s">
        <v>46</v>
      </c>
      <c r="C135" s="1" t="s">
        <v>98</v>
      </c>
      <c r="D135" s="1" t="s">
        <v>85</v>
      </c>
      <c r="E135" s="1" t="s">
        <v>163</v>
      </c>
      <c r="F135" s="1" t="s">
        <v>150</v>
      </c>
      <c r="G135" s="1" t="s">
        <v>33</v>
      </c>
      <c r="H135" s="1" t="s">
        <v>111</v>
      </c>
      <c r="I135" s="1" t="s">
        <v>72</v>
      </c>
    </row>
    <row r="136" customFormat="false" ht="14.25" hidden="false" customHeight="true" outlineLevel="0" collapsed="false">
      <c r="A136" s="1" t="s">
        <v>560</v>
      </c>
      <c r="B136" s="1" t="s">
        <v>72</v>
      </c>
      <c r="C136" s="1" t="s">
        <v>111</v>
      </c>
      <c r="D136" s="1" t="s">
        <v>85</v>
      </c>
      <c r="E136" s="1" t="s">
        <v>150</v>
      </c>
      <c r="F136" s="1" t="s">
        <v>46</v>
      </c>
      <c r="G136" s="1" t="s">
        <v>33</v>
      </c>
      <c r="H136" s="1" t="s">
        <v>98</v>
      </c>
      <c r="I136" s="1" t="s">
        <v>176</v>
      </c>
    </row>
    <row r="137" customFormat="false" ht="14.25" hidden="false" customHeight="true" outlineLevel="0" collapsed="false">
      <c r="A137" s="1" t="s">
        <v>561</v>
      </c>
      <c r="B137" s="1" t="s">
        <v>72</v>
      </c>
      <c r="C137" s="1" t="s">
        <v>111</v>
      </c>
      <c r="D137" s="1" t="s">
        <v>85</v>
      </c>
      <c r="E137" s="1" t="s">
        <v>163</v>
      </c>
      <c r="F137" s="1" t="s">
        <v>46</v>
      </c>
      <c r="G137" s="1" t="s">
        <v>33</v>
      </c>
      <c r="H137" s="1" t="s">
        <v>98</v>
      </c>
      <c r="I137" s="1" t="s">
        <v>176</v>
      </c>
    </row>
    <row r="138" customFormat="false" ht="14.25" hidden="false" customHeight="true" outlineLevel="0" collapsed="false">
      <c r="A138" s="1" t="s">
        <v>562</v>
      </c>
      <c r="B138" s="1" t="s">
        <v>33</v>
      </c>
      <c r="C138" s="1" t="s">
        <v>72</v>
      </c>
      <c r="D138" s="1" t="s">
        <v>98</v>
      </c>
      <c r="E138" s="1" t="s">
        <v>124</v>
      </c>
      <c r="F138" s="1" t="s">
        <v>46</v>
      </c>
      <c r="G138" s="1" t="s">
        <v>150</v>
      </c>
      <c r="H138" s="1" t="s">
        <v>137</v>
      </c>
      <c r="I138" s="1" t="s">
        <v>85</v>
      </c>
    </row>
    <row r="139" customFormat="false" ht="14.25" hidden="false" customHeight="true" outlineLevel="0" collapsed="false">
      <c r="A139" s="1" t="s">
        <v>563</v>
      </c>
      <c r="B139" s="1" t="s">
        <v>33</v>
      </c>
      <c r="C139" s="1" t="s">
        <v>72</v>
      </c>
      <c r="D139" s="1" t="s">
        <v>124</v>
      </c>
      <c r="E139" s="1" t="s">
        <v>163</v>
      </c>
      <c r="F139" s="1" t="s">
        <v>46</v>
      </c>
      <c r="G139" s="1" t="s">
        <v>137</v>
      </c>
      <c r="H139" s="1" t="s">
        <v>98</v>
      </c>
      <c r="I139" s="1" t="s">
        <v>85</v>
      </c>
    </row>
    <row r="140" customFormat="false" ht="14.25" hidden="false" customHeight="true" outlineLevel="0" collapsed="false">
      <c r="A140" s="1" t="s">
        <v>564</v>
      </c>
      <c r="B140" s="1" t="s">
        <v>33</v>
      </c>
      <c r="C140" s="1" t="s">
        <v>72</v>
      </c>
      <c r="D140" s="1" t="s">
        <v>124</v>
      </c>
      <c r="E140" s="1" t="s">
        <v>85</v>
      </c>
      <c r="F140" s="1" t="s">
        <v>46</v>
      </c>
      <c r="G140" s="1" t="s">
        <v>137</v>
      </c>
      <c r="H140" s="1" t="s">
        <v>98</v>
      </c>
      <c r="I140" s="1" t="s">
        <v>176</v>
      </c>
    </row>
    <row r="141" customFormat="false" ht="14.25" hidden="false" customHeight="true" outlineLevel="0" collapsed="false">
      <c r="A141" s="1" t="s">
        <v>565</v>
      </c>
      <c r="B141" s="1" t="s">
        <v>33</v>
      </c>
      <c r="C141" s="1" t="s">
        <v>72</v>
      </c>
      <c r="D141" s="1" t="s">
        <v>98</v>
      </c>
      <c r="E141" s="1" t="s">
        <v>163</v>
      </c>
      <c r="F141" s="1" t="s">
        <v>46</v>
      </c>
      <c r="G141" s="1" t="s">
        <v>124</v>
      </c>
      <c r="H141" s="1" t="s">
        <v>150</v>
      </c>
      <c r="I141" s="1" t="s">
        <v>85</v>
      </c>
    </row>
    <row r="142" customFormat="false" ht="14.25" hidden="false" customHeight="true" outlineLevel="0" collapsed="false">
      <c r="A142" s="1" t="s">
        <v>566</v>
      </c>
      <c r="B142" s="1" t="s">
        <v>46</v>
      </c>
      <c r="C142" s="1" t="s">
        <v>72</v>
      </c>
      <c r="D142" s="1" t="s">
        <v>85</v>
      </c>
      <c r="E142" s="1" t="s">
        <v>124</v>
      </c>
      <c r="F142" s="1" t="s">
        <v>150</v>
      </c>
      <c r="G142" s="1" t="s">
        <v>33</v>
      </c>
      <c r="H142" s="1" t="s">
        <v>98</v>
      </c>
      <c r="I142" s="1" t="s">
        <v>176</v>
      </c>
    </row>
    <row r="143" customFormat="false" ht="14.25" hidden="false" customHeight="true" outlineLevel="0" collapsed="false">
      <c r="A143" s="1" t="s">
        <v>567</v>
      </c>
      <c r="B143" s="1" t="s">
        <v>72</v>
      </c>
      <c r="C143" s="1" t="s">
        <v>124</v>
      </c>
      <c r="D143" s="1" t="s">
        <v>98</v>
      </c>
      <c r="E143" s="1" t="s">
        <v>163</v>
      </c>
      <c r="F143" s="1" t="s">
        <v>46</v>
      </c>
      <c r="G143" s="1" t="s">
        <v>33</v>
      </c>
      <c r="H143" s="1" t="s">
        <v>85</v>
      </c>
      <c r="I143" s="1" t="s">
        <v>176</v>
      </c>
    </row>
    <row r="144" customFormat="false" ht="14.25" hidden="false" customHeight="true" outlineLevel="0" collapsed="false">
      <c r="A144" s="1" t="s">
        <v>568</v>
      </c>
      <c r="B144" s="1" t="s">
        <v>46</v>
      </c>
      <c r="C144" s="1" t="s">
        <v>72</v>
      </c>
      <c r="D144" s="1" t="s">
        <v>85</v>
      </c>
      <c r="E144" s="1" t="s">
        <v>163</v>
      </c>
      <c r="F144" s="1" t="s">
        <v>150</v>
      </c>
      <c r="G144" s="1" t="s">
        <v>33</v>
      </c>
      <c r="H144" s="1" t="s">
        <v>98</v>
      </c>
      <c r="I144" s="1" t="s">
        <v>137</v>
      </c>
    </row>
    <row r="145" customFormat="false" ht="14.25" hidden="false" customHeight="true" outlineLevel="0" collapsed="false">
      <c r="A145" s="1" t="s">
        <v>569</v>
      </c>
      <c r="B145" s="1" t="s">
        <v>46</v>
      </c>
      <c r="C145" s="1" t="s">
        <v>72</v>
      </c>
      <c r="D145" s="1" t="s">
        <v>85</v>
      </c>
      <c r="E145" s="1" t="s">
        <v>137</v>
      </c>
      <c r="F145" s="1" t="s">
        <v>150</v>
      </c>
      <c r="G145" s="1" t="s">
        <v>33</v>
      </c>
      <c r="H145" s="1" t="s">
        <v>98</v>
      </c>
      <c r="I145" s="1" t="s">
        <v>176</v>
      </c>
    </row>
    <row r="146" customFormat="false" ht="14.25" hidden="false" customHeight="true" outlineLevel="0" collapsed="false">
      <c r="A146" s="1" t="s">
        <v>570</v>
      </c>
      <c r="B146" s="1" t="s">
        <v>46</v>
      </c>
      <c r="C146" s="1" t="s">
        <v>72</v>
      </c>
      <c r="D146" s="1" t="s">
        <v>85</v>
      </c>
      <c r="E146" s="1" t="s">
        <v>163</v>
      </c>
      <c r="F146" s="1" t="s">
        <v>137</v>
      </c>
      <c r="G146" s="1" t="s">
        <v>33</v>
      </c>
      <c r="H146" s="1" t="s">
        <v>98</v>
      </c>
      <c r="I146" s="1" t="s">
        <v>176</v>
      </c>
    </row>
    <row r="147" customFormat="false" ht="14.25" hidden="false" customHeight="true" outlineLevel="0" collapsed="false">
      <c r="A147" s="1" t="s">
        <v>571</v>
      </c>
      <c r="B147" s="1" t="s">
        <v>46</v>
      </c>
      <c r="C147" s="1" t="s">
        <v>72</v>
      </c>
      <c r="D147" s="1" t="s">
        <v>85</v>
      </c>
      <c r="E147" s="1" t="s">
        <v>163</v>
      </c>
      <c r="F147" s="1" t="s">
        <v>150</v>
      </c>
      <c r="G147" s="1" t="s">
        <v>33</v>
      </c>
      <c r="H147" s="1" t="s">
        <v>98</v>
      </c>
      <c r="I147" s="1" t="s">
        <v>176</v>
      </c>
    </row>
    <row r="148" customFormat="false" ht="14.25" hidden="false" customHeight="true" outlineLevel="0" collapsed="false">
      <c r="A148" s="1" t="s">
        <v>572</v>
      </c>
      <c r="B148" s="1" t="s">
        <v>33</v>
      </c>
      <c r="C148" s="1" t="s">
        <v>72</v>
      </c>
      <c r="D148" s="1" t="s">
        <v>85</v>
      </c>
      <c r="E148" s="1" t="s">
        <v>124</v>
      </c>
      <c r="F148" s="1" t="s">
        <v>46</v>
      </c>
      <c r="G148" s="1" t="s">
        <v>150</v>
      </c>
      <c r="H148" s="1" t="s">
        <v>111</v>
      </c>
      <c r="I148" s="1" t="s">
        <v>137</v>
      </c>
    </row>
    <row r="149" customFormat="false" ht="14.25" hidden="false" customHeight="true" outlineLevel="0" collapsed="false">
      <c r="A149" s="1" t="s">
        <v>573</v>
      </c>
      <c r="B149" s="1" t="s">
        <v>33</v>
      </c>
      <c r="C149" s="1" t="s">
        <v>72</v>
      </c>
      <c r="D149" s="1" t="s">
        <v>124</v>
      </c>
      <c r="E149" s="1" t="s">
        <v>163</v>
      </c>
      <c r="F149" s="1" t="s">
        <v>46</v>
      </c>
      <c r="G149" s="1" t="s">
        <v>137</v>
      </c>
      <c r="H149" s="1" t="s">
        <v>111</v>
      </c>
      <c r="I149" s="1" t="s">
        <v>85</v>
      </c>
    </row>
    <row r="150" customFormat="false" ht="14.25" hidden="false" customHeight="true" outlineLevel="0" collapsed="false">
      <c r="A150" s="1" t="s">
        <v>574</v>
      </c>
      <c r="B150" s="1" t="s">
        <v>33</v>
      </c>
      <c r="C150" s="1" t="s">
        <v>72</v>
      </c>
      <c r="D150" s="1" t="s">
        <v>85</v>
      </c>
      <c r="E150" s="1" t="s">
        <v>124</v>
      </c>
      <c r="F150" s="1" t="s">
        <v>46</v>
      </c>
      <c r="G150" s="1" t="s">
        <v>137</v>
      </c>
      <c r="H150" s="1" t="s">
        <v>111</v>
      </c>
      <c r="I150" s="1" t="s">
        <v>176</v>
      </c>
    </row>
    <row r="151" customFormat="false" ht="14.25" hidden="false" customHeight="true" outlineLevel="0" collapsed="false">
      <c r="A151" s="1" t="s">
        <v>575</v>
      </c>
      <c r="B151" s="1" t="s">
        <v>33</v>
      </c>
      <c r="C151" s="1" t="s">
        <v>124</v>
      </c>
      <c r="D151" s="1" t="s">
        <v>85</v>
      </c>
      <c r="E151" s="1" t="s">
        <v>163</v>
      </c>
      <c r="F151" s="1" t="s">
        <v>46</v>
      </c>
      <c r="G151" s="1" t="s">
        <v>150</v>
      </c>
      <c r="H151" s="1" t="s">
        <v>111</v>
      </c>
      <c r="I151" s="1" t="s">
        <v>72</v>
      </c>
    </row>
    <row r="152" customFormat="false" ht="14.25" hidden="false" customHeight="true" outlineLevel="0" collapsed="false">
      <c r="A152" s="1" t="s">
        <v>576</v>
      </c>
      <c r="B152" s="1" t="s">
        <v>33</v>
      </c>
      <c r="C152" s="1" t="s">
        <v>72</v>
      </c>
      <c r="D152" s="1" t="s">
        <v>85</v>
      </c>
      <c r="E152" s="1" t="s">
        <v>124</v>
      </c>
      <c r="F152" s="1" t="s">
        <v>46</v>
      </c>
      <c r="G152" s="1" t="s">
        <v>150</v>
      </c>
      <c r="H152" s="1" t="s">
        <v>111</v>
      </c>
      <c r="I152" s="1" t="s">
        <v>176</v>
      </c>
    </row>
    <row r="153" customFormat="false" ht="14.25" hidden="false" customHeight="true" outlineLevel="0" collapsed="false">
      <c r="A153" s="1" t="s">
        <v>577</v>
      </c>
      <c r="B153" s="1" t="s">
        <v>72</v>
      </c>
      <c r="C153" s="1" t="s">
        <v>124</v>
      </c>
      <c r="D153" s="1" t="s">
        <v>85</v>
      </c>
      <c r="E153" s="1" t="s">
        <v>163</v>
      </c>
      <c r="F153" s="1" t="s">
        <v>46</v>
      </c>
      <c r="G153" s="1" t="s">
        <v>33</v>
      </c>
      <c r="H153" s="1" t="s">
        <v>111</v>
      </c>
      <c r="I153" s="1" t="s">
        <v>176</v>
      </c>
    </row>
    <row r="154" customFormat="false" ht="14.25" hidden="false" customHeight="true" outlineLevel="0" collapsed="false">
      <c r="A154" s="1" t="s">
        <v>578</v>
      </c>
      <c r="B154" s="1" t="s">
        <v>33</v>
      </c>
      <c r="C154" s="1" t="s">
        <v>72</v>
      </c>
      <c r="D154" s="1" t="s">
        <v>85</v>
      </c>
      <c r="E154" s="1" t="s">
        <v>163</v>
      </c>
      <c r="F154" s="1" t="s">
        <v>46</v>
      </c>
      <c r="G154" s="1" t="s">
        <v>150</v>
      </c>
      <c r="H154" s="1" t="s">
        <v>111</v>
      </c>
      <c r="I154" s="1" t="s">
        <v>137</v>
      </c>
    </row>
    <row r="155" customFormat="false" ht="14.25" hidden="false" customHeight="true" outlineLevel="0" collapsed="false">
      <c r="A155" s="1" t="s">
        <v>579</v>
      </c>
      <c r="B155" s="1" t="s">
        <v>33</v>
      </c>
      <c r="C155" s="1" t="s">
        <v>72</v>
      </c>
      <c r="D155" s="1" t="s">
        <v>85</v>
      </c>
      <c r="E155" s="1" t="s">
        <v>137</v>
      </c>
      <c r="F155" s="1" t="s">
        <v>46</v>
      </c>
      <c r="G155" s="1" t="s">
        <v>150</v>
      </c>
      <c r="H155" s="1" t="s">
        <v>111</v>
      </c>
      <c r="I155" s="1" t="s">
        <v>176</v>
      </c>
    </row>
    <row r="156" customFormat="false" ht="14.25" hidden="false" customHeight="true" outlineLevel="0" collapsed="false">
      <c r="A156" s="1" t="s">
        <v>580</v>
      </c>
      <c r="B156" s="1" t="s">
        <v>33</v>
      </c>
      <c r="C156" s="1" t="s">
        <v>72</v>
      </c>
      <c r="D156" s="1" t="s">
        <v>85</v>
      </c>
      <c r="E156" s="1" t="s">
        <v>163</v>
      </c>
      <c r="F156" s="1" t="s">
        <v>46</v>
      </c>
      <c r="G156" s="1" t="s">
        <v>137</v>
      </c>
      <c r="H156" s="1" t="s">
        <v>111</v>
      </c>
      <c r="I156" s="1" t="s">
        <v>176</v>
      </c>
    </row>
    <row r="157" customFormat="false" ht="14.25" hidden="false" customHeight="true" outlineLevel="0" collapsed="false">
      <c r="A157" s="1" t="s">
        <v>581</v>
      </c>
      <c r="B157" s="1" t="s">
        <v>33</v>
      </c>
      <c r="C157" s="1" t="s">
        <v>72</v>
      </c>
      <c r="D157" s="1" t="s">
        <v>85</v>
      </c>
      <c r="E157" s="1" t="s">
        <v>163</v>
      </c>
      <c r="F157" s="1" t="s">
        <v>46</v>
      </c>
      <c r="G157" s="1" t="s">
        <v>150</v>
      </c>
      <c r="H157" s="1" t="s">
        <v>111</v>
      </c>
      <c r="I157" s="1" t="s">
        <v>176</v>
      </c>
    </row>
    <row r="158" customFormat="false" ht="14.25" hidden="false" customHeight="true" outlineLevel="0" collapsed="false">
      <c r="A158" s="1" t="s">
        <v>582</v>
      </c>
      <c r="B158" s="1" t="s">
        <v>33</v>
      </c>
      <c r="C158" s="1" t="s">
        <v>72</v>
      </c>
      <c r="D158" s="1" t="s">
        <v>85</v>
      </c>
      <c r="E158" s="1" t="s">
        <v>163</v>
      </c>
      <c r="F158" s="1" t="s">
        <v>46</v>
      </c>
      <c r="G158" s="1" t="s">
        <v>124</v>
      </c>
      <c r="H158" s="1" t="s">
        <v>137</v>
      </c>
      <c r="I158" s="1" t="s">
        <v>150</v>
      </c>
    </row>
    <row r="159" customFormat="false" ht="14.25" hidden="false" customHeight="true" outlineLevel="0" collapsed="false">
      <c r="A159" s="1" t="s">
        <v>583</v>
      </c>
      <c r="B159" s="1" t="s">
        <v>33</v>
      </c>
      <c r="C159" s="1" t="s">
        <v>72</v>
      </c>
      <c r="D159" s="1" t="s">
        <v>85</v>
      </c>
      <c r="E159" s="1" t="s">
        <v>124</v>
      </c>
      <c r="F159" s="1" t="s">
        <v>46</v>
      </c>
      <c r="G159" s="1" t="s">
        <v>150</v>
      </c>
      <c r="H159" s="1" t="s">
        <v>137</v>
      </c>
      <c r="I159" s="1" t="s">
        <v>176</v>
      </c>
    </row>
    <row r="160" customFormat="false" ht="14.25" hidden="false" customHeight="true" outlineLevel="0" collapsed="false">
      <c r="A160" s="1" t="s">
        <v>584</v>
      </c>
      <c r="B160" s="1" t="s">
        <v>33</v>
      </c>
      <c r="C160" s="1" t="s">
        <v>72</v>
      </c>
      <c r="D160" s="1" t="s">
        <v>124</v>
      </c>
      <c r="E160" s="1" t="s">
        <v>163</v>
      </c>
      <c r="F160" s="1" t="s">
        <v>46</v>
      </c>
      <c r="G160" s="1" t="s">
        <v>137</v>
      </c>
      <c r="H160" s="1" t="s">
        <v>85</v>
      </c>
      <c r="I160" s="1" t="s">
        <v>176</v>
      </c>
    </row>
    <row r="161" customFormat="false" ht="14.25" hidden="false" customHeight="true" outlineLevel="0" collapsed="false">
      <c r="A161" s="1" t="s">
        <v>585</v>
      </c>
      <c r="B161" s="1" t="s">
        <v>33</v>
      </c>
      <c r="C161" s="1" t="s">
        <v>72</v>
      </c>
      <c r="D161" s="1" t="s">
        <v>85</v>
      </c>
      <c r="E161" s="1" t="s">
        <v>163</v>
      </c>
      <c r="F161" s="1" t="s">
        <v>46</v>
      </c>
      <c r="G161" s="1" t="s">
        <v>124</v>
      </c>
      <c r="H161" s="1" t="s">
        <v>150</v>
      </c>
      <c r="I161" s="1" t="s">
        <v>176</v>
      </c>
    </row>
    <row r="162" customFormat="false" ht="14.25" hidden="false" customHeight="true" outlineLevel="0" collapsed="false">
      <c r="A162" s="1" t="s">
        <v>586</v>
      </c>
      <c r="B162" s="1" t="s">
        <v>33</v>
      </c>
      <c r="C162" s="1" t="s">
        <v>72</v>
      </c>
      <c r="D162" s="1" t="s">
        <v>85</v>
      </c>
      <c r="E162" s="1" t="s">
        <v>163</v>
      </c>
      <c r="F162" s="1" t="s">
        <v>46</v>
      </c>
      <c r="G162" s="1" t="s">
        <v>150</v>
      </c>
      <c r="H162" s="1" t="s">
        <v>137</v>
      </c>
      <c r="I162" s="1" t="s">
        <v>176</v>
      </c>
    </row>
    <row r="163" customFormat="false" ht="14.25" hidden="false" customHeight="true" outlineLevel="0" collapsed="false">
      <c r="A163" s="1" t="s">
        <v>587</v>
      </c>
      <c r="B163" s="1" t="s">
        <v>33</v>
      </c>
      <c r="C163" s="1" t="s">
        <v>72</v>
      </c>
      <c r="D163" s="1" t="s">
        <v>98</v>
      </c>
      <c r="E163" s="1" t="s">
        <v>124</v>
      </c>
      <c r="F163" s="1" t="s">
        <v>46</v>
      </c>
      <c r="G163" s="1" t="s">
        <v>150</v>
      </c>
      <c r="H163" s="1" t="s">
        <v>111</v>
      </c>
      <c r="I163" s="1" t="s">
        <v>137</v>
      </c>
    </row>
    <row r="164" customFormat="false" ht="14.25" hidden="false" customHeight="true" outlineLevel="0" collapsed="false">
      <c r="A164" s="1" t="s">
        <v>588</v>
      </c>
      <c r="B164" s="1" t="s">
        <v>33</v>
      </c>
      <c r="C164" s="1" t="s">
        <v>124</v>
      </c>
      <c r="D164" s="1" t="s">
        <v>98</v>
      </c>
      <c r="E164" s="1" t="s">
        <v>163</v>
      </c>
      <c r="F164" s="1" t="s">
        <v>46</v>
      </c>
      <c r="G164" s="1" t="s">
        <v>137</v>
      </c>
      <c r="H164" s="1" t="s">
        <v>111</v>
      </c>
      <c r="I164" s="1" t="s">
        <v>72</v>
      </c>
    </row>
    <row r="165" customFormat="false" ht="14.25" hidden="false" customHeight="true" outlineLevel="0" collapsed="false">
      <c r="A165" s="1" t="s">
        <v>589</v>
      </c>
      <c r="B165" s="1" t="s">
        <v>72</v>
      </c>
      <c r="C165" s="1" t="s">
        <v>111</v>
      </c>
      <c r="D165" s="1" t="s">
        <v>98</v>
      </c>
      <c r="E165" s="1" t="s">
        <v>124</v>
      </c>
      <c r="F165" s="1" t="s">
        <v>46</v>
      </c>
      <c r="G165" s="1" t="s">
        <v>33</v>
      </c>
      <c r="H165" s="1" t="s">
        <v>137</v>
      </c>
      <c r="I165" s="1" t="s">
        <v>176</v>
      </c>
    </row>
    <row r="166" customFormat="false" ht="14.25" hidden="false" customHeight="true" outlineLevel="0" collapsed="false">
      <c r="A166" s="1" t="s">
        <v>590</v>
      </c>
      <c r="B166" s="1" t="s">
        <v>33</v>
      </c>
      <c r="C166" s="1" t="s">
        <v>124</v>
      </c>
      <c r="D166" s="1" t="s">
        <v>98</v>
      </c>
      <c r="E166" s="1" t="s">
        <v>163</v>
      </c>
      <c r="F166" s="1" t="s">
        <v>46</v>
      </c>
      <c r="G166" s="1" t="s">
        <v>150</v>
      </c>
      <c r="H166" s="1" t="s">
        <v>111</v>
      </c>
      <c r="I166" s="1" t="s">
        <v>72</v>
      </c>
    </row>
    <row r="167" customFormat="false" ht="14.25" hidden="false" customHeight="true" outlineLevel="0" collapsed="false">
      <c r="A167" s="1" t="s">
        <v>591</v>
      </c>
      <c r="B167" s="1" t="s">
        <v>33</v>
      </c>
      <c r="C167" s="1" t="s">
        <v>72</v>
      </c>
      <c r="D167" s="1" t="s">
        <v>98</v>
      </c>
      <c r="E167" s="1" t="s">
        <v>124</v>
      </c>
      <c r="F167" s="1" t="s">
        <v>46</v>
      </c>
      <c r="G167" s="1" t="s">
        <v>150</v>
      </c>
      <c r="H167" s="1" t="s">
        <v>111</v>
      </c>
      <c r="I167" s="1" t="s">
        <v>176</v>
      </c>
    </row>
    <row r="168" customFormat="false" ht="14.25" hidden="false" customHeight="true" outlineLevel="0" collapsed="false">
      <c r="A168" s="1" t="s">
        <v>592</v>
      </c>
      <c r="B168" s="1" t="s">
        <v>72</v>
      </c>
      <c r="C168" s="1" t="s">
        <v>124</v>
      </c>
      <c r="D168" s="1" t="s">
        <v>98</v>
      </c>
      <c r="E168" s="1" t="s">
        <v>163</v>
      </c>
      <c r="F168" s="1" t="s">
        <v>46</v>
      </c>
      <c r="G168" s="1" t="s">
        <v>33</v>
      </c>
      <c r="H168" s="1" t="s">
        <v>111</v>
      </c>
      <c r="I168" s="1" t="s">
        <v>176</v>
      </c>
    </row>
    <row r="169" customFormat="false" ht="14.25" hidden="false" customHeight="true" outlineLevel="0" collapsed="false">
      <c r="A169" s="1" t="s">
        <v>593</v>
      </c>
      <c r="B169" s="1" t="s">
        <v>33</v>
      </c>
      <c r="C169" s="1" t="s">
        <v>72</v>
      </c>
      <c r="D169" s="1" t="s">
        <v>98</v>
      </c>
      <c r="E169" s="1" t="s">
        <v>163</v>
      </c>
      <c r="F169" s="1" t="s">
        <v>46</v>
      </c>
      <c r="G169" s="1" t="s">
        <v>150</v>
      </c>
      <c r="H169" s="1" t="s">
        <v>111</v>
      </c>
      <c r="I169" s="1" t="s">
        <v>137</v>
      </c>
    </row>
    <row r="170" customFormat="false" ht="14.25" hidden="false" customHeight="true" outlineLevel="0" collapsed="false">
      <c r="A170" s="1" t="s">
        <v>594</v>
      </c>
      <c r="B170" s="1" t="s">
        <v>46</v>
      </c>
      <c r="C170" s="1" t="s">
        <v>72</v>
      </c>
      <c r="D170" s="1" t="s">
        <v>98</v>
      </c>
      <c r="E170" s="1" t="s">
        <v>137</v>
      </c>
      <c r="F170" s="1" t="s">
        <v>150</v>
      </c>
      <c r="G170" s="1" t="s">
        <v>33</v>
      </c>
      <c r="H170" s="1" t="s">
        <v>111</v>
      </c>
      <c r="I170" s="1" t="s">
        <v>176</v>
      </c>
    </row>
    <row r="171" customFormat="false" ht="14.25" hidden="false" customHeight="true" outlineLevel="0" collapsed="false">
      <c r="A171" s="1" t="s">
        <v>595</v>
      </c>
      <c r="B171" s="1" t="s">
        <v>46</v>
      </c>
      <c r="C171" s="1" t="s">
        <v>72</v>
      </c>
      <c r="D171" s="1" t="s">
        <v>98</v>
      </c>
      <c r="E171" s="1" t="s">
        <v>163</v>
      </c>
      <c r="F171" s="1" t="s">
        <v>137</v>
      </c>
      <c r="G171" s="1" t="s">
        <v>33</v>
      </c>
      <c r="H171" s="1" t="s">
        <v>111</v>
      </c>
      <c r="I171" s="1" t="s">
        <v>176</v>
      </c>
    </row>
    <row r="172" customFormat="false" ht="14.25" hidden="false" customHeight="true" outlineLevel="0" collapsed="false">
      <c r="A172" s="1" t="s">
        <v>596</v>
      </c>
      <c r="B172" s="1" t="s">
        <v>46</v>
      </c>
      <c r="C172" s="1" t="s">
        <v>72</v>
      </c>
      <c r="D172" s="1" t="s">
        <v>98</v>
      </c>
      <c r="E172" s="1" t="s">
        <v>163</v>
      </c>
      <c r="F172" s="1" t="s">
        <v>150</v>
      </c>
      <c r="G172" s="1" t="s">
        <v>33</v>
      </c>
      <c r="H172" s="1" t="s">
        <v>111</v>
      </c>
      <c r="I172" s="1" t="s">
        <v>176</v>
      </c>
    </row>
    <row r="173" customFormat="false" ht="14.25" hidden="false" customHeight="true" outlineLevel="0" collapsed="false">
      <c r="A173" s="1" t="s">
        <v>597</v>
      </c>
      <c r="B173" s="1" t="s">
        <v>33</v>
      </c>
      <c r="C173" s="1" t="s">
        <v>72</v>
      </c>
      <c r="D173" s="1" t="s">
        <v>98</v>
      </c>
      <c r="E173" s="1" t="s">
        <v>163</v>
      </c>
      <c r="F173" s="1" t="s">
        <v>46</v>
      </c>
      <c r="G173" s="1" t="s">
        <v>124</v>
      </c>
      <c r="H173" s="1" t="s">
        <v>150</v>
      </c>
      <c r="I173" s="1" t="s">
        <v>137</v>
      </c>
    </row>
    <row r="174" customFormat="false" ht="14.25" hidden="false" customHeight="true" outlineLevel="0" collapsed="false">
      <c r="A174" s="1" t="s">
        <v>598</v>
      </c>
      <c r="B174" s="1" t="s">
        <v>33</v>
      </c>
      <c r="C174" s="1" t="s">
        <v>72</v>
      </c>
      <c r="D174" s="1" t="s">
        <v>98</v>
      </c>
      <c r="E174" s="1" t="s">
        <v>124</v>
      </c>
      <c r="F174" s="1" t="s">
        <v>46</v>
      </c>
      <c r="G174" s="1" t="s">
        <v>150</v>
      </c>
      <c r="H174" s="1" t="s">
        <v>137</v>
      </c>
      <c r="I174" s="1" t="s">
        <v>176</v>
      </c>
    </row>
    <row r="175" customFormat="false" ht="14.25" hidden="false" customHeight="true" outlineLevel="0" collapsed="false">
      <c r="A175" s="1" t="s">
        <v>599</v>
      </c>
      <c r="B175" s="1" t="s">
        <v>33</v>
      </c>
      <c r="C175" s="1" t="s">
        <v>72</v>
      </c>
      <c r="D175" s="1" t="s">
        <v>124</v>
      </c>
      <c r="E175" s="1" t="s">
        <v>163</v>
      </c>
      <c r="F175" s="1" t="s">
        <v>46</v>
      </c>
      <c r="G175" s="1" t="s">
        <v>137</v>
      </c>
      <c r="H175" s="1" t="s">
        <v>98</v>
      </c>
      <c r="I175" s="1" t="s">
        <v>176</v>
      </c>
    </row>
    <row r="176" customFormat="false" ht="14.25" hidden="false" customHeight="true" outlineLevel="0" collapsed="false">
      <c r="A176" s="1" t="s">
        <v>600</v>
      </c>
      <c r="B176" s="1" t="s">
        <v>33</v>
      </c>
      <c r="C176" s="1" t="s">
        <v>72</v>
      </c>
      <c r="D176" s="1" t="s">
        <v>98</v>
      </c>
      <c r="E176" s="1" t="s">
        <v>163</v>
      </c>
      <c r="F176" s="1" t="s">
        <v>46</v>
      </c>
      <c r="G176" s="1" t="s">
        <v>124</v>
      </c>
      <c r="H176" s="1" t="s">
        <v>150</v>
      </c>
      <c r="I176" s="1" t="s">
        <v>176</v>
      </c>
    </row>
    <row r="177" customFormat="false" ht="14.25" hidden="false" customHeight="true" outlineLevel="0" collapsed="false">
      <c r="A177" s="1" t="s">
        <v>601</v>
      </c>
      <c r="B177" s="1" t="s">
        <v>33</v>
      </c>
      <c r="C177" s="1" t="s">
        <v>72</v>
      </c>
      <c r="D177" s="1" t="s">
        <v>98</v>
      </c>
      <c r="E177" s="1" t="s">
        <v>163</v>
      </c>
      <c r="F177" s="1" t="s">
        <v>46</v>
      </c>
      <c r="G177" s="1" t="s">
        <v>150</v>
      </c>
      <c r="H177" s="1" t="s">
        <v>137</v>
      </c>
      <c r="I177" s="1" t="s">
        <v>176</v>
      </c>
    </row>
    <row r="178" customFormat="false" ht="14.25" hidden="false" customHeight="true" outlineLevel="0" collapsed="false">
      <c r="A178" s="1" t="s">
        <v>602</v>
      </c>
      <c r="B178" s="1" t="s">
        <v>33</v>
      </c>
      <c r="C178" s="1" t="s">
        <v>72</v>
      </c>
      <c r="D178" s="1" t="s">
        <v>124</v>
      </c>
      <c r="E178" s="1" t="s">
        <v>163</v>
      </c>
      <c r="F178" s="1" t="s">
        <v>46</v>
      </c>
      <c r="G178" s="1" t="s">
        <v>150</v>
      </c>
      <c r="H178" s="1" t="s">
        <v>111</v>
      </c>
      <c r="I178" s="1" t="s">
        <v>137</v>
      </c>
    </row>
    <row r="179" customFormat="false" ht="14.25" hidden="false" customHeight="true" outlineLevel="0" collapsed="false">
      <c r="A179" s="1" t="s">
        <v>603</v>
      </c>
      <c r="B179" s="1" t="s">
        <v>33</v>
      </c>
      <c r="C179" s="1" t="s">
        <v>72</v>
      </c>
      <c r="D179" s="1" t="s">
        <v>124</v>
      </c>
      <c r="E179" s="1" t="s">
        <v>137</v>
      </c>
      <c r="F179" s="1" t="s">
        <v>46</v>
      </c>
      <c r="G179" s="1" t="s">
        <v>150</v>
      </c>
      <c r="H179" s="1" t="s">
        <v>111</v>
      </c>
      <c r="I179" s="1" t="s">
        <v>176</v>
      </c>
    </row>
    <row r="180" customFormat="false" ht="14.25" hidden="false" customHeight="true" outlineLevel="0" collapsed="false">
      <c r="A180" s="1" t="s">
        <v>604</v>
      </c>
      <c r="B180" s="1" t="s">
        <v>33</v>
      </c>
      <c r="C180" s="1" t="s">
        <v>72</v>
      </c>
      <c r="D180" s="1" t="s">
        <v>124</v>
      </c>
      <c r="E180" s="1" t="s">
        <v>163</v>
      </c>
      <c r="F180" s="1" t="s">
        <v>46</v>
      </c>
      <c r="G180" s="1" t="s">
        <v>137</v>
      </c>
      <c r="H180" s="1" t="s">
        <v>111</v>
      </c>
      <c r="I180" s="1" t="s">
        <v>176</v>
      </c>
    </row>
    <row r="181" customFormat="false" ht="14.25" hidden="false" customHeight="true" outlineLevel="0" collapsed="false">
      <c r="A181" s="1" t="s">
        <v>605</v>
      </c>
      <c r="B181" s="1" t="s">
        <v>33</v>
      </c>
      <c r="C181" s="1" t="s">
        <v>72</v>
      </c>
      <c r="D181" s="1" t="s">
        <v>124</v>
      </c>
      <c r="E181" s="1" t="s">
        <v>163</v>
      </c>
      <c r="F181" s="1" t="s">
        <v>46</v>
      </c>
      <c r="G181" s="1" t="s">
        <v>150</v>
      </c>
      <c r="H181" s="1" t="s">
        <v>111</v>
      </c>
      <c r="I181" s="1" t="s">
        <v>176</v>
      </c>
    </row>
    <row r="182" customFormat="false" ht="14.25" hidden="false" customHeight="true" outlineLevel="0" collapsed="false">
      <c r="A182" s="1" t="s">
        <v>606</v>
      </c>
      <c r="B182" s="1" t="s">
        <v>33</v>
      </c>
      <c r="C182" s="1" t="s">
        <v>72</v>
      </c>
      <c r="D182" s="1" t="s">
        <v>137</v>
      </c>
      <c r="E182" s="1" t="s">
        <v>163</v>
      </c>
      <c r="F182" s="1" t="s">
        <v>46</v>
      </c>
      <c r="G182" s="1" t="s">
        <v>150</v>
      </c>
      <c r="H182" s="1" t="s">
        <v>111</v>
      </c>
      <c r="I182" s="1" t="s">
        <v>176</v>
      </c>
    </row>
    <row r="183" customFormat="false" ht="14.25" hidden="false" customHeight="true" outlineLevel="0" collapsed="false">
      <c r="A183" s="1" t="s">
        <v>607</v>
      </c>
      <c r="B183" s="1" t="s">
        <v>33</v>
      </c>
      <c r="C183" s="1" t="s">
        <v>72</v>
      </c>
      <c r="D183" s="1" t="s">
        <v>124</v>
      </c>
      <c r="E183" s="1" t="s">
        <v>163</v>
      </c>
      <c r="F183" s="1" t="s">
        <v>46</v>
      </c>
      <c r="G183" s="1" t="s">
        <v>150</v>
      </c>
      <c r="H183" s="1" t="s">
        <v>137</v>
      </c>
      <c r="I183" s="1" t="s">
        <v>176</v>
      </c>
    </row>
    <row r="184" customFormat="false" ht="14.25" hidden="false" customHeight="true" outlineLevel="0" collapsed="false">
      <c r="A184" s="1" t="s">
        <v>608</v>
      </c>
      <c r="B184" s="1" t="s">
        <v>33</v>
      </c>
      <c r="C184" s="1" t="s">
        <v>98</v>
      </c>
      <c r="D184" s="1" t="s">
        <v>124</v>
      </c>
      <c r="E184" s="1" t="s">
        <v>137</v>
      </c>
      <c r="F184" s="1" t="s">
        <v>46</v>
      </c>
      <c r="G184" s="1" t="s">
        <v>150</v>
      </c>
      <c r="H184" s="1" t="s">
        <v>111</v>
      </c>
      <c r="I184" s="1" t="s">
        <v>85</v>
      </c>
    </row>
    <row r="185" customFormat="false" ht="14.25" hidden="false" customHeight="true" outlineLevel="0" collapsed="false">
      <c r="A185" s="1" t="s">
        <v>609</v>
      </c>
      <c r="B185" s="1" t="s">
        <v>33</v>
      </c>
      <c r="C185" s="1" t="s">
        <v>98</v>
      </c>
      <c r="D185" s="1" t="s">
        <v>137</v>
      </c>
      <c r="E185" s="1" t="s">
        <v>163</v>
      </c>
      <c r="F185" s="1" t="s">
        <v>46</v>
      </c>
      <c r="G185" s="1" t="s">
        <v>124</v>
      </c>
      <c r="H185" s="1" t="s">
        <v>111</v>
      </c>
      <c r="I185" s="1" t="s">
        <v>85</v>
      </c>
    </row>
    <row r="186" customFormat="false" ht="14.25" hidden="false" customHeight="true" outlineLevel="0" collapsed="false">
      <c r="A186" s="1" t="s">
        <v>610</v>
      </c>
      <c r="B186" s="1" t="s">
        <v>33</v>
      </c>
      <c r="C186" s="1" t="s">
        <v>98</v>
      </c>
      <c r="D186" s="1" t="s">
        <v>137</v>
      </c>
      <c r="E186" s="1" t="s">
        <v>85</v>
      </c>
      <c r="F186" s="1" t="s">
        <v>46</v>
      </c>
      <c r="G186" s="1" t="s">
        <v>124</v>
      </c>
      <c r="H186" s="1" t="s">
        <v>111</v>
      </c>
      <c r="I186" s="1" t="s">
        <v>176</v>
      </c>
    </row>
    <row r="187" customFormat="false" ht="14.25" hidden="false" customHeight="true" outlineLevel="0" collapsed="false">
      <c r="A187" s="1" t="s">
        <v>611</v>
      </c>
      <c r="B187" s="1" t="s">
        <v>33</v>
      </c>
      <c r="C187" s="1" t="s">
        <v>111</v>
      </c>
      <c r="D187" s="1" t="s">
        <v>98</v>
      </c>
      <c r="E187" s="1" t="s">
        <v>163</v>
      </c>
      <c r="F187" s="1" t="s">
        <v>46</v>
      </c>
      <c r="G187" s="1" t="s">
        <v>124</v>
      </c>
      <c r="H187" s="1" t="s">
        <v>150</v>
      </c>
      <c r="I187" s="1" t="s">
        <v>85</v>
      </c>
    </row>
    <row r="188" customFormat="false" ht="14.25" hidden="false" customHeight="true" outlineLevel="0" collapsed="false">
      <c r="A188" s="1" t="s">
        <v>612</v>
      </c>
      <c r="B188" s="1" t="s">
        <v>33</v>
      </c>
      <c r="C188" s="1" t="s">
        <v>98</v>
      </c>
      <c r="D188" s="1" t="s">
        <v>85</v>
      </c>
      <c r="E188" s="1" t="s">
        <v>124</v>
      </c>
      <c r="F188" s="1" t="s">
        <v>46</v>
      </c>
      <c r="G188" s="1" t="s">
        <v>150</v>
      </c>
      <c r="H188" s="1" t="s">
        <v>111</v>
      </c>
      <c r="I188" s="1" t="s">
        <v>176</v>
      </c>
    </row>
    <row r="189" customFormat="false" ht="14.25" hidden="false" customHeight="true" outlineLevel="0" collapsed="false">
      <c r="A189" s="1" t="s">
        <v>613</v>
      </c>
      <c r="B189" s="1" t="s">
        <v>33</v>
      </c>
      <c r="C189" s="1" t="s">
        <v>124</v>
      </c>
      <c r="D189" s="1" t="s">
        <v>98</v>
      </c>
      <c r="E189" s="1" t="s">
        <v>163</v>
      </c>
      <c r="F189" s="1" t="s">
        <v>46</v>
      </c>
      <c r="G189" s="1" t="s">
        <v>85</v>
      </c>
      <c r="H189" s="1" t="s">
        <v>111</v>
      </c>
      <c r="I189" s="1" t="s">
        <v>176</v>
      </c>
    </row>
    <row r="190" customFormat="false" ht="14.25" hidden="false" customHeight="true" outlineLevel="0" collapsed="false">
      <c r="A190" s="1" t="s">
        <v>614</v>
      </c>
      <c r="B190" s="1" t="s">
        <v>33</v>
      </c>
      <c r="C190" s="1" t="s">
        <v>98</v>
      </c>
      <c r="D190" s="1" t="s">
        <v>85</v>
      </c>
      <c r="E190" s="1" t="s">
        <v>163</v>
      </c>
      <c r="F190" s="1" t="s">
        <v>46</v>
      </c>
      <c r="G190" s="1" t="s">
        <v>150</v>
      </c>
      <c r="H190" s="1" t="s">
        <v>111</v>
      </c>
      <c r="I190" s="1" t="s">
        <v>137</v>
      </c>
    </row>
    <row r="191" customFormat="false" ht="14.25" hidden="false" customHeight="true" outlineLevel="0" collapsed="false">
      <c r="A191" s="1" t="s">
        <v>615</v>
      </c>
      <c r="B191" s="1" t="s">
        <v>33</v>
      </c>
      <c r="C191" s="1" t="s">
        <v>98</v>
      </c>
      <c r="D191" s="1" t="s">
        <v>85</v>
      </c>
      <c r="E191" s="1" t="s">
        <v>137</v>
      </c>
      <c r="F191" s="1" t="s">
        <v>46</v>
      </c>
      <c r="G191" s="1" t="s">
        <v>150</v>
      </c>
      <c r="H191" s="1" t="s">
        <v>111</v>
      </c>
      <c r="I191" s="1" t="s">
        <v>176</v>
      </c>
    </row>
    <row r="192" customFormat="false" ht="14.25" hidden="false" customHeight="true" outlineLevel="0" collapsed="false">
      <c r="A192" s="1" t="s">
        <v>616</v>
      </c>
      <c r="B192" s="1" t="s">
        <v>33</v>
      </c>
      <c r="C192" s="1" t="s">
        <v>98</v>
      </c>
      <c r="D192" s="1" t="s">
        <v>85</v>
      </c>
      <c r="E192" s="1" t="s">
        <v>163</v>
      </c>
      <c r="F192" s="1" t="s">
        <v>46</v>
      </c>
      <c r="G192" s="1" t="s">
        <v>137</v>
      </c>
      <c r="H192" s="1" t="s">
        <v>111</v>
      </c>
      <c r="I192" s="1" t="s">
        <v>176</v>
      </c>
    </row>
    <row r="193" customFormat="false" ht="14.25" hidden="false" customHeight="true" outlineLevel="0" collapsed="false">
      <c r="A193" s="1" t="s">
        <v>617</v>
      </c>
      <c r="B193" s="1" t="s">
        <v>33</v>
      </c>
      <c r="C193" s="1" t="s">
        <v>98</v>
      </c>
      <c r="D193" s="1" t="s">
        <v>85</v>
      </c>
      <c r="E193" s="1" t="s">
        <v>163</v>
      </c>
      <c r="F193" s="1" t="s">
        <v>46</v>
      </c>
      <c r="G193" s="1" t="s">
        <v>150</v>
      </c>
      <c r="H193" s="1" t="s">
        <v>111</v>
      </c>
      <c r="I193" s="1" t="s">
        <v>176</v>
      </c>
    </row>
    <row r="194" customFormat="false" ht="14.25" hidden="false" customHeight="true" outlineLevel="0" collapsed="false">
      <c r="A194" s="1" t="s">
        <v>618</v>
      </c>
      <c r="B194" s="1" t="s">
        <v>33</v>
      </c>
      <c r="C194" s="1" t="s">
        <v>98</v>
      </c>
      <c r="D194" s="1" t="s">
        <v>124</v>
      </c>
      <c r="E194" s="1" t="s">
        <v>163</v>
      </c>
      <c r="F194" s="1" t="s">
        <v>46</v>
      </c>
      <c r="G194" s="1" t="s">
        <v>150</v>
      </c>
      <c r="H194" s="1" t="s">
        <v>137</v>
      </c>
      <c r="I194" s="1" t="s">
        <v>85</v>
      </c>
    </row>
    <row r="195" customFormat="false" ht="14.25" hidden="false" customHeight="true" outlineLevel="0" collapsed="false">
      <c r="A195" s="1" t="s">
        <v>619</v>
      </c>
      <c r="B195" s="1" t="s">
        <v>33</v>
      </c>
      <c r="C195" s="1" t="s">
        <v>98</v>
      </c>
      <c r="D195" s="1" t="s">
        <v>85</v>
      </c>
      <c r="E195" s="1" t="s">
        <v>124</v>
      </c>
      <c r="F195" s="1" t="s">
        <v>46</v>
      </c>
      <c r="G195" s="1" t="s">
        <v>150</v>
      </c>
      <c r="H195" s="1" t="s">
        <v>137</v>
      </c>
      <c r="I195" s="1" t="s">
        <v>176</v>
      </c>
    </row>
    <row r="196" customFormat="false" ht="14.25" hidden="false" customHeight="true" outlineLevel="0" collapsed="false">
      <c r="A196" s="1" t="s">
        <v>620</v>
      </c>
      <c r="B196" s="1" t="s">
        <v>33</v>
      </c>
      <c r="C196" s="1" t="s">
        <v>98</v>
      </c>
      <c r="D196" s="1" t="s">
        <v>124</v>
      </c>
      <c r="E196" s="1" t="s">
        <v>163</v>
      </c>
      <c r="F196" s="1" t="s">
        <v>46</v>
      </c>
      <c r="G196" s="1" t="s">
        <v>137</v>
      </c>
      <c r="H196" s="1" t="s">
        <v>85</v>
      </c>
      <c r="I196" s="1" t="s">
        <v>176</v>
      </c>
    </row>
    <row r="197" customFormat="false" ht="14.25" hidden="false" customHeight="true" outlineLevel="0" collapsed="false">
      <c r="A197" s="1" t="s">
        <v>621</v>
      </c>
      <c r="B197" s="1" t="s">
        <v>33</v>
      </c>
      <c r="C197" s="1" t="s">
        <v>98</v>
      </c>
      <c r="D197" s="1" t="s">
        <v>85</v>
      </c>
      <c r="E197" s="1" t="s">
        <v>163</v>
      </c>
      <c r="F197" s="1" t="s">
        <v>46</v>
      </c>
      <c r="G197" s="1" t="s">
        <v>124</v>
      </c>
      <c r="H197" s="1" t="s">
        <v>150</v>
      </c>
      <c r="I197" s="1" t="s">
        <v>176</v>
      </c>
    </row>
    <row r="198" customFormat="false" ht="14.25" hidden="false" customHeight="true" outlineLevel="0" collapsed="false">
      <c r="A198" s="1" t="s">
        <v>622</v>
      </c>
      <c r="B198" s="1" t="s">
        <v>33</v>
      </c>
      <c r="C198" s="1" t="s">
        <v>98</v>
      </c>
      <c r="D198" s="1" t="s">
        <v>85</v>
      </c>
      <c r="E198" s="1" t="s">
        <v>163</v>
      </c>
      <c r="F198" s="1" t="s">
        <v>46</v>
      </c>
      <c r="G198" s="1" t="s">
        <v>150</v>
      </c>
      <c r="H198" s="1" t="s">
        <v>137</v>
      </c>
      <c r="I198" s="1" t="s">
        <v>176</v>
      </c>
    </row>
    <row r="199" customFormat="false" ht="14.25" hidden="false" customHeight="true" outlineLevel="0" collapsed="false">
      <c r="A199" s="1" t="s">
        <v>623</v>
      </c>
      <c r="B199" s="1" t="s">
        <v>33</v>
      </c>
      <c r="C199" s="1" t="s">
        <v>111</v>
      </c>
      <c r="D199" s="1" t="s">
        <v>85</v>
      </c>
      <c r="E199" s="1" t="s">
        <v>163</v>
      </c>
      <c r="F199" s="1" t="s">
        <v>46</v>
      </c>
      <c r="G199" s="1" t="s">
        <v>124</v>
      </c>
      <c r="H199" s="1" t="s">
        <v>150</v>
      </c>
      <c r="I199" s="1" t="s">
        <v>137</v>
      </c>
    </row>
    <row r="200" customFormat="false" ht="14.25" hidden="false" customHeight="true" outlineLevel="0" collapsed="false">
      <c r="A200" s="1" t="s">
        <v>624</v>
      </c>
      <c r="B200" s="1" t="s">
        <v>33</v>
      </c>
      <c r="C200" s="1" t="s">
        <v>111</v>
      </c>
      <c r="D200" s="1" t="s">
        <v>85</v>
      </c>
      <c r="E200" s="1" t="s">
        <v>124</v>
      </c>
      <c r="F200" s="1" t="s">
        <v>46</v>
      </c>
      <c r="G200" s="1" t="s">
        <v>150</v>
      </c>
      <c r="H200" s="1" t="s">
        <v>137</v>
      </c>
      <c r="I200" s="1" t="s">
        <v>176</v>
      </c>
    </row>
    <row r="201" customFormat="false" ht="14.25" hidden="false" customHeight="true" outlineLevel="0" collapsed="false">
      <c r="A201" s="1" t="s">
        <v>625</v>
      </c>
      <c r="B201" s="1" t="s">
        <v>33</v>
      </c>
      <c r="C201" s="1" t="s">
        <v>111</v>
      </c>
      <c r="D201" s="1" t="s">
        <v>124</v>
      </c>
      <c r="E201" s="1" t="s">
        <v>163</v>
      </c>
      <c r="F201" s="1" t="s">
        <v>46</v>
      </c>
      <c r="G201" s="1" t="s">
        <v>137</v>
      </c>
      <c r="H201" s="1" t="s">
        <v>85</v>
      </c>
      <c r="I201" s="1" t="s">
        <v>176</v>
      </c>
    </row>
    <row r="202" customFormat="false" ht="14.25" hidden="false" customHeight="true" outlineLevel="0" collapsed="false">
      <c r="A202" s="1" t="s">
        <v>626</v>
      </c>
      <c r="B202" s="1" t="s">
        <v>33</v>
      </c>
      <c r="C202" s="1" t="s">
        <v>111</v>
      </c>
      <c r="D202" s="1" t="s">
        <v>85</v>
      </c>
      <c r="E202" s="1" t="s">
        <v>163</v>
      </c>
      <c r="F202" s="1" t="s">
        <v>46</v>
      </c>
      <c r="G202" s="1" t="s">
        <v>124</v>
      </c>
      <c r="H202" s="1" t="s">
        <v>150</v>
      </c>
      <c r="I202" s="1" t="s">
        <v>176</v>
      </c>
    </row>
    <row r="203" customFormat="false" ht="14.25" hidden="false" customHeight="true" outlineLevel="0" collapsed="false">
      <c r="A203" s="1" t="s">
        <v>627</v>
      </c>
      <c r="B203" s="1" t="s">
        <v>33</v>
      </c>
      <c r="C203" s="1" t="s">
        <v>111</v>
      </c>
      <c r="D203" s="1" t="s">
        <v>85</v>
      </c>
      <c r="E203" s="1" t="s">
        <v>163</v>
      </c>
      <c r="F203" s="1" t="s">
        <v>46</v>
      </c>
      <c r="G203" s="1" t="s">
        <v>150</v>
      </c>
      <c r="H203" s="1" t="s">
        <v>137</v>
      </c>
      <c r="I203" s="1" t="s">
        <v>176</v>
      </c>
    </row>
    <row r="204" customFormat="false" ht="14.25" hidden="false" customHeight="true" outlineLevel="0" collapsed="false">
      <c r="A204" s="1" t="s">
        <v>628</v>
      </c>
      <c r="B204" s="1" t="s">
        <v>33</v>
      </c>
      <c r="C204" s="1" t="s">
        <v>124</v>
      </c>
      <c r="D204" s="1" t="s">
        <v>85</v>
      </c>
      <c r="E204" s="1" t="s">
        <v>163</v>
      </c>
      <c r="F204" s="1" t="s">
        <v>46</v>
      </c>
      <c r="G204" s="1" t="s">
        <v>150</v>
      </c>
      <c r="H204" s="1" t="s">
        <v>137</v>
      </c>
      <c r="I204" s="1" t="s">
        <v>176</v>
      </c>
    </row>
    <row r="205" customFormat="false" ht="14.25" hidden="false" customHeight="true" outlineLevel="0" collapsed="false">
      <c r="A205" s="1" t="s">
        <v>629</v>
      </c>
      <c r="B205" s="1" t="s">
        <v>33</v>
      </c>
      <c r="C205" s="1" t="s">
        <v>111</v>
      </c>
      <c r="D205" s="1" t="s">
        <v>98</v>
      </c>
      <c r="E205" s="1" t="s">
        <v>163</v>
      </c>
      <c r="F205" s="1" t="s">
        <v>46</v>
      </c>
      <c r="G205" s="1" t="s">
        <v>124</v>
      </c>
      <c r="H205" s="1" t="s">
        <v>150</v>
      </c>
      <c r="I205" s="1" t="s">
        <v>137</v>
      </c>
    </row>
    <row r="206" customFormat="false" ht="14.25" hidden="false" customHeight="true" outlineLevel="0" collapsed="false">
      <c r="A206" s="1" t="s">
        <v>630</v>
      </c>
      <c r="B206" s="1" t="s">
        <v>33</v>
      </c>
      <c r="C206" s="1" t="s">
        <v>98</v>
      </c>
      <c r="D206" s="1" t="s">
        <v>124</v>
      </c>
      <c r="E206" s="1" t="s">
        <v>137</v>
      </c>
      <c r="F206" s="1" t="s">
        <v>46</v>
      </c>
      <c r="G206" s="1" t="s">
        <v>150</v>
      </c>
      <c r="H206" s="1" t="s">
        <v>111</v>
      </c>
      <c r="I206" s="1" t="s">
        <v>176</v>
      </c>
    </row>
    <row r="207" customFormat="false" ht="14.25" hidden="false" customHeight="true" outlineLevel="0" collapsed="false">
      <c r="A207" s="1" t="s">
        <v>631</v>
      </c>
      <c r="B207" s="1" t="s">
        <v>33</v>
      </c>
      <c r="C207" s="1" t="s">
        <v>98</v>
      </c>
      <c r="D207" s="1" t="s">
        <v>137</v>
      </c>
      <c r="E207" s="1" t="s">
        <v>163</v>
      </c>
      <c r="F207" s="1" t="s">
        <v>46</v>
      </c>
      <c r="G207" s="1" t="s">
        <v>124</v>
      </c>
      <c r="H207" s="1" t="s">
        <v>111</v>
      </c>
      <c r="I207" s="1" t="s">
        <v>176</v>
      </c>
    </row>
    <row r="208" customFormat="false" ht="14.25" hidden="false" customHeight="true" outlineLevel="0" collapsed="false">
      <c r="A208" s="1" t="s">
        <v>632</v>
      </c>
      <c r="B208" s="1" t="s">
        <v>33</v>
      </c>
      <c r="C208" s="1" t="s">
        <v>111</v>
      </c>
      <c r="D208" s="1" t="s">
        <v>98</v>
      </c>
      <c r="E208" s="1" t="s">
        <v>163</v>
      </c>
      <c r="F208" s="1" t="s">
        <v>46</v>
      </c>
      <c r="G208" s="1" t="s">
        <v>124</v>
      </c>
      <c r="H208" s="1" t="s">
        <v>150</v>
      </c>
      <c r="I208" s="1" t="s">
        <v>176</v>
      </c>
    </row>
    <row r="209" customFormat="false" ht="14.25" hidden="false" customHeight="true" outlineLevel="0" collapsed="false">
      <c r="A209" s="1" t="s">
        <v>633</v>
      </c>
      <c r="B209" s="1" t="s">
        <v>33</v>
      </c>
      <c r="C209" s="1" t="s">
        <v>98</v>
      </c>
      <c r="D209" s="1" t="s">
        <v>137</v>
      </c>
      <c r="E209" s="1" t="s">
        <v>163</v>
      </c>
      <c r="F209" s="1" t="s">
        <v>46</v>
      </c>
      <c r="G209" s="1" t="s">
        <v>150</v>
      </c>
      <c r="H209" s="1" t="s">
        <v>111</v>
      </c>
      <c r="I209" s="1" t="s">
        <v>176</v>
      </c>
    </row>
    <row r="210" customFormat="false" ht="14.25" hidden="false" customHeight="true" outlineLevel="0" collapsed="false">
      <c r="A210" s="1" t="s">
        <v>634</v>
      </c>
      <c r="B210" s="1" t="s">
        <v>33</v>
      </c>
      <c r="C210" s="1" t="s">
        <v>98</v>
      </c>
      <c r="D210" s="1" t="s">
        <v>124</v>
      </c>
      <c r="E210" s="1" t="s">
        <v>163</v>
      </c>
      <c r="F210" s="1" t="s">
        <v>46</v>
      </c>
      <c r="G210" s="1" t="s">
        <v>150</v>
      </c>
      <c r="H210" s="1" t="s">
        <v>137</v>
      </c>
      <c r="I210" s="1" t="s">
        <v>176</v>
      </c>
    </row>
    <row r="211" customFormat="false" ht="14.25" hidden="false" customHeight="true" outlineLevel="0" collapsed="false">
      <c r="A211" s="1" t="s">
        <v>635</v>
      </c>
      <c r="B211" s="1" t="s">
        <v>33</v>
      </c>
      <c r="C211" s="1" t="s">
        <v>111</v>
      </c>
      <c r="D211" s="1" t="s">
        <v>124</v>
      </c>
      <c r="E211" s="1" t="s">
        <v>163</v>
      </c>
      <c r="F211" s="1" t="s">
        <v>46</v>
      </c>
      <c r="G211" s="1" t="s">
        <v>150</v>
      </c>
      <c r="H211" s="1" t="s">
        <v>137</v>
      </c>
      <c r="I211" s="1" t="s">
        <v>176</v>
      </c>
    </row>
    <row r="212" customFormat="false" ht="14.25" hidden="false" customHeight="true" outlineLevel="0" collapsed="false">
      <c r="A212" s="1" t="s">
        <v>636</v>
      </c>
      <c r="B212" s="1" t="s">
        <v>33</v>
      </c>
      <c r="C212" s="1" t="s">
        <v>59</v>
      </c>
      <c r="D212" s="1" t="s">
        <v>137</v>
      </c>
      <c r="E212" s="1" t="s">
        <v>85</v>
      </c>
      <c r="F212" s="1" t="s">
        <v>98</v>
      </c>
      <c r="G212" s="1" t="s">
        <v>124</v>
      </c>
      <c r="H212" s="1" t="s">
        <v>111</v>
      </c>
      <c r="I212" s="1" t="s">
        <v>72</v>
      </c>
    </row>
    <row r="213" customFormat="false" ht="14.25" hidden="false" customHeight="true" outlineLevel="0" collapsed="false">
      <c r="A213" s="1" t="s">
        <v>637</v>
      </c>
      <c r="B213" s="1" t="s">
        <v>33</v>
      </c>
      <c r="C213" s="1" t="s">
        <v>124</v>
      </c>
      <c r="D213" s="1" t="s">
        <v>59</v>
      </c>
      <c r="E213" s="1" t="s">
        <v>85</v>
      </c>
      <c r="F213" s="1" t="s">
        <v>98</v>
      </c>
      <c r="G213" s="1" t="s">
        <v>150</v>
      </c>
      <c r="H213" s="1" t="s">
        <v>111</v>
      </c>
      <c r="I213" s="1" t="s">
        <v>72</v>
      </c>
    </row>
    <row r="214" customFormat="false" ht="14.25" hidden="false" customHeight="true" outlineLevel="0" collapsed="false">
      <c r="A214" s="1" t="s">
        <v>638</v>
      </c>
      <c r="B214" s="1" t="s">
        <v>59</v>
      </c>
      <c r="C214" s="1" t="s">
        <v>111</v>
      </c>
      <c r="D214" s="1" t="s">
        <v>124</v>
      </c>
      <c r="E214" s="1" t="s">
        <v>163</v>
      </c>
      <c r="F214" s="1" t="s">
        <v>85</v>
      </c>
      <c r="G214" s="1" t="s">
        <v>33</v>
      </c>
      <c r="H214" s="1" t="s">
        <v>98</v>
      </c>
      <c r="I214" s="1" t="s">
        <v>72</v>
      </c>
    </row>
    <row r="215" customFormat="false" ht="14.25" hidden="false" customHeight="true" outlineLevel="0" collapsed="false">
      <c r="A215" s="1" t="s">
        <v>639</v>
      </c>
      <c r="B215" s="1" t="s">
        <v>72</v>
      </c>
      <c r="C215" s="1" t="s">
        <v>124</v>
      </c>
      <c r="D215" s="1" t="s">
        <v>59</v>
      </c>
      <c r="E215" s="1" t="s">
        <v>85</v>
      </c>
      <c r="F215" s="1" t="s">
        <v>98</v>
      </c>
      <c r="G215" s="1" t="s">
        <v>33</v>
      </c>
      <c r="H215" s="1" t="s">
        <v>111</v>
      </c>
      <c r="I215" s="1" t="s">
        <v>176</v>
      </c>
    </row>
    <row r="216" customFormat="false" ht="14.25" hidden="false" customHeight="true" outlineLevel="0" collapsed="false">
      <c r="A216" s="1" t="s">
        <v>640</v>
      </c>
      <c r="B216" s="1" t="s">
        <v>33</v>
      </c>
      <c r="C216" s="1" t="s">
        <v>72</v>
      </c>
      <c r="D216" s="1" t="s">
        <v>59</v>
      </c>
      <c r="E216" s="1" t="s">
        <v>85</v>
      </c>
      <c r="F216" s="1" t="s">
        <v>98</v>
      </c>
      <c r="G216" s="1" t="s">
        <v>137</v>
      </c>
      <c r="H216" s="1" t="s">
        <v>111</v>
      </c>
      <c r="I216" s="1" t="s">
        <v>150</v>
      </c>
    </row>
    <row r="217" customFormat="false" ht="14.25" hidden="false" customHeight="true" outlineLevel="0" collapsed="false">
      <c r="A217" s="1" t="s">
        <v>641</v>
      </c>
      <c r="B217" s="1" t="s">
        <v>59</v>
      </c>
      <c r="C217" s="1" t="s">
        <v>111</v>
      </c>
      <c r="D217" s="1" t="s">
        <v>98</v>
      </c>
      <c r="E217" s="1" t="s">
        <v>163</v>
      </c>
      <c r="F217" s="1" t="s">
        <v>85</v>
      </c>
      <c r="G217" s="1" t="s">
        <v>33</v>
      </c>
      <c r="H217" s="1" t="s">
        <v>137</v>
      </c>
      <c r="I217" s="1" t="s">
        <v>72</v>
      </c>
    </row>
    <row r="218" customFormat="false" ht="14.25" hidden="false" customHeight="true" outlineLevel="0" collapsed="false">
      <c r="A218" s="1" t="s">
        <v>642</v>
      </c>
      <c r="B218" s="1" t="s">
        <v>72</v>
      </c>
      <c r="C218" s="1" t="s">
        <v>111</v>
      </c>
      <c r="D218" s="1" t="s">
        <v>59</v>
      </c>
      <c r="E218" s="1" t="s">
        <v>85</v>
      </c>
      <c r="F218" s="1" t="s">
        <v>98</v>
      </c>
      <c r="G218" s="1" t="s">
        <v>33</v>
      </c>
      <c r="H218" s="1" t="s">
        <v>137</v>
      </c>
      <c r="I218" s="1" t="s">
        <v>176</v>
      </c>
    </row>
    <row r="219" customFormat="false" ht="14.25" hidden="false" customHeight="true" outlineLevel="0" collapsed="false">
      <c r="A219" s="1" t="s">
        <v>643</v>
      </c>
      <c r="B219" s="1" t="s">
        <v>98</v>
      </c>
      <c r="C219" s="1" t="s">
        <v>111</v>
      </c>
      <c r="D219" s="1" t="s">
        <v>59</v>
      </c>
      <c r="E219" s="1" t="s">
        <v>163</v>
      </c>
      <c r="F219" s="1" t="s">
        <v>85</v>
      </c>
      <c r="G219" s="1" t="s">
        <v>33</v>
      </c>
      <c r="H219" s="1" t="s">
        <v>150</v>
      </c>
      <c r="I219" s="1" t="s">
        <v>72</v>
      </c>
    </row>
    <row r="220" customFormat="false" ht="14.25" hidden="false" customHeight="true" outlineLevel="0" collapsed="false">
      <c r="A220" s="1" t="s">
        <v>644</v>
      </c>
      <c r="B220" s="1" t="s">
        <v>72</v>
      </c>
      <c r="C220" s="1" t="s">
        <v>111</v>
      </c>
      <c r="D220" s="1" t="s">
        <v>59</v>
      </c>
      <c r="E220" s="1" t="s">
        <v>85</v>
      </c>
      <c r="F220" s="1" t="s">
        <v>98</v>
      </c>
      <c r="G220" s="1" t="s">
        <v>33</v>
      </c>
      <c r="H220" s="1" t="s">
        <v>150</v>
      </c>
      <c r="I220" s="1" t="s">
        <v>176</v>
      </c>
    </row>
    <row r="221" customFormat="false" ht="14.25" hidden="false" customHeight="true" outlineLevel="0" collapsed="false">
      <c r="A221" s="1" t="s">
        <v>645</v>
      </c>
      <c r="B221" s="1" t="s">
        <v>72</v>
      </c>
      <c r="C221" s="1" t="s">
        <v>111</v>
      </c>
      <c r="D221" s="1" t="s">
        <v>59</v>
      </c>
      <c r="E221" s="1" t="s">
        <v>163</v>
      </c>
      <c r="F221" s="1" t="s">
        <v>85</v>
      </c>
      <c r="G221" s="1" t="s">
        <v>33</v>
      </c>
      <c r="H221" s="1" t="s">
        <v>98</v>
      </c>
      <c r="I221" s="1" t="s">
        <v>176</v>
      </c>
    </row>
    <row r="222" customFormat="false" ht="14.25" hidden="false" customHeight="true" outlineLevel="0" collapsed="false">
      <c r="A222" s="1" t="s">
        <v>646</v>
      </c>
      <c r="B222" s="1" t="s">
        <v>33</v>
      </c>
      <c r="C222" s="1" t="s">
        <v>59</v>
      </c>
      <c r="D222" s="1" t="s">
        <v>124</v>
      </c>
      <c r="E222" s="1" t="s">
        <v>85</v>
      </c>
      <c r="F222" s="1" t="s">
        <v>98</v>
      </c>
      <c r="G222" s="1" t="s">
        <v>150</v>
      </c>
      <c r="H222" s="1" t="s">
        <v>137</v>
      </c>
      <c r="I222" s="1" t="s">
        <v>72</v>
      </c>
    </row>
    <row r="223" customFormat="false" ht="14.25" hidden="false" customHeight="true" outlineLevel="0" collapsed="false">
      <c r="A223" s="1" t="s">
        <v>647</v>
      </c>
      <c r="B223" s="1" t="s">
        <v>33</v>
      </c>
      <c r="C223" s="1" t="s">
        <v>59</v>
      </c>
      <c r="D223" s="1" t="s">
        <v>137</v>
      </c>
      <c r="E223" s="1" t="s">
        <v>163</v>
      </c>
      <c r="F223" s="1" t="s">
        <v>85</v>
      </c>
      <c r="G223" s="1" t="s">
        <v>124</v>
      </c>
      <c r="H223" s="1" t="s">
        <v>98</v>
      </c>
      <c r="I223" s="1" t="s">
        <v>72</v>
      </c>
    </row>
    <row r="224" customFormat="false" ht="14.25" hidden="false" customHeight="true" outlineLevel="0" collapsed="false">
      <c r="A224" s="1" t="s">
        <v>648</v>
      </c>
      <c r="B224" s="1" t="s">
        <v>72</v>
      </c>
      <c r="C224" s="1" t="s">
        <v>124</v>
      </c>
      <c r="D224" s="1" t="s">
        <v>59</v>
      </c>
      <c r="E224" s="1" t="s">
        <v>85</v>
      </c>
      <c r="F224" s="1" t="s">
        <v>98</v>
      </c>
      <c r="G224" s="1" t="s">
        <v>33</v>
      </c>
      <c r="H224" s="1" t="s">
        <v>137</v>
      </c>
      <c r="I224" s="1" t="s">
        <v>176</v>
      </c>
    </row>
    <row r="225" customFormat="false" ht="14.25" hidden="false" customHeight="true" outlineLevel="0" collapsed="false">
      <c r="A225" s="1" t="s">
        <v>649</v>
      </c>
      <c r="B225" s="1" t="s">
        <v>33</v>
      </c>
      <c r="C225" s="1" t="s">
        <v>124</v>
      </c>
      <c r="D225" s="1" t="s">
        <v>59</v>
      </c>
      <c r="E225" s="1" t="s">
        <v>163</v>
      </c>
      <c r="F225" s="1" t="s">
        <v>85</v>
      </c>
      <c r="G225" s="1" t="s">
        <v>150</v>
      </c>
      <c r="H225" s="1" t="s">
        <v>98</v>
      </c>
      <c r="I225" s="1" t="s">
        <v>72</v>
      </c>
    </row>
    <row r="226" customFormat="false" ht="14.25" hidden="false" customHeight="true" outlineLevel="0" collapsed="false">
      <c r="A226" s="1" t="s">
        <v>650</v>
      </c>
      <c r="B226" s="1" t="s">
        <v>72</v>
      </c>
      <c r="C226" s="1" t="s">
        <v>124</v>
      </c>
      <c r="D226" s="1" t="s">
        <v>59</v>
      </c>
      <c r="E226" s="1" t="s">
        <v>85</v>
      </c>
      <c r="F226" s="1" t="s">
        <v>98</v>
      </c>
      <c r="G226" s="1" t="s">
        <v>33</v>
      </c>
      <c r="H226" s="1" t="s">
        <v>150</v>
      </c>
      <c r="I226" s="1" t="s">
        <v>176</v>
      </c>
    </row>
    <row r="227" customFormat="false" ht="14.25" hidden="false" customHeight="true" outlineLevel="0" collapsed="false">
      <c r="A227" s="1" t="s">
        <v>651</v>
      </c>
      <c r="B227" s="1" t="s">
        <v>72</v>
      </c>
      <c r="C227" s="1" t="s">
        <v>124</v>
      </c>
      <c r="D227" s="1" t="s">
        <v>59</v>
      </c>
      <c r="E227" s="1" t="s">
        <v>163</v>
      </c>
      <c r="F227" s="1" t="s">
        <v>85</v>
      </c>
      <c r="G227" s="1" t="s">
        <v>33</v>
      </c>
      <c r="H227" s="1" t="s">
        <v>98</v>
      </c>
      <c r="I227" s="1" t="s">
        <v>176</v>
      </c>
    </row>
    <row r="228" customFormat="false" ht="14.25" hidden="false" customHeight="true" outlineLevel="0" collapsed="false">
      <c r="A228" s="1" t="s">
        <v>652</v>
      </c>
      <c r="B228" s="1" t="s">
        <v>33</v>
      </c>
      <c r="C228" s="1" t="s">
        <v>59</v>
      </c>
      <c r="D228" s="1" t="s">
        <v>85</v>
      </c>
      <c r="E228" s="1" t="s">
        <v>163</v>
      </c>
      <c r="F228" s="1" t="s">
        <v>98</v>
      </c>
      <c r="G228" s="1" t="s">
        <v>137</v>
      </c>
      <c r="H228" s="1" t="s">
        <v>150</v>
      </c>
      <c r="I228" s="1" t="s">
        <v>72</v>
      </c>
    </row>
    <row r="229" customFormat="false" ht="14.25" hidden="false" customHeight="true" outlineLevel="0" collapsed="false">
      <c r="A229" s="1" t="s">
        <v>653</v>
      </c>
      <c r="B229" s="1" t="s">
        <v>72</v>
      </c>
      <c r="C229" s="1" t="s">
        <v>59</v>
      </c>
      <c r="D229" s="1" t="s">
        <v>98</v>
      </c>
      <c r="E229" s="1" t="s">
        <v>85</v>
      </c>
      <c r="F229" s="1" t="s">
        <v>137</v>
      </c>
      <c r="G229" s="1" t="s">
        <v>33</v>
      </c>
      <c r="H229" s="1" t="s">
        <v>150</v>
      </c>
      <c r="I229" s="1" t="s">
        <v>176</v>
      </c>
    </row>
    <row r="230" customFormat="false" ht="14.25" hidden="false" customHeight="true" outlineLevel="0" collapsed="false">
      <c r="A230" s="1" t="s">
        <v>654</v>
      </c>
      <c r="B230" s="1" t="s">
        <v>72</v>
      </c>
      <c r="C230" s="1" t="s">
        <v>59</v>
      </c>
      <c r="D230" s="1" t="s">
        <v>137</v>
      </c>
      <c r="E230" s="1" t="s">
        <v>163</v>
      </c>
      <c r="F230" s="1" t="s">
        <v>85</v>
      </c>
      <c r="G230" s="1" t="s">
        <v>33</v>
      </c>
      <c r="H230" s="1" t="s">
        <v>98</v>
      </c>
      <c r="I230" s="1" t="s">
        <v>176</v>
      </c>
    </row>
    <row r="231" customFormat="false" ht="14.25" hidden="false" customHeight="true" outlineLevel="0" collapsed="false">
      <c r="A231" s="1" t="s">
        <v>655</v>
      </c>
      <c r="B231" s="1" t="s">
        <v>72</v>
      </c>
      <c r="C231" s="1" t="s">
        <v>59</v>
      </c>
      <c r="D231" s="1" t="s">
        <v>85</v>
      </c>
      <c r="E231" s="1" t="s">
        <v>163</v>
      </c>
      <c r="F231" s="1" t="s">
        <v>98</v>
      </c>
      <c r="G231" s="1" t="s">
        <v>33</v>
      </c>
      <c r="H231" s="1" t="s">
        <v>150</v>
      </c>
      <c r="I231" s="1" t="s">
        <v>176</v>
      </c>
    </row>
    <row r="232" customFormat="false" ht="14.25" hidden="false" customHeight="true" outlineLevel="0" collapsed="false">
      <c r="A232" s="1" t="s">
        <v>656</v>
      </c>
      <c r="B232" s="1" t="s">
        <v>33</v>
      </c>
      <c r="C232" s="1" t="s">
        <v>72</v>
      </c>
      <c r="D232" s="1" t="s">
        <v>59</v>
      </c>
      <c r="E232" s="1" t="s">
        <v>124</v>
      </c>
      <c r="F232" s="1" t="s">
        <v>85</v>
      </c>
      <c r="G232" s="1" t="s">
        <v>137</v>
      </c>
      <c r="H232" s="1" t="s">
        <v>111</v>
      </c>
      <c r="I232" s="1" t="s">
        <v>150</v>
      </c>
    </row>
    <row r="233" customFormat="false" ht="14.25" hidden="false" customHeight="true" outlineLevel="0" collapsed="false">
      <c r="A233" s="1" t="s">
        <v>657</v>
      </c>
      <c r="B233" s="1" t="s">
        <v>33</v>
      </c>
      <c r="C233" s="1" t="s">
        <v>59</v>
      </c>
      <c r="D233" s="1" t="s">
        <v>137</v>
      </c>
      <c r="E233" s="1" t="s">
        <v>163</v>
      </c>
      <c r="F233" s="1" t="s">
        <v>85</v>
      </c>
      <c r="G233" s="1" t="s">
        <v>124</v>
      </c>
      <c r="H233" s="1" t="s">
        <v>111</v>
      </c>
      <c r="I233" s="1" t="s">
        <v>72</v>
      </c>
    </row>
    <row r="234" customFormat="false" ht="14.25" hidden="false" customHeight="true" outlineLevel="0" collapsed="false">
      <c r="A234" s="1" t="s">
        <v>658</v>
      </c>
      <c r="B234" s="1" t="s">
        <v>33</v>
      </c>
      <c r="C234" s="1" t="s">
        <v>72</v>
      </c>
      <c r="D234" s="1" t="s">
        <v>59</v>
      </c>
      <c r="E234" s="1" t="s">
        <v>124</v>
      </c>
      <c r="F234" s="1" t="s">
        <v>85</v>
      </c>
      <c r="G234" s="1" t="s">
        <v>137</v>
      </c>
      <c r="H234" s="1" t="s">
        <v>111</v>
      </c>
      <c r="I234" s="1" t="s">
        <v>176</v>
      </c>
    </row>
    <row r="235" customFormat="false" ht="14.25" hidden="false" customHeight="true" outlineLevel="0" collapsed="false">
      <c r="A235" s="1" t="s">
        <v>659</v>
      </c>
      <c r="B235" s="1" t="s">
        <v>33</v>
      </c>
      <c r="C235" s="1" t="s">
        <v>124</v>
      </c>
      <c r="D235" s="1" t="s">
        <v>59</v>
      </c>
      <c r="E235" s="1" t="s">
        <v>163</v>
      </c>
      <c r="F235" s="1" t="s">
        <v>85</v>
      </c>
      <c r="G235" s="1" t="s">
        <v>150</v>
      </c>
      <c r="H235" s="1" t="s">
        <v>111</v>
      </c>
      <c r="I235" s="1" t="s">
        <v>72</v>
      </c>
    </row>
    <row r="236" customFormat="false" ht="14.25" hidden="false" customHeight="true" outlineLevel="0" collapsed="false">
      <c r="A236" s="1" t="s">
        <v>660</v>
      </c>
      <c r="B236" s="1" t="s">
        <v>33</v>
      </c>
      <c r="C236" s="1" t="s">
        <v>72</v>
      </c>
      <c r="D236" s="1" t="s">
        <v>59</v>
      </c>
      <c r="E236" s="1" t="s">
        <v>124</v>
      </c>
      <c r="F236" s="1" t="s">
        <v>85</v>
      </c>
      <c r="G236" s="1" t="s">
        <v>150</v>
      </c>
      <c r="H236" s="1" t="s">
        <v>111</v>
      </c>
      <c r="I236" s="1" t="s">
        <v>176</v>
      </c>
    </row>
    <row r="237" customFormat="false" ht="14.25" hidden="false" customHeight="true" outlineLevel="0" collapsed="false">
      <c r="A237" s="1" t="s">
        <v>661</v>
      </c>
      <c r="B237" s="1" t="s">
        <v>72</v>
      </c>
      <c r="C237" s="1" t="s">
        <v>124</v>
      </c>
      <c r="D237" s="1" t="s">
        <v>59</v>
      </c>
      <c r="E237" s="1" t="s">
        <v>163</v>
      </c>
      <c r="F237" s="1" t="s">
        <v>85</v>
      </c>
      <c r="G237" s="1" t="s">
        <v>33</v>
      </c>
      <c r="H237" s="1" t="s">
        <v>111</v>
      </c>
      <c r="I237" s="1" t="s">
        <v>176</v>
      </c>
    </row>
    <row r="238" customFormat="false" ht="14.25" hidden="false" customHeight="true" outlineLevel="0" collapsed="false">
      <c r="A238" s="1" t="s">
        <v>662</v>
      </c>
      <c r="B238" s="1" t="s">
        <v>33</v>
      </c>
      <c r="C238" s="1" t="s">
        <v>59</v>
      </c>
      <c r="D238" s="1" t="s">
        <v>85</v>
      </c>
      <c r="E238" s="1" t="s">
        <v>163</v>
      </c>
      <c r="F238" s="1" t="s">
        <v>137</v>
      </c>
      <c r="G238" s="1" t="s">
        <v>150</v>
      </c>
      <c r="H238" s="1" t="s">
        <v>111</v>
      </c>
      <c r="I238" s="1" t="s">
        <v>72</v>
      </c>
    </row>
    <row r="239" customFormat="false" ht="14.25" hidden="false" customHeight="true" outlineLevel="0" collapsed="false">
      <c r="A239" s="1" t="s">
        <v>663</v>
      </c>
      <c r="B239" s="1" t="s">
        <v>33</v>
      </c>
      <c r="C239" s="1" t="s">
        <v>72</v>
      </c>
      <c r="D239" s="1" t="s">
        <v>59</v>
      </c>
      <c r="E239" s="1" t="s">
        <v>85</v>
      </c>
      <c r="F239" s="1" t="s">
        <v>137</v>
      </c>
      <c r="G239" s="1" t="s">
        <v>150</v>
      </c>
      <c r="H239" s="1" t="s">
        <v>111</v>
      </c>
      <c r="I239" s="1" t="s">
        <v>176</v>
      </c>
    </row>
    <row r="240" customFormat="false" ht="14.25" hidden="false" customHeight="true" outlineLevel="0" collapsed="false">
      <c r="A240" s="1" t="s">
        <v>664</v>
      </c>
      <c r="B240" s="1" t="s">
        <v>72</v>
      </c>
      <c r="C240" s="1" t="s">
        <v>111</v>
      </c>
      <c r="D240" s="1" t="s">
        <v>59</v>
      </c>
      <c r="E240" s="1" t="s">
        <v>163</v>
      </c>
      <c r="F240" s="1" t="s">
        <v>85</v>
      </c>
      <c r="G240" s="1" t="s">
        <v>33</v>
      </c>
      <c r="H240" s="1" t="s">
        <v>137</v>
      </c>
      <c r="I240" s="1" t="s">
        <v>176</v>
      </c>
    </row>
    <row r="241" customFormat="false" ht="14.25" hidden="false" customHeight="true" outlineLevel="0" collapsed="false">
      <c r="A241" s="1" t="s">
        <v>665</v>
      </c>
      <c r="B241" s="1" t="s">
        <v>33</v>
      </c>
      <c r="C241" s="1" t="s">
        <v>72</v>
      </c>
      <c r="D241" s="1" t="s">
        <v>59</v>
      </c>
      <c r="E241" s="1" t="s">
        <v>163</v>
      </c>
      <c r="F241" s="1" t="s">
        <v>85</v>
      </c>
      <c r="G241" s="1" t="s">
        <v>150</v>
      </c>
      <c r="H241" s="1" t="s">
        <v>111</v>
      </c>
      <c r="I241" s="1" t="s">
        <v>176</v>
      </c>
    </row>
    <row r="242" customFormat="false" ht="14.25" hidden="false" customHeight="true" outlineLevel="0" collapsed="false">
      <c r="A242" s="1" t="s">
        <v>666</v>
      </c>
      <c r="B242" s="1" t="s">
        <v>33</v>
      </c>
      <c r="C242" s="1" t="s">
        <v>59</v>
      </c>
      <c r="D242" s="1" t="s">
        <v>124</v>
      </c>
      <c r="E242" s="1" t="s">
        <v>163</v>
      </c>
      <c r="F242" s="1" t="s">
        <v>85</v>
      </c>
      <c r="G242" s="1" t="s">
        <v>150</v>
      </c>
      <c r="H242" s="1" t="s">
        <v>137</v>
      </c>
      <c r="I242" s="1" t="s">
        <v>72</v>
      </c>
    </row>
    <row r="243" customFormat="false" ht="14.25" hidden="false" customHeight="true" outlineLevel="0" collapsed="false">
      <c r="A243" s="1" t="s">
        <v>667</v>
      </c>
      <c r="B243" s="1" t="s">
        <v>33</v>
      </c>
      <c r="C243" s="1" t="s">
        <v>72</v>
      </c>
      <c r="D243" s="1" t="s">
        <v>59</v>
      </c>
      <c r="E243" s="1" t="s">
        <v>124</v>
      </c>
      <c r="F243" s="1" t="s">
        <v>85</v>
      </c>
      <c r="G243" s="1" t="s">
        <v>150</v>
      </c>
      <c r="H243" s="1" t="s">
        <v>137</v>
      </c>
      <c r="I243" s="1" t="s">
        <v>176</v>
      </c>
    </row>
    <row r="244" customFormat="false" ht="14.25" hidden="false" customHeight="true" outlineLevel="0" collapsed="false">
      <c r="A244" s="1" t="s">
        <v>668</v>
      </c>
      <c r="B244" s="1" t="s">
        <v>72</v>
      </c>
      <c r="C244" s="1" t="s">
        <v>124</v>
      </c>
      <c r="D244" s="1" t="s">
        <v>59</v>
      </c>
      <c r="E244" s="1" t="s">
        <v>163</v>
      </c>
      <c r="F244" s="1" t="s">
        <v>85</v>
      </c>
      <c r="G244" s="1" t="s">
        <v>33</v>
      </c>
      <c r="H244" s="1" t="s">
        <v>137</v>
      </c>
      <c r="I244" s="1" t="s">
        <v>176</v>
      </c>
    </row>
    <row r="245" customFormat="false" ht="14.25" hidden="false" customHeight="true" outlineLevel="0" collapsed="false">
      <c r="A245" s="1" t="s">
        <v>669</v>
      </c>
      <c r="B245" s="1" t="s">
        <v>72</v>
      </c>
      <c r="C245" s="1" t="s">
        <v>124</v>
      </c>
      <c r="D245" s="1" t="s">
        <v>59</v>
      </c>
      <c r="E245" s="1" t="s">
        <v>163</v>
      </c>
      <c r="F245" s="1" t="s">
        <v>85</v>
      </c>
      <c r="G245" s="1" t="s">
        <v>33</v>
      </c>
      <c r="H245" s="1" t="s">
        <v>150</v>
      </c>
      <c r="I245" s="1" t="s">
        <v>176</v>
      </c>
    </row>
    <row r="246" customFormat="false" ht="14.25" hidden="false" customHeight="true" outlineLevel="0" collapsed="false">
      <c r="A246" s="1" t="s">
        <v>670</v>
      </c>
      <c r="B246" s="1" t="s">
        <v>72</v>
      </c>
      <c r="C246" s="1" t="s">
        <v>59</v>
      </c>
      <c r="D246" s="1" t="s">
        <v>85</v>
      </c>
      <c r="E246" s="1" t="s">
        <v>163</v>
      </c>
      <c r="F246" s="1" t="s">
        <v>137</v>
      </c>
      <c r="G246" s="1" t="s">
        <v>33</v>
      </c>
      <c r="H246" s="1" t="s">
        <v>150</v>
      </c>
      <c r="I246" s="1" t="s">
        <v>176</v>
      </c>
    </row>
    <row r="247" customFormat="false" ht="14.25" hidden="false" customHeight="true" outlineLevel="0" collapsed="false">
      <c r="A247" s="1" t="s">
        <v>671</v>
      </c>
      <c r="B247" s="1" t="s">
        <v>33</v>
      </c>
      <c r="C247" s="1" t="s">
        <v>72</v>
      </c>
      <c r="D247" s="1" t="s">
        <v>59</v>
      </c>
      <c r="E247" s="1" t="s">
        <v>124</v>
      </c>
      <c r="F247" s="1" t="s">
        <v>98</v>
      </c>
      <c r="G247" s="1" t="s">
        <v>137</v>
      </c>
      <c r="H247" s="1" t="s">
        <v>111</v>
      </c>
      <c r="I247" s="1" t="s">
        <v>150</v>
      </c>
    </row>
    <row r="248" customFormat="false" ht="14.25" hidden="false" customHeight="true" outlineLevel="0" collapsed="false">
      <c r="A248" s="1" t="s">
        <v>672</v>
      </c>
      <c r="B248" s="1" t="s">
        <v>33</v>
      </c>
      <c r="C248" s="1" t="s">
        <v>59</v>
      </c>
      <c r="D248" s="1" t="s">
        <v>137</v>
      </c>
      <c r="E248" s="1" t="s">
        <v>163</v>
      </c>
      <c r="F248" s="1" t="s">
        <v>98</v>
      </c>
      <c r="G248" s="1" t="s">
        <v>124</v>
      </c>
      <c r="H248" s="1" t="s">
        <v>111</v>
      </c>
      <c r="I248" s="1" t="s">
        <v>72</v>
      </c>
    </row>
    <row r="249" customFormat="false" ht="14.25" hidden="false" customHeight="true" outlineLevel="0" collapsed="false">
      <c r="A249" s="1" t="s">
        <v>673</v>
      </c>
      <c r="B249" s="1" t="s">
        <v>59</v>
      </c>
      <c r="C249" s="1" t="s">
        <v>72</v>
      </c>
      <c r="D249" s="1" t="s">
        <v>137</v>
      </c>
      <c r="E249" s="1" t="s">
        <v>124</v>
      </c>
      <c r="F249" s="1" t="s">
        <v>98</v>
      </c>
      <c r="G249" s="1" t="s">
        <v>33</v>
      </c>
      <c r="H249" s="1" t="s">
        <v>111</v>
      </c>
      <c r="I249" s="1" t="s">
        <v>176</v>
      </c>
    </row>
    <row r="250" customFormat="false" ht="14.25" hidden="false" customHeight="true" outlineLevel="0" collapsed="false">
      <c r="A250" s="1" t="s">
        <v>674</v>
      </c>
      <c r="B250" s="1" t="s">
        <v>33</v>
      </c>
      <c r="C250" s="1" t="s">
        <v>124</v>
      </c>
      <c r="D250" s="1" t="s">
        <v>59</v>
      </c>
      <c r="E250" s="1" t="s">
        <v>163</v>
      </c>
      <c r="F250" s="1" t="s">
        <v>98</v>
      </c>
      <c r="G250" s="1" t="s">
        <v>150</v>
      </c>
      <c r="H250" s="1" t="s">
        <v>111</v>
      </c>
      <c r="I250" s="1" t="s">
        <v>72</v>
      </c>
    </row>
    <row r="251" customFormat="false" ht="14.25" hidden="false" customHeight="true" outlineLevel="0" collapsed="false">
      <c r="A251" s="1" t="s">
        <v>675</v>
      </c>
      <c r="B251" s="1" t="s">
        <v>72</v>
      </c>
      <c r="C251" s="1" t="s">
        <v>111</v>
      </c>
      <c r="D251" s="1" t="s">
        <v>59</v>
      </c>
      <c r="E251" s="1" t="s">
        <v>124</v>
      </c>
      <c r="F251" s="1" t="s">
        <v>98</v>
      </c>
      <c r="G251" s="1" t="s">
        <v>33</v>
      </c>
      <c r="H251" s="1" t="s">
        <v>150</v>
      </c>
      <c r="I251" s="1" t="s">
        <v>176</v>
      </c>
    </row>
    <row r="252" customFormat="false" ht="14.25" hidden="false" customHeight="true" outlineLevel="0" collapsed="false">
      <c r="A252" s="1" t="s">
        <v>676</v>
      </c>
      <c r="B252" s="1" t="s">
        <v>72</v>
      </c>
      <c r="C252" s="1" t="s">
        <v>124</v>
      </c>
      <c r="D252" s="1" t="s">
        <v>59</v>
      </c>
      <c r="E252" s="1" t="s">
        <v>163</v>
      </c>
      <c r="F252" s="1" t="s">
        <v>98</v>
      </c>
      <c r="G252" s="1" t="s">
        <v>33</v>
      </c>
      <c r="H252" s="1" t="s">
        <v>111</v>
      </c>
      <c r="I252" s="1" t="s">
        <v>176</v>
      </c>
    </row>
    <row r="253" customFormat="false" ht="14.25" hidden="false" customHeight="true" outlineLevel="0" collapsed="false">
      <c r="A253" s="1" t="s">
        <v>677</v>
      </c>
      <c r="B253" s="1" t="s">
        <v>33</v>
      </c>
      <c r="C253" s="1" t="s">
        <v>72</v>
      </c>
      <c r="D253" s="1" t="s">
        <v>59</v>
      </c>
      <c r="E253" s="1" t="s">
        <v>163</v>
      </c>
      <c r="F253" s="1" t="s">
        <v>98</v>
      </c>
      <c r="G253" s="1" t="s">
        <v>137</v>
      </c>
      <c r="H253" s="1" t="s">
        <v>111</v>
      </c>
      <c r="I253" s="1" t="s">
        <v>150</v>
      </c>
    </row>
    <row r="254" customFormat="false" ht="14.25" hidden="false" customHeight="true" outlineLevel="0" collapsed="false">
      <c r="A254" s="1" t="s">
        <v>678</v>
      </c>
      <c r="B254" s="1" t="s">
        <v>72</v>
      </c>
      <c r="C254" s="1" t="s">
        <v>111</v>
      </c>
      <c r="D254" s="1" t="s">
        <v>59</v>
      </c>
      <c r="E254" s="1" t="s">
        <v>137</v>
      </c>
      <c r="F254" s="1" t="s">
        <v>98</v>
      </c>
      <c r="G254" s="1" t="s">
        <v>33</v>
      </c>
      <c r="H254" s="1" t="s">
        <v>150</v>
      </c>
      <c r="I254" s="1" t="s">
        <v>176</v>
      </c>
    </row>
    <row r="255" customFormat="false" ht="14.25" hidden="false" customHeight="true" outlineLevel="0" collapsed="false">
      <c r="A255" s="1" t="s">
        <v>679</v>
      </c>
      <c r="B255" s="1" t="s">
        <v>72</v>
      </c>
      <c r="C255" s="1" t="s">
        <v>111</v>
      </c>
      <c r="D255" s="1" t="s">
        <v>59</v>
      </c>
      <c r="E255" s="1" t="s">
        <v>163</v>
      </c>
      <c r="F255" s="1" t="s">
        <v>98</v>
      </c>
      <c r="G255" s="1" t="s">
        <v>33</v>
      </c>
      <c r="H255" s="1" t="s">
        <v>137</v>
      </c>
      <c r="I255" s="1" t="s">
        <v>176</v>
      </c>
    </row>
    <row r="256" customFormat="false" ht="14.25" hidden="false" customHeight="true" outlineLevel="0" collapsed="false">
      <c r="A256" s="1" t="s">
        <v>680</v>
      </c>
      <c r="B256" s="1" t="s">
        <v>72</v>
      </c>
      <c r="C256" s="1" t="s">
        <v>111</v>
      </c>
      <c r="D256" s="1" t="s">
        <v>59</v>
      </c>
      <c r="E256" s="1" t="s">
        <v>163</v>
      </c>
      <c r="F256" s="1" t="s">
        <v>98</v>
      </c>
      <c r="G256" s="1" t="s">
        <v>33</v>
      </c>
      <c r="H256" s="1" t="s">
        <v>150</v>
      </c>
      <c r="I256" s="1" t="s">
        <v>176</v>
      </c>
    </row>
    <row r="257" customFormat="false" ht="14.25" hidden="false" customHeight="true" outlineLevel="0" collapsed="false">
      <c r="A257" s="1" t="s">
        <v>681</v>
      </c>
      <c r="B257" s="1" t="s">
        <v>33</v>
      </c>
      <c r="C257" s="1" t="s">
        <v>124</v>
      </c>
      <c r="D257" s="1" t="s">
        <v>59</v>
      </c>
      <c r="E257" s="1" t="s">
        <v>163</v>
      </c>
      <c r="F257" s="1" t="s">
        <v>98</v>
      </c>
      <c r="G257" s="1" t="s">
        <v>150</v>
      </c>
      <c r="H257" s="1" t="s">
        <v>137</v>
      </c>
      <c r="I257" s="1" t="s">
        <v>72</v>
      </c>
    </row>
    <row r="258" customFormat="false" ht="14.25" hidden="false" customHeight="true" outlineLevel="0" collapsed="false">
      <c r="A258" s="1" t="s">
        <v>682</v>
      </c>
      <c r="B258" s="1" t="s">
        <v>33</v>
      </c>
      <c r="C258" s="1" t="s">
        <v>72</v>
      </c>
      <c r="D258" s="1" t="s">
        <v>59</v>
      </c>
      <c r="E258" s="1" t="s">
        <v>124</v>
      </c>
      <c r="F258" s="1" t="s">
        <v>98</v>
      </c>
      <c r="G258" s="1" t="s">
        <v>150</v>
      </c>
      <c r="H258" s="1" t="s">
        <v>137</v>
      </c>
      <c r="I258" s="1" t="s">
        <v>176</v>
      </c>
    </row>
    <row r="259" customFormat="false" ht="14.25" hidden="false" customHeight="true" outlineLevel="0" collapsed="false">
      <c r="A259" s="1" t="s">
        <v>683</v>
      </c>
      <c r="B259" s="1" t="s">
        <v>72</v>
      </c>
      <c r="C259" s="1" t="s">
        <v>124</v>
      </c>
      <c r="D259" s="1" t="s">
        <v>59</v>
      </c>
      <c r="E259" s="1" t="s">
        <v>163</v>
      </c>
      <c r="F259" s="1" t="s">
        <v>98</v>
      </c>
      <c r="G259" s="1" t="s">
        <v>33</v>
      </c>
      <c r="H259" s="1" t="s">
        <v>137</v>
      </c>
      <c r="I259" s="1" t="s">
        <v>176</v>
      </c>
    </row>
    <row r="260" customFormat="false" ht="14.25" hidden="false" customHeight="true" outlineLevel="0" collapsed="false">
      <c r="A260" s="1" t="s">
        <v>684</v>
      </c>
      <c r="B260" s="1" t="s">
        <v>72</v>
      </c>
      <c r="C260" s="1" t="s">
        <v>124</v>
      </c>
      <c r="D260" s="1" t="s">
        <v>59</v>
      </c>
      <c r="E260" s="1" t="s">
        <v>163</v>
      </c>
      <c r="F260" s="1" t="s">
        <v>98</v>
      </c>
      <c r="G260" s="1" t="s">
        <v>33</v>
      </c>
      <c r="H260" s="1" t="s">
        <v>150</v>
      </c>
      <c r="I260" s="1" t="s">
        <v>176</v>
      </c>
    </row>
    <row r="261" customFormat="false" ht="14.25" hidden="false" customHeight="true" outlineLevel="0" collapsed="false">
      <c r="A261" s="1" t="s">
        <v>685</v>
      </c>
      <c r="B261" s="1" t="s">
        <v>72</v>
      </c>
      <c r="C261" s="1" t="s">
        <v>59</v>
      </c>
      <c r="D261" s="1" t="s">
        <v>98</v>
      </c>
      <c r="E261" s="1" t="s">
        <v>163</v>
      </c>
      <c r="F261" s="1" t="s">
        <v>137</v>
      </c>
      <c r="G261" s="1" t="s">
        <v>33</v>
      </c>
      <c r="H261" s="1" t="s">
        <v>150</v>
      </c>
      <c r="I261" s="1" t="s">
        <v>176</v>
      </c>
    </row>
    <row r="262" customFormat="false" ht="14.25" hidden="false" customHeight="true" outlineLevel="0" collapsed="false">
      <c r="A262" s="1" t="s">
        <v>686</v>
      </c>
      <c r="B262" s="1" t="s">
        <v>33</v>
      </c>
      <c r="C262" s="1" t="s">
        <v>124</v>
      </c>
      <c r="D262" s="1" t="s">
        <v>59</v>
      </c>
      <c r="E262" s="1" t="s">
        <v>163</v>
      </c>
      <c r="F262" s="1" t="s">
        <v>137</v>
      </c>
      <c r="G262" s="1" t="s">
        <v>150</v>
      </c>
      <c r="H262" s="1" t="s">
        <v>111</v>
      </c>
      <c r="I262" s="1" t="s">
        <v>72</v>
      </c>
    </row>
    <row r="263" customFormat="false" ht="14.25" hidden="false" customHeight="true" outlineLevel="0" collapsed="false">
      <c r="A263" s="1" t="s">
        <v>687</v>
      </c>
      <c r="B263" s="1" t="s">
        <v>33</v>
      </c>
      <c r="C263" s="1" t="s">
        <v>72</v>
      </c>
      <c r="D263" s="1" t="s">
        <v>59</v>
      </c>
      <c r="E263" s="1" t="s">
        <v>124</v>
      </c>
      <c r="F263" s="1" t="s">
        <v>137</v>
      </c>
      <c r="G263" s="1" t="s">
        <v>150</v>
      </c>
      <c r="H263" s="1" t="s">
        <v>111</v>
      </c>
      <c r="I263" s="1" t="s">
        <v>176</v>
      </c>
    </row>
    <row r="264" customFormat="false" ht="14.25" hidden="false" customHeight="true" outlineLevel="0" collapsed="false">
      <c r="A264" s="1" t="s">
        <v>688</v>
      </c>
      <c r="B264" s="1" t="s">
        <v>72</v>
      </c>
      <c r="C264" s="1" t="s">
        <v>124</v>
      </c>
      <c r="D264" s="1" t="s">
        <v>59</v>
      </c>
      <c r="E264" s="1" t="s">
        <v>163</v>
      </c>
      <c r="F264" s="1" t="s">
        <v>137</v>
      </c>
      <c r="G264" s="1" t="s">
        <v>33</v>
      </c>
      <c r="H264" s="1" t="s">
        <v>111</v>
      </c>
      <c r="I264" s="1" t="s">
        <v>176</v>
      </c>
    </row>
    <row r="265" customFormat="false" ht="14.25" hidden="false" customHeight="true" outlineLevel="0" collapsed="false">
      <c r="A265" s="1" t="s">
        <v>689</v>
      </c>
      <c r="B265" s="1" t="s">
        <v>72</v>
      </c>
      <c r="C265" s="1" t="s">
        <v>124</v>
      </c>
      <c r="D265" s="1" t="s">
        <v>59</v>
      </c>
      <c r="E265" s="1" t="s">
        <v>163</v>
      </c>
      <c r="F265" s="1" t="s">
        <v>150</v>
      </c>
      <c r="G265" s="1" t="s">
        <v>33</v>
      </c>
      <c r="H265" s="1" t="s">
        <v>111</v>
      </c>
      <c r="I265" s="1" t="s">
        <v>176</v>
      </c>
    </row>
    <row r="266" customFormat="false" ht="14.25" hidden="false" customHeight="true" outlineLevel="0" collapsed="false">
      <c r="A266" s="1" t="s">
        <v>690</v>
      </c>
      <c r="B266" s="1" t="s">
        <v>33</v>
      </c>
      <c r="C266" s="1" t="s">
        <v>72</v>
      </c>
      <c r="D266" s="1" t="s">
        <v>59</v>
      </c>
      <c r="E266" s="1" t="s">
        <v>163</v>
      </c>
      <c r="F266" s="1" t="s">
        <v>137</v>
      </c>
      <c r="G266" s="1" t="s">
        <v>150</v>
      </c>
      <c r="H266" s="1" t="s">
        <v>111</v>
      </c>
      <c r="I266" s="1" t="s">
        <v>176</v>
      </c>
    </row>
    <row r="267" customFormat="false" ht="14.25" hidden="false" customHeight="true" outlineLevel="0" collapsed="false">
      <c r="A267" s="1" t="s">
        <v>691</v>
      </c>
      <c r="B267" s="1" t="s">
        <v>72</v>
      </c>
      <c r="C267" s="1" t="s">
        <v>124</v>
      </c>
      <c r="D267" s="1" t="s">
        <v>59</v>
      </c>
      <c r="E267" s="1" t="s">
        <v>163</v>
      </c>
      <c r="F267" s="1" t="s">
        <v>137</v>
      </c>
      <c r="G267" s="1" t="s">
        <v>33</v>
      </c>
      <c r="H267" s="1" t="s">
        <v>150</v>
      </c>
      <c r="I267" s="1" t="s">
        <v>176</v>
      </c>
    </row>
    <row r="268" customFormat="false" ht="14.25" hidden="false" customHeight="true" outlineLevel="0" collapsed="false">
      <c r="A268" s="1" t="s">
        <v>692</v>
      </c>
      <c r="B268" s="1" t="s">
        <v>33</v>
      </c>
      <c r="C268" s="1" t="s">
        <v>111</v>
      </c>
      <c r="D268" s="1" t="s">
        <v>59</v>
      </c>
      <c r="E268" s="1" t="s">
        <v>124</v>
      </c>
      <c r="F268" s="1" t="s">
        <v>98</v>
      </c>
      <c r="G268" s="1" t="s">
        <v>137</v>
      </c>
      <c r="H268" s="1" t="s">
        <v>150</v>
      </c>
      <c r="I268" s="1" t="s">
        <v>85</v>
      </c>
    </row>
    <row r="269" customFormat="false" ht="14.25" hidden="false" customHeight="true" outlineLevel="0" collapsed="false">
      <c r="A269" s="1" t="s">
        <v>693</v>
      </c>
      <c r="B269" s="1" t="s">
        <v>33</v>
      </c>
      <c r="C269" s="1" t="s">
        <v>59</v>
      </c>
      <c r="D269" s="1" t="s">
        <v>137</v>
      </c>
      <c r="E269" s="1" t="s">
        <v>163</v>
      </c>
      <c r="F269" s="1" t="s">
        <v>98</v>
      </c>
      <c r="G269" s="1" t="s">
        <v>124</v>
      </c>
      <c r="H269" s="1" t="s">
        <v>111</v>
      </c>
      <c r="I269" s="1" t="s">
        <v>85</v>
      </c>
    </row>
    <row r="270" customFormat="false" ht="14.25" hidden="false" customHeight="true" outlineLevel="0" collapsed="false">
      <c r="A270" s="1" t="s">
        <v>694</v>
      </c>
      <c r="B270" s="1" t="s">
        <v>33</v>
      </c>
      <c r="C270" s="1" t="s">
        <v>59</v>
      </c>
      <c r="D270" s="1" t="s">
        <v>137</v>
      </c>
      <c r="E270" s="1" t="s">
        <v>85</v>
      </c>
      <c r="F270" s="1" t="s">
        <v>98</v>
      </c>
      <c r="G270" s="1" t="s">
        <v>124</v>
      </c>
      <c r="H270" s="1" t="s">
        <v>111</v>
      </c>
      <c r="I270" s="1" t="s">
        <v>176</v>
      </c>
    </row>
    <row r="271" customFormat="false" ht="14.25" hidden="false" customHeight="true" outlineLevel="0" collapsed="false">
      <c r="A271" s="1" t="s">
        <v>695</v>
      </c>
      <c r="B271" s="1" t="s">
        <v>33</v>
      </c>
      <c r="C271" s="1" t="s">
        <v>124</v>
      </c>
      <c r="D271" s="1" t="s">
        <v>59</v>
      </c>
      <c r="E271" s="1" t="s">
        <v>163</v>
      </c>
      <c r="F271" s="1" t="s">
        <v>98</v>
      </c>
      <c r="G271" s="1" t="s">
        <v>150</v>
      </c>
      <c r="H271" s="1" t="s">
        <v>111</v>
      </c>
      <c r="I271" s="1" t="s">
        <v>85</v>
      </c>
    </row>
    <row r="272" customFormat="false" ht="14.25" hidden="false" customHeight="true" outlineLevel="0" collapsed="false">
      <c r="A272" s="1" t="s">
        <v>696</v>
      </c>
      <c r="B272" s="1" t="s">
        <v>33</v>
      </c>
      <c r="C272" s="1" t="s">
        <v>111</v>
      </c>
      <c r="D272" s="1" t="s">
        <v>59</v>
      </c>
      <c r="E272" s="1" t="s">
        <v>85</v>
      </c>
      <c r="F272" s="1" t="s">
        <v>98</v>
      </c>
      <c r="G272" s="1" t="s">
        <v>124</v>
      </c>
      <c r="H272" s="1" t="s">
        <v>150</v>
      </c>
      <c r="I272" s="1" t="s">
        <v>176</v>
      </c>
    </row>
    <row r="273" customFormat="false" ht="14.25" hidden="false" customHeight="true" outlineLevel="0" collapsed="false">
      <c r="A273" s="1" t="s">
        <v>697</v>
      </c>
      <c r="B273" s="1" t="s">
        <v>59</v>
      </c>
      <c r="C273" s="1" t="s">
        <v>111</v>
      </c>
      <c r="D273" s="1" t="s">
        <v>124</v>
      </c>
      <c r="E273" s="1" t="s">
        <v>163</v>
      </c>
      <c r="F273" s="1" t="s">
        <v>85</v>
      </c>
      <c r="G273" s="1" t="s">
        <v>33</v>
      </c>
      <c r="H273" s="1" t="s">
        <v>98</v>
      </c>
      <c r="I273" s="1" t="s">
        <v>176</v>
      </c>
    </row>
    <row r="274" customFormat="false" ht="14.25" hidden="false" customHeight="true" outlineLevel="0" collapsed="false">
      <c r="A274" s="1" t="s">
        <v>698</v>
      </c>
      <c r="B274" s="1" t="s">
        <v>33</v>
      </c>
      <c r="C274" s="1" t="s">
        <v>59</v>
      </c>
      <c r="D274" s="1" t="s">
        <v>98</v>
      </c>
      <c r="E274" s="1" t="s">
        <v>163</v>
      </c>
      <c r="F274" s="1" t="s">
        <v>150</v>
      </c>
      <c r="G274" s="1" t="s">
        <v>137</v>
      </c>
      <c r="H274" s="1" t="s">
        <v>111</v>
      </c>
      <c r="I274" s="1" t="s">
        <v>85</v>
      </c>
    </row>
    <row r="275" customFormat="false" ht="14.25" hidden="false" customHeight="true" outlineLevel="0" collapsed="false">
      <c r="A275" s="1" t="s">
        <v>699</v>
      </c>
      <c r="B275" s="1" t="s">
        <v>33</v>
      </c>
      <c r="C275" s="1" t="s">
        <v>59</v>
      </c>
      <c r="D275" s="1" t="s">
        <v>98</v>
      </c>
      <c r="E275" s="1" t="s">
        <v>85</v>
      </c>
      <c r="F275" s="1" t="s">
        <v>150</v>
      </c>
      <c r="G275" s="1" t="s">
        <v>137</v>
      </c>
      <c r="H275" s="1" t="s">
        <v>111</v>
      </c>
      <c r="I275" s="1" t="s">
        <v>176</v>
      </c>
    </row>
    <row r="276" customFormat="false" ht="14.25" hidden="false" customHeight="true" outlineLevel="0" collapsed="false">
      <c r="A276" s="1" t="s">
        <v>700</v>
      </c>
      <c r="B276" s="1" t="s">
        <v>33</v>
      </c>
      <c r="C276" s="1" t="s">
        <v>59</v>
      </c>
      <c r="D276" s="1" t="s">
        <v>137</v>
      </c>
      <c r="E276" s="1" t="s">
        <v>163</v>
      </c>
      <c r="F276" s="1" t="s">
        <v>98</v>
      </c>
      <c r="G276" s="1" t="s">
        <v>85</v>
      </c>
      <c r="H276" s="1" t="s">
        <v>111</v>
      </c>
      <c r="I276" s="1" t="s">
        <v>176</v>
      </c>
    </row>
    <row r="277" customFormat="false" ht="14.25" hidden="false" customHeight="true" outlineLevel="0" collapsed="false">
      <c r="A277" s="1" t="s">
        <v>701</v>
      </c>
      <c r="B277" s="1" t="s">
        <v>33</v>
      </c>
      <c r="C277" s="1" t="s">
        <v>111</v>
      </c>
      <c r="D277" s="1" t="s">
        <v>59</v>
      </c>
      <c r="E277" s="1" t="s">
        <v>163</v>
      </c>
      <c r="F277" s="1" t="s">
        <v>98</v>
      </c>
      <c r="G277" s="1" t="s">
        <v>85</v>
      </c>
      <c r="H277" s="1" t="s">
        <v>150</v>
      </c>
      <c r="I277" s="1" t="s">
        <v>176</v>
      </c>
    </row>
    <row r="278" customFormat="false" ht="14.25" hidden="false" customHeight="true" outlineLevel="0" collapsed="false">
      <c r="A278" s="1" t="s">
        <v>702</v>
      </c>
      <c r="B278" s="1" t="s">
        <v>33</v>
      </c>
      <c r="C278" s="1" t="s">
        <v>59</v>
      </c>
      <c r="D278" s="1" t="s">
        <v>124</v>
      </c>
      <c r="E278" s="1" t="s">
        <v>163</v>
      </c>
      <c r="F278" s="1" t="s">
        <v>98</v>
      </c>
      <c r="G278" s="1" t="s">
        <v>150</v>
      </c>
      <c r="H278" s="1" t="s">
        <v>137</v>
      </c>
      <c r="I278" s="1" t="s">
        <v>85</v>
      </c>
    </row>
    <row r="279" customFormat="false" ht="14.25" hidden="false" customHeight="true" outlineLevel="0" collapsed="false">
      <c r="A279" s="1" t="s">
        <v>703</v>
      </c>
      <c r="B279" s="1" t="s">
        <v>33</v>
      </c>
      <c r="C279" s="1" t="s">
        <v>59</v>
      </c>
      <c r="D279" s="1" t="s">
        <v>124</v>
      </c>
      <c r="E279" s="1" t="s">
        <v>85</v>
      </c>
      <c r="F279" s="1" t="s">
        <v>98</v>
      </c>
      <c r="G279" s="1" t="s">
        <v>150</v>
      </c>
      <c r="H279" s="1" t="s">
        <v>137</v>
      </c>
      <c r="I279" s="1" t="s">
        <v>176</v>
      </c>
    </row>
    <row r="280" customFormat="false" ht="14.25" hidden="false" customHeight="true" outlineLevel="0" collapsed="false">
      <c r="A280" s="1" t="s">
        <v>704</v>
      </c>
      <c r="B280" s="1" t="s">
        <v>33</v>
      </c>
      <c r="C280" s="1" t="s">
        <v>59</v>
      </c>
      <c r="D280" s="1" t="s">
        <v>137</v>
      </c>
      <c r="E280" s="1" t="s">
        <v>163</v>
      </c>
      <c r="F280" s="1" t="s">
        <v>85</v>
      </c>
      <c r="G280" s="1" t="s">
        <v>124</v>
      </c>
      <c r="H280" s="1" t="s">
        <v>98</v>
      </c>
      <c r="I280" s="1" t="s">
        <v>176</v>
      </c>
    </row>
    <row r="281" customFormat="false" ht="14.25" hidden="false" customHeight="true" outlineLevel="0" collapsed="false">
      <c r="A281" s="1" t="s">
        <v>705</v>
      </c>
      <c r="B281" s="1" t="s">
        <v>33</v>
      </c>
      <c r="C281" s="1" t="s">
        <v>59</v>
      </c>
      <c r="D281" s="1" t="s">
        <v>124</v>
      </c>
      <c r="E281" s="1" t="s">
        <v>163</v>
      </c>
      <c r="F281" s="1" t="s">
        <v>85</v>
      </c>
      <c r="G281" s="1" t="s">
        <v>150</v>
      </c>
      <c r="H281" s="1" t="s">
        <v>98</v>
      </c>
      <c r="I281" s="1" t="s">
        <v>176</v>
      </c>
    </row>
    <row r="282" customFormat="false" ht="14.25" hidden="false" customHeight="true" outlineLevel="0" collapsed="false">
      <c r="A282" s="1" t="s">
        <v>706</v>
      </c>
      <c r="B282" s="1" t="s">
        <v>33</v>
      </c>
      <c r="C282" s="1" t="s">
        <v>59</v>
      </c>
      <c r="D282" s="1" t="s">
        <v>85</v>
      </c>
      <c r="E282" s="1" t="s">
        <v>163</v>
      </c>
      <c r="F282" s="1" t="s">
        <v>98</v>
      </c>
      <c r="G282" s="1" t="s">
        <v>137</v>
      </c>
      <c r="H282" s="1" t="s">
        <v>150</v>
      </c>
      <c r="I282" s="1" t="s">
        <v>176</v>
      </c>
    </row>
    <row r="283" customFormat="false" ht="14.25" hidden="false" customHeight="true" outlineLevel="0" collapsed="false">
      <c r="A283" s="1" t="s">
        <v>707</v>
      </c>
      <c r="B283" s="1" t="s">
        <v>33</v>
      </c>
      <c r="C283" s="1" t="s">
        <v>59</v>
      </c>
      <c r="D283" s="1" t="s">
        <v>124</v>
      </c>
      <c r="E283" s="1" t="s">
        <v>163</v>
      </c>
      <c r="F283" s="1" t="s">
        <v>85</v>
      </c>
      <c r="G283" s="1" t="s">
        <v>150</v>
      </c>
      <c r="H283" s="1" t="s">
        <v>111</v>
      </c>
      <c r="I283" s="1" t="s">
        <v>137</v>
      </c>
    </row>
    <row r="284" customFormat="false" ht="14.25" hidden="false" customHeight="true" outlineLevel="0" collapsed="false">
      <c r="A284" s="1" t="s">
        <v>708</v>
      </c>
      <c r="B284" s="1" t="s">
        <v>33</v>
      </c>
      <c r="C284" s="1" t="s">
        <v>59</v>
      </c>
      <c r="D284" s="1" t="s">
        <v>124</v>
      </c>
      <c r="E284" s="1" t="s">
        <v>137</v>
      </c>
      <c r="F284" s="1" t="s">
        <v>85</v>
      </c>
      <c r="G284" s="1" t="s">
        <v>150</v>
      </c>
      <c r="H284" s="1" t="s">
        <v>111</v>
      </c>
      <c r="I284" s="1" t="s">
        <v>176</v>
      </c>
    </row>
    <row r="285" customFormat="false" ht="14.25" hidden="false" customHeight="true" outlineLevel="0" collapsed="false">
      <c r="A285" s="1" t="s">
        <v>709</v>
      </c>
      <c r="B285" s="1" t="s">
        <v>33</v>
      </c>
      <c r="C285" s="1" t="s">
        <v>59</v>
      </c>
      <c r="D285" s="1" t="s">
        <v>137</v>
      </c>
      <c r="E285" s="1" t="s">
        <v>163</v>
      </c>
      <c r="F285" s="1" t="s">
        <v>85</v>
      </c>
      <c r="G285" s="1" t="s">
        <v>124</v>
      </c>
      <c r="H285" s="1" t="s">
        <v>111</v>
      </c>
      <c r="I285" s="1" t="s">
        <v>176</v>
      </c>
    </row>
    <row r="286" customFormat="false" ht="14.25" hidden="false" customHeight="true" outlineLevel="0" collapsed="false">
      <c r="A286" s="1" t="s">
        <v>710</v>
      </c>
      <c r="B286" s="1" t="s">
        <v>33</v>
      </c>
      <c r="C286" s="1" t="s">
        <v>124</v>
      </c>
      <c r="D286" s="1" t="s">
        <v>59</v>
      </c>
      <c r="E286" s="1" t="s">
        <v>163</v>
      </c>
      <c r="F286" s="1" t="s">
        <v>85</v>
      </c>
      <c r="G286" s="1" t="s">
        <v>150</v>
      </c>
      <c r="H286" s="1" t="s">
        <v>111</v>
      </c>
      <c r="I286" s="1" t="s">
        <v>176</v>
      </c>
    </row>
    <row r="287" customFormat="false" ht="14.25" hidden="false" customHeight="true" outlineLevel="0" collapsed="false">
      <c r="A287" s="1" t="s">
        <v>711</v>
      </c>
      <c r="B287" s="1" t="s">
        <v>33</v>
      </c>
      <c r="C287" s="1" t="s">
        <v>59</v>
      </c>
      <c r="D287" s="1" t="s">
        <v>85</v>
      </c>
      <c r="E287" s="1" t="s">
        <v>163</v>
      </c>
      <c r="F287" s="1" t="s">
        <v>137</v>
      </c>
      <c r="G287" s="1" t="s">
        <v>150</v>
      </c>
      <c r="H287" s="1" t="s">
        <v>111</v>
      </c>
      <c r="I287" s="1" t="s">
        <v>176</v>
      </c>
    </row>
    <row r="288" customFormat="false" ht="14.25" hidden="false" customHeight="true" outlineLevel="0" collapsed="false">
      <c r="A288" s="1" t="s">
        <v>712</v>
      </c>
      <c r="B288" s="1" t="s">
        <v>33</v>
      </c>
      <c r="C288" s="1" t="s">
        <v>59</v>
      </c>
      <c r="D288" s="1" t="s">
        <v>124</v>
      </c>
      <c r="E288" s="1" t="s">
        <v>163</v>
      </c>
      <c r="F288" s="1" t="s">
        <v>85</v>
      </c>
      <c r="G288" s="1" t="s">
        <v>150</v>
      </c>
      <c r="H288" s="1" t="s">
        <v>137</v>
      </c>
      <c r="I288" s="1" t="s">
        <v>176</v>
      </c>
    </row>
    <row r="289" customFormat="false" ht="14.25" hidden="false" customHeight="true" outlineLevel="0" collapsed="false">
      <c r="A289" s="1" t="s">
        <v>713</v>
      </c>
      <c r="B289" s="1" t="s">
        <v>33</v>
      </c>
      <c r="C289" s="1" t="s">
        <v>124</v>
      </c>
      <c r="D289" s="1" t="s">
        <v>59</v>
      </c>
      <c r="E289" s="1" t="s">
        <v>163</v>
      </c>
      <c r="F289" s="1" t="s">
        <v>98</v>
      </c>
      <c r="G289" s="1" t="s">
        <v>150</v>
      </c>
      <c r="H289" s="1" t="s">
        <v>111</v>
      </c>
      <c r="I289" s="1" t="s">
        <v>137</v>
      </c>
    </row>
    <row r="290" customFormat="false" ht="14.25" hidden="false" customHeight="true" outlineLevel="0" collapsed="false">
      <c r="A290" s="1" t="s">
        <v>714</v>
      </c>
      <c r="B290" s="1" t="s">
        <v>33</v>
      </c>
      <c r="C290" s="1" t="s">
        <v>111</v>
      </c>
      <c r="D290" s="1" t="s">
        <v>59</v>
      </c>
      <c r="E290" s="1" t="s">
        <v>124</v>
      </c>
      <c r="F290" s="1" t="s">
        <v>98</v>
      </c>
      <c r="G290" s="1" t="s">
        <v>137</v>
      </c>
      <c r="H290" s="1" t="s">
        <v>150</v>
      </c>
      <c r="I290" s="1" t="s">
        <v>176</v>
      </c>
    </row>
    <row r="291" customFormat="false" ht="14.25" hidden="false" customHeight="true" outlineLevel="0" collapsed="false">
      <c r="A291" s="1" t="s">
        <v>715</v>
      </c>
      <c r="B291" s="1" t="s">
        <v>33</v>
      </c>
      <c r="C291" s="1" t="s">
        <v>59</v>
      </c>
      <c r="D291" s="1" t="s">
        <v>137</v>
      </c>
      <c r="E291" s="1" t="s">
        <v>163</v>
      </c>
      <c r="F291" s="1" t="s">
        <v>98</v>
      </c>
      <c r="G291" s="1" t="s">
        <v>124</v>
      </c>
      <c r="H291" s="1" t="s">
        <v>111</v>
      </c>
      <c r="I291" s="1" t="s">
        <v>176</v>
      </c>
    </row>
    <row r="292" customFormat="false" ht="14.25" hidden="false" customHeight="true" outlineLevel="0" collapsed="false">
      <c r="A292" s="1" t="s">
        <v>716</v>
      </c>
      <c r="B292" s="1" t="s">
        <v>33</v>
      </c>
      <c r="C292" s="1" t="s">
        <v>124</v>
      </c>
      <c r="D292" s="1" t="s">
        <v>59</v>
      </c>
      <c r="E292" s="1" t="s">
        <v>163</v>
      </c>
      <c r="F292" s="1" t="s">
        <v>98</v>
      </c>
      <c r="G292" s="1" t="s">
        <v>150</v>
      </c>
      <c r="H292" s="1" t="s">
        <v>111</v>
      </c>
      <c r="I292" s="1" t="s">
        <v>176</v>
      </c>
    </row>
    <row r="293" customFormat="false" ht="14.25" hidden="false" customHeight="true" outlineLevel="0" collapsed="false">
      <c r="A293" s="1" t="s">
        <v>717</v>
      </c>
      <c r="B293" s="1" t="s">
        <v>33</v>
      </c>
      <c r="C293" s="1" t="s">
        <v>111</v>
      </c>
      <c r="D293" s="1" t="s">
        <v>59</v>
      </c>
      <c r="E293" s="1" t="s">
        <v>163</v>
      </c>
      <c r="F293" s="1" t="s">
        <v>98</v>
      </c>
      <c r="G293" s="1" t="s">
        <v>137</v>
      </c>
      <c r="H293" s="1" t="s">
        <v>150</v>
      </c>
      <c r="I293" s="1" t="s">
        <v>176</v>
      </c>
    </row>
    <row r="294" customFormat="false" ht="14.25" hidden="false" customHeight="true" outlineLevel="0" collapsed="false">
      <c r="A294" s="1" t="s">
        <v>718</v>
      </c>
      <c r="B294" s="1" t="s">
        <v>33</v>
      </c>
      <c r="C294" s="1" t="s">
        <v>59</v>
      </c>
      <c r="D294" s="1" t="s">
        <v>124</v>
      </c>
      <c r="E294" s="1" t="s">
        <v>163</v>
      </c>
      <c r="F294" s="1" t="s">
        <v>98</v>
      </c>
      <c r="G294" s="1" t="s">
        <v>150</v>
      </c>
      <c r="H294" s="1" t="s">
        <v>137</v>
      </c>
      <c r="I294" s="1" t="s">
        <v>176</v>
      </c>
    </row>
    <row r="295" customFormat="false" ht="14.25" hidden="false" customHeight="true" outlineLevel="0" collapsed="false">
      <c r="A295" s="1" t="s">
        <v>719</v>
      </c>
      <c r="B295" s="1" t="s">
        <v>33</v>
      </c>
      <c r="C295" s="1" t="s">
        <v>124</v>
      </c>
      <c r="D295" s="1" t="s">
        <v>59</v>
      </c>
      <c r="E295" s="1" t="s">
        <v>163</v>
      </c>
      <c r="F295" s="1" t="s">
        <v>137</v>
      </c>
      <c r="G295" s="1" t="s">
        <v>150</v>
      </c>
      <c r="H295" s="1" t="s">
        <v>111</v>
      </c>
      <c r="I295" s="1" t="s">
        <v>176</v>
      </c>
    </row>
    <row r="296" customFormat="false" ht="14.25" hidden="false" customHeight="true" outlineLevel="0" collapsed="false">
      <c r="A296" s="1" t="s">
        <v>720</v>
      </c>
      <c r="B296" s="1" t="s">
        <v>33</v>
      </c>
      <c r="C296" s="1" t="s">
        <v>72</v>
      </c>
      <c r="D296" s="1" t="s">
        <v>98</v>
      </c>
      <c r="E296" s="1" t="s">
        <v>124</v>
      </c>
      <c r="F296" s="1" t="s">
        <v>137</v>
      </c>
      <c r="G296" s="1" t="s">
        <v>150</v>
      </c>
      <c r="H296" s="1" t="s">
        <v>111</v>
      </c>
      <c r="I296" s="1" t="s">
        <v>85</v>
      </c>
    </row>
    <row r="297" customFormat="false" ht="14.25" hidden="false" customHeight="true" outlineLevel="0" collapsed="false">
      <c r="A297" s="1" t="s">
        <v>721</v>
      </c>
      <c r="B297" s="1" t="s">
        <v>33</v>
      </c>
      <c r="C297" s="1" t="s">
        <v>111</v>
      </c>
      <c r="D297" s="1" t="s">
        <v>98</v>
      </c>
      <c r="E297" s="1" t="s">
        <v>163</v>
      </c>
      <c r="F297" s="1" t="s">
        <v>85</v>
      </c>
      <c r="G297" s="1" t="s">
        <v>124</v>
      </c>
      <c r="H297" s="1" t="s">
        <v>137</v>
      </c>
      <c r="I297" s="1" t="s">
        <v>72</v>
      </c>
    </row>
    <row r="298" customFormat="false" ht="14.25" hidden="false" customHeight="true" outlineLevel="0" collapsed="false">
      <c r="A298" s="1" t="s">
        <v>722</v>
      </c>
      <c r="B298" s="1" t="s">
        <v>33</v>
      </c>
      <c r="C298" s="1" t="s">
        <v>72</v>
      </c>
      <c r="D298" s="1" t="s">
        <v>137</v>
      </c>
      <c r="E298" s="1" t="s">
        <v>85</v>
      </c>
      <c r="F298" s="1" t="s">
        <v>98</v>
      </c>
      <c r="G298" s="1" t="s">
        <v>124</v>
      </c>
      <c r="H298" s="1" t="s">
        <v>111</v>
      </c>
      <c r="I298" s="1" t="s">
        <v>176</v>
      </c>
    </row>
    <row r="299" customFormat="false" ht="14.25" hidden="false" customHeight="true" outlineLevel="0" collapsed="false">
      <c r="A299" s="1" t="s">
        <v>723</v>
      </c>
      <c r="B299" s="1" t="s">
        <v>33</v>
      </c>
      <c r="C299" s="1" t="s">
        <v>111</v>
      </c>
      <c r="D299" s="1" t="s">
        <v>85</v>
      </c>
      <c r="E299" s="1" t="s">
        <v>163</v>
      </c>
      <c r="F299" s="1" t="s">
        <v>98</v>
      </c>
      <c r="G299" s="1" t="s">
        <v>124</v>
      </c>
      <c r="H299" s="1" t="s">
        <v>150</v>
      </c>
      <c r="I299" s="1" t="s">
        <v>72</v>
      </c>
    </row>
    <row r="300" customFormat="false" ht="14.25" hidden="false" customHeight="true" outlineLevel="0" collapsed="false">
      <c r="A300" s="1" t="s">
        <v>724</v>
      </c>
      <c r="B300" s="1" t="s">
        <v>33</v>
      </c>
      <c r="C300" s="1" t="s">
        <v>72</v>
      </c>
      <c r="D300" s="1" t="s">
        <v>85</v>
      </c>
      <c r="E300" s="1" t="s">
        <v>124</v>
      </c>
      <c r="F300" s="1" t="s">
        <v>98</v>
      </c>
      <c r="G300" s="1" t="s">
        <v>150</v>
      </c>
      <c r="H300" s="1" t="s">
        <v>111</v>
      </c>
      <c r="I300" s="1" t="s">
        <v>176</v>
      </c>
    </row>
    <row r="301" customFormat="false" ht="14.25" hidden="false" customHeight="true" outlineLevel="0" collapsed="false">
      <c r="A301" s="1" t="s">
        <v>725</v>
      </c>
      <c r="B301" s="1" t="s">
        <v>72</v>
      </c>
      <c r="C301" s="1" t="s">
        <v>124</v>
      </c>
      <c r="D301" s="1" t="s">
        <v>98</v>
      </c>
      <c r="E301" s="1" t="s">
        <v>163</v>
      </c>
      <c r="F301" s="1" t="s">
        <v>85</v>
      </c>
      <c r="G301" s="1" t="s">
        <v>33</v>
      </c>
      <c r="H301" s="1" t="s">
        <v>111</v>
      </c>
      <c r="I301" s="1" t="s">
        <v>176</v>
      </c>
    </row>
    <row r="302" customFormat="false" ht="14.25" hidden="false" customHeight="true" outlineLevel="0" collapsed="false">
      <c r="A302" s="1" t="s">
        <v>726</v>
      </c>
      <c r="B302" s="1" t="s">
        <v>33</v>
      </c>
      <c r="C302" s="1" t="s">
        <v>72</v>
      </c>
      <c r="D302" s="1" t="s">
        <v>85</v>
      </c>
      <c r="E302" s="1" t="s">
        <v>163</v>
      </c>
      <c r="F302" s="1" t="s">
        <v>98</v>
      </c>
      <c r="G302" s="1" t="s">
        <v>137</v>
      </c>
      <c r="H302" s="1" t="s">
        <v>111</v>
      </c>
      <c r="I302" s="1" t="s">
        <v>150</v>
      </c>
    </row>
    <row r="303" customFormat="false" ht="14.25" hidden="false" customHeight="true" outlineLevel="0" collapsed="false">
      <c r="A303" s="1" t="s">
        <v>727</v>
      </c>
      <c r="B303" s="1" t="s">
        <v>33</v>
      </c>
      <c r="C303" s="1" t="s">
        <v>72</v>
      </c>
      <c r="D303" s="1" t="s">
        <v>85</v>
      </c>
      <c r="E303" s="1" t="s">
        <v>137</v>
      </c>
      <c r="F303" s="1" t="s">
        <v>98</v>
      </c>
      <c r="G303" s="1" t="s">
        <v>150</v>
      </c>
      <c r="H303" s="1" t="s">
        <v>111</v>
      </c>
      <c r="I303" s="1" t="s">
        <v>176</v>
      </c>
    </row>
    <row r="304" customFormat="false" ht="14.25" hidden="false" customHeight="true" outlineLevel="0" collapsed="false">
      <c r="A304" s="1" t="s">
        <v>728</v>
      </c>
      <c r="B304" s="1" t="s">
        <v>33</v>
      </c>
      <c r="C304" s="1" t="s">
        <v>72</v>
      </c>
      <c r="D304" s="1" t="s">
        <v>98</v>
      </c>
      <c r="E304" s="1" t="s">
        <v>163</v>
      </c>
      <c r="F304" s="1" t="s">
        <v>137</v>
      </c>
      <c r="G304" s="1" t="s">
        <v>85</v>
      </c>
      <c r="H304" s="1" t="s">
        <v>111</v>
      </c>
      <c r="I304" s="1" t="s">
        <v>176</v>
      </c>
    </row>
    <row r="305" customFormat="false" ht="14.25" hidden="false" customHeight="true" outlineLevel="0" collapsed="false">
      <c r="A305" s="1" t="s">
        <v>729</v>
      </c>
      <c r="B305" s="1" t="s">
        <v>72</v>
      </c>
      <c r="C305" s="1" t="s">
        <v>111</v>
      </c>
      <c r="D305" s="1" t="s">
        <v>85</v>
      </c>
      <c r="E305" s="1" t="s">
        <v>163</v>
      </c>
      <c r="F305" s="1" t="s">
        <v>98</v>
      </c>
      <c r="G305" s="1" t="s">
        <v>33</v>
      </c>
      <c r="H305" s="1" t="s">
        <v>150</v>
      </c>
      <c r="I305" s="1" t="s">
        <v>176</v>
      </c>
    </row>
    <row r="306" customFormat="false" ht="14.25" hidden="false" customHeight="true" outlineLevel="0" collapsed="false">
      <c r="A306" s="1" t="s">
        <v>730</v>
      </c>
      <c r="B306" s="1" t="s">
        <v>33</v>
      </c>
      <c r="C306" s="1" t="s">
        <v>72</v>
      </c>
      <c r="D306" s="1" t="s">
        <v>98</v>
      </c>
      <c r="E306" s="1" t="s">
        <v>163</v>
      </c>
      <c r="F306" s="1" t="s">
        <v>137</v>
      </c>
      <c r="G306" s="1" t="s">
        <v>124</v>
      </c>
      <c r="H306" s="1" t="s">
        <v>150</v>
      </c>
      <c r="I306" s="1" t="s">
        <v>85</v>
      </c>
    </row>
    <row r="307" customFormat="false" ht="14.25" hidden="false" customHeight="true" outlineLevel="0" collapsed="false">
      <c r="A307" s="1" t="s">
        <v>731</v>
      </c>
      <c r="B307" s="1" t="s">
        <v>33</v>
      </c>
      <c r="C307" s="1" t="s">
        <v>72</v>
      </c>
      <c r="D307" s="1" t="s">
        <v>85</v>
      </c>
      <c r="E307" s="1" t="s">
        <v>124</v>
      </c>
      <c r="F307" s="1" t="s">
        <v>98</v>
      </c>
      <c r="G307" s="1" t="s">
        <v>137</v>
      </c>
      <c r="H307" s="1" t="s">
        <v>150</v>
      </c>
      <c r="I307" s="1" t="s">
        <v>176</v>
      </c>
    </row>
    <row r="308" customFormat="false" ht="14.25" hidden="false" customHeight="true" outlineLevel="0" collapsed="false">
      <c r="A308" s="1" t="s">
        <v>732</v>
      </c>
      <c r="B308" s="1" t="s">
        <v>33</v>
      </c>
      <c r="C308" s="1" t="s">
        <v>72</v>
      </c>
      <c r="D308" s="1" t="s">
        <v>137</v>
      </c>
      <c r="E308" s="1" t="s">
        <v>163</v>
      </c>
      <c r="F308" s="1" t="s">
        <v>85</v>
      </c>
      <c r="G308" s="1" t="s">
        <v>124</v>
      </c>
      <c r="H308" s="1" t="s">
        <v>98</v>
      </c>
      <c r="I308" s="1" t="s">
        <v>176</v>
      </c>
    </row>
    <row r="309" customFormat="false" ht="14.25" hidden="false" customHeight="true" outlineLevel="0" collapsed="false">
      <c r="A309" s="1" t="s">
        <v>733</v>
      </c>
      <c r="B309" s="1" t="s">
        <v>33</v>
      </c>
      <c r="C309" s="1" t="s">
        <v>72</v>
      </c>
      <c r="D309" s="1" t="s">
        <v>85</v>
      </c>
      <c r="E309" s="1" t="s">
        <v>163</v>
      </c>
      <c r="F309" s="1" t="s">
        <v>98</v>
      </c>
      <c r="G309" s="1" t="s">
        <v>124</v>
      </c>
      <c r="H309" s="1" t="s">
        <v>150</v>
      </c>
      <c r="I309" s="1" t="s">
        <v>176</v>
      </c>
    </row>
    <row r="310" customFormat="false" ht="14.25" hidden="false" customHeight="true" outlineLevel="0" collapsed="false">
      <c r="A310" s="1" t="s">
        <v>734</v>
      </c>
      <c r="B310" s="1" t="s">
        <v>33</v>
      </c>
      <c r="C310" s="1" t="s">
        <v>72</v>
      </c>
      <c r="D310" s="1" t="s">
        <v>85</v>
      </c>
      <c r="E310" s="1" t="s">
        <v>163</v>
      </c>
      <c r="F310" s="1" t="s">
        <v>98</v>
      </c>
      <c r="G310" s="1" t="s">
        <v>137</v>
      </c>
      <c r="H310" s="1" t="s">
        <v>150</v>
      </c>
      <c r="I310" s="1" t="s">
        <v>176</v>
      </c>
    </row>
    <row r="311" customFormat="false" ht="14.25" hidden="false" customHeight="true" outlineLevel="0" collapsed="false">
      <c r="A311" s="1" t="s">
        <v>735</v>
      </c>
      <c r="B311" s="1" t="s">
        <v>33</v>
      </c>
      <c r="C311" s="1" t="s">
        <v>72</v>
      </c>
      <c r="D311" s="1" t="s">
        <v>85</v>
      </c>
      <c r="E311" s="1" t="s">
        <v>163</v>
      </c>
      <c r="F311" s="1" t="s">
        <v>137</v>
      </c>
      <c r="G311" s="1" t="s">
        <v>124</v>
      </c>
      <c r="H311" s="1" t="s">
        <v>111</v>
      </c>
      <c r="I311" s="1" t="s">
        <v>150</v>
      </c>
    </row>
    <row r="312" customFormat="false" ht="14.25" hidden="false" customHeight="true" outlineLevel="0" collapsed="false">
      <c r="A312" s="1" t="s">
        <v>736</v>
      </c>
      <c r="B312" s="1" t="s">
        <v>33</v>
      </c>
      <c r="C312" s="1" t="s">
        <v>72</v>
      </c>
      <c r="D312" s="1" t="s">
        <v>85</v>
      </c>
      <c r="E312" s="1" t="s">
        <v>124</v>
      </c>
      <c r="F312" s="1" t="s">
        <v>137</v>
      </c>
      <c r="G312" s="1" t="s">
        <v>150</v>
      </c>
      <c r="H312" s="1" t="s">
        <v>111</v>
      </c>
      <c r="I312" s="1" t="s">
        <v>176</v>
      </c>
    </row>
    <row r="313" customFormat="false" ht="14.25" hidden="false" customHeight="true" outlineLevel="0" collapsed="false">
      <c r="A313" s="1" t="s">
        <v>737</v>
      </c>
      <c r="B313" s="1" t="s">
        <v>33</v>
      </c>
      <c r="C313" s="1" t="s">
        <v>72</v>
      </c>
      <c r="D313" s="1" t="s">
        <v>124</v>
      </c>
      <c r="E313" s="1" t="s">
        <v>163</v>
      </c>
      <c r="F313" s="1" t="s">
        <v>85</v>
      </c>
      <c r="G313" s="1" t="s">
        <v>137</v>
      </c>
      <c r="H313" s="1" t="s">
        <v>111</v>
      </c>
      <c r="I313" s="1" t="s">
        <v>176</v>
      </c>
    </row>
    <row r="314" customFormat="false" ht="14.25" hidden="false" customHeight="true" outlineLevel="0" collapsed="false">
      <c r="A314" s="1" t="s">
        <v>738</v>
      </c>
      <c r="B314" s="1" t="s">
        <v>33</v>
      </c>
      <c r="C314" s="1" t="s">
        <v>72</v>
      </c>
      <c r="D314" s="1" t="s">
        <v>85</v>
      </c>
      <c r="E314" s="1" t="s">
        <v>163</v>
      </c>
      <c r="F314" s="1" t="s">
        <v>150</v>
      </c>
      <c r="G314" s="1" t="s">
        <v>124</v>
      </c>
      <c r="H314" s="1" t="s">
        <v>111</v>
      </c>
      <c r="I314" s="1" t="s">
        <v>176</v>
      </c>
    </row>
    <row r="315" customFormat="false" ht="14.25" hidden="false" customHeight="true" outlineLevel="0" collapsed="false">
      <c r="A315" s="1" t="s">
        <v>739</v>
      </c>
      <c r="B315" s="1" t="s">
        <v>33</v>
      </c>
      <c r="C315" s="1" t="s">
        <v>72</v>
      </c>
      <c r="D315" s="1" t="s">
        <v>85</v>
      </c>
      <c r="E315" s="1" t="s">
        <v>163</v>
      </c>
      <c r="F315" s="1" t="s">
        <v>137</v>
      </c>
      <c r="G315" s="1" t="s">
        <v>150</v>
      </c>
      <c r="H315" s="1" t="s">
        <v>111</v>
      </c>
      <c r="I315" s="1" t="s">
        <v>176</v>
      </c>
    </row>
    <row r="316" customFormat="false" ht="14.25" hidden="false" customHeight="true" outlineLevel="0" collapsed="false">
      <c r="A316" s="1" t="s">
        <v>740</v>
      </c>
      <c r="B316" s="1" t="s">
        <v>33</v>
      </c>
      <c r="C316" s="1" t="s">
        <v>72</v>
      </c>
      <c r="D316" s="1" t="s">
        <v>85</v>
      </c>
      <c r="E316" s="1" t="s">
        <v>163</v>
      </c>
      <c r="F316" s="1" t="s">
        <v>137</v>
      </c>
      <c r="G316" s="1" t="s">
        <v>124</v>
      </c>
      <c r="H316" s="1" t="s">
        <v>150</v>
      </c>
      <c r="I316" s="1" t="s">
        <v>176</v>
      </c>
    </row>
    <row r="317" customFormat="false" ht="14.25" hidden="false" customHeight="true" outlineLevel="0" collapsed="false">
      <c r="A317" s="1" t="s">
        <v>741</v>
      </c>
      <c r="B317" s="1" t="s">
        <v>33</v>
      </c>
      <c r="C317" s="1" t="s">
        <v>111</v>
      </c>
      <c r="D317" s="1" t="s">
        <v>98</v>
      </c>
      <c r="E317" s="1" t="s">
        <v>163</v>
      </c>
      <c r="F317" s="1" t="s">
        <v>137</v>
      </c>
      <c r="G317" s="1" t="s">
        <v>124</v>
      </c>
      <c r="H317" s="1" t="s">
        <v>150</v>
      </c>
      <c r="I317" s="1" t="s">
        <v>72</v>
      </c>
    </row>
    <row r="318" customFormat="false" ht="14.25" hidden="false" customHeight="true" outlineLevel="0" collapsed="false">
      <c r="A318" s="1" t="s">
        <v>742</v>
      </c>
      <c r="B318" s="1" t="s">
        <v>33</v>
      </c>
      <c r="C318" s="1" t="s">
        <v>72</v>
      </c>
      <c r="D318" s="1" t="s">
        <v>98</v>
      </c>
      <c r="E318" s="1" t="s">
        <v>124</v>
      </c>
      <c r="F318" s="1" t="s">
        <v>137</v>
      </c>
      <c r="G318" s="1" t="s">
        <v>150</v>
      </c>
      <c r="H318" s="1" t="s">
        <v>111</v>
      </c>
      <c r="I318" s="1" t="s">
        <v>176</v>
      </c>
    </row>
    <row r="319" customFormat="false" ht="14.25" hidden="false" customHeight="true" outlineLevel="0" collapsed="false">
      <c r="A319" s="1" t="s">
        <v>743</v>
      </c>
      <c r="B319" s="1" t="s">
        <v>33</v>
      </c>
      <c r="C319" s="1" t="s">
        <v>72</v>
      </c>
      <c r="D319" s="1" t="s">
        <v>124</v>
      </c>
      <c r="E319" s="1" t="s">
        <v>163</v>
      </c>
      <c r="F319" s="1" t="s">
        <v>98</v>
      </c>
      <c r="G319" s="1" t="s">
        <v>137</v>
      </c>
      <c r="H319" s="1" t="s">
        <v>111</v>
      </c>
      <c r="I319" s="1" t="s">
        <v>176</v>
      </c>
    </row>
    <row r="320" customFormat="false" ht="14.25" hidden="false" customHeight="true" outlineLevel="0" collapsed="false">
      <c r="A320" s="1" t="s">
        <v>744</v>
      </c>
      <c r="B320" s="1" t="s">
        <v>33</v>
      </c>
      <c r="C320" s="1" t="s">
        <v>72</v>
      </c>
      <c r="D320" s="1" t="s">
        <v>98</v>
      </c>
      <c r="E320" s="1" t="s">
        <v>163</v>
      </c>
      <c r="F320" s="1" t="s">
        <v>150</v>
      </c>
      <c r="G320" s="1" t="s">
        <v>124</v>
      </c>
      <c r="H320" s="1" t="s">
        <v>111</v>
      </c>
      <c r="I320" s="1" t="s">
        <v>176</v>
      </c>
    </row>
    <row r="321" customFormat="false" ht="14.25" hidden="false" customHeight="true" outlineLevel="0" collapsed="false">
      <c r="A321" s="1" t="s">
        <v>745</v>
      </c>
      <c r="B321" s="1" t="s">
        <v>33</v>
      </c>
      <c r="C321" s="1" t="s">
        <v>72</v>
      </c>
      <c r="D321" s="1" t="s">
        <v>98</v>
      </c>
      <c r="E321" s="1" t="s">
        <v>163</v>
      </c>
      <c r="F321" s="1" t="s">
        <v>137</v>
      </c>
      <c r="G321" s="1" t="s">
        <v>150</v>
      </c>
      <c r="H321" s="1" t="s">
        <v>111</v>
      </c>
      <c r="I321" s="1" t="s">
        <v>176</v>
      </c>
    </row>
    <row r="322" customFormat="false" ht="14.25" hidden="false" customHeight="true" outlineLevel="0" collapsed="false">
      <c r="A322" s="1" t="s">
        <v>746</v>
      </c>
      <c r="B322" s="1" t="s">
        <v>33</v>
      </c>
      <c r="C322" s="1" t="s">
        <v>72</v>
      </c>
      <c r="D322" s="1" t="s">
        <v>98</v>
      </c>
      <c r="E322" s="1" t="s">
        <v>163</v>
      </c>
      <c r="F322" s="1" t="s">
        <v>137</v>
      </c>
      <c r="G322" s="1" t="s">
        <v>124</v>
      </c>
      <c r="H322" s="1" t="s">
        <v>150</v>
      </c>
      <c r="I322" s="1" t="s">
        <v>176</v>
      </c>
    </row>
    <row r="323" customFormat="false" ht="14.25" hidden="false" customHeight="true" outlineLevel="0" collapsed="false">
      <c r="A323" s="1" t="s">
        <v>747</v>
      </c>
      <c r="B323" s="1" t="s">
        <v>33</v>
      </c>
      <c r="C323" s="1" t="s">
        <v>72</v>
      </c>
      <c r="D323" s="1" t="s">
        <v>124</v>
      </c>
      <c r="E323" s="1" t="s">
        <v>163</v>
      </c>
      <c r="F323" s="1" t="s">
        <v>137</v>
      </c>
      <c r="G323" s="1" t="s">
        <v>150</v>
      </c>
      <c r="H323" s="1" t="s">
        <v>111</v>
      </c>
      <c r="I323" s="1" t="s">
        <v>176</v>
      </c>
    </row>
    <row r="324" customFormat="false" ht="14.25" hidden="false" customHeight="true" outlineLevel="0" collapsed="false">
      <c r="A324" s="1" t="s">
        <v>748</v>
      </c>
      <c r="B324" s="1" t="s">
        <v>33</v>
      </c>
      <c r="C324" s="1" t="s">
        <v>98</v>
      </c>
      <c r="D324" s="1" t="s">
        <v>124</v>
      </c>
      <c r="E324" s="1" t="s">
        <v>163</v>
      </c>
      <c r="F324" s="1" t="s">
        <v>137</v>
      </c>
      <c r="G324" s="1" t="s">
        <v>150</v>
      </c>
      <c r="H324" s="1" t="s">
        <v>111</v>
      </c>
      <c r="I324" s="1" t="s">
        <v>85</v>
      </c>
    </row>
    <row r="325" customFormat="false" ht="14.25" hidden="false" customHeight="true" outlineLevel="0" collapsed="false">
      <c r="A325" s="1" t="s">
        <v>749</v>
      </c>
      <c r="B325" s="1" t="s">
        <v>33</v>
      </c>
      <c r="C325" s="1" t="s">
        <v>98</v>
      </c>
      <c r="D325" s="1" t="s">
        <v>85</v>
      </c>
      <c r="E325" s="1" t="s">
        <v>124</v>
      </c>
      <c r="F325" s="1" t="s">
        <v>137</v>
      </c>
      <c r="G325" s="1" t="s">
        <v>150</v>
      </c>
      <c r="H325" s="1" t="s">
        <v>111</v>
      </c>
      <c r="I325" s="1" t="s">
        <v>176</v>
      </c>
    </row>
    <row r="326" customFormat="false" ht="14.25" hidden="false" customHeight="true" outlineLevel="0" collapsed="false">
      <c r="A326" s="1" t="s">
        <v>750</v>
      </c>
      <c r="B326" s="1" t="s">
        <v>33</v>
      </c>
      <c r="C326" s="1" t="s">
        <v>98</v>
      </c>
      <c r="D326" s="1" t="s">
        <v>137</v>
      </c>
      <c r="E326" s="1" t="s">
        <v>163</v>
      </c>
      <c r="F326" s="1" t="s">
        <v>85</v>
      </c>
      <c r="G326" s="1" t="s">
        <v>124</v>
      </c>
      <c r="H326" s="1" t="s">
        <v>111</v>
      </c>
      <c r="I326" s="1" t="s">
        <v>176</v>
      </c>
    </row>
    <row r="327" customFormat="false" ht="14.25" hidden="false" customHeight="true" outlineLevel="0" collapsed="false">
      <c r="A327" s="1" t="s">
        <v>751</v>
      </c>
      <c r="B327" s="1" t="s">
        <v>33</v>
      </c>
      <c r="C327" s="1" t="s">
        <v>98</v>
      </c>
      <c r="D327" s="1" t="s">
        <v>85</v>
      </c>
      <c r="E327" s="1" t="s">
        <v>163</v>
      </c>
      <c r="F327" s="1" t="s">
        <v>150</v>
      </c>
      <c r="G327" s="1" t="s">
        <v>124</v>
      </c>
      <c r="H327" s="1" t="s">
        <v>111</v>
      </c>
      <c r="I327" s="1" t="s">
        <v>176</v>
      </c>
    </row>
    <row r="328" customFormat="false" ht="14.25" hidden="false" customHeight="true" outlineLevel="0" collapsed="false">
      <c r="A328" s="1" t="s">
        <v>752</v>
      </c>
      <c r="B328" s="1" t="s">
        <v>33</v>
      </c>
      <c r="C328" s="1" t="s">
        <v>98</v>
      </c>
      <c r="D328" s="1" t="s">
        <v>85</v>
      </c>
      <c r="E328" s="1" t="s">
        <v>163</v>
      </c>
      <c r="F328" s="1" t="s">
        <v>150</v>
      </c>
      <c r="G328" s="1" t="s">
        <v>137</v>
      </c>
      <c r="H328" s="1" t="s">
        <v>111</v>
      </c>
      <c r="I328" s="1" t="s">
        <v>176</v>
      </c>
    </row>
    <row r="329" customFormat="false" ht="14.25" hidden="false" customHeight="true" outlineLevel="0" collapsed="false">
      <c r="A329" s="1" t="s">
        <v>753</v>
      </c>
      <c r="B329" s="1" t="s">
        <v>33</v>
      </c>
      <c r="C329" s="1" t="s">
        <v>98</v>
      </c>
      <c r="D329" s="1" t="s">
        <v>85</v>
      </c>
      <c r="E329" s="1" t="s">
        <v>163</v>
      </c>
      <c r="F329" s="1" t="s">
        <v>137</v>
      </c>
      <c r="G329" s="1" t="s">
        <v>124</v>
      </c>
      <c r="H329" s="1" t="s">
        <v>150</v>
      </c>
      <c r="I329" s="1" t="s">
        <v>176</v>
      </c>
    </row>
    <row r="330" customFormat="false" ht="14.25" hidden="false" customHeight="true" outlineLevel="0" collapsed="false">
      <c r="A330" s="1" t="s">
        <v>754</v>
      </c>
      <c r="B330" s="1" t="s">
        <v>33</v>
      </c>
      <c r="C330" s="1" t="s">
        <v>111</v>
      </c>
      <c r="D330" s="1" t="s">
        <v>85</v>
      </c>
      <c r="E330" s="1" t="s">
        <v>163</v>
      </c>
      <c r="F330" s="1" t="s">
        <v>137</v>
      </c>
      <c r="G330" s="1" t="s">
        <v>124</v>
      </c>
      <c r="H330" s="1" t="s">
        <v>150</v>
      </c>
      <c r="I330" s="1" t="s">
        <v>176</v>
      </c>
    </row>
    <row r="331" customFormat="false" ht="14.25" hidden="false" customHeight="true" outlineLevel="0" collapsed="false">
      <c r="A331" s="1" t="s">
        <v>755</v>
      </c>
      <c r="B331" s="1" t="s">
        <v>33</v>
      </c>
      <c r="C331" s="1" t="s">
        <v>98</v>
      </c>
      <c r="D331" s="1" t="s">
        <v>124</v>
      </c>
      <c r="E331" s="1" t="s">
        <v>163</v>
      </c>
      <c r="F331" s="1" t="s">
        <v>137</v>
      </c>
      <c r="G331" s="1" t="s">
        <v>150</v>
      </c>
      <c r="H331" s="1" t="s">
        <v>111</v>
      </c>
      <c r="I331" s="1" t="s">
        <v>176</v>
      </c>
    </row>
    <row r="332" customFormat="false" ht="14.25" hidden="false" customHeight="true" outlineLevel="0" collapsed="false">
      <c r="A332" s="1" t="s">
        <v>756</v>
      </c>
      <c r="B332" s="1" t="s">
        <v>59</v>
      </c>
      <c r="C332" s="1" t="s">
        <v>111</v>
      </c>
      <c r="D332" s="1" t="s">
        <v>98</v>
      </c>
      <c r="E332" s="1" t="s">
        <v>85</v>
      </c>
      <c r="F332" s="1" t="s">
        <v>46</v>
      </c>
      <c r="G332" s="1" t="s">
        <v>124</v>
      </c>
      <c r="H332" s="1" t="s">
        <v>137</v>
      </c>
      <c r="I332" s="1" t="s">
        <v>72</v>
      </c>
    </row>
    <row r="333" customFormat="false" ht="14.25" hidden="false" customHeight="true" outlineLevel="0" collapsed="false">
      <c r="A333" s="1" t="s">
        <v>757</v>
      </c>
      <c r="B333" s="1" t="s">
        <v>46</v>
      </c>
      <c r="C333" s="1" t="s">
        <v>98</v>
      </c>
      <c r="D333" s="1" t="s">
        <v>59</v>
      </c>
      <c r="E333" s="1" t="s">
        <v>85</v>
      </c>
      <c r="F333" s="1" t="s">
        <v>150</v>
      </c>
      <c r="G333" s="1" t="s">
        <v>124</v>
      </c>
      <c r="H333" s="1" t="s">
        <v>111</v>
      </c>
      <c r="I333" s="1" t="s">
        <v>72</v>
      </c>
    </row>
    <row r="334" customFormat="false" ht="14.25" hidden="false" customHeight="true" outlineLevel="0" collapsed="false">
      <c r="A334" s="1" t="s">
        <v>758</v>
      </c>
      <c r="B334" s="1" t="s">
        <v>59</v>
      </c>
      <c r="C334" s="1" t="s">
        <v>111</v>
      </c>
      <c r="D334" s="1" t="s">
        <v>124</v>
      </c>
      <c r="E334" s="1" t="s">
        <v>163</v>
      </c>
      <c r="F334" s="1" t="s">
        <v>46</v>
      </c>
      <c r="G334" s="1" t="s">
        <v>85</v>
      </c>
      <c r="H334" s="1" t="s">
        <v>98</v>
      </c>
      <c r="I334" s="1" t="s">
        <v>72</v>
      </c>
    </row>
    <row r="335" customFormat="false" ht="14.25" hidden="false" customHeight="true" outlineLevel="0" collapsed="false">
      <c r="A335" s="1" t="s">
        <v>759</v>
      </c>
      <c r="B335" s="1" t="s">
        <v>72</v>
      </c>
      <c r="C335" s="1" t="s">
        <v>111</v>
      </c>
      <c r="D335" s="1" t="s">
        <v>59</v>
      </c>
      <c r="E335" s="1" t="s">
        <v>85</v>
      </c>
      <c r="F335" s="1" t="s">
        <v>46</v>
      </c>
      <c r="G335" s="1" t="s">
        <v>124</v>
      </c>
      <c r="H335" s="1" t="s">
        <v>98</v>
      </c>
      <c r="I335" s="1" t="s">
        <v>176</v>
      </c>
    </row>
    <row r="336" customFormat="false" ht="14.25" hidden="false" customHeight="true" outlineLevel="0" collapsed="false">
      <c r="A336" s="1" t="s">
        <v>760</v>
      </c>
      <c r="B336" s="1" t="s">
        <v>46</v>
      </c>
      <c r="C336" s="1" t="s">
        <v>98</v>
      </c>
      <c r="D336" s="1" t="s">
        <v>59</v>
      </c>
      <c r="E336" s="1" t="s">
        <v>85</v>
      </c>
      <c r="F336" s="1" t="s">
        <v>150</v>
      </c>
      <c r="G336" s="1" t="s">
        <v>137</v>
      </c>
      <c r="H336" s="1" t="s">
        <v>111</v>
      </c>
      <c r="I336" s="1" t="s">
        <v>72</v>
      </c>
    </row>
    <row r="337" customFormat="false" ht="14.25" hidden="false" customHeight="true" outlineLevel="0" collapsed="false">
      <c r="A337" s="1" t="s">
        <v>761</v>
      </c>
      <c r="B337" s="1" t="s">
        <v>46</v>
      </c>
      <c r="C337" s="1" t="s">
        <v>98</v>
      </c>
      <c r="D337" s="1" t="s">
        <v>59</v>
      </c>
      <c r="E337" s="1" t="s">
        <v>163</v>
      </c>
      <c r="F337" s="1" t="s">
        <v>137</v>
      </c>
      <c r="G337" s="1" t="s">
        <v>85</v>
      </c>
      <c r="H337" s="1" t="s">
        <v>111</v>
      </c>
      <c r="I337" s="1" t="s">
        <v>72</v>
      </c>
    </row>
    <row r="338" customFormat="false" ht="14.25" hidden="false" customHeight="true" outlineLevel="0" collapsed="false">
      <c r="A338" s="1" t="s">
        <v>762</v>
      </c>
      <c r="B338" s="1" t="s">
        <v>72</v>
      </c>
      <c r="C338" s="1" t="s">
        <v>111</v>
      </c>
      <c r="D338" s="1" t="s">
        <v>59</v>
      </c>
      <c r="E338" s="1" t="s">
        <v>85</v>
      </c>
      <c r="F338" s="1" t="s">
        <v>46</v>
      </c>
      <c r="G338" s="1" t="s">
        <v>137</v>
      </c>
      <c r="H338" s="1" t="s">
        <v>98</v>
      </c>
      <c r="I338" s="1" t="s">
        <v>176</v>
      </c>
    </row>
    <row r="339" customFormat="false" ht="14.25" hidden="false" customHeight="true" outlineLevel="0" collapsed="false">
      <c r="A339" s="1" t="s">
        <v>763</v>
      </c>
      <c r="B339" s="1" t="s">
        <v>46</v>
      </c>
      <c r="C339" s="1" t="s">
        <v>98</v>
      </c>
      <c r="D339" s="1" t="s">
        <v>59</v>
      </c>
      <c r="E339" s="1" t="s">
        <v>163</v>
      </c>
      <c r="F339" s="1" t="s">
        <v>150</v>
      </c>
      <c r="G339" s="1" t="s">
        <v>85</v>
      </c>
      <c r="H339" s="1" t="s">
        <v>111</v>
      </c>
      <c r="I339" s="1" t="s">
        <v>72</v>
      </c>
    </row>
    <row r="340" customFormat="false" ht="14.25" hidden="false" customHeight="true" outlineLevel="0" collapsed="false">
      <c r="A340" s="1" t="s">
        <v>764</v>
      </c>
      <c r="B340" s="1" t="s">
        <v>72</v>
      </c>
      <c r="C340" s="1" t="s">
        <v>111</v>
      </c>
      <c r="D340" s="1" t="s">
        <v>59</v>
      </c>
      <c r="E340" s="1" t="s">
        <v>85</v>
      </c>
      <c r="F340" s="1" t="s">
        <v>46</v>
      </c>
      <c r="G340" s="1" t="s">
        <v>150</v>
      </c>
      <c r="H340" s="1" t="s">
        <v>98</v>
      </c>
      <c r="I340" s="1" t="s">
        <v>176</v>
      </c>
    </row>
    <row r="341" customFormat="false" ht="14.25" hidden="false" customHeight="true" outlineLevel="0" collapsed="false">
      <c r="A341" s="1" t="s">
        <v>765</v>
      </c>
      <c r="B341" s="1" t="s">
        <v>72</v>
      </c>
      <c r="C341" s="1" t="s">
        <v>111</v>
      </c>
      <c r="D341" s="1" t="s">
        <v>59</v>
      </c>
      <c r="E341" s="1" t="s">
        <v>163</v>
      </c>
      <c r="F341" s="1" t="s">
        <v>46</v>
      </c>
      <c r="G341" s="1" t="s">
        <v>85</v>
      </c>
      <c r="H341" s="1" t="s">
        <v>98</v>
      </c>
      <c r="I341" s="1" t="s">
        <v>176</v>
      </c>
    </row>
    <row r="342" customFormat="false" ht="14.25" hidden="false" customHeight="true" outlineLevel="0" collapsed="false">
      <c r="A342" s="1" t="s">
        <v>766</v>
      </c>
      <c r="B342" s="1" t="s">
        <v>46</v>
      </c>
      <c r="C342" s="1" t="s">
        <v>59</v>
      </c>
      <c r="D342" s="1" t="s">
        <v>98</v>
      </c>
      <c r="E342" s="1" t="s">
        <v>85</v>
      </c>
      <c r="F342" s="1" t="s">
        <v>150</v>
      </c>
      <c r="G342" s="1" t="s">
        <v>124</v>
      </c>
      <c r="H342" s="1" t="s">
        <v>137</v>
      </c>
      <c r="I342" s="1" t="s">
        <v>72</v>
      </c>
    </row>
    <row r="343" customFormat="false" ht="14.25" hidden="false" customHeight="true" outlineLevel="0" collapsed="false">
      <c r="A343" s="1" t="s">
        <v>767</v>
      </c>
      <c r="B343" s="1" t="s">
        <v>59</v>
      </c>
      <c r="C343" s="1" t="s">
        <v>124</v>
      </c>
      <c r="D343" s="1" t="s">
        <v>137</v>
      </c>
      <c r="E343" s="1" t="s">
        <v>163</v>
      </c>
      <c r="F343" s="1" t="s">
        <v>46</v>
      </c>
      <c r="G343" s="1" t="s">
        <v>85</v>
      </c>
      <c r="H343" s="1" t="s">
        <v>98</v>
      </c>
      <c r="I343" s="1" t="s">
        <v>72</v>
      </c>
    </row>
    <row r="344" customFormat="false" ht="14.25" hidden="false" customHeight="true" outlineLevel="0" collapsed="false">
      <c r="A344" s="1" t="s">
        <v>768</v>
      </c>
      <c r="B344" s="1" t="s">
        <v>72</v>
      </c>
      <c r="C344" s="1" t="s">
        <v>59</v>
      </c>
      <c r="D344" s="1" t="s">
        <v>137</v>
      </c>
      <c r="E344" s="1" t="s">
        <v>85</v>
      </c>
      <c r="F344" s="1" t="s">
        <v>46</v>
      </c>
      <c r="G344" s="1" t="s">
        <v>124</v>
      </c>
      <c r="H344" s="1" t="s">
        <v>98</v>
      </c>
      <c r="I344" s="1" t="s">
        <v>176</v>
      </c>
    </row>
    <row r="345" customFormat="false" ht="14.25" hidden="false" customHeight="true" outlineLevel="0" collapsed="false">
      <c r="A345" s="1" t="s">
        <v>769</v>
      </c>
      <c r="B345" s="1" t="s">
        <v>46</v>
      </c>
      <c r="C345" s="1" t="s">
        <v>124</v>
      </c>
      <c r="D345" s="1" t="s">
        <v>59</v>
      </c>
      <c r="E345" s="1" t="s">
        <v>163</v>
      </c>
      <c r="F345" s="1" t="s">
        <v>150</v>
      </c>
      <c r="G345" s="1" t="s">
        <v>85</v>
      </c>
      <c r="H345" s="1" t="s">
        <v>98</v>
      </c>
      <c r="I345" s="1" t="s">
        <v>72</v>
      </c>
    </row>
    <row r="346" customFormat="false" ht="14.25" hidden="false" customHeight="true" outlineLevel="0" collapsed="false">
      <c r="A346" s="1" t="s">
        <v>770</v>
      </c>
      <c r="B346" s="1" t="s">
        <v>46</v>
      </c>
      <c r="C346" s="1" t="s">
        <v>72</v>
      </c>
      <c r="D346" s="1" t="s">
        <v>59</v>
      </c>
      <c r="E346" s="1" t="s">
        <v>85</v>
      </c>
      <c r="F346" s="1" t="s">
        <v>150</v>
      </c>
      <c r="G346" s="1" t="s">
        <v>124</v>
      </c>
      <c r="H346" s="1" t="s">
        <v>98</v>
      </c>
      <c r="I346" s="1" t="s">
        <v>176</v>
      </c>
    </row>
    <row r="347" customFormat="false" ht="14.25" hidden="false" customHeight="true" outlineLevel="0" collapsed="false">
      <c r="A347" s="1" t="s">
        <v>771</v>
      </c>
      <c r="B347" s="1" t="s">
        <v>72</v>
      </c>
      <c r="C347" s="1" t="s">
        <v>124</v>
      </c>
      <c r="D347" s="1" t="s">
        <v>59</v>
      </c>
      <c r="E347" s="1" t="s">
        <v>163</v>
      </c>
      <c r="F347" s="1" t="s">
        <v>46</v>
      </c>
      <c r="G347" s="1" t="s">
        <v>85</v>
      </c>
      <c r="H347" s="1" t="s">
        <v>98</v>
      </c>
      <c r="I347" s="1" t="s">
        <v>176</v>
      </c>
    </row>
    <row r="348" customFormat="false" ht="14.25" hidden="false" customHeight="true" outlineLevel="0" collapsed="false">
      <c r="A348" s="1" t="s">
        <v>772</v>
      </c>
      <c r="B348" s="1" t="s">
        <v>46</v>
      </c>
      <c r="C348" s="1" t="s">
        <v>59</v>
      </c>
      <c r="D348" s="1" t="s">
        <v>98</v>
      </c>
      <c r="E348" s="1" t="s">
        <v>163</v>
      </c>
      <c r="F348" s="1" t="s">
        <v>150</v>
      </c>
      <c r="G348" s="1" t="s">
        <v>85</v>
      </c>
      <c r="H348" s="1" t="s">
        <v>137</v>
      </c>
      <c r="I348" s="1" t="s">
        <v>72</v>
      </c>
    </row>
    <row r="349" customFormat="false" ht="14.25" hidden="false" customHeight="true" outlineLevel="0" collapsed="false">
      <c r="A349" s="1" t="s">
        <v>773</v>
      </c>
      <c r="B349" s="1" t="s">
        <v>72</v>
      </c>
      <c r="C349" s="1" t="s">
        <v>59</v>
      </c>
      <c r="D349" s="1" t="s">
        <v>98</v>
      </c>
      <c r="E349" s="1" t="s">
        <v>85</v>
      </c>
      <c r="F349" s="1" t="s">
        <v>46</v>
      </c>
      <c r="G349" s="1" t="s">
        <v>137</v>
      </c>
      <c r="H349" s="1" t="s">
        <v>150</v>
      </c>
      <c r="I349" s="1" t="s">
        <v>176</v>
      </c>
    </row>
    <row r="350" customFormat="false" ht="14.25" hidden="false" customHeight="true" outlineLevel="0" collapsed="false">
      <c r="A350" s="1" t="s">
        <v>774</v>
      </c>
      <c r="B350" s="1" t="s">
        <v>72</v>
      </c>
      <c r="C350" s="1" t="s">
        <v>59</v>
      </c>
      <c r="D350" s="1" t="s">
        <v>137</v>
      </c>
      <c r="E350" s="1" t="s">
        <v>163</v>
      </c>
      <c r="F350" s="1" t="s">
        <v>46</v>
      </c>
      <c r="G350" s="1" t="s">
        <v>85</v>
      </c>
      <c r="H350" s="1" t="s">
        <v>98</v>
      </c>
      <c r="I350" s="1" t="s">
        <v>176</v>
      </c>
    </row>
    <row r="351" customFormat="false" ht="14.25" hidden="false" customHeight="true" outlineLevel="0" collapsed="false">
      <c r="A351" s="1" t="s">
        <v>775</v>
      </c>
      <c r="B351" s="1" t="s">
        <v>46</v>
      </c>
      <c r="C351" s="1" t="s">
        <v>72</v>
      </c>
      <c r="D351" s="1" t="s">
        <v>59</v>
      </c>
      <c r="E351" s="1" t="s">
        <v>163</v>
      </c>
      <c r="F351" s="1" t="s">
        <v>150</v>
      </c>
      <c r="G351" s="1" t="s">
        <v>85</v>
      </c>
      <c r="H351" s="1" t="s">
        <v>98</v>
      </c>
      <c r="I351" s="1" t="s">
        <v>176</v>
      </c>
    </row>
    <row r="352" customFormat="false" ht="14.25" hidden="false" customHeight="true" outlineLevel="0" collapsed="false">
      <c r="A352" s="1" t="s">
        <v>776</v>
      </c>
      <c r="B352" s="1" t="s">
        <v>46</v>
      </c>
      <c r="C352" s="1" t="s">
        <v>72</v>
      </c>
      <c r="D352" s="1" t="s">
        <v>59</v>
      </c>
      <c r="E352" s="1" t="s">
        <v>124</v>
      </c>
      <c r="F352" s="1" t="s">
        <v>85</v>
      </c>
      <c r="G352" s="1" t="s">
        <v>137</v>
      </c>
      <c r="H352" s="1" t="s">
        <v>111</v>
      </c>
      <c r="I352" s="1" t="s">
        <v>150</v>
      </c>
    </row>
    <row r="353" customFormat="false" ht="14.25" hidden="false" customHeight="true" outlineLevel="0" collapsed="false">
      <c r="A353" s="1" t="s">
        <v>777</v>
      </c>
      <c r="B353" s="1" t="s">
        <v>46</v>
      </c>
      <c r="C353" s="1" t="s">
        <v>59</v>
      </c>
      <c r="D353" s="1" t="s">
        <v>137</v>
      </c>
      <c r="E353" s="1" t="s">
        <v>163</v>
      </c>
      <c r="F353" s="1" t="s">
        <v>85</v>
      </c>
      <c r="G353" s="1" t="s">
        <v>124</v>
      </c>
      <c r="H353" s="1" t="s">
        <v>111</v>
      </c>
      <c r="I353" s="1" t="s">
        <v>72</v>
      </c>
    </row>
    <row r="354" customFormat="false" ht="14.25" hidden="false" customHeight="true" outlineLevel="0" collapsed="false">
      <c r="A354" s="1" t="s">
        <v>778</v>
      </c>
      <c r="B354" s="1" t="s">
        <v>46</v>
      </c>
      <c r="C354" s="1" t="s">
        <v>72</v>
      </c>
      <c r="D354" s="1" t="s">
        <v>59</v>
      </c>
      <c r="E354" s="1" t="s">
        <v>124</v>
      </c>
      <c r="F354" s="1" t="s">
        <v>85</v>
      </c>
      <c r="G354" s="1" t="s">
        <v>137</v>
      </c>
      <c r="H354" s="1" t="s">
        <v>111</v>
      </c>
      <c r="I354" s="1" t="s">
        <v>176</v>
      </c>
    </row>
    <row r="355" customFormat="false" ht="14.25" hidden="false" customHeight="true" outlineLevel="0" collapsed="false">
      <c r="A355" s="1" t="s">
        <v>779</v>
      </c>
      <c r="B355" s="1" t="s">
        <v>46</v>
      </c>
      <c r="C355" s="1" t="s">
        <v>72</v>
      </c>
      <c r="D355" s="1" t="s">
        <v>59</v>
      </c>
      <c r="E355" s="1" t="s">
        <v>163</v>
      </c>
      <c r="F355" s="1" t="s">
        <v>85</v>
      </c>
      <c r="G355" s="1" t="s">
        <v>124</v>
      </c>
      <c r="H355" s="1" t="s">
        <v>111</v>
      </c>
      <c r="I355" s="1" t="s">
        <v>150</v>
      </c>
    </row>
    <row r="356" customFormat="false" ht="14.25" hidden="false" customHeight="true" outlineLevel="0" collapsed="false">
      <c r="A356" s="1" t="s">
        <v>780</v>
      </c>
      <c r="B356" s="1" t="s">
        <v>46</v>
      </c>
      <c r="C356" s="1" t="s">
        <v>72</v>
      </c>
      <c r="D356" s="1" t="s">
        <v>59</v>
      </c>
      <c r="E356" s="1" t="s">
        <v>124</v>
      </c>
      <c r="F356" s="1" t="s">
        <v>85</v>
      </c>
      <c r="G356" s="1" t="s">
        <v>150</v>
      </c>
      <c r="H356" s="1" t="s">
        <v>111</v>
      </c>
      <c r="I356" s="1" t="s">
        <v>176</v>
      </c>
    </row>
    <row r="357" customFormat="false" ht="14.25" hidden="false" customHeight="true" outlineLevel="0" collapsed="false">
      <c r="A357" s="1" t="s">
        <v>781</v>
      </c>
      <c r="B357" s="1" t="s">
        <v>59</v>
      </c>
      <c r="C357" s="1" t="s">
        <v>72</v>
      </c>
      <c r="D357" s="1" t="s">
        <v>124</v>
      </c>
      <c r="E357" s="1" t="s">
        <v>163</v>
      </c>
      <c r="F357" s="1" t="s">
        <v>46</v>
      </c>
      <c r="G357" s="1" t="s">
        <v>85</v>
      </c>
      <c r="H357" s="1" t="s">
        <v>111</v>
      </c>
      <c r="I357" s="1" t="s">
        <v>176</v>
      </c>
    </row>
    <row r="358" customFormat="false" ht="14.25" hidden="false" customHeight="true" outlineLevel="0" collapsed="false">
      <c r="A358" s="1" t="s">
        <v>782</v>
      </c>
      <c r="B358" s="1" t="s">
        <v>46</v>
      </c>
      <c r="C358" s="1" t="s">
        <v>59</v>
      </c>
      <c r="D358" s="1" t="s">
        <v>85</v>
      </c>
      <c r="E358" s="1" t="s">
        <v>163</v>
      </c>
      <c r="F358" s="1" t="s">
        <v>150</v>
      </c>
      <c r="G358" s="1" t="s">
        <v>137</v>
      </c>
      <c r="H358" s="1" t="s">
        <v>111</v>
      </c>
      <c r="I358" s="1" t="s">
        <v>72</v>
      </c>
    </row>
    <row r="359" customFormat="false" ht="14.25" hidden="false" customHeight="true" outlineLevel="0" collapsed="false">
      <c r="A359" s="1" t="s">
        <v>783</v>
      </c>
      <c r="B359" s="1" t="s">
        <v>46</v>
      </c>
      <c r="C359" s="1" t="s">
        <v>72</v>
      </c>
      <c r="D359" s="1" t="s">
        <v>59</v>
      </c>
      <c r="E359" s="1" t="s">
        <v>85</v>
      </c>
      <c r="F359" s="1" t="s">
        <v>150</v>
      </c>
      <c r="G359" s="1" t="s">
        <v>137</v>
      </c>
      <c r="H359" s="1" t="s">
        <v>111</v>
      </c>
      <c r="I359" s="1" t="s">
        <v>176</v>
      </c>
    </row>
    <row r="360" customFormat="false" ht="14.25" hidden="false" customHeight="true" outlineLevel="0" collapsed="false">
      <c r="A360" s="1" t="s">
        <v>784</v>
      </c>
      <c r="B360" s="1" t="s">
        <v>72</v>
      </c>
      <c r="C360" s="1" t="s">
        <v>111</v>
      </c>
      <c r="D360" s="1" t="s">
        <v>59</v>
      </c>
      <c r="E360" s="1" t="s">
        <v>163</v>
      </c>
      <c r="F360" s="1" t="s">
        <v>46</v>
      </c>
      <c r="G360" s="1" t="s">
        <v>85</v>
      </c>
      <c r="H360" s="1" t="s">
        <v>137</v>
      </c>
      <c r="I360" s="1" t="s">
        <v>176</v>
      </c>
    </row>
    <row r="361" customFormat="false" ht="14.25" hidden="false" customHeight="true" outlineLevel="0" collapsed="false">
      <c r="A361" s="1" t="s">
        <v>785</v>
      </c>
      <c r="B361" s="1" t="s">
        <v>46</v>
      </c>
      <c r="C361" s="1" t="s">
        <v>72</v>
      </c>
      <c r="D361" s="1" t="s">
        <v>59</v>
      </c>
      <c r="E361" s="1" t="s">
        <v>163</v>
      </c>
      <c r="F361" s="1" t="s">
        <v>150</v>
      </c>
      <c r="G361" s="1" t="s">
        <v>85</v>
      </c>
      <c r="H361" s="1" t="s">
        <v>111</v>
      </c>
      <c r="I361" s="1" t="s">
        <v>176</v>
      </c>
    </row>
    <row r="362" customFormat="false" ht="14.25" hidden="false" customHeight="true" outlineLevel="0" collapsed="false">
      <c r="A362" s="1" t="s">
        <v>786</v>
      </c>
      <c r="B362" s="1" t="s">
        <v>46</v>
      </c>
      <c r="C362" s="1" t="s">
        <v>59</v>
      </c>
      <c r="D362" s="1" t="s">
        <v>124</v>
      </c>
      <c r="E362" s="1" t="s">
        <v>163</v>
      </c>
      <c r="F362" s="1" t="s">
        <v>137</v>
      </c>
      <c r="G362" s="1" t="s">
        <v>150</v>
      </c>
      <c r="H362" s="1" t="s">
        <v>85</v>
      </c>
      <c r="I362" s="1" t="s">
        <v>72</v>
      </c>
    </row>
    <row r="363" customFormat="false" ht="14.25" hidden="false" customHeight="true" outlineLevel="0" collapsed="false">
      <c r="A363" s="1" t="s">
        <v>787</v>
      </c>
      <c r="B363" s="1" t="s">
        <v>46</v>
      </c>
      <c r="C363" s="1" t="s">
        <v>72</v>
      </c>
      <c r="D363" s="1" t="s">
        <v>59</v>
      </c>
      <c r="E363" s="1" t="s">
        <v>124</v>
      </c>
      <c r="F363" s="1" t="s">
        <v>137</v>
      </c>
      <c r="G363" s="1" t="s">
        <v>150</v>
      </c>
      <c r="H363" s="1" t="s">
        <v>85</v>
      </c>
      <c r="I363" s="1" t="s">
        <v>176</v>
      </c>
    </row>
    <row r="364" customFormat="false" ht="14.25" hidden="false" customHeight="true" outlineLevel="0" collapsed="false">
      <c r="A364" s="1" t="s">
        <v>788</v>
      </c>
      <c r="B364" s="1" t="s">
        <v>59</v>
      </c>
      <c r="C364" s="1" t="s">
        <v>72</v>
      </c>
      <c r="D364" s="1" t="s">
        <v>137</v>
      </c>
      <c r="E364" s="1" t="s">
        <v>163</v>
      </c>
      <c r="F364" s="1" t="s">
        <v>46</v>
      </c>
      <c r="G364" s="1" t="s">
        <v>124</v>
      </c>
      <c r="H364" s="1" t="s">
        <v>85</v>
      </c>
      <c r="I364" s="1" t="s">
        <v>176</v>
      </c>
    </row>
    <row r="365" customFormat="false" ht="14.25" hidden="false" customHeight="true" outlineLevel="0" collapsed="false">
      <c r="A365" s="1" t="s">
        <v>789</v>
      </c>
      <c r="B365" s="1" t="s">
        <v>72</v>
      </c>
      <c r="C365" s="1" t="s">
        <v>124</v>
      </c>
      <c r="D365" s="1" t="s">
        <v>59</v>
      </c>
      <c r="E365" s="1" t="s">
        <v>163</v>
      </c>
      <c r="F365" s="1" t="s">
        <v>46</v>
      </c>
      <c r="G365" s="1" t="s">
        <v>150</v>
      </c>
      <c r="H365" s="1" t="s">
        <v>85</v>
      </c>
      <c r="I365" s="1" t="s">
        <v>176</v>
      </c>
    </row>
    <row r="366" customFormat="false" ht="14.25" hidden="false" customHeight="true" outlineLevel="0" collapsed="false">
      <c r="A366" s="1" t="s">
        <v>790</v>
      </c>
      <c r="B366" s="1" t="s">
        <v>72</v>
      </c>
      <c r="C366" s="1" t="s">
        <v>59</v>
      </c>
      <c r="D366" s="1" t="s">
        <v>85</v>
      </c>
      <c r="E366" s="1" t="s">
        <v>163</v>
      </c>
      <c r="F366" s="1" t="s">
        <v>46</v>
      </c>
      <c r="G366" s="1" t="s">
        <v>137</v>
      </c>
      <c r="H366" s="1" t="s">
        <v>150</v>
      </c>
      <c r="I366" s="1" t="s">
        <v>176</v>
      </c>
    </row>
    <row r="367" customFormat="false" ht="14.25" hidden="false" customHeight="true" outlineLevel="0" collapsed="false">
      <c r="A367" s="1" t="s">
        <v>791</v>
      </c>
      <c r="B367" s="1" t="s">
        <v>46</v>
      </c>
      <c r="C367" s="1" t="s">
        <v>98</v>
      </c>
      <c r="D367" s="1" t="s">
        <v>59</v>
      </c>
      <c r="E367" s="1" t="s">
        <v>124</v>
      </c>
      <c r="F367" s="1" t="s">
        <v>150</v>
      </c>
      <c r="G367" s="1" t="s">
        <v>137</v>
      </c>
      <c r="H367" s="1" t="s">
        <v>111</v>
      </c>
      <c r="I367" s="1" t="s">
        <v>72</v>
      </c>
    </row>
    <row r="368" customFormat="false" ht="14.25" hidden="false" customHeight="true" outlineLevel="0" collapsed="false">
      <c r="A368" s="1" t="s">
        <v>792</v>
      </c>
      <c r="B368" s="1" t="s">
        <v>59</v>
      </c>
      <c r="C368" s="1" t="s">
        <v>111</v>
      </c>
      <c r="D368" s="1" t="s">
        <v>98</v>
      </c>
      <c r="E368" s="1" t="s">
        <v>163</v>
      </c>
      <c r="F368" s="1" t="s">
        <v>46</v>
      </c>
      <c r="G368" s="1" t="s">
        <v>124</v>
      </c>
      <c r="H368" s="1" t="s">
        <v>137</v>
      </c>
      <c r="I368" s="1" t="s">
        <v>72</v>
      </c>
    </row>
    <row r="369" customFormat="false" ht="14.25" hidden="false" customHeight="true" outlineLevel="0" collapsed="false">
      <c r="A369" s="1" t="s">
        <v>793</v>
      </c>
      <c r="B369" s="1" t="s">
        <v>72</v>
      </c>
      <c r="C369" s="1" t="s">
        <v>111</v>
      </c>
      <c r="D369" s="1" t="s">
        <v>59</v>
      </c>
      <c r="E369" s="1" t="s">
        <v>124</v>
      </c>
      <c r="F369" s="1" t="s">
        <v>46</v>
      </c>
      <c r="G369" s="1" t="s">
        <v>137</v>
      </c>
      <c r="H369" s="1" t="s">
        <v>98</v>
      </c>
      <c r="I369" s="1" t="s">
        <v>176</v>
      </c>
    </row>
    <row r="370" customFormat="false" ht="14.25" hidden="false" customHeight="true" outlineLevel="0" collapsed="false">
      <c r="A370" s="1" t="s">
        <v>794</v>
      </c>
      <c r="B370" s="1" t="s">
        <v>46</v>
      </c>
      <c r="C370" s="1" t="s">
        <v>98</v>
      </c>
      <c r="D370" s="1" t="s">
        <v>59</v>
      </c>
      <c r="E370" s="1" t="s">
        <v>163</v>
      </c>
      <c r="F370" s="1" t="s">
        <v>150</v>
      </c>
      <c r="G370" s="1" t="s">
        <v>124</v>
      </c>
      <c r="H370" s="1" t="s">
        <v>111</v>
      </c>
      <c r="I370" s="1" t="s">
        <v>72</v>
      </c>
    </row>
    <row r="371" customFormat="false" ht="14.25" hidden="false" customHeight="true" outlineLevel="0" collapsed="false">
      <c r="A371" s="1" t="s">
        <v>795</v>
      </c>
      <c r="B371" s="1" t="s">
        <v>72</v>
      </c>
      <c r="C371" s="1" t="s">
        <v>111</v>
      </c>
      <c r="D371" s="1" t="s">
        <v>59</v>
      </c>
      <c r="E371" s="1" t="s">
        <v>124</v>
      </c>
      <c r="F371" s="1" t="s">
        <v>46</v>
      </c>
      <c r="G371" s="1" t="s">
        <v>150</v>
      </c>
      <c r="H371" s="1" t="s">
        <v>98</v>
      </c>
      <c r="I371" s="1" t="s">
        <v>176</v>
      </c>
    </row>
    <row r="372" customFormat="false" ht="14.25" hidden="false" customHeight="true" outlineLevel="0" collapsed="false">
      <c r="A372" s="1" t="s">
        <v>796</v>
      </c>
      <c r="B372" s="1" t="s">
        <v>72</v>
      </c>
      <c r="C372" s="1" t="s">
        <v>111</v>
      </c>
      <c r="D372" s="1" t="s">
        <v>59</v>
      </c>
      <c r="E372" s="1" t="s">
        <v>163</v>
      </c>
      <c r="F372" s="1" t="s">
        <v>46</v>
      </c>
      <c r="G372" s="1" t="s">
        <v>124</v>
      </c>
      <c r="H372" s="1" t="s">
        <v>98</v>
      </c>
      <c r="I372" s="1" t="s">
        <v>176</v>
      </c>
    </row>
    <row r="373" customFormat="false" ht="14.25" hidden="false" customHeight="true" outlineLevel="0" collapsed="false">
      <c r="A373" s="1" t="s">
        <v>797</v>
      </c>
      <c r="B373" s="1" t="s">
        <v>46</v>
      </c>
      <c r="C373" s="1" t="s">
        <v>98</v>
      </c>
      <c r="D373" s="1" t="s">
        <v>59</v>
      </c>
      <c r="E373" s="1" t="s">
        <v>163</v>
      </c>
      <c r="F373" s="1" t="s">
        <v>150</v>
      </c>
      <c r="G373" s="1" t="s">
        <v>137</v>
      </c>
      <c r="H373" s="1" t="s">
        <v>111</v>
      </c>
      <c r="I373" s="1" t="s">
        <v>72</v>
      </c>
    </row>
    <row r="374" customFormat="false" ht="14.25" hidden="false" customHeight="true" outlineLevel="0" collapsed="false">
      <c r="A374" s="1" t="s">
        <v>798</v>
      </c>
      <c r="B374" s="1" t="s">
        <v>72</v>
      </c>
      <c r="C374" s="1" t="s">
        <v>111</v>
      </c>
      <c r="D374" s="1" t="s">
        <v>59</v>
      </c>
      <c r="E374" s="1" t="s">
        <v>137</v>
      </c>
      <c r="F374" s="1" t="s">
        <v>46</v>
      </c>
      <c r="G374" s="1" t="s">
        <v>150</v>
      </c>
      <c r="H374" s="1" t="s">
        <v>98</v>
      </c>
      <c r="I374" s="1" t="s">
        <v>176</v>
      </c>
    </row>
    <row r="375" customFormat="false" ht="14.25" hidden="false" customHeight="true" outlineLevel="0" collapsed="false">
      <c r="A375" s="1" t="s">
        <v>799</v>
      </c>
      <c r="B375" s="1" t="s">
        <v>72</v>
      </c>
      <c r="C375" s="1" t="s">
        <v>111</v>
      </c>
      <c r="D375" s="1" t="s">
        <v>59</v>
      </c>
      <c r="E375" s="1" t="s">
        <v>163</v>
      </c>
      <c r="F375" s="1" t="s">
        <v>46</v>
      </c>
      <c r="G375" s="1" t="s">
        <v>137</v>
      </c>
      <c r="H375" s="1" t="s">
        <v>98</v>
      </c>
      <c r="I375" s="1" t="s">
        <v>176</v>
      </c>
    </row>
    <row r="376" customFormat="false" ht="14.25" hidden="false" customHeight="true" outlineLevel="0" collapsed="false">
      <c r="A376" s="1" t="s">
        <v>800</v>
      </c>
      <c r="B376" s="1" t="s">
        <v>72</v>
      </c>
      <c r="C376" s="1" t="s">
        <v>111</v>
      </c>
      <c r="D376" s="1" t="s">
        <v>59</v>
      </c>
      <c r="E376" s="1" t="s">
        <v>163</v>
      </c>
      <c r="F376" s="1" t="s">
        <v>46</v>
      </c>
      <c r="G376" s="1" t="s">
        <v>150</v>
      </c>
      <c r="H376" s="1" t="s">
        <v>98</v>
      </c>
      <c r="I376" s="1" t="s">
        <v>176</v>
      </c>
    </row>
    <row r="377" customFormat="false" ht="14.25" hidden="false" customHeight="true" outlineLevel="0" collapsed="false">
      <c r="A377" s="1" t="s">
        <v>801</v>
      </c>
      <c r="B377" s="1" t="s">
        <v>46</v>
      </c>
      <c r="C377" s="1" t="s">
        <v>59</v>
      </c>
      <c r="D377" s="1" t="s">
        <v>137</v>
      </c>
      <c r="E377" s="1" t="s">
        <v>163</v>
      </c>
      <c r="F377" s="1" t="s">
        <v>150</v>
      </c>
      <c r="G377" s="1" t="s">
        <v>124</v>
      </c>
      <c r="H377" s="1" t="s">
        <v>98</v>
      </c>
      <c r="I377" s="1" t="s">
        <v>72</v>
      </c>
    </row>
    <row r="378" customFormat="false" ht="14.25" hidden="false" customHeight="true" outlineLevel="0" collapsed="false">
      <c r="A378" s="1" t="s">
        <v>802</v>
      </c>
      <c r="B378" s="1" t="s">
        <v>46</v>
      </c>
      <c r="C378" s="1" t="s">
        <v>72</v>
      </c>
      <c r="D378" s="1" t="s">
        <v>59</v>
      </c>
      <c r="E378" s="1" t="s">
        <v>124</v>
      </c>
      <c r="F378" s="1" t="s">
        <v>150</v>
      </c>
      <c r="G378" s="1" t="s">
        <v>137</v>
      </c>
      <c r="H378" s="1" t="s">
        <v>98</v>
      </c>
      <c r="I378" s="1" t="s">
        <v>176</v>
      </c>
    </row>
    <row r="379" customFormat="false" ht="14.25" hidden="false" customHeight="true" outlineLevel="0" collapsed="false">
      <c r="A379" s="1" t="s">
        <v>803</v>
      </c>
      <c r="B379" s="1" t="s">
        <v>72</v>
      </c>
      <c r="C379" s="1" t="s">
        <v>59</v>
      </c>
      <c r="D379" s="1" t="s">
        <v>137</v>
      </c>
      <c r="E379" s="1" t="s">
        <v>163</v>
      </c>
      <c r="F379" s="1" t="s">
        <v>46</v>
      </c>
      <c r="G379" s="1" t="s">
        <v>124</v>
      </c>
      <c r="H379" s="1" t="s">
        <v>98</v>
      </c>
      <c r="I379" s="1" t="s">
        <v>176</v>
      </c>
    </row>
    <row r="380" customFormat="false" ht="14.25" hidden="false" customHeight="true" outlineLevel="0" collapsed="false">
      <c r="A380" s="1" t="s">
        <v>804</v>
      </c>
      <c r="B380" s="1" t="s">
        <v>46</v>
      </c>
      <c r="C380" s="1" t="s">
        <v>72</v>
      </c>
      <c r="D380" s="1" t="s">
        <v>59</v>
      </c>
      <c r="E380" s="1" t="s">
        <v>163</v>
      </c>
      <c r="F380" s="1" t="s">
        <v>150</v>
      </c>
      <c r="G380" s="1" t="s">
        <v>124</v>
      </c>
      <c r="H380" s="1" t="s">
        <v>98</v>
      </c>
      <c r="I380" s="1" t="s">
        <v>176</v>
      </c>
    </row>
    <row r="381" customFormat="false" ht="14.25" hidden="false" customHeight="true" outlineLevel="0" collapsed="false">
      <c r="A381" s="1" t="s">
        <v>805</v>
      </c>
      <c r="B381" s="1" t="s">
        <v>46</v>
      </c>
      <c r="C381" s="1" t="s">
        <v>72</v>
      </c>
      <c r="D381" s="1" t="s">
        <v>59</v>
      </c>
      <c r="E381" s="1" t="s">
        <v>163</v>
      </c>
      <c r="F381" s="1" t="s">
        <v>150</v>
      </c>
      <c r="G381" s="1" t="s">
        <v>137</v>
      </c>
      <c r="H381" s="1" t="s">
        <v>98</v>
      </c>
      <c r="I381" s="1" t="s">
        <v>176</v>
      </c>
    </row>
    <row r="382" customFormat="false" ht="14.25" hidden="false" customHeight="true" outlineLevel="0" collapsed="false">
      <c r="A382" s="1" t="s">
        <v>806</v>
      </c>
      <c r="B382" s="1" t="s">
        <v>46</v>
      </c>
      <c r="C382" s="1" t="s">
        <v>72</v>
      </c>
      <c r="D382" s="1" t="s">
        <v>59</v>
      </c>
      <c r="E382" s="1" t="s">
        <v>163</v>
      </c>
      <c r="F382" s="1" t="s">
        <v>137</v>
      </c>
      <c r="G382" s="1" t="s">
        <v>124</v>
      </c>
      <c r="H382" s="1" t="s">
        <v>111</v>
      </c>
      <c r="I382" s="1" t="s">
        <v>150</v>
      </c>
    </row>
    <row r="383" customFormat="false" ht="14.25" hidden="false" customHeight="true" outlineLevel="0" collapsed="false">
      <c r="A383" s="1" t="s">
        <v>807</v>
      </c>
      <c r="B383" s="1" t="s">
        <v>46</v>
      </c>
      <c r="C383" s="1" t="s">
        <v>72</v>
      </c>
      <c r="D383" s="1" t="s">
        <v>59</v>
      </c>
      <c r="E383" s="1" t="s">
        <v>124</v>
      </c>
      <c r="F383" s="1" t="s">
        <v>137</v>
      </c>
      <c r="G383" s="1" t="s">
        <v>150</v>
      </c>
      <c r="H383" s="1" t="s">
        <v>111</v>
      </c>
      <c r="I383" s="1" t="s">
        <v>176</v>
      </c>
    </row>
    <row r="384" customFormat="false" ht="14.25" hidden="false" customHeight="true" outlineLevel="0" collapsed="false">
      <c r="A384" s="1" t="s">
        <v>808</v>
      </c>
      <c r="B384" s="1" t="s">
        <v>59</v>
      </c>
      <c r="C384" s="1" t="s">
        <v>72</v>
      </c>
      <c r="D384" s="1" t="s">
        <v>137</v>
      </c>
      <c r="E384" s="1" t="s">
        <v>163</v>
      </c>
      <c r="F384" s="1" t="s">
        <v>46</v>
      </c>
      <c r="G384" s="1" t="s">
        <v>124</v>
      </c>
      <c r="H384" s="1" t="s">
        <v>111</v>
      </c>
      <c r="I384" s="1" t="s">
        <v>176</v>
      </c>
    </row>
    <row r="385" customFormat="false" ht="14.25" hidden="false" customHeight="true" outlineLevel="0" collapsed="false">
      <c r="A385" s="1" t="s">
        <v>809</v>
      </c>
      <c r="B385" s="1" t="s">
        <v>72</v>
      </c>
      <c r="C385" s="1" t="s">
        <v>111</v>
      </c>
      <c r="D385" s="1" t="s">
        <v>59</v>
      </c>
      <c r="E385" s="1" t="s">
        <v>163</v>
      </c>
      <c r="F385" s="1" t="s">
        <v>46</v>
      </c>
      <c r="G385" s="1" t="s">
        <v>124</v>
      </c>
      <c r="H385" s="1" t="s">
        <v>150</v>
      </c>
      <c r="I385" s="1" t="s">
        <v>176</v>
      </c>
    </row>
    <row r="386" customFormat="false" ht="14.25" hidden="false" customHeight="true" outlineLevel="0" collapsed="false">
      <c r="A386" s="1" t="s">
        <v>810</v>
      </c>
      <c r="B386" s="1" t="s">
        <v>46</v>
      </c>
      <c r="C386" s="1" t="s">
        <v>72</v>
      </c>
      <c r="D386" s="1" t="s">
        <v>59</v>
      </c>
      <c r="E386" s="1" t="s">
        <v>163</v>
      </c>
      <c r="F386" s="1" t="s">
        <v>150</v>
      </c>
      <c r="G386" s="1" t="s">
        <v>137</v>
      </c>
      <c r="H386" s="1" t="s">
        <v>111</v>
      </c>
      <c r="I386" s="1" t="s">
        <v>176</v>
      </c>
    </row>
    <row r="387" customFormat="false" ht="14.25" hidden="false" customHeight="true" outlineLevel="0" collapsed="false">
      <c r="A387" s="1" t="s">
        <v>811</v>
      </c>
      <c r="B387" s="1" t="s">
        <v>72</v>
      </c>
      <c r="C387" s="1" t="s">
        <v>124</v>
      </c>
      <c r="D387" s="1" t="s">
        <v>59</v>
      </c>
      <c r="E387" s="1" t="s">
        <v>163</v>
      </c>
      <c r="F387" s="1" t="s">
        <v>46</v>
      </c>
      <c r="G387" s="1" t="s">
        <v>150</v>
      </c>
      <c r="H387" s="1" t="s">
        <v>137</v>
      </c>
      <c r="I387" s="1" t="s">
        <v>176</v>
      </c>
    </row>
    <row r="388" customFormat="false" ht="14.25" hidden="false" customHeight="true" outlineLevel="0" collapsed="false">
      <c r="A388" s="1" t="s">
        <v>812</v>
      </c>
      <c r="B388" s="1" t="s">
        <v>46</v>
      </c>
      <c r="C388" s="1" t="s">
        <v>111</v>
      </c>
      <c r="D388" s="1" t="s">
        <v>59</v>
      </c>
      <c r="E388" s="1" t="s">
        <v>124</v>
      </c>
      <c r="F388" s="1" t="s">
        <v>98</v>
      </c>
      <c r="G388" s="1" t="s">
        <v>137</v>
      </c>
      <c r="H388" s="1" t="s">
        <v>150</v>
      </c>
      <c r="I388" s="1" t="s">
        <v>85</v>
      </c>
    </row>
    <row r="389" customFormat="false" ht="14.25" hidden="false" customHeight="true" outlineLevel="0" collapsed="false">
      <c r="A389" s="1" t="s">
        <v>813</v>
      </c>
      <c r="B389" s="1" t="s">
        <v>46</v>
      </c>
      <c r="C389" s="1" t="s">
        <v>59</v>
      </c>
      <c r="D389" s="1" t="s">
        <v>137</v>
      </c>
      <c r="E389" s="1" t="s">
        <v>163</v>
      </c>
      <c r="F389" s="1" t="s">
        <v>98</v>
      </c>
      <c r="G389" s="1" t="s">
        <v>124</v>
      </c>
      <c r="H389" s="1" t="s">
        <v>111</v>
      </c>
      <c r="I389" s="1" t="s">
        <v>85</v>
      </c>
    </row>
    <row r="390" customFormat="false" ht="14.25" hidden="false" customHeight="true" outlineLevel="0" collapsed="false">
      <c r="A390" s="1" t="s">
        <v>814</v>
      </c>
      <c r="B390" s="1" t="s">
        <v>46</v>
      </c>
      <c r="C390" s="1" t="s">
        <v>59</v>
      </c>
      <c r="D390" s="1" t="s">
        <v>137</v>
      </c>
      <c r="E390" s="1" t="s">
        <v>85</v>
      </c>
      <c r="F390" s="1" t="s">
        <v>98</v>
      </c>
      <c r="G390" s="1" t="s">
        <v>124</v>
      </c>
      <c r="H390" s="1" t="s">
        <v>111</v>
      </c>
      <c r="I390" s="1" t="s">
        <v>176</v>
      </c>
    </row>
    <row r="391" customFormat="false" ht="14.25" hidden="false" customHeight="true" outlineLevel="0" collapsed="false">
      <c r="A391" s="1" t="s">
        <v>815</v>
      </c>
      <c r="B391" s="1" t="s">
        <v>46</v>
      </c>
      <c r="C391" s="1" t="s">
        <v>98</v>
      </c>
      <c r="D391" s="1" t="s">
        <v>59</v>
      </c>
      <c r="E391" s="1" t="s">
        <v>163</v>
      </c>
      <c r="F391" s="1" t="s">
        <v>150</v>
      </c>
      <c r="G391" s="1" t="s">
        <v>124</v>
      </c>
      <c r="H391" s="1" t="s">
        <v>111</v>
      </c>
      <c r="I391" s="1" t="s">
        <v>85</v>
      </c>
    </row>
    <row r="392" customFormat="false" ht="14.25" hidden="false" customHeight="true" outlineLevel="0" collapsed="false">
      <c r="A392" s="1" t="s">
        <v>816</v>
      </c>
      <c r="B392" s="1" t="s">
        <v>46</v>
      </c>
      <c r="C392" s="1" t="s">
        <v>111</v>
      </c>
      <c r="D392" s="1" t="s">
        <v>59</v>
      </c>
      <c r="E392" s="1" t="s">
        <v>85</v>
      </c>
      <c r="F392" s="1" t="s">
        <v>98</v>
      </c>
      <c r="G392" s="1" t="s">
        <v>124</v>
      </c>
      <c r="H392" s="1" t="s">
        <v>150</v>
      </c>
      <c r="I392" s="1" t="s">
        <v>176</v>
      </c>
    </row>
    <row r="393" customFormat="false" ht="14.25" hidden="false" customHeight="true" outlineLevel="0" collapsed="false">
      <c r="A393" s="1" t="s">
        <v>817</v>
      </c>
      <c r="B393" s="1" t="s">
        <v>59</v>
      </c>
      <c r="C393" s="1" t="s">
        <v>111</v>
      </c>
      <c r="D393" s="1" t="s">
        <v>124</v>
      </c>
      <c r="E393" s="1" t="s">
        <v>163</v>
      </c>
      <c r="F393" s="1" t="s">
        <v>46</v>
      </c>
      <c r="G393" s="1" t="s">
        <v>85</v>
      </c>
      <c r="H393" s="1" t="s">
        <v>98</v>
      </c>
      <c r="I393" s="1" t="s">
        <v>176</v>
      </c>
    </row>
    <row r="394" customFormat="false" ht="14.25" hidden="false" customHeight="true" outlineLevel="0" collapsed="false">
      <c r="A394" s="1" t="s">
        <v>818</v>
      </c>
      <c r="B394" s="1" t="s">
        <v>46</v>
      </c>
      <c r="C394" s="1" t="s">
        <v>59</v>
      </c>
      <c r="D394" s="1" t="s">
        <v>98</v>
      </c>
      <c r="E394" s="1" t="s">
        <v>163</v>
      </c>
      <c r="F394" s="1" t="s">
        <v>150</v>
      </c>
      <c r="G394" s="1" t="s">
        <v>85</v>
      </c>
      <c r="H394" s="1" t="s">
        <v>111</v>
      </c>
      <c r="I394" s="1" t="s">
        <v>137</v>
      </c>
    </row>
    <row r="395" customFormat="false" ht="14.25" hidden="false" customHeight="true" outlineLevel="0" collapsed="false">
      <c r="A395" s="1" t="s">
        <v>819</v>
      </c>
      <c r="B395" s="1" t="s">
        <v>46</v>
      </c>
      <c r="C395" s="1" t="s">
        <v>59</v>
      </c>
      <c r="D395" s="1" t="s">
        <v>98</v>
      </c>
      <c r="E395" s="1" t="s">
        <v>85</v>
      </c>
      <c r="F395" s="1" t="s">
        <v>150</v>
      </c>
      <c r="G395" s="1" t="s">
        <v>137</v>
      </c>
      <c r="H395" s="1" t="s">
        <v>111</v>
      </c>
      <c r="I395" s="1" t="s">
        <v>176</v>
      </c>
    </row>
    <row r="396" customFormat="false" ht="14.25" hidden="false" customHeight="true" outlineLevel="0" collapsed="false">
      <c r="A396" s="1" t="s">
        <v>820</v>
      </c>
      <c r="B396" s="1" t="s">
        <v>46</v>
      </c>
      <c r="C396" s="1" t="s">
        <v>59</v>
      </c>
      <c r="D396" s="1" t="s">
        <v>137</v>
      </c>
      <c r="E396" s="1" t="s">
        <v>163</v>
      </c>
      <c r="F396" s="1" t="s">
        <v>98</v>
      </c>
      <c r="G396" s="1" t="s">
        <v>85</v>
      </c>
      <c r="H396" s="1" t="s">
        <v>111</v>
      </c>
      <c r="I396" s="1" t="s">
        <v>176</v>
      </c>
    </row>
    <row r="397" customFormat="false" ht="14.25" hidden="false" customHeight="true" outlineLevel="0" collapsed="false">
      <c r="A397" s="1" t="s">
        <v>821</v>
      </c>
      <c r="B397" s="1" t="s">
        <v>46</v>
      </c>
      <c r="C397" s="1" t="s">
        <v>98</v>
      </c>
      <c r="D397" s="1" t="s">
        <v>59</v>
      </c>
      <c r="E397" s="1" t="s">
        <v>163</v>
      </c>
      <c r="F397" s="1" t="s">
        <v>150</v>
      </c>
      <c r="G397" s="1" t="s">
        <v>85</v>
      </c>
      <c r="H397" s="1" t="s">
        <v>111</v>
      </c>
      <c r="I397" s="1" t="s">
        <v>176</v>
      </c>
    </row>
    <row r="398" customFormat="false" ht="14.25" hidden="false" customHeight="true" outlineLevel="0" collapsed="false">
      <c r="A398" s="1" t="s">
        <v>822</v>
      </c>
      <c r="B398" s="1" t="s">
        <v>46</v>
      </c>
      <c r="C398" s="1" t="s">
        <v>59</v>
      </c>
      <c r="D398" s="1" t="s">
        <v>98</v>
      </c>
      <c r="E398" s="1" t="s">
        <v>163</v>
      </c>
      <c r="F398" s="1" t="s">
        <v>150</v>
      </c>
      <c r="G398" s="1" t="s">
        <v>124</v>
      </c>
      <c r="H398" s="1" t="s">
        <v>137</v>
      </c>
      <c r="I398" s="1" t="s">
        <v>85</v>
      </c>
    </row>
    <row r="399" customFormat="false" ht="14.25" hidden="false" customHeight="true" outlineLevel="0" collapsed="false">
      <c r="A399" s="1" t="s">
        <v>823</v>
      </c>
      <c r="B399" s="1" t="s">
        <v>46</v>
      </c>
      <c r="C399" s="1" t="s">
        <v>59</v>
      </c>
      <c r="D399" s="1" t="s">
        <v>98</v>
      </c>
      <c r="E399" s="1" t="s">
        <v>85</v>
      </c>
      <c r="F399" s="1" t="s">
        <v>150</v>
      </c>
      <c r="G399" s="1" t="s">
        <v>124</v>
      </c>
      <c r="H399" s="1" t="s">
        <v>137</v>
      </c>
      <c r="I399" s="1" t="s">
        <v>176</v>
      </c>
    </row>
    <row r="400" customFormat="false" ht="14.25" hidden="false" customHeight="true" outlineLevel="0" collapsed="false">
      <c r="A400" s="1" t="s">
        <v>824</v>
      </c>
      <c r="B400" s="1" t="s">
        <v>46</v>
      </c>
      <c r="C400" s="1" t="s">
        <v>59</v>
      </c>
      <c r="D400" s="1" t="s">
        <v>124</v>
      </c>
      <c r="E400" s="1" t="s">
        <v>163</v>
      </c>
      <c r="F400" s="1" t="s">
        <v>137</v>
      </c>
      <c r="G400" s="1" t="s">
        <v>85</v>
      </c>
      <c r="H400" s="1" t="s">
        <v>98</v>
      </c>
      <c r="I400" s="1" t="s">
        <v>176</v>
      </c>
    </row>
    <row r="401" customFormat="false" ht="14.25" hidden="false" customHeight="true" outlineLevel="0" collapsed="false">
      <c r="A401" s="1" t="s">
        <v>825</v>
      </c>
      <c r="B401" s="1" t="s">
        <v>46</v>
      </c>
      <c r="C401" s="1" t="s">
        <v>59</v>
      </c>
      <c r="D401" s="1" t="s">
        <v>124</v>
      </c>
      <c r="E401" s="1" t="s">
        <v>163</v>
      </c>
      <c r="F401" s="1" t="s">
        <v>150</v>
      </c>
      <c r="G401" s="1" t="s">
        <v>85</v>
      </c>
      <c r="H401" s="1" t="s">
        <v>98</v>
      </c>
      <c r="I401" s="1" t="s">
        <v>176</v>
      </c>
    </row>
    <row r="402" customFormat="false" ht="14.25" hidden="false" customHeight="true" outlineLevel="0" collapsed="false">
      <c r="A402" s="1" t="s">
        <v>826</v>
      </c>
      <c r="B402" s="1" t="s">
        <v>46</v>
      </c>
      <c r="C402" s="1" t="s">
        <v>59</v>
      </c>
      <c r="D402" s="1" t="s">
        <v>98</v>
      </c>
      <c r="E402" s="1" t="s">
        <v>163</v>
      </c>
      <c r="F402" s="1" t="s">
        <v>150</v>
      </c>
      <c r="G402" s="1" t="s">
        <v>85</v>
      </c>
      <c r="H402" s="1" t="s">
        <v>137</v>
      </c>
      <c r="I402" s="1" t="s">
        <v>176</v>
      </c>
    </row>
    <row r="403" customFormat="false" ht="14.25" hidden="false" customHeight="true" outlineLevel="0" collapsed="false">
      <c r="A403" s="1" t="s">
        <v>827</v>
      </c>
      <c r="B403" s="1" t="s">
        <v>46</v>
      </c>
      <c r="C403" s="1" t="s">
        <v>59</v>
      </c>
      <c r="D403" s="1" t="s">
        <v>124</v>
      </c>
      <c r="E403" s="1" t="s">
        <v>163</v>
      </c>
      <c r="F403" s="1" t="s">
        <v>137</v>
      </c>
      <c r="G403" s="1" t="s">
        <v>150</v>
      </c>
      <c r="H403" s="1" t="s">
        <v>111</v>
      </c>
      <c r="I403" s="1" t="s">
        <v>85</v>
      </c>
    </row>
    <row r="404" customFormat="false" ht="14.25" hidden="false" customHeight="true" outlineLevel="0" collapsed="false">
      <c r="A404" s="1" t="s">
        <v>828</v>
      </c>
      <c r="B404" s="1" t="s">
        <v>46</v>
      </c>
      <c r="C404" s="1" t="s">
        <v>59</v>
      </c>
      <c r="D404" s="1" t="s">
        <v>124</v>
      </c>
      <c r="E404" s="1" t="s">
        <v>137</v>
      </c>
      <c r="F404" s="1" t="s">
        <v>85</v>
      </c>
      <c r="G404" s="1" t="s">
        <v>150</v>
      </c>
      <c r="H404" s="1" t="s">
        <v>111</v>
      </c>
      <c r="I404" s="1" t="s">
        <v>176</v>
      </c>
    </row>
    <row r="405" customFormat="false" ht="14.25" hidden="false" customHeight="true" outlineLevel="0" collapsed="false">
      <c r="A405" s="1" t="s">
        <v>829</v>
      </c>
      <c r="B405" s="1" t="s">
        <v>46</v>
      </c>
      <c r="C405" s="1" t="s">
        <v>59</v>
      </c>
      <c r="D405" s="1" t="s">
        <v>137</v>
      </c>
      <c r="E405" s="1" t="s">
        <v>163</v>
      </c>
      <c r="F405" s="1" t="s">
        <v>85</v>
      </c>
      <c r="G405" s="1" t="s">
        <v>124</v>
      </c>
      <c r="H405" s="1" t="s">
        <v>111</v>
      </c>
      <c r="I405" s="1" t="s">
        <v>176</v>
      </c>
    </row>
    <row r="406" customFormat="false" ht="14.25" hidden="false" customHeight="true" outlineLevel="0" collapsed="false">
      <c r="A406" s="1" t="s">
        <v>830</v>
      </c>
      <c r="B406" s="1" t="s">
        <v>46</v>
      </c>
      <c r="C406" s="1" t="s">
        <v>111</v>
      </c>
      <c r="D406" s="1" t="s">
        <v>59</v>
      </c>
      <c r="E406" s="1" t="s">
        <v>163</v>
      </c>
      <c r="F406" s="1" t="s">
        <v>85</v>
      </c>
      <c r="G406" s="1" t="s">
        <v>124</v>
      </c>
      <c r="H406" s="1" t="s">
        <v>150</v>
      </c>
      <c r="I406" s="1" t="s">
        <v>176</v>
      </c>
    </row>
    <row r="407" customFormat="false" ht="14.25" hidden="false" customHeight="true" outlineLevel="0" collapsed="false">
      <c r="A407" s="1" t="s">
        <v>831</v>
      </c>
      <c r="B407" s="1" t="s">
        <v>46</v>
      </c>
      <c r="C407" s="1" t="s">
        <v>59</v>
      </c>
      <c r="D407" s="1" t="s">
        <v>85</v>
      </c>
      <c r="E407" s="1" t="s">
        <v>163</v>
      </c>
      <c r="F407" s="1" t="s">
        <v>150</v>
      </c>
      <c r="G407" s="1" t="s">
        <v>137</v>
      </c>
      <c r="H407" s="1" t="s">
        <v>111</v>
      </c>
      <c r="I407" s="1" t="s">
        <v>176</v>
      </c>
    </row>
    <row r="408" customFormat="false" ht="14.25" hidden="false" customHeight="true" outlineLevel="0" collapsed="false">
      <c r="A408" s="1" t="s">
        <v>832</v>
      </c>
      <c r="B408" s="1" t="s">
        <v>46</v>
      </c>
      <c r="C408" s="1" t="s">
        <v>59</v>
      </c>
      <c r="D408" s="1" t="s">
        <v>124</v>
      </c>
      <c r="E408" s="1" t="s">
        <v>163</v>
      </c>
      <c r="F408" s="1" t="s">
        <v>137</v>
      </c>
      <c r="G408" s="1" t="s">
        <v>150</v>
      </c>
      <c r="H408" s="1" t="s">
        <v>85</v>
      </c>
      <c r="I408" s="1" t="s">
        <v>176</v>
      </c>
    </row>
    <row r="409" customFormat="false" ht="14.25" hidden="false" customHeight="true" outlineLevel="0" collapsed="false">
      <c r="A409" s="1" t="s">
        <v>833</v>
      </c>
      <c r="B409" s="1" t="s">
        <v>46</v>
      </c>
      <c r="C409" s="1" t="s">
        <v>98</v>
      </c>
      <c r="D409" s="1" t="s">
        <v>59</v>
      </c>
      <c r="E409" s="1" t="s">
        <v>163</v>
      </c>
      <c r="F409" s="1" t="s">
        <v>150</v>
      </c>
      <c r="G409" s="1" t="s">
        <v>124</v>
      </c>
      <c r="H409" s="1" t="s">
        <v>111</v>
      </c>
      <c r="I409" s="1" t="s">
        <v>137</v>
      </c>
    </row>
    <row r="410" customFormat="false" ht="14.25" hidden="false" customHeight="true" outlineLevel="0" collapsed="false">
      <c r="A410" s="1" t="s">
        <v>834</v>
      </c>
      <c r="B410" s="1" t="s">
        <v>46</v>
      </c>
      <c r="C410" s="1" t="s">
        <v>111</v>
      </c>
      <c r="D410" s="1" t="s">
        <v>59</v>
      </c>
      <c r="E410" s="1" t="s">
        <v>124</v>
      </c>
      <c r="F410" s="1" t="s">
        <v>98</v>
      </c>
      <c r="G410" s="1" t="s">
        <v>137</v>
      </c>
      <c r="H410" s="1" t="s">
        <v>150</v>
      </c>
      <c r="I410" s="1" t="s">
        <v>176</v>
      </c>
    </row>
    <row r="411" customFormat="false" ht="14.25" hidden="false" customHeight="true" outlineLevel="0" collapsed="false">
      <c r="A411" s="1" t="s">
        <v>835</v>
      </c>
      <c r="B411" s="1" t="s">
        <v>46</v>
      </c>
      <c r="C411" s="1" t="s">
        <v>59</v>
      </c>
      <c r="D411" s="1" t="s">
        <v>137</v>
      </c>
      <c r="E411" s="1" t="s">
        <v>163</v>
      </c>
      <c r="F411" s="1" t="s">
        <v>98</v>
      </c>
      <c r="G411" s="1" t="s">
        <v>124</v>
      </c>
      <c r="H411" s="1" t="s">
        <v>111</v>
      </c>
      <c r="I411" s="1" t="s">
        <v>176</v>
      </c>
    </row>
    <row r="412" customFormat="false" ht="14.25" hidden="false" customHeight="true" outlineLevel="0" collapsed="false">
      <c r="A412" s="1" t="s">
        <v>836</v>
      </c>
      <c r="B412" s="1" t="s">
        <v>46</v>
      </c>
      <c r="C412" s="1" t="s">
        <v>98</v>
      </c>
      <c r="D412" s="1" t="s">
        <v>59</v>
      </c>
      <c r="E412" s="1" t="s">
        <v>163</v>
      </c>
      <c r="F412" s="1" t="s">
        <v>150</v>
      </c>
      <c r="G412" s="1" t="s">
        <v>124</v>
      </c>
      <c r="H412" s="1" t="s">
        <v>111</v>
      </c>
      <c r="I412" s="1" t="s">
        <v>176</v>
      </c>
    </row>
    <row r="413" customFormat="false" ht="14.25" hidden="false" customHeight="true" outlineLevel="0" collapsed="false">
      <c r="A413" s="1" t="s">
        <v>837</v>
      </c>
      <c r="B413" s="1" t="s">
        <v>46</v>
      </c>
      <c r="C413" s="1" t="s">
        <v>98</v>
      </c>
      <c r="D413" s="1" t="s">
        <v>59</v>
      </c>
      <c r="E413" s="1" t="s">
        <v>163</v>
      </c>
      <c r="F413" s="1" t="s">
        <v>150</v>
      </c>
      <c r="G413" s="1" t="s">
        <v>137</v>
      </c>
      <c r="H413" s="1" t="s">
        <v>111</v>
      </c>
      <c r="I413" s="1" t="s">
        <v>176</v>
      </c>
    </row>
    <row r="414" customFormat="false" ht="14.25" hidden="false" customHeight="true" outlineLevel="0" collapsed="false">
      <c r="A414" s="1" t="s">
        <v>838</v>
      </c>
      <c r="B414" s="1" t="s">
        <v>46</v>
      </c>
      <c r="C414" s="1" t="s">
        <v>59</v>
      </c>
      <c r="D414" s="1" t="s">
        <v>98</v>
      </c>
      <c r="E414" s="1" t="s">
        <v>163</v>
      </c>
      <c r="F414" s="1" t="s">
        <v>150</v>
      </c>
      <c r="G414" s="1" t="s">
        <v>124</v>
      </c>
      <c r="H414" s="1" t="s">
        <v>137</v>
      </c>
      <c r="I414" s="1" t="s">
        <v>176</v>
      </c>
    </row>
    <row r="415" customFormat="false" ht="14.25" hidden="false" customHeight="true" outlineLevel="0" collapsed="false">
      <c r="A415" s="1" t="s">
        <v>839</v>
      </c>
      <c r="B415" s="1" t="s">
        <v>46</v>
      </c>
      <c r="C415" s="1" t="s">
        <v>111</v>
      </c>
      <c r="D415" s="1" t="s">
        <v>59</v>
      </c>
      <c r="E415" s="1" t="s">
        <v>163</v>
      </c>
      <c r="F415" s="1" t="s">
        <v>137</v>
      </c>
      <c r="G415" s="1" t="s">
        <v>124</v>
      </c>
      <c r="H415" s="1" t="s">
        <v>150</v>
      </c>
      <c r="I415" s="1" t="s">
        <v>176</v>
      </c>
    </row>
    <row r="416" customFormat="false" ht="14.25" hidden="false" customHeight="true" outlineLevel="0" collapsed="false">
      <c r="A416" s="1" t="s">
        <v>840</v>
      </c>
      <c r="B416" s="1" t="s">
        <v>46</v>
      </c>
      <c r="C416" s="1" t="s">
        <v>72</v>
      </c>
      <c r="D416" s="1" t="s">
        <v>98</v>
      </c>
      <c r="E416" s="1" t="s">
        <v>124</v>
      </c>
      <c r="F416" s="1" t="s">
        <v>137</v>
      </c>
      <c r="G416" s="1" t="s">
        <v>150</v>
      </c>
      <c r="H416" s="1" t="s">
        <v>111</v>
      </c>
      <c r="I416" s="1" t="s">
        <v>85</v>
      </c>
    </row>
    <row r="417" customFormat="false" ht="14.25" hidden="false" customHeight="true" outlineLevel="0" collapsed="false">
      <c r="A417" s="1" t="s">
        <v>841</v>
      </c>
      <c r="B417" s="1" t="s">
        <v>46</v>
      </c>
      <c r="C417" s="1" t="s">
        <v>111</v>
      </c>
      <c r="D417" s="1" t="s">
        <v>124</v>
      </c>
      <c r="E417" s="1" t="s">
        <v>163</v>
      </c>
      <c r="F417" s="1" t="s">
        <v>98</v>
      </c>
      <c r="G417" s="1" t="s">
        <v>85</v>
      </c>
      <c r="H417" s="1" t="s">
        <v>137</v>
      </c>
      <c r="I417" s="1" t="s">
        <v>72</v>
      </c>
    </row>
    <row r="418" customFormat="false" ht="14.25" hidden="false" customHeight="true" outlineLevel="0" collapsed="false">
      <c r="A418" s="1" t="s">
        <v>842</v>
      </c>
      <c r="B418" s="1" t="s">
        <v>46</v>
      </c>
      <c r="C418" s="1" t="s">
        <v>72</v>
      </c>
      <c r="D418" s="1" t="s">
        <v>137</v>
      </c>
      <c r="E418" s="1" t="s">
        <v>85</v>
      </c>
      <c r="F418" s="1" t="s">
        <v>98</v>
      </c>
      <c r="G418" s="1" t="s">
        <v>124</v>
      </c>
      <c r="H418" s="1" t="s">
        <v>111</v>
      </c>
      <c r="I418" s="1" t="s">
        <v>176</v>
      </c>
    </row>
    <row r="419" customFormat="false" ht="14.25" hidden="false" customHeight="true" outlineLevel="0" collapsed="false">
      <c r="A419" s="1" t="s">
        <v>843</v>
      </c>
      <c r="B419" s="1" t="s">
        <v>46</v>
      </c>
      <c r="C419" s="1" t="s">
        <v>111</v>
      </c>
      <c r="D419" s="1" t="s">
        <v>85</v>
      </c>
      <c r="E419" s="1" t="s">
        <v>163</v>
      </c>
      <c r="F419" s="1" t="s">
        <v>98</v>
      </c>
      <c r="G419" s="1" t="s">
        <v>124</v>
      </c>
      <c r="H419" s="1" t="s">
        <v>150</v>
      </c>
      <c r="I419" s="1" t="s">
        <v>72</v>
      </c>
    </row>
    <row r="420" customFormat="false" ht="14.25" hidden="false" customHeight="true" outlineLevel="0" collapsed="false">
      <c r="A420" s="1" t="s">
        <v>844</v>
      </c>
      <c r="B420" s="1" t="s">
        <v>46</v>
      </c>
      <c r="C420" s="1" t="s">
        <v>72</v>
      </c>
      <c r="D420" s="1" t="s">
        <v>85</v>
      </c>
      <c r="E420" s="1" t="s">
        <v>124</v>
      </c>
      <c r="F420" s="1" t="s">
        <v>98</v>
      </c>
      <c r="G420" s="1" t="s">
        <v>150</v>
      </c>
      <c r="H420" s="1" t="s">
        <v>111</v>
      </c>
      <c r="I420" s="1" t="s">
        <v>176</v>
      </c>
    </row>
    <row r="421" customFormat="false" ht="14.25" hidden="false" customHeight="true" outlineLevel="0" collapsed="false">
      <c r="A421" s="1" t="s">
        <v>845</v>
      </c>
      <c r="B421" s="1" t="s">
        <v>72</v>
      </c>
      <c r="C421" s="1" t="s">
        <v>124</v>
      </c>
      <c r="D421" s="1" t="s">
        <v>98</v>
      </c>
      <c r="E421" s="1" t="s">
        <v>163</v>
      </c>
      <c r="F421" s="1" t="s">
        <v>46</v>
      </c>
      <c r="G421" s="1" t="s">
        <v>85</v>
      </c>
      <c r="H421" s="1" t="s">
        <v>111</v>
      </c>
      <c r="I421" s="1" t="s">
        <v>176</v>
      </c>
    </row>
    <row r="422" customFormat="false" ht="14.25" hidden="false" customHeight="true" outlineLevel="0" collapsed="false">
      <c r="A422" s="1" t="s">
        <v>846</v>
      </c>
      <c r="B422" s="1" t="s">
        <v>46</v>
      </c>
      <c r="C422" s="1" t="s">
        <v>72</v>
      </c>
      <c r="D422" s="1" t="s">
        <v>85</v>
      </c>
      <c r="E422" s="1" t="s">
        <v>163</v>
      </c>
      <c r="F422" s="1" t="s">
        <v>98</v>
      </c>
      <c r="G422" s="1" t="s">
        <v>137</v>
      </c>
      <c r="H422" s="1" t="s">
        <v>111</v>
      </c>
      <c r="I422" s="1" t="s">
        <v>150</v>
      </c>
    </row>
    <row r="423" customFormat="false" ht="14.25" hidden="false" customHeight="true" outlineLevel="0" collapsed="false">
      <c r="A423" s="1" t="s">
        <v>847</v>
      </c>
      <c r="B423" s="1" t="s">
        <v>46</v>
      </c>
      <c r="C423" s="1" t="s">
        <v>72</v>
      </c>
      <c r="D423" s="1" t="s">
        <v>85</v>
      </c>
      <c r="E423" s="1" t="s">
        <v>137</v>
      </c>
      <c r="F423" s="1" t="s">
        <v>98</v>
      </c>
      <c r="G423" s="1" t="s">
        <v>150</v>
      </c>
      <c r="H423" s="1" t="s">
        <v>111</v>
      </c>
      <c r="I423" s="1" t="s">
        <v>176</v>
      </c>
    </row>
    <row r="424" customFormat="false" ht="14.25" hidden="false" customHeight="true" outlineLevel="0" collapsed="false">
      <c r="A424" s="1" t="s">
        <v>848</v>
      </c>
      <c r="B424" s="1" t="s">
        <v>46</v>
      </c>
      <c r="C424" s="1" t="s">
        <v>72</v>
      </c>
      <c r="D424" s="1" t="s">
        <v>98</v>
      </c>
      <c r="E424" s="1" t="s">
        <v>163</v>
      </c>
      <c r="F424" s="1" t="s">
        <v>137</v>
      </c>
      <c r="G424" s="1" t="s">
        <v>85</v>
      </c>
      <c r="H424" s="1" t="s">
        <v>111</v>
      </c>
      <c r="I424" s="1" t="s">
        <v>176</v>
      </c>
    </row>
    <row r="425" customFormat="false" ht="14.25" hidden="false" customHeight="true" outlineLevel="0" collapsed="false">
      <c r="A425" s="1" t="s">
        <v>849</v>
      </c>
      <c r="B425" s="1" t="s">
        <v>72</v>
      </c>
      <c r="C425" s="1" t="s">
        <v>111</v>
      </c>
      <c r="D425" s="1" t="s">
        <v>85</v>
      </c>
      <c r="E425" s="1" t="s">
        <v>163</v>
      </c>
      <c r="F425" s="1" t="s">
        <v>46</v>
      </c>
      <c r="G425" s="1" t="s">
        <v>150</v>
      </c>
      <c r="H425" s="1" t="s">
        <v>98</v>
      </c>
      <c r="I425" s="1" t="s">
        <v>176</v>
      </c>
    </row>
    <row r="426" customFormat="false" ht="14.25" hidden="false" customHeight="true" outlineLevel="0" collapsed="false">
      <c r="A426" s="1" t="s">
        <v>850</v>
      </c>
      <c r="B426" s="1" t="s">
        <v>46</v>
      </c>
      <c r="C426" s="1" t="s">
        <v>72</v>
      </c>
      <c r="D426" s="1" t="s">
        <v>98</v>
      </c>
      <c r="E426" s="1" t="s">
        <v>163</v>
      </c>
      <c r="F426" s="1" t="s">
        <v>150</v>
      </c>
      <c r="G426" s="1" t="s">
        <v>124</v>
      </c>
      <c r="H426" s="1" t="s">
        <v>137</v>
      </c>
      <c r="I426" s="1" t="s">
        <v>85</v>
      </c>
    </row>
    <row r="427" customFormat="false" ht="14.25" hidden="false" customHeight="true" outlineLevel="0" collapsed="false">
      <c r="A427" s="1" t="s">
        <v>851</v>
      </c>
      <c r="B427" s="1" t="s">
        <v>46</v>
      </c>
      <c r="C427" s="1" t="s">
        <v>72</v>
      </c>
      <c r="D427" s="1" t="s">
        <v>85</v>
      </c>
      <c r="E427" s="1" t="s">
        <v>124</v>
      </c>
      <c r="F427" s="1" t="s">
        <v>150</v>
      </c>
      <c r="G427" s="1" t="s">
        <v>137</v>
      </c>
      <c r="H427" s="1" t="s">
        <v>98</v>
      </c>
      <c r="I427" s="1" t="s">
        <v>176</v>
      </c>
    </row>
    <row r="428" customFormat="false" ht="14.25" hidden="false" customHeight="true" outlineLevel="0" collapsed="false">
      <c r="A428" s="1" t="s">
        <v>852</v>
      </c>
      <c r="B428" s="1" t="s">
        <v>46</v>
      </c>
      <c r="C428" s="1" t="s">
        <v>72</v>
      </c>
      <c r="D428" s="1" t="s">
        <v>124</v>
      </c>
      <c r="E428" s="1" t="s">
        <v>163</v>
      </c>
      <c r="F428" s="1" t="s">
        <v>137</v>
      </c>
      <c r="G428" s="1" t="s">
        <v>85</v>
      </c>
      <c r="H428" s="1" t="s">
        <v>98</v>
      </c>
      <c r="I428" s="1" t="s">
        <v>176</v>
      </c>
    </row>
    <row r="429" customFormat="false" ht="14.25" hidden="false" customHeight="true" outlineLevel="0" collapsed="false">
      <c r="A429" s="1" t="s">
        <v>853</v>
      </c>
      <c r="B429" s="1" t="s">
        <v>46</v>
      </c>
      <c r="C429" s="1" t="s">
        <v>72</v>
      </c>
      <c r="D429" s="1" t="s">
        <v>85</v>
      </c>
      <c r="E429" s="1" t="s">
        <v>163</v>
      </c>
      <c r="F429" s="1" t="s">
        <v>150</v>
      </c>
      <c r="G429" s="1" t="s">
        <v>124</v>
      </c>
      <c r="H429" s="1" t="s">
        <v>98</v>
      </c>
      <c r="I429" s="1" t="s">
        <v>176</v>
      </c>
    </row>
    <row r="430" customFormat="false" ht="14.25" hidden="false" customHeight="true" outlineLevel="0" collapsed="false">
      <c r="A430" s="1" t="s">
        <v>854</v>
      </c>
      <c r="B430" s="1" t="s">
        <v>46</v>
      </c>
      <c r="C430" s="1" t="s">
        <v>72</v>
      </c>
      <c r="D430" s="1" t="s">
        <v>85</v>
      </c>
      <c r="E430" s="1" t="s">
        <v>163</v>
      </c>
      <c r="F430" s="1" t="s">
        <v>150</v>
      </c>
      <c r="G430" s="1" t="s">
        <v>137</v>
      </c>
      <c r="H430" s="1" t="s">
        <v>98</v>
      </c>
      <c r="I430" s="1" t="s">
        <v>176</v>
      </c>
    </row>
    <row r="431" customFormat="false" ht="14.25" hidden="false" customHeight="true" outlineLevel="0" collapsed="false">
      <c r="A431" s="1" t="s">
        <v>855</v>
      </c>
      <c r="B431" s="1" t="s">
        <v>46</v>
      </c>
      <c r="C431" s="1" t="s">
        <v>72</v>
      </c>
      <c r="D431" s="1" t="s">
        <v>85</v>
      </c>
      <c r="E431" s="1" t="s">
        <v>163</v>
      </c>
      <c r="F431" s="1" t="s">
        <v>137</v>
      </c>
      <c r="G431" s="1" t="s">
        <v>124</v>
      </c>
      <c r="H431" s="1" t="s">
        <v>111</v>
      </c>
      <c r="I431" s="1" t="s">
        <v>150</v>
      </c>
    </row>
    <row r="432" customFormat="false" ht="14.25" hidden="false" customHeight="true" outlineLevel="0" collapsed="false">
      <c r="A432" s="1" t="s">
        <v>856</v>
      </c>
      <c r="B432" s="1" t="s">
        <v>46</v>
      </c>
      <c r="C432" s="1" t="s">
        <v>72</v>
      </c>
      <c r="D432" s="1" t="s">
        <v>85</v>
      </c>
      <c r="E432" s="1" t="s">
        <v>124</v>
      </c>
      <c r="F432" s="1" t="s">
        <v>137</v>
      </c>
      <c r="G432" s="1" t="s">
        <v>150</v>
      </c>
      <c r="H432" s="1" t="s">
        <v>111</v>
      </c>
      <c r="I432" s="1" t="s">
        <v>176</v>
      </c>
    </row>
    <row r="433" customFormat="false" ht="14.25" hidden="false" customHeight="true" outlineLevel="0" collapsed="false">
      <c r="A433" s="1" t="s">
        <v>857</v>
      </c>
      <c r="B433" s="1" t="s">
        <v>46</v>
      </c>
      <c r="C433" s="1" t="s">
        <v>72</v>
      </c>
      <c r="D433" s="1" t="s">
        <v>124</v>
      </c>
      <c r="E433" s="1" t="s">
        <v>163</v>
      </c>
      <c r="F433" s="1" t="s">
        <v>85</v>
      </c>
      <c r="G433" s="1" t="s">
        <v>137</v>
      </c>
      <c r="H433" s="1" t="s">
        <v>111</v>
      </c>
      <c r="I433" s="1" t="s">
        <v>176</v>
      </c>
    </row>
    <row r="434" customFormat="false" ht="14.25" hidden="false" customHeight="true" outlineLevel="0" collapsed="false">
      <c r="A434" s="1" t="s">
        <v>858</v>
      </c>
      <c r="B434" s="1" t="s">
        <v>46</v>
      </c>
      <c r="C434" s="1" t="s">
        <v>72</v>
      </c>
      <c r="D434" s="1" t="s">
        <v>85</v>
      </c>
      <c r="E434" s="1" t="s">
        <v>163</v>
      </c>
      <c r="F434" s="1" t="s">
        <v>150</v>
      </c>
      <c r="G434" s="1" t="s">
        <v>124</v>
      </c>
      <c r="H434" s="1" t="s">
        <v>111</v>
      </c>
      <c r="I434" s="1" t="s">
        <v>176</v>
      </c>
    </row>
    <row r="435" customFormat="false" ht="14.25" hidden="false" customHeight="true" outlineLevel="0" collapsed="false">
      <c r="A435" s="1" t="s">
        <v>859</v>
      </c>
      <c r="B435" s="1" t="s">
        <v>46</v>
      </c>
      <c r="C435" s="1" t="s">
        <v>72</v>
      </c>
      <c r="D435" s="1" t="s">
        <v>85</v>
      </c>
      <c r="E435" s="1" t="s">
        <v>163</v>
      </c>
      <c r="F435" s="1" t="s">
        <v>150</v>
      </c>
      <c r="G435" s="1" t="s">
        <v>137</v>
      </c>
      <c r="H435" s="1" t="s">
        <v>111</v>
      </c>
      <c r="I435" s="1" t="s">
        <v>176</v>
      </c>
    </row>
    <row r="436" customFormat="false" ht="14.25" hidden="false" customHeight="true" outlineLevel="0" collapsed="false">
      <c r="A436" s="1" t="s">
        <v>860</v>
      </c>
      <c r="B436" s="1" t="s">
        <v>46</v>
      </c>
      <c r="C436" s="1" t="s">
        <v>72</v>
      </c>
      <c r="D436" s="1" t="s">
        <v>85</v>
      </c>
      <c r="E436" s="1" t="s">
        <v>163</v>
      </c>
      <c r="F436" s="1" t="s">
        <v>150</v>
      </c>
      <c r="G436" s="1" t="s">
        <v>124</v>
      </c>
      <c r="H436" s="1" t="s">
        <v>137</v>
      </c>
      <c r="I436" s="1" t="s">
        <v>176</v>
      </c>
    </row>
    <row r="437" customFormat="false" ht="14.25" hidden="false" customHeight="true" outlineLevel="0" collapsed="false">
      <c r="A437" s="1" t="s">
        <v>861</v>
      </c>
      <c r="B437" s="1" t="s">
        <v>46</v>
      </c>
      <c r="C437" s="1" t="s">
        <v>111</v>
      </c>
      <c r="D437" s="1" t="s">
        <v>98</v>
      </c>
      <c r="E437" s="1" t="s">
        <v>163</v>
      </c>
      <c r="F437" s="1" t="s">
        <v>137</v>
      </c>
      <c r="G437" s="1" t="s">
        <v>124</v>
      </c>
      <c r="H437" s="1" t="s">
        <v>150</v>
      </c>
      <c r="I437" s="1" t="s">
        <v>72</v>
      </c>
    </row>
    <row r="438" customFormat="false" ht="14.25" hidden="false" customHeight="true" outlineLevel="0" collapsed="false">
      <c r="A438" s="1" t="s">
        <v>862</v>
      </c>
      <c r="B438" s="1" t="s">
        <v>46</v>
      </c>
      <c r="C438" s="1" t="s">
        <v>72</v>
      </c>
      <c r="D438" s="1" t="s">
        <v>98</v>
      </c>
      <c r="E438" s="1" t="s">
        <v>124</v>
      </c>
      <c r="F438" s="1" t="s">
        <v>137</v>
      </c>
      <c r="G438" s="1" t="s">
        <v>150</v>
      </c>
      <c r="H438" s="1" t="s">
        <v>111</v>
      </c>
      <c r="I438" s="1" t="s">
        <v>176</v>
      </c>
    </row>
    <row r="439" customFormat="false" ht="14.25" hidden="false" customHeight="true" outlineLevel="0" collapsed="false">
      <c r="A439" s="1" t="s">
        <v>863</v>
      </c>
      <c r="B439" s="1" t="s">
        <v>46</v>
      </c>
      <c r="C439" s="1" t="s">
        <v>72</v>
      </c>
      <c r="D439" s="1" t="s">
        <v>98</v>
      </c>
      <c r="E439" s="1" t="s">
        <v>163</v>
      </c>
      <c r="F439" s="1" t="s">
        <v>137</v>
      </c>
      <c r="G439" s="1" t="s">
        <v>124</v>
      </c>
      <c r="H439" s="1" t="s">
        <v>111</v>
      </c>
      <c r="I439" s="1" t="s">
        <v>176</v>
      </c>
    </row>
    <row r="440" customFormat="false" ht="14.25" hidden="false" customHeight="true" outlineLevel="0" collapsed="false">
      <c r="A440" s="1" t="s">
        <v>864</v>
      </c>
      <c r="B440" s="1" t="s">
        <v>46</v>
      </c>
      <c r="C440" s="1" t="s">
        <v>72</v>
      </c>
      <c r="D440" s="1" t="s">
        <v>98</v>
      </c>
      <c r="E440" s="1" t="s">
        <v>163</v>
      </c>
      <c r="F440" s="1" t="s">
        <v>150</v>
      </c>
      <c r="G440" s="1" t="s">
        <v>124</v>
      </c>
      <c r="H440" s="1" t="s">
        <v>111</v>
      </c>
      <c r="I440" s="1" t="s">
        <v>176</v>
      </c>
    </row>
    <row r="441" customFormat="false" ht="14.25" hidden="false" customHeight="true" outlineLevel="0" collapsed="false">
      <c r="A441" s="1" t="s">
        <v>865</v>
      </c>
      <c r="B441" s="1" t="s">
        <v>46</v>
      </c>
      <c r="C441" s="1" t="s">
        <v>72</v>
      </c>
      <c r="D441" s="1" t="s">
        <v>98</v>
      </c>
      <c r="E441" s="1" t="s">
        <v>163</v>
      </c>
      <c r="F441" s="1" t="s">
        <v>150</v>
      </c>
      <c r="G441" s="1" t="s">
        <v>137</v>
      </c>
      <c r="H441" s="1" t="s">
        <v>111</v>
      </c>
      <c r="I441" s="1" t="s">
        <v>176</v>
      </c>
    </row>
    <row r="442" customFormat="false" ht="14.25" hidden="false" customHeight="true" outlineLevel="0" collapsed="false">
      <c r="A442" s="1" t="s">
        <v>866</v>
      </c>
      <c r="B442" s="1" t="s">
        <v>46</v>
      </c>
      <c r="C442" s="1" t="s">
        <v>72</v>
      </c>
      <c r="D442" s="1" t="s">
        <v>98</v>
      </c>
      <c r="E442" s="1" t="s">
        <v>163</v>
      </c>
      <c r="F442" s="1" t="s">
        <v>150</v>
      </c>
      <c r="G442" s="1" t="s">
        <v>124</v>
      </c>
      <c r="H442" s="1" t="s">
        <v>137</v>
      </c>
      <c r="I442" s="1" t="s">
        <v>176</v>
      </c>
    </row>
    <row r="443" customFormat="false" ht="14.25" hidden="false" customHeight="true" outlineLevel="0" collapsed="false">
      <c r="A443" s="1" t="s">
        <v>867</v>
      </c>
      <c r="B443" s="1" t="s">
        <v>46</v>
      </c>
      <c r="C443" s="1" t="s">
        <v>72</v>
      </c>
      <c r="D443" s="1" t="s">
        <v>124</v>
      </c>
      <c r="E443" s="1" t="s">
        <v>163</v>
      </c>
      <c r="F443" s="1" t="s">
        <v>137</v>
      </c>
      <c r="G443" s="1" t="s">
        <v>150</v>
      </c>
      <c r="H443" s="1" t="s">
        <v>111</v>
      </c>
      <c r="I443" s="1" t="s">
        <v>176</v>
      </c>
    </row>
    <row r="444" customFormat="false" ht="14.25" hidden="false" customHeight="true" outlineLevel="0" collapsed="false">
      <c r="A444" s="1" t="s">
        <v>868</v>
      </c>
      <c r="B444" s="1" t="s">
        <v>46</v>
      </c>
      <c r="C444" s="1" t="s">
        <v>98</v>
      </c>
      <c r="D444" s="1" t="s">
        <v>124</v>
      </c>
      <c r="E444" s="1" t="s">
        <v>163</v>
      </c>
      <c r="F444" s="1" t="s">
        <v>137</v>
      </c>
      <c r="G444" s="1" t="s">
        <v>150</v>
      </c>
      <c r="H444" s="1" t="s">
        <v>111</v>
      </c>
      <c r="I444" s="1" t="s">
        <v>85</v>
      </c>
    </row>
    <row r="445" customFormat="false" ht="14.25" hidden="false" customHeight="true" outlineLevel="0" collapsed="false">
      <c r="A445" s="1" t="s">
        <v>869</v>
      </c>
      <c r="B445" s="1" t="s">
        <v>46</v>
      </c>
      <c r="C445" s="1" t="s">
        <v>98</v>
      </c>
      <c r="D445" s="1" t="s">
        <v>85</v>
      </c>
      <c r="E445" s="1" t="s">
        <v>124</v>
      </c>
      <c r="F445" s="1" t="s">
        <v>137</v>
      </c>
      <c r="G445" s="1" t="s">
        <v>150</v>
      </c>
      <c r="H445" s="1" t="s">
        <v>111</v>
      </c>
      <c r="I445" s="1" t="s">
        <v>176</v>
      </c>
    </row>
    <row r="446" customFormat="false" ht="14.25" hidden="false" customHeight="true" outlineLevel="0" collapsed="false">
      <c r="A446" s="1" t="s">
        <v>870</v>
      </c>
      <c r="B446" s="1" t="s">
        <v>46</v>
      </c>
      <c r="C446" s="1" t="s">
        <v>98</v>
      </c>
      <c r="D446" s="1" t="s">
        <v>137</v>
      </c>
      <c r="E446" s="1" t="s">
        <v>163</v>
      </c>
      <c r="F446" s="1" t="s">
        <v>85</v>
      </c>
      <c r="G446" s="1" t="s">
        <v>124</v>
      </c>
      <c r="H446" s="1" t="s">
        <v>111</v>
      </c>
      <c r="I446" s="1" t="s">
        <v>176</v>
      </c>
    </row>
    <row r="447" customFormat="false" ht="14.25" hidden="false" customHeight="true" outlineLevel="0" collapsed="false">
      <c r="A447" s="1" t="s">
        <v>871</v>
      </c>
      <c r="B447" s="1" t="s">
        <v>46</v>
      </c>
      <c r="C447" s="1" t="s">
        <v>98</v>
      </c>
      <c r="D447" s="1" t="s">
        <v>85</v>
      </c>
      <c r="E447" s="1" t="s">
        <v>163</v>
      </c>
      <c r="F447" s="1" t="s">
        <v>150</v>
      </c>
      <c r="G447" s="1" t="s">
        <v>124</v>
      </c>
      <c r="H447" s="1" t="s">
        <v>111</v>
      </c>
      <c r="I447" s="1" t="s">
        <v>176</v>
      </c>
    </row>
    <row r="448" customFormat="false" ht="14.25" hidden="false" customHeight="true" outlineLevel="0" collapsed="false">
      <c r="A448" s="1" t="s">
        <v>872</v>
      </c>
      <c r="B448" s="1" t="s">
        <v>46</v>
      </c>
      <c r="C448" s="1" t="s">
        <v>98</v>
      </c>
      <c r="D448" s="1" t="s">
        <v>85</v>
      </c>
      <c r="E448" s="1" t="s">
        <v>163</v>
      </c>
      <c r="F448" s="1" t="s">
        <v>150</v>
      </c>
      <c r="G448" s="1" t="s">
        <v>137</v>
      </c>
      <c r="H448" s="1" t="s">
        <v>111</v>
      </c>
      <c r="I448" s="1" t="s">
        <v>176</v>
      </c>
    </row>
    <row r="449" customFormat="false" ht="14.25" hidden="false" customHeight="true" outlineLevel="0" collapsed="false">
      <c r="A449" s="1" t="s">
        <v>873</v>
      </c>
      <c r="B449" s="1" t="s">
        <v>46</v>
      </c>
      <c r="C449" s="1" t="s">
        <v>98</v>
      </c>
      <c r="D449" s="1" t="s">
        <v>85</v>
      </c>
      <c r="E449" s="1" t="s">
        <v>163</v>
      </c>
      <c r="F449" s="1" t="s">
        <v>150</v>
      </c>
      <c r="G449" s="1" t="s">
        <v>124</v>
      </c>
      <c r="H449" s="1" t="s">
        <v>137</v>
      </c>
      <c r="I449" s="1" t="s">
        <v>176</v>
      </c>
    </row>
    <row r="450" customFormat="false" ht="14.25" hidden="false" customHeight="true" outlineLevel="0" collapsed="false">
      <c r="A450" s="1" t="s">
        <v>874</v>
      </c>
      <c r="B450" s="1" t="s">
        <v>46</v>
      </c>
      <c r="C450" s="1" t="s">
        <v>111</v>
      </c>
      <c r="D450" s="1" t="s">
        <v>85</v>
      </c>
      <c r="E450" s="1" t="s">
        <v>163</v>
      </c>
      <c r="F450" s="1" t="s">
        <v>137</v>
      </c>
      <c r="G450" s="1" t="s">
        <v>124</v>
      </c>
      <c r="H450" s="1" t="s">
        <v>150</v>
      </c>
      <c r="I450" s="1" t="s">
        <v>176</v>
      </c>
    </row>
    <row r="451" customFormat="false" ht="14.25" hidden="false" customHeight="true" outlineLevel="0" collapsed="false">
      <c r="A451" s="1" t="s">
        <v>875</v>
      </c>
      <c r="B451" s="1" t="s">
        <v>46</v>
      </c>
      <c r="C451" s="1" t="s">
        <v>98</v>
      </c>
      <c r="D451" s="1" t="s">
        <v>124</v>
      </c>
      <c r="E451" s="1" t="s">
        <v>163</v>
      </c>
      <c r="F451" s="1" t="s">
        <v>137</v>
      </c>
      <c r="G451" s="1" t="s">
        <v>150</v>
      </c>
      <c r="H451" s="1" t="s">
        <v>111</v>
      </c>
      <c r="I451" s="1" t="s">
        <v>176</v>
      </c>
    </row>
    <row r="452" customFormat="false" ht="14.25" hidden="false" customHeight="true" outlineLevel="0" collapsed="false">
      <c r="A452" s="1" t="s">
        <v>876</v>
      </c>
      <c r="B452" s="1" t="s">
        <v>59</v>
      </c>
      <c r="C452" s="1" t="s">
        <v>72</v>
      </c>
      <c r="D452" s="1" t="s">
        <v>124</v>
      </c>
      <c r="E452" s="1" t="s">
        <v>85</v>
      </c>
      <c r="F452" s="1" t="s">
        <v>98</v>
      </c>
      <c r="G452" s="1" t="s">
        <v>137</v>
      </c>
      <c r="H452" s="1" t="s">
        <v>111</v>
      </c>
      <c r="I452" s="1" t="s">
        <v>150</v>
      </c>
    </row>
    <row r="453" customFormat="false" ht="14.25" hidden="false" customHeight="true" outlineLevel="0" collapsed="false">
      <c r="A453" s="1" t="s">
        <v>877</v>
      </c>
      <c r="B453" s="1" t="s">
        <v>59</v>
      </c>
      <c r="C453" s="1" t="s">
        <v>111</v>
      </c>
      <c r="D453" s="1" t="s">
        <v>98</v>
      </c>
      <c r="E453" s="1" t="s">
        <v>163</v>
      </c>
      <c r="F453" s="1" t="s">
        <v>85</v>
      </c>
      <c r="G453" s="1" t="s">
        <v>124</v>
      </c>
      <c r="H453" s="1" t="s">
        <v>137</v>
      </c>
      <c r="I453" s="1" t="s">
        <v>72</v>
      </c>
    </row>
    <row r="454" customFormat="false" ht="14.25" hidden="false" customHeight="true" outlineLevel="0" collapsed="false">
      <c r="A454" s="1" t="s">
        <v>878</v>
      </c>
      <c r="B454" s="1" t="s">
        <v>59</v>
      </c>
      <c r="C454" s="1" t="s">
        <v>72</v>
      </c>
      <c r="D454" s="1" t="s">
        <v>137</v>
      </c>
      <c r="E454" s="1" t="s">
        <v>85</v>
      </c>
      <c r="F454" s="1" t="s">
        <v>98</v>
      </c>
      <c r="G454" s="1" t="s">
        <v>124</v>
      </c>
      <c r="H454" s="1" t="s">
        <v>111</v>
      </c>
      <c r="I454" s="1" t="s">
        <v>176</v>
      </c>
    </row>
    <row r="455" customFormat="false" ht="14.25" hidden="false" customHeight="true" outlineLevel="0" collapsed="false">
      <c r="A455" s="1" t="s">
        <v>879</v>
      </c>
      <c r="B455" s="1" t="s">
        <v>59</v>
      </c>
      <c r="C455" s="1" t="s">
        <v>111</v>
      </c>
      <c r="D455" s="1" t="s">
        <v>98</v>
      </c>
      <c r="E455" s="1" t="s">
        <v>163</v>
      </c>
      <c r="F455" s="1" t="s">
        <v>85</v>
      </c>
      <c r="G455" s="1" t="s">
        <v>124</v>
      </c>
      <c r="H455" s="1" t="s">
        <v>150</v>
      </c>
      <c r="I455" s="1" t="s">
        <v>72</v>
      </c>
    </row>
    <row r="456" customFormat="false" ht="14.25" hidden="false" customHeight="true" outlineLevel="0" collapsed="false">
      <c r="A456" s="1" t="s">
        <v>880</v>
      </c>
      <c r="B456" s="1" t="s">
        <v>59</v>
      </c>
      <c r="C456" s="1" t="s">
        <v>72</v>
      </c>
      <c r="D456" s="1" t="s">
        <v>124</v>
      </c>
      <c r="E456" s="1" t="s">
        <v>85</v>
      </c>
      <c r="F456" s="1" t="s">
        <v>98</v>
      </c>
      <c r="G456" s="1" t="s">
        <v>150</v>
      </c>
      <c r="H456" s="1" t="s">
        <v>111</v>
      </c>
      <c r="I456" s="1" t="s">
        <v>176</v>
      </c>
    </row>
    <row r="457" customFormat="false" ht="14.25" hidden="false" customHeight="true" outlineLevel="0" collapsed="false">
      <c r="A457" s="1" t="s">
        <v>881</v>
      </c>
      <c r="B457" s="1" t="s">
        <v>72</v>
      </c>
      <c r="C457" s="1" t="s">
        <v>111</v>
      </c>
      <c r="D457" s="1" t="s">
        <v>59</v>
      </c>
      <c r="E457" s="1" t="s">
        <v>163</v>
      </c>
      <c r="F457" s="1" t="s">
        <v>85</v>
      </c>
      <c r="G457" s="1" t="s">
        <v>124</v>
      </c>
      <c r="H457" s="1" t="s">
        <v>98</v>
      </c>
      <c r="I457" s="1" t="s">
        <v>176</v>
      </c>
    </row>
    <row r="458" customFormat="false" ht="14.25" hidden="false" customHeight="true" outlineLevel="0" collapsed="false">
      <c r="A458" s="1" t="s">
        <v>882</v>
      </c>
      <c r="B458" s="1" t="s">
        <v>59</v>
      </c>
      <c r="C458" s="1" t="s">
        <v>72</v>
      </c>
      <c r="D458" s="1" t="s">
        <v>98</v>
      </c>
      <c r="E458" s="1" t="s">
        <v>163</v>
      </c>
      <c r="F458" s="1" t="s">
        <v>137</v>
      </c>
      <c r="G458" s="1" t="s">
        <v>85</v>
      </c>
      <c r="H458" s="1" t="s">
        <v>111</v>
      </c>
      <c r="I458" s="1" t="s">
        <v>150</v>
      </c>
    </row>
    <row r="459" customFormat="false" ht="14.25" hidden="false" customHeight="true" outlineLevel="0" collapsed="false">
      <c r="A459" s="1" t="s">
        <v>883</v>
      </c>
      <c r="B459" s="1" t="s">
        <v>59</v>
      </c>
      <c r="C459" s="1" t="s">
        <v>72</v>
      </c>
      <c r="D459" s="1" t="s">
        <v>98</v>
      </c>
      <c r="E459" s="1" t="s">
        <v>85</v>
      </c>
      <c r="F459" s="1" t="s">
        <v>150</v>
      </c>
      <c r="G459" s="1" t="s">
        <v>137</v>
      </c>
      <c r="H459" s="1" t="s">
        <v>111</v>
      </c>
      <c r="I459" s="1" t="s">
        <v>176</v>
      </c>
    </row>
    <row r="460" customFormat="false" ht="14.25" hidden="false" customHeight="true" outlineLevel="0" collapsed="false">
      <c r="A460" s="1" t="s">
        <v>884</v>
      </c>
      <c r="B460" s="1" t="s">
        <v>59</v>
      </c>
      <c r="C460" s="1" t="s">
        <v>72</v>
      </c>
      <c r="D460" s="1" t="s">
        <v>137</v>
      </c>
      <c r="E460" s="1" t="s">
        <v>163</v>
      </c>
      <c r="F460" s="1" t="s">
        <v>98</v>
      </c>
      <c r="G460" s="1" t="s">
        <v>85</v>
      </c>
      <c r="H460" s="1" t="s">
        <v>111</v>
      </c>
      <c r="I460" s="1" t="s">
        <v>176</v>
      </c>
    </row>
    <row r="461" customFormat="false" ht="14.25" hidden="false" customHeight="true" outlineLevel="0" collapsed="false">
      <c r="A461" s="1" t="s">
        <v>885</v>
      </c>
      <c r="B461" s="1" t="s">
        <v>72</v>
      </c>
      <c r="C461" s="1" t="s">
        <v>111</v>
      </c>
      <c r="D461" s="1" t="s">
        <v>59</v>
      </c>
      <c r="E461" s="1" t="s">
        <v>163</v>
      </c>
      <c r="F461" s="1" t="s">
        <v>98</v>
      </c>
      <c r="G461" s="1" t="s">
        <v>85</v>
      </c>
      <c r="H461" s="1" t="s">
        <v>150</v>
      </c>
      <c r="I461" s="1" t="s">
        <v>176</v>
      </c>
    </row>
    <row r="462" customFormat="false" ht="14.25" hidden="false" customHeight="true" outlineLevel="0" collapsed="false">
      <c r="A462" s="1" t="s">
        <v>886</v>
      </c>
      <c r="B462" s="1" t="s">
        <v>59</v>
      </c>
      <c r="C462" s="1" t="s">
        <v>72</v>
      </c>
      <c r="D462" s="1" t="s">
        <v>124</v>
      </c>
      <c r="E462" s="1" t="s">
        <v>163</v>
      </c>
      <c r="F462" s="1" t="s">
        <v>98</v>
      </c>
      <c r="G462" s="1" t="s">
        <v>150</v>
      </c>
      <c r="H462" s="1" t="s">
        <v>137</v>
      </c>
      <c r="I462" s="1" t="s">
        <v>85</v>
      </c>
    </row>
    <row r="463" customFormat="false" ht="14.25" hidden="false" customHeight="true" outlineLevel="0" collapsed="false">
      <c r="A463" s="1" t="s">
        <v>887</v>
      </c>
      <c r="B463" s="1" t="s">
        <v>59</v>
      </c>
      <c r="C463" s="1" t="s">
        <v>72</v>
      </c>
      <c r="D463" s="1" t="s">
        <v>124</v>
      </c>
      <c r="E463" s="1" t="s">
        <v>85</v>
      </c>
      <c r="F463" s="1" t="s">
        <v>98</v>
      </c>
      <c r="G463" s="1" t="s">
        <v>150</v>
      </c>
      <c r="H463" s="1" t="s">
        <v>137</v>
      </c>
      <c r="I463" s="1" t="s">
        <v>176</v>
      </c>
    </row>
    <row r="464" customFormat="false" ht="14.25" hidden="false" customHeight="true" outlineLevel="0" collapsed="false">
      <c r="A464" s="1" t="s">
        <v>888</v>
      </c>
      <c r="B464" s="1" t="s">
        <v>59</v>
      </c>
      <c r="C464" s="1" t="s">
        <v>72</v>
      </c>
      <c r="D464" s="1" t="s">
        <v>137</v>
      </c>
      <c r="E464" s="1" t="s">
        <v>163</v>
      </c>
      <c r="F464" s="1" t="s">
        <v>85</v>
      </c>
      <c r="G464" s="1" t="s">
        <v>124</v>
      </c>
      <c r="H464" s="1" t="s">
        <v>98</v>
      </c>
      <c r="I464" s="1" t="s">
        <v>176</v>
      </c>
    </row>
    <row r="465" customFormat="false" ht="14.25" hidden="false" customHeight="true" outlineLevel="0" collapsed="false">
      <c r="A465" s="1" t="s">
        <v>889</v>
      </c>
      <c r="B465" s="1" t="s">
        <v>59</v>
      </c>
      <c r="C465" s="1" t="s">
        <v>72</v>
      </c>
      <c r="D465" s="1" t="s">
        <v>98</v>
      </c>
      <c r="E465" s="1" t="s">
        <v>163</v>
      </c>
      <c r="F465" s="1" t="s">
        <v>85</v>
      </c>
      <c r="G465" s="1" t="s">
        <v>124</v>
      </c>
      <c r="H465" s="1" t="s">
        <v>150</v>
      </c>
      <c r="I465" s="1" t="s">
        <v>176</v>
      </c>
    </row>
    <row r="466" customFormat="false" ht="14.25" hidden="false" customHeight="true" outlineLevel="0" collapsed="false">
      <c r="A466" s="1" t="s">
        <v>890</v>
      </c>
      <c r="B466" s="1" t="s">
        <v>59</v>
      </c>
      <c r="C466" s="1" t="s">
        <v>72</v>
      </c>
      <c r="D466" s="1" t="s">
        <v>98</v>
      </c>
      <c r="E466" s="1" t="s">
        <v>163</v>
      </c>
      <c r="F466" s="1" t="s">
        <v>137</v>
      </c>
      <c r="G466" s="1" t="s">
        <v>85</v>
      </c>
      <c r="H466" s="1" t="s">
        <v>150</v>
      </c>
      <c r="I466" s="1" t="s">
        <v>176</v>
      </c>
    </row>
    <row r="467" customFormat="false" ht="14.25" hidden="false" customHeight="true" outlineLevel="0" collapsed="false">
      <c r="A467" s="1" t="s">
        <v>891</v>
      </c>
      <c r="B467" s="1" t="s">
        <v>59</v>
      </c>
      <c r="C467" s="1" t="s">
        <v>72</v>
      </c>
      <c r="D467" s="1" t="s">
        <v>124</v>
      </c>
      <c r="E467" s="1" t="s">
        <v>163</v>
      </c>
      <c r="F467" s="1" t="s">
        <v>85</v>
      </c>
      <c r="G467" s="1" t="s">
        <v>137</v>
      </c>
      <c r="H467" s="1" t="s">
        <v>111</v>
      </c>
      <c r="I467" s="1" t="s">
        <v>150</v>
      </c>
    </row>
    <row r="468" customFormat="false" ht="14.25" hidden="false" customHeight="true" outlineLevel="0" collapsed="false">
      <c r="A468" s="1" t="s">
        <v>892</v>
      </c>
      <c r="B468" s="1" t="s">
        <v>59</v>
      </c>
      <c r="C468" s="1" t="s">
        <v>72</v>
      </c>
      <c r="D468" s="1" t="s">
        <v>124</v>
      </c>
      <c r="E468" s="1" t="s">
        <v>137</v>
      </c>
      <c r="F468" s="1" t="s">
        <v>85</v>
      </c>
      <c r="G468" s="1" t="s">
        <v>150</v>
      </c>
      <c r="H468" s="1" t="s">
        <v>111</v>
      </c>
      <c r="I468" s="1" t="s">
        <v>176</v>
      </c>
    </row>
    <row r="469" customFormat="false" ht="14.25" hidden="false" customHeight="true" outlineLevel="0" collapsed="false">
      <c r="A469" s="1" t="s">
        <v>893</v>
      </c>
      <c r="B469" s="1" t="s">
        <v>59</v>
      </c>
      <c r="C469" s="1" t="s">
        <v>72</v>
      </c>
      <c r="D469" s="1" t="s">
        <v>137</v>
      </c>
      <c r="E469" s="1" t="s">
        <v>163</v>
      </c>
      <c r="F469" s="1" t="s">
        <v>85</v>
      </c>
      <c r="G469" s="1" t="s">
        <v>124</v>
      </c>
      <c r="H469" s="1" t="s">
        <v>111</v>
      </c>
      <c r="I469" s="1" t="s">
        <v>176</v>
      </c>
    </row>
    <row r="470" customFormat="false" ht="14.25" hidden="false" customHeight="true" outlineLevel="0" collapsed="false">
      <c r="A470" s="1" t="s">
        <v>894</v>
      </c>
      <c r="B470" s="1" t="s">
        <v>59</v>
      </c>
      <c r="C470" s="1" t="s">
        <v>72</v>
      </c>
      <c r="D470" s="1" t="s">
        <v>124</v>
      </c>
      <c r="E470" s="1" t="s">
        <v>163</v>
      </c>
      <c r="F470" s="1" t="s">
        <v>85</v>
      </c>
      <c r="G470" s="1" t="s">
        <v>150</v>
      </c>
      <c r="H470" s="1" t="s">
        <v>111</v>
      </c>
      <c r="I470" s="1" t="s">
        <v>176</v>
      </c>
    </row>
    <row r="471" customFormat="false" ht="14.25" hidden="false" customHeight="true" outlineLevel="0" collapsed="false">
      <c r="A471" s="1" t="s">
        <v>895</v>
      </c>
      <c r="B471" s="1" t="s">
        <v>59</v>
      </c>
      <c r="C471" s="1" t="s">
        <v>72</v>
      </c>
      <c r="D471" s="1" t="s">
        <v>85</v>
      </c>
      <c r="E471" s="1" t="s">
        <v>163</v>
      </c>
      <c r="F471" s="1" t="s">
        <v>137</v>
      </c>
      <c r="G471" s="1" t="s">
        <v>150</v>
      </c>
      <c r="H471" s="1" t="s">
        <v>111</v>
      </c>
      <c r="I471" s="1" t="s">
        <v>176</v>
      </c>
    </row>
    <row r="472" customFormat="false" ht="14.25" hidden="false" customHeight="true" outlineLevel="0" collapsed="false">
      <c r="A472" s="1" t="s">
        <v>896</v>
      </c>
      <c r="B472" s="1" t="s">
        <v>59</v>
      </c>
      <c r="C472" s="1" t="s">
        <v>72</v>
      </c>
      <c r="D472" s="1" t="s">
        <v>124</v>
      </c>
      <c r="E472" s="1" t="s">
        <v>163</v>
      </c>
      <c r="F472" s="1" t="s">
        <v>85</v>
      </c>
      <c r="G472" s="1" t="s">
        <v>150</v>
      </c>
      <c r="H472" s="1" t="s">
        <v>137</v>
      </c>
      <c r="I472" s="1" t="s">
        <v>176</v>
      </c>
    </row>
    <row r="473" customFormat="false" ht="14.25" hidden="false" customHeight="true" outlineLevel="0" collapsed="false">
      <c r="A473" s="1" t="s">
        <v>897</v>
      </c>
      <c r="B473" s="1" t="s">
        <v>59</v>
      </c>
      <c r="C473" s="1" t="s">
        <v>72</v>
      </c>
      <c r="D473" s="1" t="s">
        <v>124</v>
      </c>
      <c r="E473" s="1" t="s">
        <v>163</v>
      </c>
      <c r="F473" s="1" t="s">
        <v>98</v>
      </c>
      <c r="G473" s="1" t="s">
        <v>137</v>
      </c>
      <c r="H473" s="1" t="s">
        <v>111</v>
      </c>
      <c r="I473" s="1" t="s">
        <v>150</v>
      </c>
    </row>
    <row r="474" customFormat="false" ht="14.25" hidden="false" customHeight="true" outlineLevel="0" collapsed="false">
      <c r="A474" s="1" t="s">
        <v>898</v>
      </c>
      <c r="B474" s="1" t="s">
        <v>59</v>
      </c>
      <c r="C474" s="1" t="s">
        <v>72</v>
      </c>
      <c r="D474" s="1" t="s">
        <v>98</v>
      </c>
      <c r="E474" s="1" t="s">
        <v>124</v>
      </c>
      <c r="F474" s="1" t="s">
        <v>150</v>
      </c>
      <c r="G474" s="1" t="s">
        <v>137</v>
      </c>
      <c r="H474" s="1" t="s">
        <v>111</v>
      </c>
      <c r="I474" s="1" t="s">
        <v>176</v>
      </c>
    </row>
    <row r="475" customFormat="false" ht="14.25" hidden="false" customHeight="true" outlineLevel="0" collapsed="false">
      <c r="A475" s="1" t="s">
        <v>899</v>
      </c>
      <c r="B475" s="1" t="s">
        <v>59</v>
      </c>
      <c r="C475" s="1" t="s">
        <v>72</v>
      </c>
      <c r="D475" s="1" t="s">
        <v>137</v>
      </c>
      <c r="E475" s="1" t="s">
        <v>163</v>
      </c>
      <c r="F475" s="1" t="s">
        <v>98</v>
      </c>
      <c r="G475" s="1" t="s">
        <v>124</v>
      </c>
      <c r="H475" s="1" t="s">
        <v>111</v>
      </c>
      <c r="I475" s="1" t="s">
        <v>176</v>
      </c>
    </row>
    <row r="476" customFormat="false" ht="14.25" hidden="false" customHeight="true" outlineLevel="0" collapsed="false">
      <c r="A476" s="1" t="s">
        <v>900</v>
      </c>
      <c r="B476" s="1" t="s">
        <v>72</v>
      </c>
      <c r="C476" s="1" t="s">
        <v>111</v>
      </c>
      <c r="D476" s="1" t="s">
        <v>59</v>
      </c>
      <c r="E476" s="1" t="s">
        <v>163</v>
      </c>
      <c r="F476" s="1" t="s">
        <v>98</v>
      </c>
      <c r="G476" s="1" t="s">
        <v>124</v>
      </c>
      <c r="H476" s="1" t="s">
        <v>150</v>
      </c>
      <c r="I476" s="1" t="s">
        <v>176</v>
      </c>
    </row>
    <row r="477" customFormat="false" ht="14.25" hidden="false" customHeight="true" outlineLevel="0" collapsed="false">
      <c r="A477" s="1" t="s">
        <v>901</v>
      </c>
      <c r="B477" s="1" t="s">
        <v>72</v>
      </c>
      <c r="C477" s="1" t="s">
        <v>111</v>
      </c>
      <c r="D477" s="1" t="s">
        <v>59</v>
      </c>
      <c r="E477" s="1" t="s">
        <v>163</v>
      </c>
      <c r="F477" s="1" t="s">
        <v>98</v>
      </c>
      <c r="G477" s="1" t="s">
        <v>137</v>
      </c>
      <c r="H477" s="1" t="s">
        <v>150</v>
      </c>
      <c r="I477" s="1" t="s">
        <v>176</v>
      </c>
    </row>
    <row r="478" customFormat="false" ht="14.25" hidden="false" customHeight="true" outlineLevel="0" collapsed="false">
      <c r="A478" s="1" t="s">
        <v>902</v>
      </c>
      <c r="B478" s="1" t="s">
        <v>59</v>
      </c>
      <c r="C478" s="1" t="s">
        <v>72</v>
      </c>
      <c r="D478" s="1" t="s">
        <v>124</v>
      </c>
      <c r="E478" s="1" t="s">
        <v>163</v>
      </c>
      <c r="F478" s="1" t="s">
        <v>98</v>
      </c>
      <c r="G478" s="1" t="s">
        <v>150</v>
      </c>
      <c r="H478" s="1" t="s">
        <v>137</v>
      </c>
      <c r="I478" s="1" t="s">
        <v>176</v>
      </c>
    </row>
    <row r="479" customFormat="false" ht="14.25" hidden="false" customHeight="true" outlineLevel="0" collapsed="false">
      <c r="A479" s="1" t="s">
        <v>903</v>
      </c>
      <c r="B479" s="1" t="s">
        <v>59</v>
      </c>
      <c r="C479" s="1" t="s">
        <v>72</v>
      </c>
      <c r="D479" s="1" t="s">
        <v>124</v>
      </c>
      <c r="E479" s="1" t="s">
        <v>163</v>
      </c>
      <c r="F479" s="1" t="s">
        <v>137</v>
      </c>
      <c r="G479" s="1" t="s">
        <v>150</v>
      </c>
      <c r="H479" s="1" t="s">
        <v>111</v>
      </c>
      <c r="I479" s="1" t="s">
        <v>176</v>
      </c>
    </row>
    <row r="480" customFormat="false" ht="14.25" hidden="false" customHeight="true" outlineLevel="0" collapsed="false">
      <c r="A480" s="1" t="s">
        <v>904</v>
      </c>
      <c r="B480" s="1" t="s">
        <v>59</v>
      </c>
      <c r="C480" s="1" t="s">
        <v>98</v>
      </c>
      <c r="D480" s="1" t="s">
        <v>124</v>
      </c>
      <c r="E480" s="1" t="s">
        <v>163</v>
      </c>
      <c r="F480" s="1" t="s">
        <v>137</v>
      </c>
      <c r="G480" s="1" t="s">
        <v>150</v>
      </c>
      <c r="H480" s="1" t="s">
        <v>111</v>
      </c>
      <c r="I480" s="1" t="s">
        <v>85</v>
      </c>
    </row>
    <row r="481" customFormat="false" ht="14.25" hidden="false" customHeight="true" outlineLevel="0" collapsed="false">
      <c r="A481" s="1" t="s">
        <v>905</v>
      </c>
      <c r="B481" s="1" t="s">
        <v>59</v>
      </c>
      <c r="C481" s="1" t="s">
        <v>98</v>
      </c>
      <c r="D481" s="1" t="s">
        <v>124</v>
      </c>
      <c r="E481" s="1" t="s">
        <v>137</v>
      </c>
      <c r="F481" s="1" t="s">
        <v>85</v>
      </c>
      <c r="G481" s="1" t="s">
        <v>150</v>
      </c>
      <c r="H481" s="1" t="s">
        <v>111</v>
      </c>
      <c r="I481" s="1" t="s">
        <v>176</v>
      </c>
    </row>
    <row r="482" customFormat="false" ht="14.25" hidden="false" customHeight="true" outlineLevel="0" collapsed="false">
      <c r="A482" s="1" t="s">
        <v>906</v>
      </c>
      <c r="B482" s="1" t="s">
        <v>59</v>
      </c>
      <c r="C482" s="1" t="s">
        <v>98</v>
      </c>
      <c r="D482" s="1" t="s">
        <v>137</v>
      </c>
      <c r="E482" s="1" t="s">
        <v>163</v>
      </c>
      <c r="F482" s="1" t="s">
        <v>85</v>
      </c>
      <c r="G482" s="1" t="s">
        <v>124</v>
      </c>
      <c r="H482" s="1" t="s">
        <v>111</v>
      </c>
      <c r="I482" s="1" t="s">
        <v>176</v>
      </c>
    </row>
    <row r="483" customFormat="false" ht="14.25" hidden="false" customHeight="true" outlineLevel="0" collapsed="false">
      <c r="A483" s="1" t="s">
        <v>907</v>
      </c>
      <c r="B483" s="1" t="s">
        <v>59</v>
      </c>
      <c r="C483" s="1" t="s">
        <v>111</v>
      </c>
      <c r="D483" s="1" t="s">
        <v>98</v>
      </c>
      <c r="E483" s="1" t="s">
        <v>163</v>
      </c>
      <c r="F483" s="1" t="s">
        <v>85</v>
      </c>
      <c r="G483" s="1" t="s">
        <v>124</v>
      </c>
      <c r="H483" s="1" t="s">
        <v>150</v>
      </c>
      <c r="I483" s="1" t="s">
        <v>176</v>
      </c>
    </row>
    <row r="484" customFormat="false" ht="14.25" hidden="false" customHeight="true" outlineLevel="0" collapsed="false">
      <c r="A484" s="1" t="s">
        <v>908</v>
      </c>
      <c r="B484" s="1" t="s">
        <v>59</v>
      </c>
      <c r="C484" s="1" t="s">
        <v>98</v>
      </c>
      <c r="D484" s="1" t="s">
        <v>85</v>
      </c>
      <c r="E484" s="1" t="s">
        <v>163</v>
      </c>
      <c r="F484" s="1" t="s">
        <v>150</v>
      </c>
      <c r="G484" s="1" t="s">
        <v>137</v>
      </c>
      <c r="H484" s="1" t="s">
        <v>111</v>
      </c>
      <c r="I484" s="1" t="s">
        <v>176</v>
      </c>
    </row>
    <row r="485" customFormat="false" ht="14.25" hidden="false" customHeight="true" outlineLevel="0" collapsed="false">
      <c r="A485" s="1" t="s">
        <v>909</v>
      </c>
      <c r="B485" s="1" t="s">
        <v>59</v>
      </c>
      <c r="C485" s="1" t="s">
        <v>98</v>
      </c>
      <c r="D485" s="1" t="s">
        <v>124</v>
      </c>
      <c r="E485" s="1" t="s">
        <v>163</v>
      </c>
      <c r="F485" s="1" t="s">
        <v>85</v>
      </c>
      <c r="G485" s="1" t="s">
        <v>150</v>
      </c>
      <c r="H485" s="1" t="s">
        <v>137</v>
      </c>
      <c r="I485" s="1" t="s">
        <v>176</v>
      </c>
    </row>
    <row r="486" customFormat="false" ht="14.25" hidden="false" customHeight="true" outlineLevel="0" collapsed="false">
      <c r="A486" s="1" t="s">
        <v>910</v>
      </c>
      <c r="B486" s="1" t="s">
        <v>59</v>
      </c>
      <c r="C486" s="1" t="s">
        <v>111</v>
      </c>
      <c r="D486" s="1" t="s">
        <v>124</v>
      </c>
      <c r="E486" s="1" t="s">
        <v>163</v>
      </c>
      <c r="F486" s="1" t="s">
        <v>85</v>
      </c>
      <c r="G486" s="1" t="s">
        <v>150</v>
      </c>
      <c r="H486" s="1" t="s">
        <v>137</v>
      </c>
      <c r="I486" s="1" t="s">
        <v>176</v>
      </c>
    </row>
    <row r="487" customFormat="false" ht="14.25" hidden="false" customHeight="true" outlineLevel="0" collapsed="false">
      <c r="A487" s="1" t="s">
        <v>911</v>
      </c>
      <c r="B487" s="1" t="s">
        <v>59</v>
      </c>
      <c r="C487" s="1" t="s">
        <v>111</v>
      </c>
      <c r="D487" s="1" t="s">
        <v>124</v>
      </c>
      <c r="E487" s="1" t="s">
        <v>163</v>
      </c>
      <c r="F487" s="1" t="s">
        <v>98</v>
      </c>
      <c r="G487" s="1" t="s">
        <v>150</v>
      </c>
      <c r="H487" s="1" t="s">
        <v>137</v>
      </c>
      <c r="I487" s="1" t="s">
        <v>176</v>
      </c>
    </row>
    <row r="488" customFormat="false" ht="14.25" hidden="false" customHeight="true" outlineLevel="0" collapsed="false">
      <c r="A488" s="1" t="s">
        <v>912</v>
      </c>
      <c r="B488" s="1" t="s">
        <v>72</v>
      </c>
      <c r="C488" s="1" t="s">
        <v>98</v>
      </c>
      <c r="D488" s="1" t="s">
        <v>124</v>
      </c>
      <c r="E488" s="1" t="s">
        <v>163</v>
      </c>
      <c r="F488" s="1" t="s">
        <v>137</v>
      </c>
      <c r="G488" s="1" t="s">
        <v>150</v>
      </c>
      <c r="H488" s="1" t="s">
        <v>111</v>
      </c>
      <c r="I488" s="1" t="s">
        <v>85</v>
      </c>
    </row>
    <row r="489" customFormat="false" ht="14.25" hidden="false" customHeight="true" outlineLevel="0" collapsed="false">
      <c r="A489" s="1" t="s">
        <v>913</v>
      </c>
      <c r="B489" s="1" t="s">
        <v>72</v>
      </c>
      <c r="C489" s="1" t="s">
        <v>98</v>
      </c>
      <c r="D489" s="1" t="s">
        <v>85</v>
      </c>
      <c r="E489" s="1" t="s">
        <v>124</v>
      </c>
      <c r="F489" s="1" t="s">
        <v>137</v>
      </c>
      <c r="G489" s="1" t="s">
        <v>150</v>
      </c>
      <c r="H489" s="1" t="s">
        <v>111</v>
      </c>
      <c r="I489" s="1" t="s">
        <v>176</v>
      </c>
    </row>
    <row r="490" customFormat="false" ht="14.25" hidden="false" customHeight="true" outlineLevel="0" collapsed="false">
      <c r="A490" s="1" t="s">
        <v>914</v>
      </c>
      <c r="B490" s="1" t="s">
        <v>72</v>
      </c>
      <c r="C490" s="1" t="s">
        <v>98</v>
      </c>
      <c r="D490" s="1" t="s">
        <v>137</v>
      </c>
      <c r="E490" s="1" t="s">
        <v>163</v>
      </c>
      <c r="F490" s="1" t="s">
        <v>85</v>
      </c>
      <c r="G490" s="1" t="s">
        <v>124</v>
      </c>
      <c r="H490" s="1" t="s">
        <v>111</v>
      </c>
      <c r="I490" s="1" t="s">
        <v>176</v>
      </c>
    </row>
    <row r="491" customFormat="false" ht="14.25" hidden="false" customHeight="true" outlineLevel="0" collapsed="false">
      <c r="A491" s="1" t="s">
        <v>915</v>
      </c>
      <c r="B491" s="1" t="s">
        <v>72</v>
      </c>
      <c r="C491" s="1" t="s">
        <v>111</v>
      </c>
      <c r="D491" s="1" t="s">
        <v>85</v>
      </c>
      <c r="E491" s="1" t="s">
        <v>163</v>
      </c>
      <c r="F491" s="1" t="s">
        <v>98</v>
      </c>
      <c r="G491" s="1" t="s">
        <v>124</v>
      </c>
      <c r="H491" s="1" t="s">
        <v>150</v>
      </c>
      <c r="I491" s="1" t="s">
        <v>176</v>
      </c>
    </row>
    <row r="492" customFormat="false" ht="14.25" hidden="false" customHeight="true" outlineLevel="0" collapsed="false">
      <c r="A492" s="1" t="s">
        <v>916</v>
      </c>
      <c r="B492" s="1" t="s">
        <v>72</v>
      </c>
      <c r="C492" s="1" t="s">
        <v>98</v>
      </c>
      <c r="D492" s="1" t="s">
        <v>85</v>
      </c>
      <c r="E492" s="1" t="s">
        <v>163</v>
      </c>
      <c r="F492" s="1" t="s">
        <v>150</v>
      </c>
      <c r="G492" s="1" t="s">
        <v>137</v>
      </c>
      <c r="H492" s="1" t="s">
        <v>111</v>
      </c>
      <c r="I492" s="1" t="s">
        <v>176</v>
      </c>
    </row>
    <row r="493" customFormat="false" ht="14.25" hidden="false" customHeight="true" outlineLevel="0" collapsed="false">
      <c r="A493" s="1" t="s">
        <v>917</v>
      </c>
      <c r="B493" s="1" t="s">
        <v>72</v>
      </c>
      <c r="C493" s="1" t="s">
        <v>98</v>
      </c>
      <c r="D493" s="1" t="s">
        <v>85</v>
      </c>
      <c r="E493" s="1" t="s">
        <v>163</v>
      </c>
      <c r="F493" s="1" t="s">
        <v>137</v>
      </c>
      <c r="G493" s="1" t="s">
        <v>124</v>
      </c>
      <c r="H493" s="1" t="s">
        <v>150</v>
      </c>
      <c r="I493" s="1" t="s">
        <v>176</v>
      </c>
    </row>
    <row r="494" customFormat="false" ht="14.25" hidden="false" customHeight="true" outlineLevel="0" collapsed="false">
      <c r="A494" s="1" t="s">
        <v>918</v>
      </c>
      <c r="B494" s="1" t="s">
        <v>72</v>
      </c>
      <c r="C494" s="1" t="s">
        <v>111</v>
      </c>
      <c r="D494" s="1" t="s">
        <v>85</v>
      </c>
      <c r="E494" s="1" t="s">
        <v>163</v>
      </c>
      <c r="F494" s="1" t="s">
        <v>137</v>
      </c>
      <c r="G494" s="1" t="s">
        <v>124</v>
      </c>
      <c r="H494" s="1" t="s">
        <v>150</v>
      </c>
      <c r="I494" s="1" t="s">
        <v>176</v>
      </c>
    </row>
    <row r="495" customFormat="false" ht="14.25" hidden="false" customHeight="true" outlineLevel="0" collapsed="false">
      <c r="A495" s="1" t="s">
        <v>919</v>
      </c>
      <c r="B495" s="1" t="s">
        <v>72</v>
      </c>
      <c r="C495" s="1" t="s">
        <v>111</v>
      </c>
      <c r="D495" s="1" t="s">
        <v>98</v>
      </c>
      <c r="E495" s="1" t="s">
        <v>163</v>
      </c>
      <c r="F495" s="1" t="s">
        <v>137</v>
      </c>
      <c r="G495" s="1" t="s">
        <v>124</v>
      </c>
      <c r="H495" s="1" t="s">
        <v>150</v>
      </c>
      <c r="I495" s="1" t="s">
        <v>176</v>
      </c>
    </row>
    <row r="496" customFormat="false" ht="14.25" hidden="false" customHeight="true" outlineLevel="0" collapsed="false">
      <c r="A496" s="1" t="s">
        <v>920</v>
      </c>
      <c r="B496" s="1" t="s">
        <v>98</v>
      </c>
      <c r="C496" s="1" t="s">
        <v>111</v>
      </c>
      <c r="D496" s="1" t="s">
        <v>85</v>
      </c>
      <c r="E496" s="1" t="s">
        <v>163</v>
      </c>
      <c r="F496" s="1" t="s">
        <v>137</v>
      </c>
      <c r="G496" s="1" t="s">
        <v>124</v>
      </c>
      <c r="H496" s="1" t="s">
        <v>150</v>
      </c>
      <c r="I496" s="1" t="s">
        <v>176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17" min="2" style="1" width="8"/>
    <col collapsed="false" customWidth="true" hidden="false" outlineLevel="0" max="218" min="218" style="1" width="10"/>
  </cols>
  <sheetData>
    <row r="1" customFormat="false" ht="15" hidden="false" customHeight="true" outlineLevel="0" collapsed="false">
      <c r="A1" s="77" t="s">
        <v>372</v>
      </c>
      <c r="B1" s="77" t="s">
        <v>36</v>
      </c>
      <c r="C1" s="77" t="s">
        <v>39</v>
      </c>
      <c r="D1" s="77" t="s">
        <v>921</v>
      </c>
      <c r="E1" s="77" t="s">
        <v>42</v>
      </c>
      <c r="F1" s="77" t="s">
        <v>45</v>
      </c>
      <c r="G1" s="77" t="s">
        <v>921</v>
      </c>
      <c r="H1" s="77" t="s">
        <v>49</v>
      </c>
      <c r="I1" s="77" t="s">
        <v>52</v>
      </c>
      <c r="J1" s="77" t="s">
        <v>921</v>
      </c>
      <c r="K1" s="77" t="s">
        <v>75</v>
      </c>
      <c r="L1" s="77" t="s">
        <v>78</v>
      </c>
      <c r="M1" s="77" t="s">
        <v>921</v>
      </c>
      <c r="N1" s="77" t="s">
        <v>68</v>
      </c>
      <c r="O1" s="77" t="s">
        <v>71</v>
      </c>
      <c r="P1" s="77" t="s">
        <v>921</v>
      </c>
      <c r="Q1" s="77" t="s">
        <v>81</v>
      </c>
      <c r="R1" s="77" t="s">
        <v>84</v>
      </c>
      <c r="S1" s="77" t="s">
        <v>921</v>
      </c>
      <c r="T1" s="77" t="s">
        <v>62</v>
      </c>
      <c r="U1" s="77" t="s">
        <v>65</v>
      </c>
      <c r="V1" s="77" t="s">
        <v>921</v>
      </c>
      <c r="W1" s="77" t="s">
        <v>55</v>
      </c>
      <c r="X1" s="77" t="s">
        <v>58</v>
      </c>
      <c r="Y1" s="77" t="s">
        <v>921</v>
      </c>
      <c r="Z1" s="77" t="s">
        <v>94</v>
      </c>
      <c r="AA1" s="77" t="s">
        <v>97</v>
      </c>
      <c r="AB1" s="77" t="s">
        <v>921</v>
      </c>
      <c r="AC1" s="77" t="s">
        <v>88</v>
      </c>
      <c r="AD1" s="77" t="s">
        <v>91</v>
      </c>
      <c r="AE1" s="77" t="s">
        <v>921</v>
      </c>
      <c r="AF1" s="77" t="s">
        <v>101</v>
      </c>
      <c r="AG1" s="77" t="s">
        <v>104</v>
      </c>
      <c r="AH1" s="77" t="s">
        <v>921</v>
      </c>
      <c r="AI1" s="77" t="s">
        <v>107</v>
      </c>
      <c r="AJ1" s="77" t="s">
        <v>110</v>
      </c>
      <c r="AK1" s="77" t="s">
        <v>921</v>
      </c>
      <c r="AL1" s="77" t="s">
        <v>133</v>
      </c>
      <c r="AM1" s="77" t="s">
        <v>136</v>
      </c>
      <c r="AN1" s="77" t="s">
        <v>921</v>
      </c>
      <c r="AO1" s="77" t="s">
        <v>127</v>
      </c>
      <c r="AP1" s="77" t="s">
        <v>130</v>
      </c>
      <c r="AQ1" s="77" t="s">
        <v>921</v>
      </c>
      <c r="AR1" s="77" t="s">
        <v>120</v>
      </c>
      <c r="AS1" s="77" t="s">
        <v>123</v>
      </c>
      <c r="AT1" s="77" t="s">
        <v>921</v>
      </c>
      <c r="AU1" s="77" t="s">
        <v>114</v>
      </c>
      <c r="AV1" s="77" t="s">
        <v>117</v>
      </c>
      <c r="AW1" s="77" t="s">
        <v>921</v>
      </c>
      <c r="AX1" s="77" t="s">
        <v>140</v>
      </c>
      <c r="AY1" s="77" t="s">
        <v>143</v>
      </c>
      <c r="AZ1" s="77" t="s">
        <v>921</v>
      </c>
      <c r="BA1" s="77" t="s">
        <v>146</v>
      </c>
      <c r="BB1" s="77" t="s">
        <v>149</v>
      </c>
      <c r="BC1" s="77" t="s">
        <v>921</v>
      </c>
      <c r="BD1" s="77" t="s">
        <v>153</v>
      </c>
      <c r="BE1" s="77" t="s">
        <v>156</v>
      </c>
      <c r="BF1" s="77" t="s">
        <v>921</v>
      </c>
      <c r="BG1" s="77" t="s">
        <v>159</v>
      </c>
      <c r="BH1" s="77" t="s">
        <v>162</v>
      </c>
      <c r="BI1" s="77" t="s">
        <v>921</v>
      </c>
      <c r="BJ1" s="77" t="s">
        <v>185</v>
      </c>
      <c r="BK1" s="77" t="s">
        <v>188</v>
      </c>
      <c r="BL1" s="77" t="s">
        <v>921</v>
      </c>
      <c r="BM1" s="77" t="s">
        <v>179</v>
      </c>
      <c r="BN1" s="77" t="s">
        <v>182</v>
      </c>
      <c r="BO1" s="77" t="s">
        <v>921</v>
      </c>
      <c r="BP1" s="77" t="s">
        <v>166</v>
      </c>
      <c r="BQ1" s="77" t="s">
        <v>169</v>
      </c>
      <c r="BR1" s="77" t="s">
        <v>921</v>
      </c>
      <c r="BS1" s="77" t="s">
        <v>172</v>
      </c>
      <c r="BT1" s="77" t="s">
        <v>175</v>
      </c>
      <c r="BU1" s="77" t="s">
        <v>921</v>
      </c>
      <c r="BV1" s="77" t="s">
        <v>45</v>
      </c>
      <c r="BW1" s="77" t="s">
        <v>39</v>
      </c>
      <c r="BX1" s="77" t="s">
        <v>921</v>
      </c>
      <c r="BY1" s="77" t="s">
        <v>58</v>
      </c>
      <c r="BZ1" s="77" t="s">
        <v>52</v>
      </c>
      <c r="CA1" s="77" t="s">
        <v>921</v>
      </c>
      <c r="CB1" s="77" t="s">
        <v>49</v>
      </c>
      <c r="CC1" s="77" t="s">
        <v>55</v>
      </c>
      <c r="CD1" s="77" t="s">
        <v>921</v>
      </c>
      <c r="CE1" s="77" t="s">
        <v>36</v>
      </c>
      <c r="CF1" s="77" t="s">
        <v>42</v>
      </c>
      <c r="CG1" s="77" t="s">
        <v>921</v>
      </c>
      <c r="CH1" s="77" t="s">
        <v>62</v>
      </c>
      <c r="CI1" s="77" t="s">
        <v>68</v>
      </c>
      <c r="CJ1" s="77" t="s">
        <v>921</v>
      </c>
      <c r="CK1" s="77" t="s">
        <v>71</v>
      </c>
      <c r="CL1" s="77" t="s">
        <v>65</v>
      </c>
      <c r="CM1" s="77" t="s">
        <v>921</v>
      </c>
      <c r="CN1" s="77" t="s">
        <v>84</v>
      </c>
      <c r="CO1" s="77" t="s">
        <v>78</v>
      </c>
      <c r="CP1" s="77" t="s">
        <v>921</v>
      </c>
      <c r="CQ1" s="77" t="s">
        <v>75</v>
      </c>
      <c r="CR1" s="77" t="s">
        <v>81</v>
      </c>
      <c r="CS1" s="77" t="s">
        <v>921</v>
      </c>
      <c r="CT1" s="77" t="s">
        <v>88</v>
      </c>
      <c r="CU1" s="77" t="s">
        <v>94</v>
      </c>
      <c r="CV1" s="77" t="s">
        <v>921</v>
      </c>
      <c r="CW1" s="77" t="s">
        <v>97</v>
      </c>
      <c r="CX1" s="77" t="s">
        <v>91</v>
      </c>
      <c r="CY1" s="77" t="s">
        <v>921</v>
      </c>
      <c r="CZ1" s="77" t="s">
        <v>101</v>
      </c>
      <c r="DA1" s="77" t="s">
        <v>107</v>
      </c>
      <c r="DB1" s="77" t="s">
        <v>921</v>
      </c>
      <c r="DC1" s="77" t="s">
        <v>110</v>
      </c>
      <c r="DD1" s="77" t="s">
        <v>104</v>
      </c>
      <c r="DE1" s="77" t="s">
        <v>921</v>
      </c>
      <c r="DF1" s="77" t="s">
        <v>136</v>
      </c>
      <c r="DG1" s="77" t="s">
        <v>130</v>
      </c>
      <c r="DH1" s="77" t="s">
        <v>921</v>
      </c>
      <c r="DI1" s="77" t="s">
        <v>127</v>
      </c>
      <c r="DJ1" s="77" t="s">
        <v>133</v>
      </c>
      <c r="DK1" s="77" t="s">
        <v>921</v>
      </c>
      <c r="DL1" s="77" t="s">
        <v>114</v>
      </c>
      <c r="DM1" s="77" t="s">
        <v>120</v>
      </c>
      <c r="DN1" s="77" t="s">
        <v>921</v>
      </c>
      <c r="DO1" s="77" t="s">
        <v>123</v>
      </c>
      <c r="DP1" s="77" t="s">
        <v>117</v>
      </c>
      <c r="DQ1" s="77" t="s">
        <v>921</v>
      </c>
      <c r="DR1" s="77" t="s">
        <v>149</v>
      </c>
      <c r="DS1" s="77" t="s">
        <v>143</v>
      </c>
      <c r="DT1" s="77" t="s">
        <v>921</v>
      </c>
      <c r="DU1" s="77" t="s">
        <v>140</v>
      </c>
      <c r="DV1" s="77" t="s">
        <v>146</v>
      </c>
      <c r="DW1" s="77" t="s">
        <v>921</v>
      </c>
      <c r="DX1" s="77" t="s">
        <v>153</v>
      </c>
      <c r="DY1" s="77" t="s">
        <v>159</v>
      </c>
      <c r="DZ1" s="77" t="s">
        <v>921</v>
      </c>
      <c r="EA1" s="77" t="s">
        <v>162</v>
      </c>
      <c r="EB1" s="77" t="s">
        <v>156</v>
      </c>
      <c r="EC1" s="77" t="s">
        <v>921</v>
      </c>
      <c r="ED1" s="77" t="s">
        <v>179</v>
      </c>
      <c r="EE1" s="77" t="s">
        <v>185</v>
      </c>
      <c r="EF1" s="77" t="s">
        <v>921</v>
      </c>
      <c r="EG1" s="77" t="s">
        <v>188</v>
      </c>
      <c r="EH1" s="77" t="s">
        <v>182</v>
      </c>
      <c r="EI1" s="77" t="s">
        <v>921</v>
      </c>
      <c r="EJ1" s="77" t="s">
        <v>166</v>
      </c>
      <c r="EK1" s="77" t="s">
        <v>172</v>
      </c>
      <c r="EL1" s="77" t="s">
        <v>921</v>
      </c>
      <c r="EM1" s="77" t="s">
        <v>175</v>
      </c>
      <c r="EN1" s="77" t="s">
        <v>169</v>
      </c>
      <c r="EO1" s="77" t="s">
        <v>921</v>
      </c>
      <c r="EP1" s="77" t="s">
        <v>71</v>
      </c>
      <c r="EQ1" s="77" t="s">
        <v>62</v>
      </c>
      <c r="ER1" s="77" t="s">
        <v>921</v>
      </c>
      <c r="ES1" s="77" t="s">
        <v>65</v>
      </c>
      <c r="ET1" s="77" t="s">
        <v>68</v>
      </c>
      <c r="EU1" s="77" t="s">
        <v>921</v>
      </c>
      <c r="EV1" s="77" t="s">
        <v>58</v>
      </c>
      <c r="EW1" s="77" t="s">
        <v>49</v>
      </c>
      <c r="EX1" s="77" t="s">
        <v>921</v>
      </c>
      <c r="EY1" s="77" t="s">
        <v>52</v>
      </c>
      <c r="EZ1" s="77" t="s">
        <v>55</v>
      </c>
      <c r="FA1" s="77" t="s">
        <v>921</v>
      </c>
      <c r="FB1" s="77" t="s">
        <v>45</v>
      </c>
      <c r="FC1" s="77" t="s">
        <v>36</v>
      </c>
      <c r="FD1" s="77" t="s">
        <v>921</v>
      </c>
      <c r="FE1" s="77" t="s">
        <v>39</v>
      </c>
      <c r="FF1" s="77" t="s">
        <v>42</v>
      </c>
      <c r="FG1" s="77" t="s">
        <v>921</v>
      </c>
      <c r="FH1" s="77" t="s">
        <v>91</v>
      </c>
      <c r="FI1" s="77" t="s">
        <v>94</v>
      </c>
      <c r="FJ1" s="77" t="s">
        <v>921</v>
      </c>
      <c r="FK1" s="77" t="s">
        <v>97</v>
      </c>
      <c r="FL1" s="77" t="s">
        <v>88</v>
      </c>
      <c r="FM1" s="77" t="s">
        <v>921</v>
      </c>
      <c r="FN1" s="77" t="s">
        <v>104</v>
      </c>
      <c r="FO1" s="77" t="s">
        <v>107</v>
      </c>
      <c r="FP1" s="77" t="s">
        <v>921</v>
      </c>
      <c r="FQ1" s="77" t="s">
        <v>110</v>
      </c>
      <c r="FR1" s="77" t="s">
        <v>101</v>
      </c>
      <c r="FS1" s="77" t="s">
        <v>921</v>
      </c>
      <c r="FT1" s="77" t="s">
        <v>84</v>
      </c>
      <c r="FU1" s="77" t="s">
        <v>75</v>
      </c>
      <c r="FV1" s="77" t="s">
        <v>921</v>
      </c>
      <c r="FW1" s="77" t="s">
        <v>78</v>
      </c>
      <c r="FX1" s="77" t="s">
        <v>81</v>
      </c>
      <c r="FY1" s="77" t="s">
        <v>921</v>
      </c>
      <c r="FZ1" s="77" t="s">
        <v>149</v>
      </c>
      <c r="GA1" s="77" t="s">
        <v>140</v>
      </c>
      <c r="GB1" s="77" t="s">
        <v>921</v>
      </c>
      <c r="GC1" s="77" t="s">
        <v>143</v>
      </c>
      <c r="GD1" s="77" t="s">
        <v>146</v>
      </c>
      <c r="GE1" s="77" t="s">
        <v>921</v>
      </c>
      <c r="GF1" s="77" t="s">
        <v>117</v>
      </c>
      <c r="GG1" s="77" t="s">
        <v>120</v>
      </c>
      <c r="GH1" s="77" t="s">
        <v>921</v>
      </c>
      <c r="GI1" s="77" t="s">
        <v>123</v>
      </c>
      <c r="GJ1" s="77" t="s">
        <v>114</v>
      </c>
      <c r="GK1" s="77" t="s">
        <v>921</v>
      </c>
      <c r="GL1" s="77" t="s">
        <v>130</v>
      </c>
      <c r="GM1" s="77" t="s">
        <v>133</v>
      </c>
      <c r="GN1" s="77" t="s">
        <v>921</v>
      </c>
      <c r="GO1" s="77" t="s">
        <v>136</v>
      </c>
      <c r="GP1" s="77" t="s">
        <v>127</v>
      </c>
      <c r="GQ1" s="77" t="s">
        <v>921</v>
      </c>
      <c r="GR1" s="77" t="s">
        <v>188</v>
      </c>
      <c r="GS1" s="77" t="s">
        <v>179</v>
      </c>
      <c r="GT1" s="77" t="s">
        <v>921</v>
      </c>
      <c r="GU1" s="77" t="s">
        <v>182</v>
      </c>
      <c r="GV1" s="77" t="s">
        <v>185</v>
      </c>
      <c r="GW1" s="77" t="s">
        <v>921</v>
      </c>
      <c r="GX1" s="77" t="s">
        <v>156</v>
      </c>
      <c r="GY1" s="77" t="s">
        <v>159</v>
      </c>
      <c r="GZ1" s="77" t="s">
        <v>921</v>
      </c>
      <c r="HA1" s="77" t="s">
        <v>162</v>
      </c>
      <c r="HB1" s="77" t="s">
        <v>153</v>
      </c>
      <c r="HC1" s="77" t="s">
        <v>921</v>
      </c>
      <c r="HD1" s="77" t="s">
        <v>175</v>
      </c>
      <c r="HE1" s="77" t="s">
        <v>166</v>
      </c>
      <c r="HF1" s="77" t="s">
        <v>921</v>
      </c>
      <c r="HG1" s="77" t="s">
        <v>169</v>
      </c>
      <c r="HH1" s="77" t="s">
        <v>172</v>
      </c>
      <c r="HI1" s="77" t="s">
        <v>921</v>
      </c>
      <c r="HJ1" s="78" t="s">
        <v>922</v>
      </c>
    </row>
    <row r="2" customFormat="false" ht="15" hidden="false" customHeight="true" outlineLevel="0" collapsed="false">
      <c r="A2" s="79" t="s">
        <v>923</v>
      </c>
      <c r="B2" s="80" t="n">
        <f aca="false">IF(Partidos!H2="","",Partidos!H2)</f>
        <v>2</v>
      </c>
      <c r="C2" s="80" t="n">
        <f aca="false">IF(Partidos!I2="","",Partidos!I2)</f>
        <v>0</v>
      </c>
      <c r="D2" s="80" t="s">
        <v>924</v>
      </c>
      <c r="E2" s="80" t="str">
        <f aca="false">IF(Partidos!H3="","",Partidos!H3)</f>
        <v/>
      </c>
      <c r="F2" s="80" t="str">
        <f aca="false">IF(Partidos!I3="","",Partidos!I3)</f>
        <v/>
      </c>
      <c r="G2" s="80" t="s">
        <v>924</v>
      </c>
      <c r="H2" s="80" t="str">
        <f aca="false">IF(Partidos!H4="","",Partidos!H4)</f>
        <v/>
      </c>
      <c r="I2" s="80" t="str">
        <f aca="false">IF(Partidos!I4="","",Partidos!I4)</f>
        <v/>
      </c>
      <c r="J2" s="80" t="s">
        <v>924</v>
      </c>
      <c r="K2" s="80" t="str">
        <f aca="false">IF(Partidos!H5="","",Partidos!H5)</f>
        <v/>
      </c>
      <c r="L2" s="80" t="str">
        <f aca="false">IF(Partidos!I5="","",Partidos!I5)</f>
        <v/>
      </c>
      <c r="M2" s="80" t="s">
        <v>924</v>
      </c>
      <c r="N2" s="80" t="str">
        <f aca="false">IF(Partidos!H6="","",Partidos!H6)</f>
        <v/>
      </c>
      <c r="O2" s="80" t="str">
        <f aca="false">IF(Partidos!I6="","",Partidos!I6)</f>
        <v/>
      </c>
      <c r="P2" s="80" t="s">
        <v>924</v>
      </c>
      <c r="Q2" s="80" t="str">
        <f aca="false">IF(Partidos!H7="","",Partidos!H7)</f>
        <v/>
      </c>
      <c r="R2" s="80" t="str">
        <f aca="false">IF(Partidos!I7="","",Partidos!I7)</f>
        <v/>
      </c>
      <c r="S2" s="80" t="s">
        <v>924</v>
      </c>
      <c r="T2" s="80" t="str">
        <f aca="false">IF(Partidos!H8="","",Partidos!H8)</f>
        <v/>
      </c>
      <c r="U2" s="80" t="str">
        <f aca="false">IF(Partidos!I8="","",Partidos!I8)</f>
        <v/>
      </c>
      <c r="V2" s="80" t="s">
        <v>924</v>
      </c>
      <c r="W2" s="80" t="str">
        <f aca="false">IF(Partidos!H9="","",Partidos!H9)</f>
        <v/>
      </c>
      <c r="X2" s="80" t="str">
        <f aca="false">IF(Partidos!I9="","",Partidos!I9)</f>
        <v/>
      </c>
      <c r="Y2" s="80" t="s">
        <v>924</v>
      </c>
      <c r="Z2" s="80" t="str">
        <f aca="false">IF(Partidos!H10="","",Partidos!H10)</f>
        <v/>
      </c>
      <c r="AA2" s="80" t="str">
        <f aca="false">IF(Partidos!I10="","",Partidos!I10)</f>
        <v/>
      </c>
      <c r="AB2" s="80" t="s">
        <v>924</v>
      </c>
      <c r="AC2" s="80" t="str">
        <f aca="false">IF(Partidos!H11="","",Partidos!H11)</f>
        <v/>
      </c>
      <c r="AD2" s="80" t="str">
        <f aca="false">IF(Partidos!I11="","",Partidos!I11)</f>
        <v/>
      </c>
      <c r="AE2" s="80" t="s">
        <v>924</v>
      </c>
      <c r="AF2" s="80" t="str">
        <f aca="false">IF(Partidos!H12="","",Partidos!H12)</f>
        <v/>
      </c>
      <c r="AG2" s="80" t="str">
        <f aca="false">IF(Partidos!I12="","",Partidos!I12)</f>
        <v/>
      </c>
      <c r="AH2" s="80" t="s">
        <v>924</v>
      </c>
      <c r="AI2" s="80" t="str">
        <f aca="false">IF(Partidos!H13="","",Partidos!H13)</f>
        <v/>
      </c>
      <c r="AJ2" s="80" t="str">
        <f aca="false">IF(Partidos!I13="","",Partidos!I13)</f>
        <v/>
      </c>
      <c r="AK2" s="80" t="s">
        <v>924</v>
      </c>
      <c r="AL2" s="80" t="str">
        <f aca="false">IF(Partidos!H14="","",Partidos!H14)</f>
        <v/>
      </c>
      <c r="AM2" s="80" t="str">
        <f aca="false">IF(Partidos!I14="","",Partidos!I14)</f>
        <v/>
      </c>
      <c r="AN2" s="80" t="s">
        <v>924</v>
      </c>
      <c r="AO2" s="80" t="str">
        <f aca="false">IF(Partidos!H15="","",Partidos!H15)</f>
        <v/>
      </c>
      <c r="AP2" s="80" t="str">
        <f aca="false">IF(Partidos!I15="","",Partidos!I15)</f>
        <v/>
      </c>
      <c r="AQ2" s="80" t="s">
        <v>924</v>
      </c>
      <c r="AR2" s="80" t="str">
        <f aca="false">IF(Partidos!H16="","",Partidos!H16)</f>
        <v/>
      </c>
      <c r="AS2" s="80" t="str">
        <f aca="false">IF(Partidos!I16="","",Partidos!I16)</f>
        <v/>
      </c>
      <c r="AT2" s="80" t="s">
        <v>924</v>
      </c>
      <c r="AU2" s="80" t="str">
        <f aca="false">IF(Partidos!H17="","",Partidos!H17)</f>
        <v/>
      </c>
      <c r="AV2" s="80" t="str">
        <f aca="false">IF(Partidos!I17="","",Partidos!I17)</f>
        <v/>
      </c>
      <c r="AW2" s="80" t="s">
        <v>924</v>
      </c>
      <c r="AX2" s="80" t="str">
        <f aca="false">IF(Partidos!H18="","",Partidos!H18)</f>
        <v/>
      </c>
      <c r="AY2" s="80" t="str">
        <f aca="false">IF(Partidos!I18="","",Partidos!I18)</f>
        <v/>
      </c>
      <c r="AZ2" s="80" t="s">
        <v>924</v>
      </c>
      <c r="BA2" s="80" t="str">
        <f aca="false">IF(Partidos!H19="","",Partidos!H19)</f>
        <v/>
      </c>
      <c r="BB2" s="80" t="str">
        <f aca="false">IF(Partidos!I19="","",Partidos!I19)</f>
        <v/>
      </c>
      <c r="BC2" s="80" t="s">
        <v>924</v>
      </c>
      <c r="BD2" s="80" t="str">
        <f aca="false">IF(Partidos!H20="","",Partidos!H20)</f>
        <v/>
      </c>
      <c r="BE2" s="80" t="str">
        <f aca="false">IF(Partidos!I20="","",Partidos!I20)</f>
        <v/>
      </c>
      <c r="BF2" s="80" t="s">
        <v>924</v>
      </c>
      <c r="BG2" s="80" t="str">
        <f aca="false">IF(Partidos!H21="","",Partidos!H21)</f>
        <v/>
      </c>
      <c r="BH2" s="80" t="str">
        <f aca="false">IF(Partidos!I21="","",Partidos!I21)</f>
        <v/>
      </c>
      <c r="BI2" s="80" t="s">
        <v>924</v>
      </c>
      <c r="BJ2" s="80" t="str">
        <f aca="false">IF(Partidos!H22="","",Partidos!H22)</f>
        <v/>
      </c>
      <c r="BK2" s="80" t="str">
        <f aca="false">IF(Partidos!I22="","",Partidos!I22)</f>
        <v/>
      </c>
      <c r="BL2" s="80" t="s">
        <v>924</v>
      </c>
      <c r="BM2" s="80" t="str">
        <f aca="false">IF(Partidos!H23="","",Partidos!H23)</f>
        <v/>
      </c>
      <c r="BN2" s="80" t="str">
        <f aca="false">IF(Partidos!I23="","",Partidos!I23)</f>
        <v/>
      </c>
      <c r="BO2" s="80" t="s">
        <v>924</v>
      </c>
      <c r="BP2" s="80" t="str">
        <f aca="false">IF(Partidos!H24="","",Partidos!H24)</f>
        <v/>
      </c>
      <c r="BQ2" s="80" t="str">
        <f aca="false">IF(Partidos!I24="","",Partidos!I24)</f>
        <v/>
      </c>
      <c r="BR2" s="80" t="s">
        <v>924</v>
      </c>
      <c r="BS2" s="80" t="str">
        <f aca="false">IF(Partidos!H25="","",Partidos!H25)</f>
        <v/>
      </c>
      <c r="BT2" s="80" t="str">
        <f aca="false">IF(Partidos!I25="","",Partidos!I25)</f>
        <v/>
      </c>
      <c r="BU2" s="80" t="s">
        <v>924</v>
      </c>
      <c r="BV2" s="80" t="str">
        <f aca="false">IF(Partidos!H26="","",Partidos!H26)</f>
        <v/>
      </c>
      <c r="BW2" s="80" t="str">
        <f aca="false">IF(Partidos!I26="","",Partidos!I26)</f>
        <v/>
      </c>
      <c r="BX2" s="80" t="s">
        <v>924</v>
      </c>
      <c r="BY2" s="80" t="str">
        <f aca="false">IF(Partidos!H27="","",Partidos!H27)</f>
        <v/>
      </c>
      <c r="BZ2" s="80" t="str">
        <f aca="false">IF(Partidos!I27="","",Partidos!I27)</f>
        <v/>
      </c>
      <c r="CA2" s="80" t="s">
        <v>924</v>
      </c>
      <c r="CB2" s="80" t="str">
        <f aca="false">IF(Partidos!H28="","",Partidos!H28)</f>
        <v/>
      </c>
      <c r="CC2" s="80" t="str">
        <f aca="false">IF(Partidos!I28="","",Partidos!I28)</f>
        <v/>
      </c>
      <c r="CD2" s="80" t="s">
        <v>924</v>
      </c>
      <c r="CE2" s="80" t="str">
        <f aca="false">IF(Partidos!H29="","",Partidos!H29)</f>
        <v/>
      </c>
      <c r="CF2" s="80" t="str">
        <f aca="false">IF(Partidos!I29="","",Partidos!I29)</f>
        <v/>
      </c>
      <c r="CG2" s="80" t="s">
        <v>924</v>
      </c>
      <c r="CH2" s="80" t="str">
        <f aca="false">IF(Partidos!H30="","",Partidos!H30)</f>
        <v/>
      </c>
      <c r="CI2" s="80" t="str">
        <f aca="false">IF(Partidos!I30="","",Partidos!I30)</f>
        <v/>
      </c>
      <c r="CJ2" s="80" t="s">
        <v>924</v>
      </c>
      <c r="CK2" s="80" t="str">
        <f aca="false">IF(Partidos!H31="","",Partidos!H31)</f>
        <v/>
      </c>
      <c r="CL2" s="80" t="str">
        <f aca="false">IF(Partidos!I31="","",Partidos!I31)</f>
        <v/>
      </c>
      <c r="CM2" s="80" t="s">
        <v>924</v>
      </c>
      <c r="CN2" s="80" t="str">
        <f aca="false">IF(Partidos!H32="","",Partidos!H32)</f>
        <v/>
      </c>
      <c r="CO2" s="80" t="str">
        <f aca="false">IF(Partidos!I32="","",Partidos!I32)</f>
        <v/>
      </c>
      <c r="CP2" s="80" t="s">
        <v>924</v>
      </c>
      <c r="CQ2" s="80" t="str">
        <f aca="false">IF(Partidos!H33="","",Partidos!H33)</f>
        <v/>
      </c>
      <c r="CR2" s="80" t="str">
        <f aca="false">IF(Partidos!I33="","",Partidos!I33)</f>
        <v/>
      </c>
      <c r="CS2" s="80" t="s">
        <v>924</v>
      </c>
      <c r="CT2" s="80" t="str">
        <f aca="false">IF(Partidos!H34="","",Partidos!H34)</f>
        <v/>
      </c>
      <c r="CU2" s="80" t="str">
        <f aca="false">IF(Partidos!I34="","",Partidos!I34)</f>
        <v/>
      </c>
      <c r="CV2" s="80" t="s">
        <v>924</v>
      </c>
      <c r="CW2" s="80" t="str">
        <f aca="false">IF(Partidos!H35="","",Partidos!H35)</f>
        <v/>
      </c>
      <c r="CX2" s="80" t="str">
        <f aca="false">IF(Partidos!I35="","",Partidos!I35)</f>
        <v/>
      </c>
      <c r="CY2" s="80" t="s">
        <v>924</v>
      </c>
      <c r="CZ2" s="80" t="str">
        <f aca="false">IF(Partidos!H36="","",Partidos!H36)</f>
        <v/>
      </c>
      <c r="DA2" s="80" t="str">
        <f aca="false">IF(Partidos!I36="","",Partidos!I36)</f>
        <v/>
      </c>
      <c r="DB2" s="80" t="s">
        <v>924</v>
      </c>
      <c r="DC2" s="80" t="str">
        <f aca="false">IF(Partidos!H37="","",Partidos!H37)</f>
        <v/>
      </c>
      <c r="DD2" s="80" t="str">
        <f aca="false">IF(Partidos!I37="","",Partidos!I37)</f>
        <v/>
      </c>
      <c r="DE2" s="80" t="s">
        <v>924</v>
      </c>
      <c r="DF2" s="80" t="str">
        <f aca="false">IF(Partidos!H38="","",Partidos!H38)</f>
        <v/>
      </c>
      <c r="DG2" s="80" t="str">
        <f aca="false">IF(Partidos!I38="","",Partidos!I38)</f>
        <v/>
      </c>
      <c r="DH2" s="80" t="s">
        <v>924</v>
      </c>
      <c r="DI2" s="80" t="str">
        <f aca="false">IF(Partidos!H39="","",Partidos!H39)</f>
        <v/>
      </c>
      <c r="DJ2" s="80" t="str">
        <f aca="false">IF(Partidos!I39="","",Partidos!I39)</f>
        <v/>
      </c>
      <c r="DK2" s="80" t="s">
        <v>924</v>
      </c>
      <c r="DL2" s="80" t="str">
        <f aca="false">IF(Partidos!H40="","",Partidos!H40)</f>
        <v/>
      </c>
      <c r="DM2" s="80" t="str">
        <f aca="false">IF(Partidos!I40="","",Partidos!I40)</f>
        <v/>
      </c>
      <c r="DN2" s="80" t="s">
        <v>924</v>
      </c>
      <c r="DO2" s="80" t="str">
        <f aca="false">IF(Partidos!H41="","",Partidos!H41)</f>
        <v/>
      </c>
      <c r="DP2" s="80" t="str">
        <f aca="false">IF(Partidos!I41="","",Partidos!I41)</f>
        <v/>
      </c>
      <c r="DQ2" s="80" t="s">
        <v>924</v>
      </c>
      <c r="DR2" s="80" t="str">
        <f aca="false">IF(Partidos!H42="","",Partidos!H42)</f>
        <v/>
      </c>
      <c r="DS2" s="80" t="str">
        <f aca="false">IF(Partidos!I42="","",Partidos!I42)</f>
        <v/>
      </c>
      <c r="DT2" s="80" t="s">
        <v>924</v>
      </c>
      <c r="DU2" s="80" t="str">
        <f aca="false">IF(Partidos!H43="","",Partidos!H43)</f>
        <v/>
      </c>
      <c r="DV2" s="80" t="str">
        <f aca="false">IF(Partidos!I43="","",Partidos!I43)</f>
        <v/>
      </c>
      <c r="DW2" s="80" t="s">
        <v>924</v>
      </c>
      <c r="DX2" s="80" t="str">
        <f aca="false">IF(Partidos!H44="","",Partidos!H44)</f>
        <v/>
      </c>
      <c r="DY2" s="80" t="str">
        <f aca="false">IF(Partidos!I44="","",Partidos!I44)</f>
        <v/>
      </c>
      <c r="DZ2" s="80" t="s">
        <v>924</v>
      </c>
      <c r="EA2" s="80" t="str">
        <f aca="false">IF(Partidos!H45="","",Partidos!H45)</f>
        <v/>
      </c>
      <c r="EB2" s="80" t="str">
        <f aca="false">IF(Partidos!I45="","",Partidos!I45)</f>
        <v/>
      </c>
      <c r="EC2" s="80" t="s">
        <v>924</v>
      </c>
      <c r="ED2" s="80" t="str">
        <f aca="false">IF(Partidos!H46="","",Partidos!H46)</f>
        <v/>
      </c>
      <c r="EE2" s="80" t="str">
        <f aca="false">IF(Partidos!I46="","",Partidos!I46)</f>
        <v/>
      </c>
      <c r="EF2" s="80" t="s">
        <v>924</v>
      </c>
      <c r="EG2" s="80" t="str">
        <f aca="false">IF(Partidos!H47="","",Partidos!H47)</f>
        <v/>
      </c>
      <c r="EH2" s="80" t="str">
        <f aca="false">IF(Partidos!I47="","",Partidos!I47)</f>
        <v/>
      </c>
      <c r="EI2" s="80" t="s">
        <v>924</v>
      </c>
      <c r="EJ2" s="80" t="str">
        <f aca="false">IF(Partidos!H48="","",Partidos!H48)</f>
        <v/>
      </c>
      <c r="EK2" s="80" t="str">
        <f aca="false">IF(Partidos!I48="","",Partidos!I48)</f>
        <v/>
      </c>
      <c r="EL2" s="80" t="s">
        <v>924</v>
      </c>
      <c r="EM2" s="80" t="str">
        <f aca="false">IF(Partidos!H49="","",Partidos!H49)</f>
        <v/>
      </c>
      <c r="EN2" s="80" t="str">
        <f aca="false">IF(Partidos!I49="","",Partidos!I49)</f>
        <v/>
      </c>
      <c r="EO2" s="80" t="s">
        <v>924</v>
      </c>
      <c r="EP2" s="80" t="str">
        <f aca="false">IF(Partidos!H50="","",Partidos!H50)</f>
        <v/>
      </c>
      <c r="EQ2" s="80" t="str">
        <f aca="false">IF(Partidos!I50="","",Partidos!I50)</f>
        <v/>
      </c>
      <c r="ER2" s="80" t="s">
        <v>924</v>
      </c>
      <c r="ES2" s="80" t="str">
        <f aca="false">IF(Partidos!H51="","",Partidos!H51)</f>
        <v/>
      </c>
      <c r="ET2" s="80" t="str">
        <f aca="false">IF(Partidos!I51="","",Partidos!I51)</f>
        <v/>
      </c>
      <c r="EU2" s="80" t="s">
        <v>924</v>
      </c>
      <c r="EV2" s="80" t="str">
        <f aca="false">IF(Partidos!H52="","",Partidos!H52)</f>
        <v/>
      </c>
      <c r="EW2" s="80" t="str">
        <f aca="false">IF(Partidos!I52="","",Partidos!I52)</f>
        <v/>
      </c>
      <c r="EX2" s="80" t="s">
        <v>924</v>
      </c>
      <c r="EY2" s="80" t="str">
        <f aca="false">IF(Partidos!H53="","",Partidos!H53)</f>
        <v/>
      </c>
      <c r="EZ2" s="80" t="str">
        <f aca="false">IF(Partidos!I53="","",Partidos!I53)</f>
        <v/>
      </c>
      <c r="FA2" s="80" t="s">
        <v>924</v>
      </c>
      <c r="FB2" s="80" t="str">
        <f aca="false">IF(Partidos!H54="","",Partidos!H54)</f>
        <v/>
      </c>
      <c r="FC2" s="80" t="str">
        <f aca="false">IF(Partidos!I54="","",Partidos!I54)</f>
        <v/>
      </c>
      <c r="FD2" s="80" t="s">
        <v>924</v>
      </c>
      <c r="FE2" s="80" t="str">
        <f aca="false">IF(Partidos!H55="","",Partidos!H55)</f>
        <v/>
      </c>
      <c r="FF2" s="80" t="str">
        <f aca="false">IF(Partidos!I55="","",Partidos!I55)</f>
        <v/>
      </c>
      <c r="FG2" s="80" t="s">
        <v>924</v>
      </c>
      <c r="FH2" s="80" t="str">
        <f aca="false">IF(Partidos!H56="","",Partidos!H56)</f>
        <v/>
      </c>
      <c r="FI2" s="80" t="str">
        <f aca="false">IF(Partidos!I56="","",Partidos!I56)</f>
        <v/>
      </c>
      <c r="FJ2" s="80" t="s">
        <v>924</v>
      </c>
      <c r="FK2" s="80" t="str">
        <f aca="false">IF(Partidos!H57="","",Partidos!H57)</f>
        <v/>
      </c>
      <c r="FL2" s="80" t="str">
        <f aca="false">IF(Partidos!I57="","",Partidos!I57)</f>
        <v/>
      </c>
      <c r="FM2" s="80" t="s">
        <v>924</v>
      </c>
      <c r="FN2" s="80" t="str">
        <f aca="false">IF(Partidos!H58="","",Partidos!H58)</f>
        <v/>
      </c>
      <c r="FO2" s="80" t="str">
        <f aca="false">IF(Partidos!I58="","",Partidos!I58)</f>
        <v/>
      </c>
      <c r="FP2" s="80" t="s">
        <v>924</v>
      </c>
      <c r="FQ2" s="80" t="str">
        <f aca="false">IF(Partidos!H59="","",Partidos!H59)</f>
        <v/>
      </c>
      <c r="FR2" s="80" t="str">
        <f aca="false">IF(Partidos!I59="","",Partidos!I59)</f>
        <v/>
      </c>
      <c r="FS2" s="80" t="s">
        <v>924</v>
      </c>
      <c r="FT2" s="80" t="str">
        <f aca="false">IF(Partidos!H60="","",Partidos!H60)</f>
        <v/>
      </c>
      <c r="FU2" s="80" t="str">
        <f aca="false">IF(Partidos!I60="","",Partidos!I60)</f>
        <v/>
      </c>
      <c r="FV2" s="80" t="s">
        <v>924</v>
      </c>
      <c r="FW2" s="80" t="str">
        <f aca="false">IF(Partidos!H61="","",Partidos!H61)</f>
        <v/>
      </c>
      <c r="FX2" s="80" t="str">
        <f aca="false">IF(Partidos!I61="","",Partidos!I61)</f>
        <v/>
      </c>
      <c r="FY2" s="80" t="s">
        <v>924</v>
      </c>
      <c r="FZ2" s="80" t="str">
        <f aca="false">IF(Partidos!H62="","",Partidos!H62)</f>
        <v/>
      </c>
      <c r="GA2" s="80" t="str">
        <f aca="false">IF(Partidos!I62="","",Partidos!I62)</f>
        <v/>
      </c>
      <c r="GB2" s="80" t="s">
        <v>924</v>
      </c>
      <c r="GC2" s="80" t="str">
        <f aca="false">IF(Partidos!H63="","",Partidos!H63)</f>
        <v/>
      </c>
      <c r="GD2" s="80" t="str">
        <f aca="false">IF(Partidos!I63="","",Partidos!I63)</f>
        <v/>
      </c>
      <c r="GE2" s="80" t="s">
        <v>924</v>
      </c>
      <c r="GF2" s="80" t="str">
        <f aca="false">IF(Partidos!H64="","",Partidos!H64)</f>
        <v/>
      </c>
      <c r="GG2" s="80" t="str">
        <f aca="false">IF(Partidos!I64="","",Partidos!I64)</f>
        <v/>
      </c>
      <c r="GH2" s="80" t="s">
        <v>924</v>
      </c>
      <c r="GI2" s="80" t="str">
        <f aca="false">IF(Partidos!H65="","",Partidos!H65)</f>
        <v/>
      </c>
      <c r="GJ2" s="80" t="str">
        <f aca="false">IF(Partidos!I65="","",Partidos!I65)</f>
        <v/>
      </c>
      <c r="GK2" s="80" t="s">
        <v>924</v>
      </c>
      <c r="GL2" s="80" t="str">
        <f aca="false">IF(Partidos!H66="","",Partidos!H66)</f>
        <v/>
      </c>
      <c r="GM2" s="80" t="str">
        <f aca="false">IF(Partidos!I66="","",Partidos!I66)</f>
        <v/>
      </c>
      <c r="GN2" s="80" t="s">
        <v>924</v>
      </c>
      <c r="GO2" s="80" t="str">
        <f aca="false">IF(Partidos!H67="","",Partidos!H67)</f>
        <v/>
      </c>
      <c r="GP2" s="80" t="str">
        <f aca="false">IF(Partidos!I67="","",Partidos!I67)</f>
        <v/>
      </c>
      <c r="GQ2" s="80" t="s">
        <v>924</v>
      </c>
      <c r="GR2" s="80" t="str">
        <f aca="false">IF(Partidos!H68="","",Partidos!H68)</f>
        <v/>
      </c>
      <c r="GS2" s="80" t="str">
        <f aca="false">IF(Partidos!I68="","",Partidos!I68)</f>
        <v/>
      </c>
      <c r="GT2" s="80" t="s">
        <v>924</v>
      </c>
      <c r="GU2" s="80" t="str">
        <f aca="false">IF(Partidos!H69="","",Partidos!H69)</f>
        <v/>
      </c>
      <c r="GV2" s="80" t="str">
        <f aca="false">IF(Partidos!I69="","",Partidos!I69)</f>
        <v/>
      </c>
      <c r="GW2" s="80" t="s">
        <v>924</v>
      </c>
      <c r="GX2" s="80" t="str">
        <f aca="false">IF(Partidos!H70="","",Partidos!H70)</f>
        <v/>
      </c>
      <c r="GY2" s="80" t="str">
        <f aca="false">IF(Partidos!I70="","",Partidos!I70)</f>
        <v/>
      </c>
      <c r="GZ2" s="80" t="s">
        <v>924</v>
      </c>
      <c r="HA2" s="80" t="str">
        <f aca="false">IF(Partidos!H71="","",Partidos!H71)</f>
        <v/>
      </c>
      <c r="HB2" s="80" t="str">
        <f aca="false">IF(Partidos!I71="","",Partidos!I71)</f>
        <v/>
      </c>
      <c r="HC2" s="80" t="s">
        <v>924</v>
      </c>
      <c r="HD2" s="80" t="str">
        <f aca="false">IF(Partidos!H72="","",Partidos!H72)</f>
        <v/>
      </c>
      <c r="HE2" s="80" t="str">
        <f aca="false">IF(Partidos!I72="","",Partidos!I72)</f>
        <v/>
      </c>
      <c r="HF2" s="80" t="s">
        <v>924</v>
      </c>
      <c r="HG2" s="80" t="str">
        <f aca="false">IF(Partidos!H73="","",Partidos!H73)</f>
        <v/>
      </c>
      <c r="HH2" s="80" t="str">
        <f aca="false">IF(Partidos!I73="","",Partidos!I73)</f>
        <v/>
      </c>
      <c r="HI2" s="80" t="s">
        <v>924</v>
      </c>
    </row>
    <row r="3" customFormat="false" ht="15" hidden="false" customHeight="true" outlineLevel="0" collapsed="false">
      <c r="A3" s="81" t="str">
        <f aca="false">Participantes!B2</f>
        <v>Alberto</v>
      </c>
      <c r="B3" s="1" t="n">
        <f aca="false">Participantes!C2</f>
        <v>1</v>
      </c>
      <c r="C3" s="1" t="n">
        <f aca="false">Participantes!D2</f>
        <v>1</v>
      </c>
      <c r="D3" s="82" t="n">
        <f aca="false">IF(B$2="","",IF(AND(B3=B$2,C3=C$2),3,IF(AND(B$2&gt;C$2,B3&gt;C3),1,IF(AND(C$2&gt;B$2,C3&gt;B3),1,IF(AND(B$2=C$2,B3=C3),1,0)))))</f>
        <v>0</v>
      </c>
      <c r="E3" s="1" t="n">
        <f aca="false">Participantes!E2</f>
        <v>2</v>
      </c>
      <c r="F3" s="1" t="n">
        <f aca="false">Participantes!F2</f>
        <v>0</v>
      </c>
      <c r="G3" s="82" t="str">
        <f aca="false">IF(E$2="","",IF(AND(E3=E$2,F3=F$2),3,IF(AND(E$2&gt;F$2,E3&gt;F3),1,IF(AND(F$2&gt;E$2,F3&gt;E3),1,IF(AND(E$2=F$2,E3=F3),1,0)))))</f>
        <v/>
      </c>
      <c r="H3" s="1" t="n">
        <f aca="false">Participantes!G2</f>
        <v>2</v>
      </c>
      <c r="I3" s="1" t="n">
        <f aca="false">Participantes!H2</f>
        <v>1</v>
      </c>
      <c r="J3" s="82" t="str">
        <f aca="false">IF(H$2="","",IF(AND(H3=H$2,I3=I$2),3,IF(AND(H$2&gt;I$2,H3&gt;I3),1,IF(AND(I$2&gt;H$2,I3&gt;H3),1,IF(AND(H$2=I$2,H3=I3),1,0)))))</f>
        <v/>
      </c>
      <c r="K3" s="1" t="n">
        <f aca="false">Participantes!I2</f>
        <v>1</v>
      </c>
      <c r="L3" s="1" t="n">
        <f aca="false">Participantes!J2</f>
        <v>3</v>
      </c>
      <c r="M3" s="82" t="str">
        <f aca="false">IF(K$2="","",IF(AND(K3=K$2,L3=L$2),3,IF(AND(K$2&gt;L$2,K3&gt;L3),1,IF(AND(L$2&gt;K$2,L3&gt;K3),1,IF(AND(K$2=L$2,K3=L3),1,0)))))</f>
        <v/>
      </c>
      <c r="N3" s="1" t="n">
        <f aca="false">Participantes!K2</f>
        <v>0</v>
      </c>
      <c r="O3" s="1" t="n">
        <f aca="false">Participantes!L2</f>
        <v>2</v>
      </c>
      <c r="P3" s="82" t="str">
        <f aca="false">IF(N$2="","",IF(AND(N3=N$2,O3=O$2),3,IF(AND(N$2&gt;O$2,N3&gt;O3),1,IF(AND(O$2&gt;N$2,O3&gt;N3),1,IF(AND(N$2=O$2,N3=O3),1,0)))))</f>
        <v/>
      </c>
      <c r="Q3" s="1" t="n">
        <f aca="false">Participantes!M2</f>
        <v>0</v>
      </c>
      <c r="R3" s="1" t="n">
        <f aca="false">Participantes!N2</f>
        <v>1</v>
      </c>
      <c r="S3" s="82" t="str">
        <f aca="false">IF(Q$2="","",IF(AND(Q3=Q$2,R3=R$2),3,IF(AND(Q$2&gt;R$2,Q3&gt;R3),1,IF(AND(R$2&gt;Q$2,R3&gt;Q3),1,IF(AND(Q$2=R$2,Q3=R3),1,0)))))</f>
        <v/>
      </c>
      <c r="T3" s="1" t="n">
        <f aca="false">Participantes!O2</f>
        <v>1</v>
      </c>
      <c r="U3" s="1" t="n">
        <f aca="false">Participantes!P2</f>
        <v>2</v>
      </c>
      <c r="V3" s="82" t="str">
        <f aca="false">IF(T$2="","",IF(AND(T3=T$2,U3=U$2),3,IF(AND(T$2&gt;U$2,T3&gt;U3),1,IF(AND(U$2&gt;T$2,U3&gt;T3),1,IF(AND(T$2=U$2,T3=U3),1,0)))))</f>
        <v/>
      </c>
      <c r="W3" s="1" t="n">
        <f aca="false">Participantes!Q2</f>
        <v>0</v>
      </c>
      <c r="X3" s="1" t="n">
        <f aca="false">Participantes!R2</f>
        <v>2</v>
      </c>
      <c r="Y3" s="82" t="str">
        <f aca="false">IF(W$2="","",IF(AND(W3=W$2,X3=X$2),3,IF(AND(W$2&gt;X$2,W3&gt;X3),1,IF(AND(X$2&gt;W$2,X3&gt;W3),1,IF(AND(W$2=X$2,W3=X3),1,0)))))</f>
        <v/>
      </c>
      <c r="Z3" s="1" t="n">
        <f aca="false">Participantes!S2</f>
        <v>1</v>
      </c>
      <c r="AA3" s="1" t="n">
        <f aca="false">Participantes!T2</f>
        <v>2</v>
      </c>
      <c r="AB3" s="82" t="str">
        <f aca="false">IF(Z$2="","",IF(AND(Z3=Z$2,AA3=AA$2),3,IF(AND(Z$2&gt;AA$2,Z3&gt;AA3),1,IF(AND(AA$2&gt;Z$2,AA3&gt;Z3),1,IF(AND(Z$2=AA$2,Z3=AA3),1,0)))))</f>
        <v/>
      </c>
      <c r="AC3" s="1" t="n">
        <f aca="false">Participantes!U2</f>
        <v>5</v>
      </c>
      <c r="AD3" s="1" t="n">
        <f aca="false">Participantes!V2</f>
        <v>0</v>
      </c>
      <c r="AE3" s="82" t="str">
        <f aca="false">IF(AC$2="","",IF(AND(AC3=AC$2,AD3=AD$2),3,IF(AND(AC$2&gt;AD$2,AC3&gt;AD3),1,IF(AND(AD$2&gt;AC$2,AD3&gt;AC3),1,IF(AND(AC$2=AD$2,AC3=AD3),1,0)))))</f>
        <v/>
      </c>
      <c r="AF3" s="1" t="n">
        <f aca="false">Participantes!W2</f>
        <v>3</v>
      </c>
      <c r="AG3" s="1" t="n">
        <f aca="false">Participantes!X2</f>
        <v>0</v>
      </c>
      <c r="AH3" s="82" t="str">
        <f aca="false">IF(AF$2="","",IF(AND(AF3=AF$2,AG3=AG$2),3,IF(AND(AF$2&gt;AG$2,AF3&gt;AG3),1,IF(AND(AG$2&gt;AF$2,AG3&gt;AF3),1,IF(AND(AF$2=AG$2,AF3=AG3),1,0)))))</f>
        <v/>
      </c>
      <c r="AI3" s="1" t="n">
        <f aca="false">Participantes!Y2</f>
        <v>1</v>
      </c>
      <c r="AJ3" s="1" t="n">
        <f aca="false">Participantes!Z2</f>
        <v>1</v>
      </c>
      <c r="AK3" s="82" t="str">
        <f aca="false">IF(AI$2="","",IF(AND(AI3=AI$2,AJ3=AJ$2),3,IF(AND(AI$2&gt;AJ$2,AI3&gt;AJ3),1,IF(AND(AJ$2&gt;AI$2,AJ3&gt;AI3),1,IF(AND(AI$2=AJ$2,AI3=AJ3),1,0)))))</f>
        <v/>
      </c>
      <c r="AL3" s="1" t="n">
        <f aca="false">Participantes!AA2</f>
        <v>0</v>
      </c>
      <c r="AM3" s="1" t="n">
        <f aca="false">Participantes!AB2</f>
        <v>2</v>
      </c>
      <c r="AN3" s="82" t="str">
        <f aca="false">IF(AL$2="","",IF(AND(AL3=AL$2,AM3=AM$2),3,IF(AND(AL$2&gt;AM$2,AL3&gt;AM3),1,IF(AND(AM$2&gt;AL$2,AM3&gt;AL3),1,IF(AND(AL$2=AM$2,AL3=AM3),1,0)))))</f>
        <v/>
      </c>
      <c r="AO3" s="1" t="n">
        <f aca="false">Participantes!AC2</f>
        <v>6</v>
      </c>
      <c r="AP3" s="1" t="n">
        <f aca="false">Participantes!AD2</f>
        <v>0</v>
      </c>
      <c r="AQ3" s="82" t="str">
        <f aca="false">IF(AO$2="","",IF(AND(AO3=AO$2,AP3=AP$2),3,IF(AND(AO$2&gt;AP$2,AO3&gt;AP3),1,IF(AND(AP$2&gt;AO$2,AP3&gt;AO3),1,IF(AND(AO$2=AP$2,AO3=AP3),1,0)))))</f>
        <v/>
      </c>
      <c r="AR3" s="1" t="n">
        <f aca="false">Participantes!AE2</f>
        <v>0</v>
      </c>
      <c r="AS3" s="1" t="n">
        <f aca="false">Participantes!AF2</f>
        <v>0</v>
      </c>
      <c r="AT3" s="82" t="str">
        <f aca="false">IF(AR$2="","",IF(AND(AR3=AR$2,AS3=AS$2),3,IF(AND(AR$2&gt;AS$2,AR3&gt;AS3),1,IF(AND(AS$2&gt;AR$2,AS3&gt;AR3),1,IF(AND(AR$2=AS$2,AR3=AS3),1,0)))))</f>
        <v/>
      </c>
      <c r="AU3" s="1" t="n">
        <f aca="false">Participantes!AG2</f>
        <v>2</v>
      </c>
      <c r="AV3" s="1" t="n">
        <f aca="false">Participantes!AH2</f>
        <v>0</v>
      </c>
      <c r="AW3" s="82" t="str">
        <f aca="false">IF(AU$2="","",IF(AND(AU3=AU$2,AV3=AV$2),3,IF(AND(AU$2&gt;AV$2,AU3&gt;AV3),1,IF(AND(AV$2&gt;AU$2,AV3&gt;AU3),1,IF(AND(AU$2=AV$2,AU3=AV3),1,0)))))</f>
        <v/>
      </c>
      <c r="AX3" s="1" t="n">
        <f aca="false">Participantes!AI2</f>
        <v>4</v>
      </c>
      <c r="AY3" s="1" t="n">
        <f aca="false">Participantes!AJ2</f>
        <v>0</v>
      </c>
      <c r="AZ3" s="82" t="str">
        <f aca="false">IF(AX$2="","",IF(AND(AX3=AX$2,AY3=AY$2),3,IF(AND(AX$2&gt;AY$2,AX3&gt;AY3),1,IF(AND(AY$2&gt;AX$2,AY3&gt;AX3),1,IF(AND(AX$2=AY$2,AX3=AY3),1,0)))))</f>
        <v/>
      </c>
      <c r="BA3" s="1" t="n">
        <f aca="false">Participantes!AK2</f>
        <v>0</v>
      </c>
      <c r="BB3" s="1" t="n">
        <f aca="false">Participantes!AL2</f>
        <v>4</v>
      </c>
      <c r="BC3" s="82" t="str">
        <f aca="false">IF(BA$2="","",IF(AND(BA3=BA$2,BB3=BB$2),3,IF(AND(BA$2&gt;BB$2,BA3&gt;BB3),1,IF(AND(BB$2&gt;BA$2,BB3&gt;BA3),1,IF(AND(BA$2=BB$2,BA3=BB3),1,0)))))</f>
        <v/>
      </c>
      <c r="BD3" s="1" t="n">
        <f aca="false">Participantes!AM2</f>
        <v>4</v>
      </c>
      <c r="BE3" s="1" t="n">
        <f aca="false">Participantes!AN2</f>
        <v>0</v>
      </c>
      <c r="BF3" s="82" t="str">
        <f aca="false">IF(BD$2="","",IF(AND(BD3=BD$2,BE3=BE$2),3,IF(AND(BD$2&gt;BE$2,BD3&gt;BE3),1,IF(AND(BE$2&gt;BD$2,BE3&gt;BD3),1,IF(AND(BD$2=BE$2,BD3=BE3),1,0)))))</f>
        <v/>
      </c>
      <c r="BG3" s="1" t="n">
        <f aca="false">Participantes!AO2</f>
        <v>1</v>
      </c>
      <c r="BH3" s="1" t="n">
        <f aca="false">Participantes!AP2</f>
        <v>0</v>
      </c>
      <c r="BI3" s="82" t="str">
        <f aca="false">IF(BG$2="","",IF(AND(BG3=BG$2,BH3=BH$2),3,IF(AND(BG$2&gt;BH$2,BG3&gt;BH3),1,IF(AND(BH$2&gt;BG$2,BH3&gt;BG3),1,IF(AND(BG$2=BH$2,BG3=BH3),1,0)))))</f>
        <v/>
      </c>
      <c r="BJ3" s="1" t="n">
        <f aca="false">Participantes!AQ2</f>
        <v>2</v>
      </c>
      <c r="BK3" s="1" t="n">
        <f aca="false">Participantes!AR2</f>
        <v>1</v>
      </c>
      <c r="BL3" s="82" t="str">
        <f aca="false">IF(BJ$2="","",IF(AND(BJ3=BJ$2,BK3=BK$2),3,IF(AND(BJ$2&gt;BK$2,BJ3&gt;BK3),1,IF(AND(BK$2&gt;BJ$2,BK3&gt;BJ3),1,IF(AND(BJ$2=BK$2,BJ3=BK3),1,0)))))</f>
        <v/>
      </c>
      <c r="BM3" s="1" t="n">
        <f aca="false">Participantes!AS2</f>
        <v>4</v>
      </c>
      <c r="BN3" s="1" t="n">
        <f aca="false">Participantes!AT2</f>
        <v>2</v>
      </c>
      <c r="BO3" s="82" t="str">
        <f aca="false">IF(BM$2="","",IF(AND(BM3=BM$2,BN3=BN$2),3,IF(AND(BM$2&gt;BN$2,BM3&gt;BN3),1,IF(AND(BN$2&gt;BM$2,BN3&gt;BM3),1,IF(AND(BM$2=BN$2,BM3=BN3),1,0)))))</f>
        <v/>
      </c>
      <c r="BP3" s="1" t="n">
        <f aca="false">Participantes!AU2</f>
        <v>5</v>
      </c>
      <c r="BQ3" s="1" t="n">
        <f aca="false">Participantes!AV2</f>
        <v>0</v>
      </c>
      <c r="BR3" s="82" t="str">
        <f aca="false">IF(BP$2="","",IF(AND(BP3=BP$2,BQ3=BQ$2),3,IF(AND(BP$2&gt;BQ$2,BP3&gt;BQ3),1,IF(AND(BQ$2&gt;BP$2,BQ3&gt;BP3),1,IF(AND(BP$2=BQ$2,BP3=BQ3),1,0)))))</f>
        <v/>
      </c>
      <c r="BS3" s="1" t="n">
        <f aca="false">Participantes!AW2</f>
        <v>0</v>
      </c>
      <c r="BT3" s="1" t="n">
        <f aca="false">Participantes!AX2</f>
        <v>3</v>
      </c>
      <c r="BU3" s="82" t="str">
        <f aca="false">IF(BS$2="","",IF(AND(BS3=BS$2,BT3=BT$2),3,IF(AND(BS$2&gt;BT$2,BS3&gt;BT3),1,IF(AND(BT$2&gt;BS$2,BT3&gt;BS3),1,IF(AND(BS$2=BT$2,BS3=BT3),1,0)))))</f>
        <v/>
      </c>
      <c r="BV3" s="1" t="n">
        <f aca="false">Participantes!AY2</f>
        <v>0</v>
      </c>
      <c r="BW3" s="1" t="n">
        <f aca="false">Participantes!AZ2</f>
        <v>1</v>
      </c>
      <c r="BX3" s="82" t="str">
        <f aca="false">IF(BV$2="","",IF(AND(BV3=BV$2,BW3=BW$2),3,IF(AND(BV$2&gt;BW$2,BV3&gt;BW3),1,IF(AND(BW$2&gt;BV$2,BW3&gt;BV3),1,IF(AND(BV$2=BW$2,BV3=BW3),1,0)))))</f>
        <v/>
      </c>
      <c r="BY3" s="1" t="n">
        <f aca="false">Participantes!BA2</f>
        <v>1</v>
      </c>
      <c r="BZ3" s="1" t="n">
        <f aca="false">Participantes!BB2</f>
        <v>0</v>
      </c>
      <c r="CA3" s="82" t="str">
        <f aca="false">IF(BY$2="","",IF(AND(BY3=BY$2,BZ3=BZ$2),3,IF(AND(BY$2&gt;BZ$2,BY3&gt;BZ3),1,IF(AND(BZ$2&gt;BY$2,BZ3&gt;BY3),1,IF(AND(BY$2=BZ$2,BY3=BZ3),1,0)))))</f>
        <v/>
      </c>
      <c r="CB3" s="1" t="n">
        <f aca="false">Participantes!BC2</f>
        <v>3</v>
      </c>
      <c r="CC3" s="1" t="n">
        <f aca="false">Participantes!BD2</f>
        <v>1</v>
      </c>
      <c r="CD3" s="82" t="str">
        <f aca="false">IF(CB$2="","",IF(AND(CB3=CB$2,CC3=CC$2),3,IF(AND(CB$2&gt;CC$2,CB3&gt;CC3),1,IF(AND(CC$2&gt;CB$2,CC3&gt;CB3),1,IF(AND(CB$2=CC$2,CB3=CC3),1,0)))))</f>
        <v/>
      </c>
      <c r="CE3" s="1" t="n">
        <f aca="false">Participantes!BE2</f>
        <v>1</v>
      </c>
      <c r="CF3" s="1" t="n">
        <f aca="false">Participantes!BF2</f>
        <v>0</v>
      </c>
      <c r="CG3" s="82" t="str">
        <f aca="false">IF(CE$2="","",IF(AND(CE3=CE$2,CF3=CF$2),3,IF(AND(CE$2&gt;CF$2,CE3&gt;CF3),1,IF(AND(CF$2&gt;CE$2,CF3&gt;CE3),1,IF(AND(CE$2=CF$2,CE3=CF3),1,0)))))</f>
        <v/>
      </c>
      <c r="CH3" s="1" t="n">
        <f aca="false">Participantes!BG2</f>
        <v>5</v>
      </c>
      <c r="CI3" s="1" t="n">
        <f aca="false">Participantes!BH2</f>
        <v>0</v>
      </c>
      <c r="CJ3" s="82" t="str">
        <f aca="false">IF(CH$2="","",IF(AND(CH3=CH$2,CI3=CI$2),3,IF(AND(CH$2&gt;CI$2,CH3&gt;CI3),1,IF(AND(CI$2&gt;CH$2,CI3&gt;CH3),1,IF(AND(CH$2=CI$2,CH3=CI3),1,0)))))</f>
        <v/>
      </c>
      <c r="CK3" s="1" t="n">
        <f aca="false">Participantes!BI2</f>
        <v>0</v>
      </c>
      <c r="CL3" s="1" t="n">
        <f aca="false">Participantes!BJ2</f>
        <v>3</v>
      </c>
      <c r="CM3" s="82" t="str">
        <f aca="false">IF(CK$2="","",IF(AND(CK3=CK$2,CL3=CL$2),3,IF(AND(CK$2&gt;CL$2,CK3&gt;CL3),1,IF(AND(CL$2&gt;CK$2,CL3&gt;CK3),1,IF(AND(CK$2=CL$2,CK3=CL3),1,0)))))</f>
        <v/>
      </c>
      <c r="CN3" s="1" t="n">
        <f aca="false">Participantes!BK2</f>
        <v>2</v>
      </c>
      <c r="CO3" s="1" t="n">
        <f aca="false">Participantes!BL2</f>
        <v>3</v>
      </c>
      <c r="CP3" s="82" t="str">
        <f aca="false">IF(CN$2="","",IF(AND(CN3=CN$2,CO3=CO$2),3,IF(AND(CN$2&gt;CO$2,CN3&gt;CO3),1,IF(AND(CO$2&gt;CN$2,CO3&gt;CN3),1,IF(AND(CN$2=CO$2,CN3=CO3),1,0)))))</f>
        <v/>
      </c>
      <c r="CQ3" s="1" t="n">
        <f aca="false">Participantes!BM2</f>
        <v>2</v>
      </c>
      <c r="CR3" s="1" t="n">
        <f aca="false">Participantes!BN2</f>
        <v>1</v>
      </c>
      <c r="CS3" s="82" t="str">
        <f aca="false">IF(CQ$2="","",IF(AND(CQ3=CQ$2,CR3=CR$2),3,IF(AND(CQ$2&gt;CR$2,CQ3&gt;CR3),1,IF(AND(CR$2&gt;CQ$2,CR3&gt;CQ3),1,IF(AND(CQ$2=CR$2,CQ3=CR3),1,0)))))</f>
        <v/>
      </c>
      <c r="CT3" s="1" t="n">
        <f aca="false">Participantes!BO2</f>
        <v>4</v>
      </c>
      <c r="CU3" s="1" t="n">
        <f aca="false">Participantes!BP2</f>
        <v>0</v>
      </c>
      <c r="CV3" s="82" t="str">
        <f aca="false">IF(CT$2="","",IF(AND(CT3=CT$2,CU3=CU$2),3,IF(AND(CT$2&gt;CU$2,CT3&gt;CU3),1,IF(AND(CU$2&gt;CT$2,CU3&gt;CT3),1,IF(AND(CT$2=CU$2,CT3=CU3),1,0)))))</f>
        <v/>
      </c>
      <c r="CW3" s="1" t="n">
        <f aca="false">Participantes!BQ2</f>
        <v>4</v>
      </c>
      <c r="CX3" s="1" t="n">
        <f aca="false">Participantes!BR2</f>
        <v>0</v>
      </c>
      <c r="CY3" s="82" t="str">
        <f aca="false">IF(CW$2="","",IF(AND(CW3=CW$2,CX3=CX$2),3,IF(AND(CW$2&gt;CX$2,CW3&gt;CX3),1,IF(AND(CX$2&gt;CW$2,CX3&gt;CW3),1,IF(AND(CW$2=CX$2,CW3=CX3),1,0)))))</f>
        <v/>
      </c>
      <c r="CZ3" s="1" t="n">
        <f aca="false">Participantes!BS2</f>
        <v>3</v>
      </c>
      <c r="DA3" s="1" t="n">
        <f aca="false">Participantes!BT2</f>
        <v>1</v>
      </c>
      <c r="DB3" s="82" t="str">
        <f aca="false">IF(CZ$2="","",IF(AND(CZ3=CZ$2,DA3=DA$2),3,IF(AND(CZ$2&gt;DA$2,CZ3&gt;DA3),1,IF(AND(DA$2&gt;CZ$2,DA3&gt;CZ3),1,IF(AND(CZ$2=DA$2,CZ3=DA3),1,0)))))</f>
        <v/>
      </c>
      <c r="DC3" s="1" t="n">
        <f aca="false">Participantes!BU2</f>
        <v>0</v>
      </c>
      <c r="DD3" s="1" t="n">
        <f aca="false">Participantes!BV2</f>
        <v>2</v>
      </c>
      <c r="DE3" s="82" t="str">
        <f aca="false">IF(DC$2="","",IF(AND(DC3=DC$2,DD3=DD$2),3,IF(AND(DC$2&gt;DD$2,DC3&gt;DD3),1,IF(AND(DD$2&gt;DC$2,DD3&gt;DC3),1,IF(AND(DC$2=DD$2,DC3=DD3),1,0)))))</f>
        <v/>
      </c>
      <c r="DF3" s="1" t="n">
        <f aca="false">Participantes!BW2</f>
        <v>4</v>
      </c>
      <c r="DG3" s="1" t="n">
        <f aca="false">Participantes!BX2</f>
        <v>0</v>
      </c>
      <c r="DH3" s="82" t="str">
        <f aca="false">IF(DF$2="","",IF(AND(DF3=DF$2,DG3=DG$2),3,IF(AND(DF$2&gt;DG$2,DF3&gt;DG3),1,IF(AND(DG$2&gt;DF$2,DG3&gt;DF3),1,IF(AND(DF$2=DG$2,DF3=DG3),1,0)))))</f>
        <v/>
      </c>
      <c r="DI3" s="1" t="n">
        <f aca="false">Participantes!BY2</f>
        <v>5</v>
      </c>
      <c r="DJ3" s="1" t="n">
        <f aca="false">Participantes!BZ2</f>
        <v>0</v>
      </c>
      <c r="DK3" s="82" t="str">
        <f aca="false">IF(DI$2="","",IF(AND(DI3=DI$2,DJ3=DJ$2),3,IF(AND(DI$2&gt;DJ$2,DI3&gt;DJ3),1,IF(AND(DJ$2&gt;DI$2,DJ3&gt;DI3),1,IF(AND(DI$2=DJ$2,DI3=DJ3),1,0)))))</f>
        <v/>
      </c>
      <c r="DL3" s="1" t="n">
        <f aca="false">Participantes!CA2</f>
        <v>3</v>
      </c>
      <c r="DM3" s="1" t="n">
        <f aca="false">Participantes!CB2</f>
        <v>0</v>
      </c>
      <c r="DN3" s="82" t="str">
        <f aca="false">IF(DL$2="","",IF(AND(DL3=DL$2,DM3=DM$2),3,IF(AND(DL$2&gt;DM$2,DL3&gt;DM3),1,IF(AND(DM$2&gt;DL$2,DM3&gt;DL3),1,IF(AND(DL$2=DM$2,DL3=DM3),1,0)))))</f>
        <v/>
      </c>
      <c r="DO3" s="1" t="n">
        <f aca="false">Participantes!CC2</f>
        <v>1</v>
      </c>
      <c r="DP3" s="1" t="n">
        <f aca="false">Participantes!CD2</f>
        <v>2</v>
      </c>
      <c r="DQ3" s="82" t="str">
        <f aca="false">IF(DO$2="","",IF(AND(DO3=DO$2,DP3=DP$2),3,IF(AND(DO$2&gt;DP$2,DO3&gt;DP3),1,IF(AND(DP$2&gt;DO$2,DP3&gt;DO3),1,IF(AND(DO$2=DP$2,DO3=DP3),1,0)))))</f>
        <v/>
      </c>
      <c r="DR3" s="1" t="n">
        <f aca="false">Participantes!CE2</f>
        <v>2</v>
      </c>
      <c r="DS3" s="1" t="n">
        <f aca="false">Participantes!CF2</f>
        <v>2</v>
      </c>
      <c r="DT3" s="82" t="str">
        <f aca="false">IF(DR$2="","",IF(AND(DR3=DR$2,DS3=DS$2),3,IF(AND(DR$2&gt;DS$2,DR3&gt;DS3),1,IF(AND(DS$2&gt;DR$2,DS3&gt;DR3),1,IF(AND(DR$2=DS$2,DR3=DS3),1,0)))))</f>
        <v/>
      </c>
      <c r="DU3" s="1" t="n">
        <f aca="false">Participantes!CG2</f>
        <v>5</v>
      </c>
      <c r="DV3" s="1" t="n">
        <f aca="false">Participantes!CH2</f>
        <v>0</v>
      </c>
      <c r="DW3" s="82" t="str">
        <f aca="false">IF(DU$2="","",IF(AND(DU3=DU$2,DV3=DV$2),3,IF(AND(DU$2&gt;DV$2,DU3&gt;DV3),1,IF(AND(DV$2&gt;DU$2,DV3&gt;DU3),1,IF(AND(DU$2=DV$2,DU3=DV3),1,0)))))</f>
        <v/>
      </c>
      <c r="DX3" s="1" t="n">
        <f aca="false">Participantes!CI2</f>
        <v>3</v>
      </c>
      <c r="DY3" s="1" t="n">
        <f aca="false">Participantes!CJ2</f>
        <v>0</v>
      </c>
      <c r="DZ3" s="82" t="str">
        <f aca="false">IF(DX$2="","",IF(AND(DX3=DX$2,DY3=DY$2),3,IF(AND(DX$2&gt;DY$2,DX3&gt;DY3),1,IF(AND(DY$2&gt;DX$2,DY3&gt;DX3),1,IF(AND(DX$2=DY$2,DX3=DY3),1,0)))))</f>
        <v/>
      </c>
      <c r="EA3" s="1" t="n">
        <f aca="false">Participantes!CK2</f>
        <v>0</v>
      </c>
      <c r="EB3" s="1" t="n">
        <f aca="false">Participantes!CL2</f>
        <v>0</v>
      </c>
      <c r="EC3" s="82" t="str">
        <f aca="false">IF(EA$2="","",IF(AND(EA3=EA$2,EB3=EB$2),3,IF(AND(EA$2&gt;EB$2,EA3&gt;EB3),1,IF(AND(EB$2&gt;EA$2,EB3&gt;EA3),1,IF(AND(EA$2=EB$2,EA3=EB3),1,0)))))</f>
        <v/>
      </c>
      <c r="ED3" s="1" t="n">
        <f aca="false">Participantes!CM2</f>
        <v>5</v>
      </c>
      <c r="EE3" s="1" t="n">
        <f aca="false">Participantes!CN2</f>
        <v>0</v>
      </c>
      <c r="EF3" s="82" t="str">
        <f aca="false">IF(ED$2="","",IF(AND(ED3=ED$2,EE3=EE$2),3,IF(AND(ED$2&gt;EE$2,ED3&gt;EE3),1,IF(AND(EE$2&gt;ED$2,EE3&gt;ED3),1,IF(AND(ED$2=EE$2,ED3=EE3),1,0)))))</f>
        <v/>
      </c>
      <c r="EG3" s="1" t="n">
        <f aca="false">Participantes!CO2</f>
        <v>0</v>
      </c>
      <c r="EH3" s="1" t="n">
        <f aca="false">Participantes!CP2</f>
        <v>4</v>
      </c>
      <c r="EI3" s="82" t="str">
        <f aca="false">IF(EG$2="","",IF(AND(EG3=EG$2,EH3=EH$2),3,IF(AND(EG$2&gt;EH$2,EG3&gt;EH3),1,IF(AND(EH$2&gt;EG$2,EH3&gt;EG3),1,IF(AND(EG$2=EH$2,EG3=EH3),1,0)))))</f>
        <v/>
      </c>
      <c r="EJ3" s="1" t="n">
        <f aca="false">Participantes!CQ2</f>
        <v>5</v>
      </c>
      <c r="EK3" s="1" t="n">
        <f aca="false">Participantes!CR2</f>
        <v>0</v>
      </c>
      <c r="EL3" s="82" t="str">
        <f aca="false">IF(EJ$2="","",IF(AND(EJ3=EJ$2,EK3=EK$2),3,IF(AND(EJ$2&gt;EK$2,EJ3&gt;EK3),1,IF(AND(EK$2&gt;EJ$2,EK3&gt;EJ3),1,IF(AND(EJ$2=EK$2,EJ3=EK3),1,0)))))</f>
        <v/>
      </c>
      <c r="EM3" s="1" t="n">
        <f aca="false">Participantes!CS2</f>
        <v>2</v>
      </c>
      <c r="EN3" s="1" t="n">
        <f aca="false">Participantes!CT2</f>
        <v>1</v>
      </c>
      <c r="EO3" s="82" t="str">
        <f aca="false">IF(EM$2="","",IF(AND(EM3=EM$2,EN3=EN$2),3,IF(AND(EM$2&gt;EN$2,EM3&gt;EN3),1,IF(AND(EN$2&gt;EM$2,EN3&gt;EM3),1,IF(AND(EM$2=EN$2,EM3=EN3),1,0)))))</f>
        <v/>
      </c>
      <c r="EP3" s="1" t="n">
        <f aca="false">Participantes!CU2</f>
        <v>0</v>
      </c>
      <c r="EQ3" s="1" t="n">
        <f aca="false">Participantes!CV2</f>
        <v>4</v>
      </c>
      <c r="ER3" s="82" t="str">
        <f aca="false">IF(EP$2="","",IF(AND(EP3=EP$2,EQ3=EQ$2),3,IF(AND(EP$2&gt;EQ$2,EP3&gt;EQ3),1,IF(AND(EQ$2&gt;EP$2,EQ3&gt;EP3),1,IF(AND(EP$2=EQ$2,EP3=EQ3),1,0)))))</f>
        <v/>
      </c>
      <c r="ES3" s="1" t="n">
        <f aca="false">Participantes!CW2</f>
        <v>4</v>
      </c>
      <c r="ET3" s="1" t="n">
        <f aca="false">Participantes!CX2</f>
        <v>0</v>
      </c>
      <c r="EU3" s="82" t="str">
        <f aca="false">IF(ES$2="","",IF(AND(ES3=ES$2,ET3=ET$2),3,IF(AND(ES$2&gt;ET$2,ES3&gt;ET3),1,IF(AND(ET$2&gt;ES$2,ET3&gt;ES3),1,IF(AND(ES$2=ET$2,ES3=ET3),1,0)))))</f>
        <v/>
      </c>
      <c r="EV3" s="1" t="n">
        <f aca="false">Participantes!CY2</f>
        <v>3</v>
      </c>
      <c r="EW3" s="1" t="n">
        <f aca="false">Participantes!CZ2</f>
        <v>2</v>
      </c>
      <c r="EX3" s="82" t="str">
        <f aca="false">IF(EV$2="","",IF(AND(EV3=EV$2,EW3=EW$2),3,IF(AND(EV$2&gt;EW$2,EV3&gt;EW3),1,IF(AND(EW$2&gt;EV$2,EW3&gt;EV3),1,IF(AND(EV$2=EW$2,EV3=EW3),1,0)))))</f>
        <v/>
      </c>
      <c r="EY3" s="1" t="n">
        <f aca="false">Participantes!DA2</f>
        <v>1</v>
      </c>
      <c r="EZ3" s="1" t="n">
        <f aca="false">Participantes!DB2</f>
        <v>1</v>
      </c>
      <c r="FA3" s="82" t="str">
        <f aca="false">IF(EY$2="","",IF(AND(EY3=EY$2,EZ3=EZ$2),3,IF(AND(EY$2&gt;EZ$2,EY3&gt;EZ3),1,IF(AND(EZ$2&gt;EY$2,EZ3&gt;EY3),1,IF(AND(EY$2=EZ$2,EY3=EZ3),1,0)))))</f>
        <v/>
      </c>
      <c r="FB3" s="1" t="n">
        <f aca="false">Participantes!DC2</f>
        <v>1</v>
      </c>
      <c r="FC3" s="1" t="n">
        <f aca="false">Participantes!DD2</f>
        <v>3</v>
      </c>
      <c r="FD3" s="82" t="str">
        <f aca="false">IF(FB$2="","",IF(AND(FB3=FB$2,FC3=FC$2),3,IF(AND(FB$2&gt;FC$2,FB3&gt;FC3),1,IF(AND(FC$2&gt;FB$2,FC3&gt;FB3),1,IF(AND(FB$2=FC$2,FB3=FC3),1,0)))))</f>
        <v/>
      </c>
      <c r="FE3" s="1" t="n">
        <f aca="false">Participantes!DE2</f>
        <v>0</v>
      </c>
      <c r="FF3" s="1" t="n">
        <f aca="false">Participantes!DF2</f>
        <v>1</v>
      </c>
      <c r="FG3" s="82" t="str">
        <f aca="false">IF(FE$2="","",IF(AND(FE3=FE$2,FF3=FF$2),3,IF(AND(FE$2&gt;FF$2,FE3&gt;FF3),1,IF(AND(FF$2&gt;FE$2,FF3&gt;FE3),1,IF(AND(FE$2=FF$2,FE3=FF3),1,0)))))</f>
        <v/>
      </c>
      <c r="FH3" s="1" t="n">
        <f aca="false">Participantes!DG2</f>
        <v>0</v>
      </c>
      <c r="FI3" s="1" t="n">
        <f aca="false">Participantes!DH2</f>
        <v>2</v>
      </c>
      <c r="FJ3" s="82" t="str">
        <f aca="false">IF(FH$2="","",IF(AND(FH3=FH$2,FI3=FI$2),3,IF(AND(FH$2&gt;FI$2,FH3&gt;FI3),1,IF(AND(FI$2&gt;FH$2,FI3&gt;FH3),1,IF(AND(FH$2=FI$2,FH3=FI3),1,0)))))</f>
        <v/>
      </c>
      <c r="FK3" s="1" t="n">
        <f aca="false">Participantes!DI2</f>
        <v>2</v>
      </c>
      <c r="FL3" s="1" t="n">
        <f aca="false">Participantes!DJ2</f>
        <v>4</v>
      </c>
      <c r="FM3" s="82" t="str">
        <f aca="false">IF(FK$2="","",IF(AND(FK3=FK$2,FL3=FL$2),3,IF(AND(FK$2&gt;FL$2,FK3&gt;FL3),1,IF(AND(FL$2&gt;FK$2,FL3&gt;FK3),1,IF(AND(FK$2=FL$2,FK3=FL3),1,0)))))</f>
        <v/>
      </c>
      <c r="FN3" s="1" t="n">
        <f aca="false">Participantes!DK2</f>
        <v>2</v>
      </c>
      <c r="FO3" s="1" t="n">
        <f aca="false">Participantes!DL2</f>
        <v>2</v>
      </c>
      <c r="FP3" s="82" t="str">
        <f aca="false">IF(FN$2="","",IF(AND(FN3=FN$2,FO3=FO$2),3,IF(AND(FN$2&gt;FO$2,FN3&gt;FO3),1,IF(AND(FO$2&gt;FN$2,FO3&gt;FN3),1,IF(AND(FN$2=FO$2,FN3=FO3),1,0)))))</f>
        <v/>
      </c>
      <c r="FQ3" s="1" t="n">
        <f aca="false">Participantes!DM2</f>
        <v>0</v>
      </c>
      <c r="FR3" s="1" t="n">
        <f aca="false">Participantes!DN2</f>
        <v>3</v>
      </c>
      <c r="FS3" s="82" t="str">
        <f aca="false">IF(FQ$2="","",IF(AND(FQ3=FQ$2,FR3=FR$2),3,IF(AND(FQ$2&gt;FR$2,FQ3&gt;FR3),1,IF(AND(FR$2&gt;FQ$2,FR3&gt;FQ3),1,IF(AND(FQ$2=FR$2,FQ3=FR3),1,0)))))</f>
        <v/>
      </c>
      <c r="FT3" s="1" t="n">
        <f aca="false">Participantes!DO2</f>
        <v>1</v>
      </c>
      <c r="FU3" s="1" t="n">
        <f aca="false">Participantes!DP2</f>
        <v>0</v>
      </c>
      <c r="FV3" s="82" t="str">
        <f aca="false">IF(FT$2="","",IF(AND(FT3=FT$2,FU3=FU$2),3,IF(AND(FT$2&gt;FU$2,FT3&gt;FU3),1,IF(AND(FU$2&gt;FT$2,FU3&gt;FT3),1,IF(AND(FT$2=FU$2,FT3=FU3),1,0)))))</f>
        <v/>
      </c>
      <c r="FW3" s="1" t="n">
        <f aca="false">Participantes!DQ2</f>
        <v>1</v>
      </c>
      <c r="FX3" s="1" t="n">
        <f aca="false">Participantes!DR2</f>
        <v>0</v>
      </c>
      <c r="FY3" s="82" t="str">
        <f aca="false">IF(FW$2="","",IF(AND(FW3=FW$2,FX3=FX$2),3,IF(AND(FW$2&gt;FX$2,FW3&gt;FX3),1,IF(AND(FX$2&gt;FW$2,FX3&gt;FW3),1,IF(AND(FW$2=FX$2,FW3=FX3),1,0)))))</f>
        <v/>
      </c>
      <c r="FZ3" s="1" t="n">
        <f aca="false">Participantes!DS2</f>
        <v>1</v>
      </c>
      <c r="GA3" s="1" t="n">
        <f aca="false">Participantes!DT2</f>
        <v>3</v>
      </c>
      <c r="GB3" s="82" t="str">
        <f aca="false">IF(FZ$2="","",IF(AND(FZ3=FZ$2,GA3=GA$2),3,IF(AND(FZ$2&gt;GA$2,FZ3&gt;GA3),1,IF(AND(GA$2&gt;FZ$2,GA3&gt;FZ3),1,IF(AND(FZ$2=GA$2,FZ3=GA3),1,0)))))</f>
        <v/>
      </c>
      <c r="GC3" s="1" t="n">
        <f aca="false">Participantes!DU2</f>
        <v>2</v>
      </c>
      <c r="GD3" s="1" t="n">
        <f aca="false">Participantes!DV2</f>
        <v>0</v>
      </c>
      <c r="GE3" s="82" t="str">
        <f aca="false">IF(GC$2="","",IF(AND(GC3=GC$2,GD3=GD$2),3,IF(AND(GC$2&gt;GD$2,GC3&gt;GD3),1,IF(AND(GD$2&gt;GC$2,GD3&gt;GC3),1,IF(AND(GC$2=GD$2,GC3=GD3),1,0)))))</f>
        <v/>
      </c>
      <c r="GF3" s="1" t="n">
        <f aca="false">Participantes!DW2</f>
        <v>2</v>
      </c>
      <c r="GG3" s="1" t="n">
        <f aca="false">Participantes!DX2</f>
        <v>1</v>
      </c>
      <c r="GH3" s="82" t="str">
        <f aca="false">IF(GF$2="","",IF(AND(GF3=GF$2,GG3=GG$2),3,IF(AND(GF$2&gt;GG$2,GF3&gt;GG3),1,IF(AND(GG$2&gt;GF$2,GG3&gt;GF3),1,IF(AND(GF$2=GG$2,GF3=GG3),1,0)))))</f>
        <v/>
      </c>
      <c r="GI3" s="1" t="n">
        <f aca="false">Participantes!DY2</f>
        <v>0</v>
      </c>
      <c r="GJ3" s="1" t="n">
        <f aca="false">Participantes!DZ2</f>
        <v>4</v>
      </c>
      <c r="GK3" s="82" t="str">
        <f aca="false">IF(GI$2="","",IF(AND(GI3=GI$2,GJ3=GJ$2),3,IF(AND(GI$2&gt;GJ$2,GI3&gt;GJ3),1,IF(AND(GJ$2&gt;GI$2,GJ3&gt;GI3),1,IF(AND(GI$2=GJ$2,GI3=GJ3),1,0)))))</f>
        <v/>
      </c>
      <c r="GL3" s="1" t="n">
        <f aca="false">Participantes!EA2</f>
        <v>0</v>
      </c>
      <c r="GM3" s="1" t="n">
        <f aca="false">Participantes!EB2</f>
        <v>1</v>
      </c>
      <c r="GN3" s="82" t="str">
        <f aca="false">IF(GL$2="","",IF(AND(GL3=GL$2,GM3=GM$2),3,IF(AND(GL$2&gt;GM$2,GL3&gt;GM3),1,IF(AND(GM$2&gt;GL$2,GM3&gt;GL3),1,IF(AND(GL$2=GM$2,GL3=GM3),1,0)))))</f>
        <v/>
      </c>
      <c r="GO3" s="1" t="n">
        <f aca="false">Participantes!EC2</f>
        <v>1</v>
      </c>
      <c r="GP3" s="1" t="n">
        <f aca="false">Participantes!ED2</f>
        <v>2</v>
      </c>
      <c r="GQ3" s="82" t="str">
        <f aca="false">IF(GO$2="","",IF(AND(GO3=GO$2,GP3=GP$2),3,IF(AND(GO$2&gt;GP$2,GO3&gt;GP3),1,IF(AND(GP$2&gt;GO$2,GP3&gt;GO3),1,IF(AND(GO$2=GP$2,GO3=GP3),1,0)))))</f>
        <v/>
      </c>
      <c r="GR3" s="1" t="n">
        <f aca="false">Participantes!EE2</f>
        <v>0</v>
      </c>
      <c r="GS3" s="1" t="n">
        <f aca="false">Participantes!EF2</f>
        <v>6</v>
      </c>
      <c r="GT3" s="82" t="str">
        <f aca="false">IF(GR$2="","",IF(AND(GR3=GR$2,GS3=GS$2),3,IF(AND(GR$2&gt;GS$2,GR3&gt;GS3),1,IF(AND(GS$2&gt;GR$2,GS3&gt;GR3),1,IF(AND(GR$2=GS$2,GR3=GS3),1,0)))))</f>
        <v/>
      </c>
      <c r="GU3" s="1" t="n">
        <f aca="false">Participantes!EG2</f>
        <v>3</v>
      </c>
      <c r="GV3" s="1" t="n">
        <f aca="false">Participantes!EH2</f>
        <v>0</v>
      </c>
      <c r="GW3" s="82" t="str">
        <f aca="false">IF(GU$2="","",IF(AND(GU3=GU$2,GV3=GV$2),3,IF(AND(GU$2&gt;GV$2,GU3&gt;GV3),1,IF(AND(GV$2&gt;GU$2,GV3&gt;GU3),1,IF(AND(GU$2=GV$2,GU3=GV3),1,0)))))</f>
        <v/>
      </c>
      <c r="GX3" s="1" t="n">
        <f aca="false">Participantes!EI2</f>
        <v>0</v>
      </c>
      <c r="GY3" s="1" t="n">
        <f aca="false">Participantes!EJ2</f>
        <v>0</v>
      </c>
      <c r="GZ3" s="82" t="str">
        <f aca="false">IF(GX$2="","",IF(AND(GX3=GX$2,GY3=GY$2),3,IF(AND(GX$2&gt;GY$2,GX3&gt;GY3),1,IF(AND(GY$2&gt;GX$2,GY3&gt;GX3),1,IF(AND(GX$2=GY$2,GX3=GY3),1,0)))))</f>
        <v/>
      </c>
      <c r="HA3" s="1" t="n">
        <f aca="false">Participantes!EK2</f>
        <v>0</v>
      </c>
      <c r="HB3" s="1" t="n">
        <f aca="false">Participantes!EL2</f>
        <v>4</v>
      </c>
      <c r="HC3" s="82" t="str">
        <f aca="false">IF(HA$2="","",IF(AND(HA3=HA$2,HB3=HB$2),3,IF(AND(HA$2&gt;HB$2,HA3&gt;HB3),1,IF(AND(HB$2&gt;HA$2,HB3&gt;HA3),1,IF(AND(HA$2=HB$2,HA3=HB3),1,0)))))</f>
        <v/>
      </c>
      <c r="HD3" s="1" t="n">
        <f aca="false">Participantes!EM2</f>
        <v>0</v>
      </c>
      <c r="HE3" s="1" t="n">
        <f aca="false">Participantes!EN2</f>
        <v>2</v>
      </c>
      <c r="HF3" s="82" t="str">
        <f aca="false">IF(HD$2="","",IF(AND(HD3=HD$2,HE3=HE$2),3,IF(AND(HD$2&gt;HE$2,HD3&gt;HE3),1,IF(AND(HE$2&gt;HD$2,HE3&gt;HD3),1,IF(AND(HD$2=HE$2,HD3=HE3),1,0)))))</f>
        <v/>
      </c>
      <c r="HG3" s="1" t="n">
        <f aca="false">Participantes!EO2</f>
        <v>1</v>
      </c>
      <c r="HH3" s="1" t="n">
        <f aca="false">Participantes!EP2</f>
        <v>1</v>
      </c>
      <c r="HI3" s="82" t="str">
        <f aca="false">IF(HG$2="","",IF(AND(HG3=HG$2,HH3=HH$2),3,IF(AND(HG$2&gt;HH$2,HG3&gt;HH3),1,IF(AND(HH$2&gt;HG$2,HH3&gt;HG3),1,IF(AND(HG$2=HH$2,HG3=HH3),1,0)))))</f>
        <v/>
      </c>
      <c r="HJ3" s="83" t="n">
        <f aca="false">SUM(D3,G3,J3,M3,P3,S3,V3,Y3,AB3,AE3,AH3,AK3,AN3,AQ3,AT3,AW3,AZ3,BC3,BF3,BI3,BL3,BO3,BR3,BU3,BX3,CA3,CD3,CG3,CJ3,CM3,CP3,CS3,CV3,CY3,DB3,DE3,DH3,DK3,DN3,DQ3,DT3,DW3,DZ3,EC3,EF3,EI3,EL3,EO3,ER3,EU3,EX3,FA3,FD3,FG3,FJ3,FM3,FP3,FS3,FV3,FY3,GB3,GE3,GH3,GK3,GN3,GQ3,GT3,GW3,GZ3,HC3,HF3,HI3)</f>
        <v>0</v>
      </c>
    </row>
    <row r="4" customFormat="false" ht="15" hidden="false" customHeight="true" outlineLevel="0" collapsed="false">
      <c r="A4" s="81" t="str">
        <f aca="false">Participantes!B3</f>
        <v>Alexander</v>
      </c>
      <c r="B4" s="1" t="n">
        <f aca="false">Participantes!C3</f>
        <v>2</v>
      </c>
      <c r="C4" s="1" t="n">
        <f aca="false">Participantes!D3</f>
        <v>0</v>
      </c>
      <c r="D4" s="82" t="n">
        <f aca="false">IF(B$2="","",IF(AND(B4=B$2,C4=C$2),3,IF(AND(B$2&gt;C$2,B4&gt;C4),1,IF(AND(C$2&gt;B$2,C4&gt;B4),1,IF(AND(B$2=C$2,B4=C4),1,0)))))</f>
        <v>3</v>
      </c>
      <c r="E4" s="1" t="n">
        <f aca="false">Participantes!E3</f>
        <v>1</v>
      </c>
      <c r="F4" s="1" t="n">
        <f aca="false">Participantes!F3</f>
        <v>1</v>
      </c>
      <c r="G4" s="82" t="str">
        <f aca="false">IF(E$2="","",IF(AND(E4=E$2,F4=F$2),3,IF(AND(E$2&gt;F$2,E4&gt;F4),1,IF(AND(F$2&gt;E$2,F4&gt;E4),1,IF(AND(E$2=F$2,E4=F4),1,0)))))</f>
        <v/>
      </c>
      <c r="H4" s="1" t="n">
        <f aca="false">Participantes!G3</f>
        <v>1</v>
      </c>
      <c r="I4" s="1" t="n">
        <f aca="false">Participantes!H3</f>
        <v>1</v>
      </c>
      <c r="J4" s="82" t="str">
        <f aca="false">IF(H$2="","",IF(AND(H4=H$2,I4=I$2),3,IF(AND(H$2&gt;I$2,H4&gt;I4),1,IF(AND(I$2&gt;H$2,I4&gt;H4),1,IF(AND(H$2=I$2,H4=I4),1,0)))))</f>
        <v/>
      </c>
      <c r="K4" s="1" t="n">
        <f aca="false">Participantes!I3</f>
        <v>2</v>
      </c>
      <c r="L4" s="1" t="n">
        <f aca="false">Participantes!J3</f>
        <v>0</v>
      </c>
      <c r="M4" s="82" t="str">
        <f aca="false">IF(K$2="","",IF(AND(K4=K$2,L4=L$2),3,IF(AND(K$2&gt;L$2,K4&gt;L4),1,IF(AND(L$2&gt;K$2,L4&gt;K4),1,IF(AND(K$2=L$2,K4=L4),1,0)))))</f>
        <v/>
      </c>
      <c r="N4" s="1" t="n">
        <f aca="false">Participantes!K3</f>
        <v>0</v>
      </c>
      <c r="O4" s="1" t="n">
        <f aca="false">Participantes!L3</f>
        <v>2</v>
      </c>
      <c r="P4" s="82" t="str">
        <f aca="false">IF(N$2="","",IF(AND(N4=N$2,O4=O$2),3,IF(AND(N$2&gt;O$2,N4&gt;O4),1,IF(AND(O$2&gt;N$2,O4&gt;N4),1,IF(AND(N$2=O$2,N4=O4),1,0)))))</f>
        <v/>
      </c>
      <c r="Q4" s="1" t="n">
        <f aca="false">Participantes!M3</f>
        <v>1</v>
      </c>
      <c r="R4" s="1" t="n">
        <f aca="false">Participantes!N3</f>
        <v>1</v>
      </c>
      <c r="S4" s="82" t="str">
        <f aca="false">IF(Q$2="","",IF(AND(Q4=Q$2,R4=R$2),3,IF(AND(Q$2&gt;R$2,Q4&gt;R4),1,IF(AND(R$2&gt;Q$2,R4&gt;Q4),1,IF(AND(Q$2=R$2,Q4=R4),1,0)))))</f>
        <v/>
      </c>
      <c r="T4" s="1" t="n">
        <f aca="false">Participantes!O3</f>
        <v>2</v>
      </c>
      <c r="U4" s="1" t="n">
        <f aca="false">Participantes!P3</f>
        <v>0</v>
      </c>
      <c r="V4" s="82" t="str">
        <f aca="false">IF(T$2="","",IF(AND(T4=T$2,U4=U$2),3,IF(AND(T$2&gt;U$2,T4&gt;U4),1,IF(AND(U$2&gt;T$2,U4&gt;T4),1,IF(AND(T$2=U$2,T4=U4),1,0)))))</f>
        <v/>
      </c>
      <c r="W4" s="1" t="n">
        <f aca="false">Participantes!Q3</f>
        <v>0</v>
      </c>
      <c r="X4" s="1" t="n">
        <f aca="false">Participantes!R3</f>
        <v>1</v>
      </c>
      <c r="Y4" s="82" t="str">
        <f aca="false">IF(W$2="","",IF(AND(W4=W$2,X4=X$2),3,IF(AND(W$2&gt;X$2,W4&gt;X4),1,IF(AND(X$2&gt;W$2,X4&gt;W4),1,IF(AND(W$2=X$2,W4=X4),1,0)))))</f>
        <v/>
      </c>
      <c r="Z4" s="1" t="n">
        <f aca="false">Participantes!S3</f>
        <v>1</v>
      </c>
      <c r="AA4" s="1" t="n">
        <f aca="false">Participantes!T3</f>
        <v>1</v>
      </c>
      <c r="AB4" s="82" t="str">
        <f aca="false">IF(Z$2="","",IF(AND(Z4=Z$2,AA4=AA$2),3,IF(AND(Z$2&gt;AA$2,Z4&gt;AA4),1,IF(AND(AA$2&gt;Z$2,AA4&gt;Z4),1,IF(AND(Z$2=AA$2,Z4=AA4),1,0)))))</f>
        <v/>
      </c>
      <c r="AC4" s="1" t="n">
        <f aca="false">Participantes!U3</f>
        <v>3</v>
      </c>
      <c r="AD4" s="1" t="n">
        <f aca="false">Participantes!V3</f>
        <v>0</v>
      </c>
      <c r="AE4" s="82" t="str">
        <f aca="false">IF(AC$2="","",IF(AND(AC4=AC$2,AD4=AD$2),3,IF(AND(AC$2&gt;AD$2,AC4&gt;AD4),1,IF(AND(AD$2&gt;AC$2,AD4&gt;AC4),1,IF(AND(AC$2=AD$2,AC4=AD4),1,0)))))</f>
        <v/>
      </c>
      <c r="AF4" s="1" t="n">
        <f aca="false">Participantes!W3</f>
        <v>2</v>
      </c>
      <c r="AG4" s="1" t="n">
        <f aca="false">Participantes!X3</f>
        <v>1</v>
      </c>
      <c r="AH4" s="82" t="str">
        <f aca="false">IF(AF$2="","",IF(AND(AF4=AF$2,AG4=AG$2),3,IF(AND(AF$2&gt;AG$2,AF4&gt;AG4),1,IF(AND(AG$2&gt;AF$2,AG4&gt;AF4),1,IF(AND(AF$2=AG$2,AF4=AG4),1,0)))))</f>
        <v/>
      </c>
      <c r="AI4" s="1" t="n">
        <f aca="false">Participantes!Y3</f>
        <v>1</v>
      </c>
      <c r="AJ4" s="1" t="n">
        <f aca="false">Participantes!Z3</f>
        <v>0</v>
      </c>
      <c r="AK4" s="82" t="str">
        <f aca="false">IF(AI$2="","",IF(AND(AI4=AI$2,AJ4=AJ$2),3,IF(AND(AI$2&gt;AJ$2,AI4&gt;AJ4),1,IF(AND(AJ$2&gt;AI$2,AJ4&gt;AI4),1,IF(AND(AI$2=AJ$2,AI4=AJ4),1,0)))))</f>
        <v/>
      </c>
      <c r="AL4" s="1" t="n">
        <f aca="false">Participantes!AA3</f>
        <v>1</v>
      </c>
      <c r="AM4" s="1" t="n">
        <f aca="false">Participantes!AB3</f>
        <v>2</v>
      </c>
      <c r="AN4" s="82" t="str">
        <f aca="false">IF(AL$2="","",IF(AND(AL4=AL$2,AM4=AM$2),3,IF(AND(AL$2&gt;AM$2,AL4&gt;AM4),1,IF(AND(AM$2&gt;AL$2,AM4&gt;AL4),1,IF(AND(AL$2=AM$2,AL4=AM4),1,0)))))</f>
        <v/>
      </c>
      <c r="AO4" s="1" t="n">
        <f aca="false">Participantes!AC3</f>
        <v>3</v>
      </c>
      <c r="AP4" s="1" t="n">
        <f aca="false">Participantes!AD3</f>
        <v>0</v>
      </c>
      <c r="AQ4" s="82" t="str">
        <f aca="false">IF(AO$2="","",IF(AND(AO4=AO$2,AP4=AP$2),3,IF(AND(AO$2&gt;AP$2,AO4&gt;AP4),1,IF(AND(AP$2&gt;AO$2,AP4&gt;AO4),1,IF(AND(AO$2=AP$2,AO4=AP4),1,0)))))</f>
        <v/>
      </c>
      <c r="AR4" s="1" t="n">
        <f aca="false">Participantes!AE3</f>
        <v>0</v>
      </c>
      <c r="AS4" s="1" t="n">
        <f aca="false">Participantes!AF3</f>
        <v>0</v>
      </c>
      <c r="AT4" s="82" t="str">
        <f aca="false">IF(AR$2="","",IF(AND(AR4=AR$2,AS4=AS$2),3,IF(AND(AR$2&gt;AS$2,AR4&gt;AS4),1,IF(AND(AS$2&gt;AR$2,AS4&gt;AR4),1,IF(AND(AR$2=AS$2,AR4=AS4),1,0)))))</f>
        <v/>
      </c>
      <c r="AU4" s="1" t="n">
        <f aca="false">Participantes!AG3</f>
        <v>2</v>
      </c>
      <c r="AV4" s="1" t="n">
        <f aca="false">Participantes!AH3</f>
        <v>0</v>
      </c>
      <c r="AW4" s="82" t="str">
        <f aca="false">IF(AU$2="","",IF(AND(AU4=AU$2,AV4=AV$2),3,IF(AND(AU$2&gt;AV$2,AU4&gt;AV4),1,IF(AND(AV$2&gt;AU$2,AV4&gt;AU4),1,IF(AND(AU$2=AV$2,AU4=AV4),1,0)))))</f>
        <v/>
      </c>
      <c r="AX4" s="1" t="n">
        <f aca="false">Participantes!AI3</f>
        <v>2</v>
      </c>
      <c r="AY4" s="1" t="n">
        <f aca="false">Participantes!AJ3</f>
        <v>1</v>
      </c>
      <c r="AZ4" s="82" t="str">
        <f aca="false">IF(AX$2="","",IF(AND(AX4=AX$2,AY4=AY$2),3,IF(AND(AX$2&gt;AY$2,AX4&gt;AY4),1,IF(AND(AY$2&gt;AX$2,AY4&gt;AX4),1,IF(AND(AX$2=AY$2,AX4=AY4),1,0)))))</f>
        <v/>
      </c>
      <c r="BA4" s="1" t="n">
        <f aca="false">Participantes!AK3</f>
        <v>0</v>
      </c>
      <c r="BB4" s="1" t="n">
        <f aca="false">Participantes!AL3</f>
        <v>2</v>
      </c>
      <c r="BC4" s="82" t="str">
        <f aca="false">IF(BA$2="","",IF(AND(BA4=BA$2,BB4=BB$2),3,IF(AND(BA$2&gt;BB$2,BA4&gt;BB4),1,IF(AND(BB$2&gt;BA$2,BB4&gt;BA4),1,IF(AND(BA$2=BB$2,BA4=BB4),1,0)))))</f>
        <v/>
      </c>
      <c r="BD4" s="1" t="n">
        <f aca="false">Participantes!AM3</f>
        <v>2</v>
      </c>
      <c r="BE4" s="1" t="n">
        <f aca="false">Participantes!AN3</f>
        <v>0</v>
      </c>
      <c r="BF4" s="82" t="str">
        <f aca="false">IF(BD$2="","",IF(AND(BD4=BD$2,BE4=BE$2),3,IF(AND(BD$2&gt;BE$2,BD4&gt;BE4),1,IF(AND(BE$2&gt;BD$2,BE4&gt;BD4),1,IF(AND(BD$2=BE$2,BD4=BE4),1,0)))))</f>
        <v/>
      </c>
      <c r="BG4" s="1" t="n">
        <f aca="false">Participantes!AO3</f>
        <v>1</v>
      </c>
      <c r="BH4" s="1" t="n">
        <f aca="false">Participantes!AP3</f>
        <v>0</v>
      </c>
      <c r="BI4" s="82" t="str">
        <f aca="false">IF(BG$2="","",IF(AND(BG4=BG$2,BH4=BH$2),3,IF(AND(BG$2&gt;BH$2,BG4&gt;BH4),1,IF(AND(BH$2&gt;BG$2,BH4&gt;BG4),1,IF(AND(BG$2=BH$2,BG4=BH4),1,0)))))</f>
        <v/>
      </c>
      <c r="BJ4" s="1" t="n">
        <f aca="false">Participantes!AQ3</f>
        <v>1</v>
      </c>
      <c r="BK4" s="1" t="n">
        <f aca="false">Participantes!AR3</f>
        <v>2</v>
      </c>
      <c r="BL4" s="82" t="str">
        <f aca="false">IF(BJ$2="","",IF(AND(BJ4=BJ$2,BK4=BK$2),3,IF(AND(BJ$2&gt;BK$2,BJ4&gt;BK4),1,IF(AND(BK$2&gt;BJ$2,BK4&gt;BJ4),1,IF(AND(BJ$2=BK$2,BJ4=BK4),1,0)))))</f>
        <v/>
      </c>
      <c r="BM4" s="1" t="n">
        <f aca="false">Participantes!AS3</f>
        <v>1</v>
      </c>
      <c r="BN4" s="1" t="n">
        <f aca="false">Participantes!AT3</f>
        <v>0</v>
      </c>
      <c r="BO4" s="82" t="str">
        <f aca="false">IF(BM$2="","",IF(AND(BM4=BM$2,BN4=BN$2),3,IF(AND(BM$2&gt;BN$2,BM4&gt;BN4),1,IF(AND(BN$2&gt;BM$2,BN4&gt;BM4),1,IF(AND(BM$2=BN$2,BM4=BN4),1,0)))))</f>
        <v/>
      </c>
      <c r="BP4" s="1" t="n">
        <f aca="false">Participantes!AU3</f>
        <v>2</v>
      </c>
      <c r="BQ4" s="1" t="n">
        <f aca="false">Participantes!AV3</f>
        <v>0</v>
      </c>
      <c r="BR4" s="82" t="str">
        <f aca="false">IF(BP$2="","",IF(AND(BP4=BP$2,BQ4=BQ$2),3,IF(AND(BP$2&gt;BQ$2,BP4&gt;BQ4),1,IF(AND(BQ$2&gt;BP$2,BQ4&gt;BP4),1,IF(AND(BP$2=BQ$2,BP4=BQ4),1,0)))))</f>
        <v/>
      </c>
      <c r="BS4" s="1" t="n">
        <f aca="false">Participantes!AW3</f>
        <v>1</v>
      </c>
      <c r="BT4" s="1" t="n">
        <f aca="false">Participantes!AX3</f>
        <v>1</v>
      </c>
      <c r="BU4" s="82" t="str">
        <f aca="false">IF(BS$2="","",IF(AND(BS4=BS$2,BT4=BT$2),3,IF(AND(BS$2&gt;BT$2,BS4&gt;BT4),1,IF(AND(BT$2&gt;BS$2,BT4&gt;BS4),1,IF(AND(BS$2=BT$2,BS4=BT4),1,0)))))</f>
        <v/>
      </c>
      <c r="BV4" s="1" t="n">
        <f aca="false">Participantes!AY3</f>
        <v>1</v>
      </c>
      <c r="BW4" s="1" t="n">
        <f aca="false">Participantes!AZ3</f>
        <v>0</v>
      </c>
      <c r="BX4" s="82" t="str">
        <f aca="false">IF(BV$2="","",IF(AND(BV4=BV$2,BW4=BW$2),3,IF(AND(BV$2&gt;BW$2,BV4&gt;BW4),1,IF(AND(BW$2&gt;BV$2,BW4&gt;BV4),1,IF(AND(BV$2=BW$2,BV4=BW4),1,0)))))</f>
        <v/>
      </c>
      <c r="BY4" s="1" t="n">
        <f aca="false">Participantes!BA3</f>
        <v>1</v>
      </c>
      <c r="BZ4" s="1" t="n">
        <f aca="false">Participantes!BB3</f>
        <v>1</v>
      </c>
      <c r="CA4" s="82" t="str">
        <f aca="false">IF(BY$2="","",IF(AND(BY4=BY$2,BZ4=BZ$2),3,IF(AND(BY$2&gt;BZ$2,BY4&gt;BZ4),1,IF(AND(BZ$2&gt;BY$2,BZ4&gt;BY4),1,IF(AND(BY$2=BZ$2,BY4=BZ4),1,0)))))</f>
        <v/>
      </c>
      <c r="CB4" s="1" t="n">
        <f aca="false">Participantes!BC3</f>
        <v>2</v>
      </c>
      <c r="CC4" s="1" t="n">
        <f aca="false">Participantes!BD3</f>
        <v>0</v>
      </c>
      <c r="CD4" s="82" t="str">
        <f aca="false">IF(CB$2="","",IF(AND(CB4=CB$2,CC4=CC$2),3,IF(AND(CB$2&gt;CC$2,CB4&gt;CC4),1,IF(AND(CC$2&gt;CB$2,CC4&gt;CB4),1,IF(AND(CB$2=CC$2,CB4=CC4),1,0)))))</f>
        <v/>
      </c>
      <c r="CE4" s="1" t="n">
        <f aca="false">Participantes!BE3</f>
        <v>2</v>
      </c>
      <c r="CF4" s="1" t="n">
        <f aca="false">Participantes!BF3</f>
        <v>1</v>
      </c>
      <c r="CG4" s="82" t="str">
        <f aca="false">IF(CE$2="","",IF(AND(CE4=CE$2,CF4=CF$2),3,IF(AND(CE$2&gt;CF$2,CE4&gt;CF4),1,IF(AND(CF$2&gt;CE$2,CF4&gt;CE4),1,IF(AND(CE$2=CF$2,CE4=CF4),1,0)))))</f>
        <v/>
      </c>
      <c r="CH4" s="1" t="n">
        <f aca="false">Participantes!BG3</f>
        <v>3</v>
      </c>
      <c r="CI4" s="1" t="n">
        <f aca="false">Participantes!BH3</f>
        <v>1</v>
      </c>
      <c r="CJ4" s="82" t="str">
        <f aca="false">IF(CH$2="","",IF(AND(CH4=CH$2,CI4=CI$2),3,IF(AND(CH$2&gt;CI$2,CH4&gt;CI4),1,IF(AND(CI$2&gt;CH$2,CI4&gt;CH4),1,IF(AND(CH$2=CI$2,CH4=CI4),1,0)))))</f>
        <v/>
      </c>
      <c r="CK4" s="1" t="n">
        <f aca="false">Participantes!BI3</f>
        <v>0</v>
      </c>
      <c r="CL4" s="1" t="n">
        <f aca="false">Participantes!BJ3</f>
        <v>1</v>
      </c>
      <c r="CM4" s="82" t="str">
        <f aca="false">IF(CK$2="","",IF(AND(CK4=CK$2,CL4=CL$2),3,IF(AND(CK$2&gt;CL$2,CK4&gt;CL4),1,IF(AND(CL$2&gt;CK$2,CL4&gt;CK4),1,IF(AND(CK$2=CL$2,CK4=CL4),1,0)))))</f>
        <v/>
      </c>
      <c r="CN4" s="1" t="n">
        <f aca="false">Participantes!BK3</f>
        <v>0</v>
      </c>
      <c r="CO4" s="1" t="n">
        <f aca="false">Participantes!BL3</f>
        <v>1</v>
      </c>
      <c r="CP4" s="82" t="str">
        <f aca="false">IF(CN$2="","",IF(AND(CN4=CN$2,CO4=CO$2),3,IF(AND(CN$2&gt;CO$2,CN4&gt;CO4),1,IF(AND(CO$2&gt;CN$2,CO4&gt;CN4),1,IF(AND(CN$2=CO$2,CN4=CO4),1,0)))))</f>
        <v/>
      </c>
      <c r="CQ4" s="1" t="n">
        <f aca="false">Participantes!BM3</f>
        <v>2</v>
      </c>
      <c r="CR4" s="1" t="n">
        <f aca="false">Participantes!BN3</f>
        <v>1</v>
      </c>
      <c r="CS4" s="82" t="str">
        <f aca="false">IF(CQ$2="","",IF(AND(CQ4=CQ$2,CR4=CR$2),3,IF(AND(CQ$2&gt;CR$2,CQ4&gt;CR4),1,IF(AND(CR$2&gt;CQ$2,CR4&gt;CQ4),1,IF(AND(CQ$2=CR$2,CQ4=CR4),1,0)))))</f>
        <v/>
      </c>
      <c r="CT4" s="1" t="n">
        <f aca="false">Participantes!BO3</f>
        <v>2</v>
      </c>
      <c r="CU4" s="1" t="n">
        <f aca="false">Participantes!BP3</f>
        <v>1</v>
      </c>
      <c r="CV4" s="82" t="str">
        <f aca="false">IF(CT$2="","",IF(AND(CT4=CT$2,CU4=CU$2),3,IF(AND(CT$2&gt;CU$2,CT4&gt;CU4),1,IF(AND(CU$2&gt;CT$2,CU4&gt;CT4),1,IF(AND(CT$2=CU$2,CT4=CU4),1,0)))))</f>
        <v/>
      </c>
      <c r="CW4" s="1" t="n">
        <f aca="false">Participantes!BQ3</f>
        <v>2</v>
      </c>
      <c r="CX4" s="1" t="n">
        <f aca="false">Participantes!BR3</f>
        <v>0</v>
      </c>
      <c r="CY4" s="82" t="str">
        <f aca="false">IF(CW$2="","",IF(AND(CW4=CW$2,CX4=CX$2),3,IF(AND(CW$2&gt;CX$2,CW4&gt;CX4),1,IF(AND(CX$2&gt;CW$2,CX4&gt;CW4),1,IF(AND(CW$2=CX$2,CW4=CX4),1,0)))))</f>
        <v/>
      </c>
      <c r="CZ4" s="1" t="n">
        <f aca="false">Participantes!BS3</f>
        <v>2</v>
      </c>
      <c r="DA4" s="1" t="n">
        <f aca="false">Participantes!BT3</f>
        <v>0</v>
      </c>
      <c r="DB4" s="82" t="str">
        <f aca="false">IF(CZ$2="","",IF(AND(CZ4=CZ$2,DA4=DA$2),3,IF(AND(CZ$2&gt;DA$2,CZ4&gt;DA4),1,IF(AND(DA$2&gt;CZ$2,DA4&gt;CZ4),1,IF(AND(CZ$2=DA$2,CZ4=DA4),1,0)))))</f>
        <v/>
      </c>
      <c r="DC4" s="1" t="n">
        <f aca="false">Participantes!BU3</f>
        <v>1</v>
      </c>
      <c r="DD4" s="1" t="n">
        <f aca="false">Participantes!BV3</f>
        <v>1</v>
      </c>
      <c r="DE4" s="82" t="str">
        <f aca="false">IF(DC$2="","",IF(AND(DC4=DC$2,DD4=DD$2),3,IF(AND(DC$2&gt;DD$2,DC4&gt;DD4),1,IF(AND(DD$2&gt;DC$2,DD4&gt;DC4),1,IF(AND(DC$2=DD$2,DC4=DD4),1,0)))))</f>
        <v/>
      </c>
      <c r="DF4" s="1" t="n">
        <f aca="false">Participantes!BW3</f>
        <v>2</v>
      </c>
      <c r="DG4" s="1" t="n">
        <f aca="false">Participantes!BX3</f>
        <v>0</v>
      </c>
      <c r="DH4" s="82" t="str">
        <f aca="false">IF(DF$2="","",IF(AND(DF4=DF$2,DG4=DG$2),3,IF(AND(DF$2&gt;DG$2,DF4&gt;DG4),1,IF(AND(DG$2&gt;DF$2,DG4&gt;DF4),1,IF(AND(DF$2=DG$2,DF4=DG4),1,0)))))</f>
        <v/>
      </c>
      <c r="DI4" s="1" t="n">
        <f aca="false">Participantes!BY3</f>
        <v>2</v>
      </c>
      <c r="DJ4" s="1" t="n">
        <f aca="false">Participantes!BZ3</f>
        <v>0</v>
      </c>
      <c r="DK4" s="82" t="str">
        <f aca="false">IF(DI$2="","",IF(AND(DI4=DI$2,DJ4=DJ$2),3,IF(AND(DI$2&gt;DJ$2,DI4&gt;DJ4),1,IF(AND(DJ$2&gt;DI$2,DJ4&gt;DI4),1,IF(AND(DI$2=DJ$2,DI4=DJ4),1,0)))))</f>
        <v/>
      </c>
      <c r="DL4" s="1" t="n">
        <f aca="false">Participantes!CA3</f>
        <v>3</v>
      </c>
      <c r="DM4" s="1" t="n">
        <f aca="false">Participantes!CB3</f>
        <v>1</v>
      </c>
      <c r="DN4" s="82" t="str">
        <f aca="false">IF(DL$2="","",IF(AND(DL4=DL$2,DM4=DM$2),3,IF(AND(DL$2&gt;DM$2,DL4&gt;DM4),1,IF(AND(DM$2&gt;DL$2,DM4&gt;DL4),1,IF(AND(DL$2=DM$2,DL4=DM4),1,0)))))</f>
        <v/>
      </c>
      <c r="DO4" s="1" t="n">
        <f aca="false">Participantes!CC3</f>
        <v>0</v>
      </c>
      <c r="DP4" s="1" t="n">
        <f aca="false">Participantes!CD3</f>
        <v>2</v>
      </c>
      <c r="DQ4" s="82" t="str">
        <f aca="false">IF(DO$2="","",IF(AND(DO4=DO$2,DP4=DP$2),3,IF(AND(DO$2&gt;DP$2,DO4&gt;DP4),1,IF(AND(DP$2&gt;DO$2,DP4&gt;DO4),1,IF(AND(DO$2=DP$2,DO4=DP4),1,0)))))</f>
        <v/>
      </c>
      <c r="DR4" s="1" t="n">
        <f aca="false">Participantes!CE3</f>
        <v>1</v>
      </c>
      <c r="DS4" s="1" t="n">
        <f aca="false">Participantes!CF3</f>
        <v>2</v>
      </c>
      <c r="DT4" s="82" t="str">
        <f aca="false">IF(DR$2="","",IF(AND(DR4=DR$2,DS4=DS$2),3,IF(AND(DR$2&gt;DS$2,DR4&gt;DS4),1,IF(AND(DS$2&gt;DR$2,DS4&gt;DR4),1,IF(AND(DR$2=DS$2,DR4=DS4),1,0)))))</f>
        <v/>
      </c>
      <c r="DU4" s="1" t="n">
        <f aca="false">Participantes!CG3</f>
        <v>3</v>
      </c>
      <c r="DV4" s="1" t="n">
        <f aca="false">Participantes!CH3</f>
        <v>0</v>
      </c>
      <c r="DW4" s="82" t="str">
        <f aca="false">IF(DU$2="","",IF(AND(DU4=DU$2,DV4=DV$2),3,IF(AND(DU$2&gt;DV$2,DU4&gt;DV4),1,IF(AND(DV$2&gt;DU$2,DV4&gt;DU4),1,IF(AND(DU$2=DV$2,DU4=DV4),1,0)))))</f>
        <v/>
      </c>
      <c r="DX4" s="1" t="n">
        <f aca="false">Participantes!CI3</f>
        <v>3</v>
      </c>
      <c r="DY4" s="1" t="n">
        <f aca="false">Participantes!CJ3</f>
        <v>1</v>
      </c>
      <c r="DZ4" s="82" t="str">
        <f aca="false">IF(DX$2="","",IF(AND(DX4=DX$2,DY4=DY$2),3,IF(AND(DX$2&gt;DY$2,DX4&gt;DY4),1,IF(AND(DY$2&gt;DX$2,DY4&gt;DX4),1,IF(AND(DX$2=DY$2,DX4=DY4),1,0)))))</f>
        <v/>
      </c>
      <c r="EA4" s="1" t="n">
        <f aca="false">Participantes!CK3</f>
        <v>1</v>
      </c>
      <c r="EB4" s="1" t="n">
        <f aca="false">Participantes!CL3</f>
        <v>2</v>
      </c>
      <c r="EC4" s="82" t="str">
        <f aca="false">IF(EA$2="","",IF(AND(EA4=EA$2,EB4=EB$2),3,IF(AND(EA$2&gt;EB$2,EA4&gt;EB4),1,IF(AND(EB$2&gt;EA$2,EB4&gt;EA4),1,IF(AND(EA$2=EB$2,EA4=EB4),1,0)))))</f>
        <v/>
      </c>
      <c r="ED4" s="1" t="n">
        <f aca="false">Participantes!CM3</f>
        <v>2</v>
      </c>
      <c r="EE4" s="1" t="n">
        <f aca="false">Participantes!CN3</f>
        <v>0</v>
      </c>
      <c r="EF4" s="82" t="str">
        <f aca="false">IF(ED$2="","",IF(AND(ED4=ED$2,EE4=EE$2),3,IF(AND(ED$2&gt;EE$2,ED4&gt;EE4),1,IF(AND(EE$2&gt;ED$2,EE4&gt;ED4),1,IF(AND(ED$2=EE$2,ED4=EE4),1,0)))))</f>
        <v/>
      </c>
      <c r="EG4" s="1" t="n">
        <f aca="false">Participantes!CO3</f>
        <v>1</v>
      </c>
      <c r="EH4" s="1" t="n">
        <f aca="false">Participantes!CP3</f>
        <v>1</v>
      </c>
      <c r="EI4" s="82" t="str">
        <f aca="false">IF(EG$2="","",IF(AND(EG4=EG$2,EH4=EH$2),3,IF(AND(EG$2&gt;EH$2,EG4&gt;EH4),1,IF(AND(EH$2&gt;EG$2,EH4&gt;EG4),1,IF(AND(EG$2=EH$2,EG4=EH4),1,0)))))</f>
        <v/>
      </c>
      <c r="EJ4" s="1" t="n">
        <f aca="false">Participantes!CQ3</f>
        <v>3</v>
      </c>
      <c r="EK4" s="1" t="n">
        <f aca="false">Participantes!CR3</f>
        <v>0</v>
      </c>
      <c r="EL4" s="82" t="str">
        <f aca="false">IF(EJ$2="","",IF(AND(EJ4=EJ$2,EK4=EK$2),3,IF(AND(EJ$2&gt;EK$2,EJ4&gt;EK4),1,IF(AND(EK$2&gt;EJ$2,EK4&gt;EJ4),1,IF(AND(EJ$2=EK$2,EJ4=EK4),1,0)))))</f>
        <v/>
      </c>
      <c r="EM4" s="1" t="n">
        <f aca="false">Participantes!CS3</f>
        <v>2</v>
      </c>
      <c r="EN4" s="1" t="n">
        <f aca="false">Participantes!CT3</f>
        <v>1</v>
      </c>
      <c r="EO4" s="82" t="str">
        <f aca="false">IF(EM$2="","",IF(AND(EM4=EM$2,EN4=EN$2),3,IF(AND(EM$2&gt;EN$2,EM4&gt;EN4),1,IF(AND(EN$2&gt;EM$2,EN4&gt;EM4),1,IF(AND(EM$2=EN$2,EM4=EN4),1,0)))))</f>
        <v/>
      </c>
      <c r="EP4" s="1" t="n">
        <f aca="false">Participantes!CU3</f>
        <v>1</v>
      </c>
      <c r="EQ4" s="1" t="n">
        <f aca="false">Participantes!CV3</f>
        <v>2</v>
      </c>
      <c r="ER4" s="82" t="str">
        <f aca="false">IF(EP$2="","",IF(AND(EP4=EP$2,EQ4=EQ$2),3,IF(AND(EP$2&gt;EQ$2,EP4&gt;EQ4),1,IF(AND(EQ$2&gt;EP$2,EQ4&gt;EP4),1,IF(AND(EP$2=EQ$2,EP4=EQ4),1,0)))))</f>
        <v/>
      </c>
      <c r="ES4" s="1" t="n">
        <f aca="false">Participantes!CW3</f>
        <v>2</v>
      </c>
      <c r="ET4" s="1" t="n">
        <f aca="false">Participantes!CX3</f>
        <v>0</v>
      </c>
      <c r="EU4" s="82" t="str">
        <f aca="false">IF(ES$2="","",IF(AND(ES4=ES$2,ET4=ET$2),3,IF(AND(ES$2&gt;ET$2,ES4&gt;ET4),1,IF(AND(ET$2&gt;ES$2,ET4&gt;ES4),1,IF(AND(ES$2=ET$2,ES4=ET4),1,0)))))</f>
        <v/>
      </c>
      <c r="EV4" s="1" t="n">
        <f aca="false">Participantes!CY3</f>
        <v>0</v>
      </c>
      <c r="EW4" s="1" t="n">
        <f aca="false">Participantes!CZ3</f>
        <v>1</v>
      </c>
      <c r="EX4" s="82" t="str">
        <f aca="false">IF(EV$2="","",IF(AND(EV4=EV$2,EW4=EW$2),3,IF(AND(EV$2&gt;EW$2,EV4&gt;EW4),1,IF(AND(EW$2&gt;EV$2,EW4&gt;EV4),1,IF(AND(EV$2=EW$2,EV4=EW4),1,0)))))</f>
        <v/>
      </c>
      <c r="EY4" s="1" t="n">
        <f aca="false">Participantes!DA3</f>
        <v>2</v>
      </c>
      <c r="EZ4" s="1" t="n">
        <f aca="false">Participantes!DB3</f>
        <v>1</v>
      </c>
      <c r="FA4" s="82" t="str">
        <f aca="false">IF(EY$2="","",IF(AND(EY4=EY$2,EZ4=EZ$2),3,IF(AND(EY$2&gt;EZ$2,EY4&gt;EZ4),1,IF(AND(EZ$2&gt;EY$2,EZ4&gt;EY4),1,IF(AND(EY$2=EZ$2,EY4=EZ4),1,0)))))</f>
        <v/>
      </c>
      <c r="FB4" s="1" t="n">
        <f aca="false">Participantes!DC3</f>
        <v>0</v>
      </c>
      <c r="FC4" s="1" t="n">
        <f aca="false">Participantes!DD3</f>
        <v>1</v>
      </c>
      <c r="FD4" s="82" t="str">
        <f aca="false">IF(FB$2="","",IF(AND(FB4=FB$2,FC4=FC$2),3,IF(AND(FB$2&gt;FC$2,FB4&gt;FC4),1,IF(AND(FC$2&gt;FB$2,FC4&gt;FB4),1,IF(AND(FB$2=FC$2,FB4=FC4),1,0)))))</f>
        <v/>
      </c>
      <c r="FE4" s="1" t="n">
        <f aca="false">Participantes!DE3</f>
        <v>1</v>
      </c>
      <c r="FF4" s="1" t="n">
        <f aca="false">Participantes!DF3</f>
        <v>2</v>
      </c>
      <c r="FG4" s="82" t="str">
        <f aca="false">IF(FE$2="","",IF(AND(FE4=FE$2,FF4=FF$2),3,IF(AND(FE$2&gt;FF$2,FE4&gt;FF4),1,IF(AND(FF$2&gt;FE$2,FF4&gt;FE4),1,IF(AND(FE$2=FF$2,FE4=FF4),1,0)))))</f>
        <v/>
      </c>
      <c r="FH4" s="1" t="n">
        <f aca="false">Participantes!DG3</f>
        <v>1</v>
      </c>
      <c r="FI4" s="1" t="n">
        <f aca="false">Participantes!DH3</f>
        <v>2</v>
      </c>
      <c r="FJ4" s="82" t="str">
        <f aca="false">IF(FH$2="","",IF(AND(FH4=FH$2,FI4=FI$2),3,IF(AND(FH$2&gt;FI$2,FH4&gt;FI4),1,IF(AND(FI$2&gt;FH$2,FI4&gt;FH4),1,IF(AND(FH$2=FI$2,FH4=FI4),1,0)))))</f>
        <v/>
      </c>
      <c r="FK4" s="1" t="n">
        <f aca="false">Participantes!DI3</f>
        <v>0</v>
      </c>
      <c r="FL4" s="1" t="n">
        <f aca="false">Participantes!DJ3</f>
        <v>2</v>
      </c>
      <c r="FM4" s="82" t="str">
        <f aca="false">IF(FK$2="","",IF(AND(FK4=FK$2,FL4=FL$2),3,IF(AND(FK$2&gt;FL$2,FK4&gt;FL4),1,IF(AND(FL$2&gt;FK$2,FL4&gt;FK4),1,IF(AND(FK$2=FL$2,FK4=FL4),1,0)))))</f>
        <v/>
      </c>
      <c r="FN4" s="1" t="n">
        <f aca="false">Participantes!DK3</f>
        <v>2</v>
      </c>
      <c r="FO4" s="1" t="n">
        <f aca="false">Participantes!DL3</f>
        <v>1</v>
      </c>
      <c r="FP4" s="82" t="str">
        <f aca="false">IF(FN$2="","",IF(AND(FN4=FN$2,FO4=FO$2),3,IF(AND(FN$2&gt;FO$2,FN4&gt;FO4),1,IF(AND(FO$2&gt;FN$2,FO4&gt;FN4),1,IF(AND(FN$2=FO$2,FN4=FO4),1,0)))))</f>
        <v/>
      </c>
      <c r="FQ4" s="1" t="n">
        <f aca="false">Participantes!DM3</f>
        <v>1</v>
      </c>
      <c r="FR4" s="1" t="n">
        <f aca="false">Participantes!DN3</f>
        <v>3</v>
      </c>
      <c r="FS4" s="82" t="str">
        <f aca="false">IF(FQ$2="","",IF(AND(FQ4=FQ$2,FR4=FR$2),3,IF(AND(FQ$2&gt;FR$2,FQ4&gt;FR4),1,IF(AND(FR$2&gt;FQ$2,FR4&gt;FQ4),1,IF(AND(FQ$2=FR$2,FQ4=FR4),1,0)))))</f>
        <v/>
      </c>
      <c r="FT4" s="1" t="n">
        <f aca="false">Participantes!DO3</f>
        <v>1</v>
      </c>
      <c r="FU4" s="1" t="n">
        <f aca="false">Participantes!DP3</f>
        <v>1</v>
      </c>
      <c r="FV4" s="82" t="str">
        <f aca="false">IF(FT$2="","",IF(AND(FT4=FT$2,FU4=FU$2),3,IF(AND(FT$2&gt;FU$2,FT4&gt;FU4),1,IF(AND(FU$2&gt;FT$2,FU4&gt;FT4),1,IF(AND(FT$2=FU$2,FT4=FU4),1,0)))))</f>
        <v/>
      </c>
      <c r="FW4" s="1" t="n">
        <f aca="false">Participantes!DQ3</f>
        <v>3</v>
      </c>
      <c r="FX4" s="1" t="n">
        <f aca="false">Participantes!DR3</f>
        <v>0</v>
      </c>
      <c r="FY4" s="82" t="str">
        <f aca="false">IF(FW$2="","",IF(AND(FW4=FW$2,FX4=FX$2),3,IF(AND(FW$2&gt;FX$2,FW4&gt;FX4),1,IF(AND(FX$2&gt;FW$2,FX4&gt;FW4),1,IF(AND(FW$2=FX$2,FW4=FX4),1,0)))))</f>
        <v/>
      </c>
      <c r="FZ4" s="1" t="n">
        <f aca="false">Participantes!DS3</f>
        <v>0</v>
      </c>
      <c r="GA4" s="1" t="n">
        <f aca="false">Participantes!DT3</f>
        <v>2</v>
      </c>
      <c r="GB4" s="82" t="str">
        <f aca="false">IF(FZ$2="","",IF(AND(FZ4=FZ$2,GA4=GA$2),3,IF(AND(FZ$2&gt;GA$2,FZ4&gt;GA4),1,IF(AND(GA$2&gt;FZ$2,GA4&gt;FZ4),1,IF(AND(FZ$2=GA$2,FZ4=GA4),1,0)))))</f>
        <v/>
      </c>
      <c r="GC4" s="1" t="n">
        <f aca="false">Participantes!DU3</f>
        <v>2</v>
      </c>
      <c r="GD4" s="1" t="n">
        <f aca="false">Participantes!DV3</f>
        <v>0</v>
      </c>
      <c r="GE4" s="82" t="str">
        <f aca="false">IF(GC$2="","",IF(AND(GC4=GC$2,GD4=GD$2),3,IF(AND(GC$2&gt;GD$2,GC4&gt;GD4),1,IF(AND(GD$2&gt;GC$2,GD4&gt;GC4),1,IF(AND(GC$2=GD$2,GC4=GD4),1,0)))))</f>
        <v/>
      </c>
      <c r="GF4" s="1" t="n">
        <f aca="false">Participantes!DW3</f>
        <v>1</v>
      </c>
      <c r="GG4" s="1" t="n">
        <f aca="false">Participantes!DX3</f>
        <v>1</v>
      </c>
      <c r="GH4" s="82" t="str">
        <f aca="false">IF(GF$2="","",IF(AND(GF4=GF$2,GG4=GG$2),3,IF(AND(GF$2&gt;GG$2,GF4&gt;GG4),1,IF(AND(GG$2&gt;GF$2,GG4&gt;GF4),1,IF(AND(GF$2=GG$2,GF4=GG4),1,0)))))</f>
        <v/>
      </c>
      <c r="GI4" s="1" t="n">
        <f aca="false">Participantes!DY3</f>
        <v>0</v>
      </c>
      <c r="GJ4" s="1" t="n">
        <f aca="false">Participantes!DZ3</f>
        <v>2</v>
      </c>
      <c r="GK4" s="82" t="str">
        <f aca="false">IF(GI$2="","",IF(AND(GI4=GI$2,GJ4=GJ$2),3,IF(AND(GI$2&gt;GJ$2,GI4&gt;GJ4),1,IF(AND(GJ$2&gt;GI$2,GJ4&gt;GI4),1,IF(AND(GI$2=GJ$2,GI4=GJ4),1,0)))))</f>
        <v/>
      </c>
      <c r="GL4" s="1" t="n">
        <f aca="false">Participantes!EA3</f>
        <v>0</v>
      </c>
      <c r="GM4" s="1" t="n">
        <f aca="false">Participantes!EB3</f>
        <v>2</v>
      </c>
      <c r="GN4" s="82" t="str">
        <f aca="false">IF(GL$2="","",IF(AND(GL4=GL$2,GM4=GM$2),3,IF(AND(GL$2&gt;GM$2,GL4&gt;GM4),1,IF(AND(GM$2&gt;GL$2,GM4&gt;GL4),1,IF(AND(GL$2=GM$2,GL4=GM4),1,0)))))</f>
        <v/>
      </c>
      <c r="GO4" s="1" t="n">
        <f aca="false">Participantes!EC3</f>
        <v>1</v>
      </c>
      <c r="GP4" s="1" t="n">
        <f aca="false">Participantes!ED3</f>
        <v>2</v>
      </c>
      <c r="GQ4" s="82" t="str">
        <f aca="false">IF(GO$2="","",IF(AND(GO4=GO$2,GP4=GP$2),3,IF(AND(GO$2&gt;GP$2,GO4&gt;GP4),1,IF(AND(GP$2&gt;GO$2,GP4&gt;GO4),1,IF(AND(GO$2=GP$2,GO4=GP4),1,0)))))</f>
        <v/>
      </c>
      <c r="GR4" s="1" t="n">
        <f aca="false">Participantes!EE3</f>
        <v>1</v>
      </c>
      <c r="GS4" s="1" t="n">
        <f aca="false">Participantes!EF3</f>
        <v>2</v>
      </c>
      <c r="GT4" s="82" t="str">
        <f aca="false">IF(GR$2="","",IF(AND(GR4=GR$2,GS4=GS$2),3,IF(AND(GR$2&gt;GS$2,GR4&gt;GS4),1,IF(AND(GS$2&gt;GR$2,GS4&gt;GR4),1,IF(AND(GR$2=GS$2,GR4=GS4),1,0)))))</f>
        <v/>
      </c>
      <c r="GU4" s="1" t="n">
        <f aca="false">Participantes!EG3</f>
        <v>2</v>
      </c>
      <c r="GV4" s="1" t="n">
        <f aca="false">Participantes!EH3</f>
        <v>0</v>
      </c>
      <c r="GW4" s="82" t="str">
        <f aca="false">IF(GU$2="","",IF(AND(GU4=GU$2,GV4=GV$2),3,IF(AND(GU$2&gt;GV$2,GU4&gt;GV4),1,IF(AND(GV$2&gt;GU$2,GV4&gt;GU4),1,IF(AND(GU$2=GV$2,GU4=GV4),1,0)))))</f>
        <v/>
      </c>
      <c r="GX4" s="1" t="n">
        <f aca="false">Participantes!EI3</f>
        <v>1</v>
      </c>
      <c r="GY4" s="1" t="n">
        <f aca="false">Participantes!EJ3</f>
        <v>1</v>
      </c>
      <c r="GZ4" s="82" t="str">
        <f aca="false">IF(GX$2="","",IF(AND(GX4=GX$2,GY4=GY$2),3,IF(AND(GX$2&gt;GY$2,GX4&gt;GY4),1,IF(AND(GY$2&gt;GX$2,GY4&gt;GX4),1,IF(AND(GX$2=GY$2,GX4=GY4),1,0)))))</f>
        <v/>
      </c>
      <c r="HA4" s="1" t="n">
        <f aca="false">Participantes!EK3</f>
        <v>1</v>
      </c>
      <c r="HB4" s="1" t="n">
        <f aca="false">Participantes!EL3</f>
        <v>0</v>
      </c>
      <c r="HC4" s="82" t="str">
        <f aca="false">IF(HA$2="","",IF(AND(HA4=HA$2,HB4=HB$2),3,IF(AND(HA$2&gt;HB$2,HA4&gt;HB4),1,IF(AND(HB$2&gt;HA$2,HB4&gt;HA4),1,IF(AND(HA$2=HB$2,HA4=HB4),1,0)))))</f>
        <v/>
      </c>
      <c r="HD4" s="1" t="n">
        <f aca="false">Participantes!EM3</f>
        <v>2</v>
      </c>
      <c r="HE4" s="1" t="n">
        <f aca="false">Participantes!EN3</f>
        <v>1</v>
      </c>
      <c r="HF4" s="82" t="str">
        <f aca="false">IF(HD$2="","",IF(AND(HD4=HD$2,HE4=HE$2),3,IF(AND(HD$2&gt;HE$2,HD4&gt;HE4),1,IF(AND(HE$2&gt;HD$2,HE4&gt;HD4),1,IF(AND(HD$2=HE$2,HD4=HE4),1,0)))))</f>
        <v/>
      </c>
      <c r="HG4" s="1" t="n">
        <f aca="false">Participantes!EO3</f>
        <v>2</v>
      </c>
      <c r="HH4" s="1" t="n">
        <f aca="false">Participantes!EP3</f>
        <v>1</v>
      </c>
      <c r="HI4" s="82" t="str">
        <f aca="false">IF(HG$2="","",IF(AND(HG4=HG$2,HH4=HH$2),3,IF(AND(HG$2&gt;HH$2,HG4&gt;HH4),1,IF(AND(HH$2&gt;HG$2,HH4&gt;HG4),1,IF(AND(HG$2=HH$2,HG4=HH4),1,0)))))</f>
        <v/>
      </c>
      <c r="HJ4" s="83" t="n">
        <f aca="false">SUM(D4,G4,J4,M4,P4,S4,V4,Y4,AB4,AE4,AH4,AK4,AN4,AQ4,AT4,AW4,AZ4,BC4,BF4,BI4,BL4,BO4,BR4,BU4,BX4,CA4,CD4,CG4,CJ4,CM4,CP4,CS4,CV4,CY4,DB4,DE4,DH4,DK4,DN4,DQ4,DT4,DW4,DZ4,EC4,EF4,EI4,EL4,EO4,ER4,EU4,EX4,FA4,FD4,FG4,FJ4,FM4,FP4,FS4,FV4,FY4,GB4,GE4,GH4,GK4,GN4,GQ4,GT4,GW4,GZ4,HC4,HF4,HI4)</f>
        <v>3</v>
      </c>
    </row>
    <row r="5" customFormat="false" ht="15" hidden="false" customHeight="true" outlineLevel="0" collapsed="false">
      <c r="A5" s="81" t="str">
        <f aca="false">Participantes!B4</f>
        <v>Alfredo 1</v>
      </c>
      <c r="B5" s="1" t="n">
        <f aca="false">Participantes!C4</f>
        <v>2</v>
      </c>
      <c r="C5" s="1" t="n">
        <f aca="false">Participantes!D4</f>
        <v>1</v>
      </c>
      <c r="D5" s="82" t="n">
        <f aca="false">IF(B$2="","",IF(AND(B5=B$2,C5=C$2),3,IF(AND(B$2&gt;C$2,B5&gt;C5),1,IF(AND(C$2&gt;B$2,C5&gt;B5),1,IF(AND(B$2=C$2,B5=C5),1,0)))))</f>
        <v>1</v>
      </c>
      <c r="E5" s="1" t="n">
        <f aca="false">Participantes!E4</f>
        <v>1</v>
      </c>
      <c r="F5" s="1" t="n">
        <f aca="false">Participantes!F4</f>
        <v>1</v>
      </c>
      <c r="G5" s="82" t="str">
        <f aca="false">IF(E$2="","",IF(AND(E5=E$2,F5=F$2),3,IF(AND(E$2&gt;F$2,E5&gt;F5),1,IF(AND(F$2&gt;E$2,F5&gt;E5),1,IF(AND(E$2=F$2,E5=F5),1,0)))))</f>
        <v/>
      </c>
      <c r="H5" s="1" t="n">
        <f aca="false">Participantes!G4</f>
        <v>1</v>
      </c>
      <c r="I5" s="1" t="n">
        <f aca="false">Participantes!H4</f>
        <v>0</v>
      </c>
      <c r="J5" s="82" t="str">
        <f aca="false">IF(H$2="","",IF(AND(H5=H$2,I5=I$2),3,IF(AND(H$2&gt;I$2,H5&gt;I5),1,IF(AND(I$2&gt;H$2,I5&gt;H5),1,IF(AND(H$2=I$2,H5=I5),1,0)))))</f>
        <v/>
      </c>
      <c r="K5" s="1" t="n">
        <f aca="false">Participantes!I4</f>
        <v>2</v>
      </c>
      <c r="L5" s="1" t="n">
        <f aca="false">Participantes!J4</f>
        <v>1</v>
      </c>
      <c r="M5" s="82" t="str">
        <f aca="false">IF(K$2="","",IF(AND(K5=K$2,L5=L$2),3,IF(AND(K$2&gt;L$2,K5&gt;L5),1,IF(AND(L$2&gt;K$2,L5&gt;K5),1,IF(AND(K$2=L$2,K5=L5),1,0)))))</f>
        <v/>
      </c>
      <c r="N5" s="1" t="n">
        <f aca="false">Participantes!K4</f>
        <v>1</v>
      </c>
      <c r="O5" s="1" t="n">
        <f aca="false">Participantes!L4</f>
        <v>1</v>
      </c>
      <c r="P5" s="82" t="str">
        <f aca="false">IF(N$2="","",IF(AND(N5=N$2,O5=O$2),3,IF(AND(N$2&gt;O$2,N5&gt;O5),1,IF(AND(O$2&gt;N$2,O5&gt;N5),1,IF(AND(N$2=O$2,N5=O5),1,0)))))</f>
        <v/>
      </c>
      <c r="Q5" s="1" t="n">
        <f aca="false">Participantes!M4</f>
        <v>1</v>
      </c>
      <c r="R5" s="1" t="n">
        <f aca="false">Participantes!N4</f>
        <v>2</v>
      </c>
      <c r="S5" s="82" t="str">
        <f aca="false">IF(Q$2="","",IF(AND(Q5=Q$2,R5=R$2),3,IF(AND(Q$2&gt;R$2,Q5&gt;R5),1,IF(AND(R$2&gt;Q$2,R5&gt;Q5),1,IF(AND(Q$2=R$2,Q5=R5),1,0)))))</f>
        <v/>
      </c>
      <c r="T5" s="1" t="n">
        <f aca="false">Participantes!O4</f>
        <v>2</v>
      </c>
      <c r="U5" s="1" t="n">
        <f aca="false">Participantes!P4</f>
        <v>0</v>
      </c>
      <c r="V5" s="82" t="str">
        <f aca="false">IF(T$2="","",IF(AND(T5=T$2,U5=U$2),3,IF(AND(T$2&gt;U$2,T5&gt;U5),1,IF(AND(U$2&gt;T$2,U5&gt;T5),1,IF(AND(T$2=U$2,T5=U5),1,0)))))</f>
        <v/>
      </c>
      <c r="W5" s="1" t="n">
        <f aca="false">Participantes!Q4</f>
        <v>0</v>
      </c>
      <c r="X5" s="1" t="n">
        <f aca="false">Participantes!R4</f>
        <v>2</v>
      </c>
      <c r="Y5" s="82" t="str">
        <f aca="false">IF(W$2="","",IF(AND(W5=W$2,X5=X$2),3,IF(AND(W$2&gt;X$2,W5&gt;X5),1,IF(AND(X$2&gt;W$2,X5&gt;W5),1,IF(AND(W$2=X$2,W5=X5),1,0)))))</f>
        <v/>
      </c>
      <c r="Z5" s="1" t="n">
        <f aca="false">Participantes!S4</f>
        <v>1</v>
      </c>
      <c r="AA5" s="1" t="n">
        <f aca="false">Participantes!T4</f>
        <v>1</v>
      </c>
      <c r="AB5" s="82" t="str">
        <f aca="false">IF(Z$2="","",IF(AND(Z5=Z$2,AA5=AA$2),3,IF(AND(Z$2&gt;AA$2,Z5&gt;AA5),1,IF(AND(AA$2&gt;Z$2,AA5&gt;Z5),1,IF(AND(Z$2=AA$2,Z5=AA5),1,0)))))</f>
        <v/>
      </c>
      <c r="AC5" s="1" t="n">
        <f aca="false">Participantes!U4</f>
        <v>4</v>
      </c>
      <c r="AD5" s="1" t="n">
        <f aca="false">Participantes!V4</f>
        <v>0</v>
      </c>
      <c r="AE5" s="82" t="str">
        <f aca="false">IF(AC$2="","",IF(AND(AC5=AC$2,AD5=AD$2),3,IF(AND(AC$2&gt;AD$2,AC5&gt;AD5),1,IF(AND(AD$2&gt;AC$2,AD5&gt;AC5),1,IF(AND(AC$2=AD$2,AC5=AD5),1,0)))))</f>
        <v/>
      </c>
      <c r="AF5" s="1" t="n">
        <f aca="false">Participantes!W4</f>
        <v>2</v>
      </c>
      <c r="AG5" s="1" t="n">
        <f aca="false">Participantes!X4</f>
        <v>1</v>
      </c>
      <c r="AH5" s="82" t="str">
        <f aca="false">IF(AF$2="","",IF(AND(AF5=AF$2,AG5=AG$2),3,IF(AND(AF$2&gt;AG$2,AF5&gt;AG5),1,IF(AND(AG$2&gt;AF$2,AG5&gt;AF5),1,IF(AND(AF$2=AG$2,AF5=AG5),1,0)))))</f>
        <v/>
      </c>
      <c r="AI5" s="1" t="n">
        <f aca="false">Participantes!Y4</f>
        <v>2</v>
      </c>
      <c r="AJ5" s="1" t="n">
        <f aca="false">Participantes!Z4</f>
        <v>0</v>
      </c>
      <c r="AK5" s="82" t="str">
        <f aca="false">IF(AI$2="","",IF(AND(AI5=AI$2,AJ5=AJ$2),3,IF(AND(AI$2&gt;AJ$2,AI5&gt;AJ5),1,IF(AND(AJ$2&gt;AI$2,AJ5&gt;AI5),1,IF(AND(AI$2=AJ$2,AI5=AJ5),1,0)))))</f>
        <v/>
      </c>
      <c r="AL5" s="1" t="n">
        <f aca="false">Participantes!AA4</f>
        <v>0</v>
      </c>
      <c r="AM5" s="1" t="n">
        <f aca="false">Participantes!AB4</f>
        <v>1</v>
      </c>
      <c r="AN5" s="82" t="str">
        <f aca="false">IF(AL$2="","",IF(AND(AL5=AL$2,AM5=AM$2),3,IF(AND(AL$2&gt;AM$2,AL5&gt;AM5),1,IF(AND(AM$2&gt;AL$2,AM5&gt;AL5),1,IF(AND(AL$2=AM$2,AL5=AM5),1,0)))))</f>
        <v/>
      </c>
      <c r="AO5" s="1" t="n">
        <f aca="false">Participantes!AC4</f>
        <v>2</v>
      </c>
      <c r="AP5" s="1" t="n">
        <f aca="false">Participantes!AD4</f>
        <v>0</v>
      </c>
      <c r="AQ5" s="82" t="str">
        <f aca="false">IF(AO$2="","",IF(AND(AO5=AO$2,AP5=AP$2),3,IF(AND(AO$2&gt;AP$2,AO5&gt;AP5),1,IF(AND(AP$2&gt;AO$2,AP5&gt;AO5),1,IF(AND(AO$2=AP$2,AO5=AP5),1,0)))))</f>
        <v/>
      </c>
      <c r="AR5" s="1" t="n">
        <f aca="false">Participantes!AE4</f>
        <v>1</v>
      </c>
      <c r="AS5" s="1" t="n">
        <f aca="false">Participantes!AF4</f>
        <v>0</v>
      </c>
      <c r="AT5" s="82" t="str">
        <f aca="false">IF(AR$2="","",IF(AND(AR5=AR$2,AS5=AS$2),3,IF(AND(AR$2&gt;AS$2,AR5&gt;AS5),1,IF(AND(AS$2&gt;AR$2,AS5&gt;AR5),1,IF(AND(AR$2=AS$2,AR5=AS5),1,0)))))</f>
        <v/>
      </c>
      <c r="AU5" s="1" t="n">
        <f aca="false">Participantes!AG4</f>
        <v>2</v>
      </c>
      <c r="AV5" s="1" t="n">
        <f aca="false">Participantes!AH4</f>
        <v>1</v>
      </c>
      <c r="AW5" s="82" t="str">
        <f aca="false">IF(AU$2="","",IF(AND(AU5=AU$2,AV5=AV$2),3,IF(AND(AU$2&gt;AV$2,AU5&gt;AV5),1,IF(AND(AV$2&gt;AU$2,AV5&gt;AU5),1,IF(AND(AU$2=AV$2,AU5=AV5),1,0)))))</f>
        <v/>
      </c>
      <c r="AX5" s="1" t="n">
        <f aca="false">Participantes!AI4</f>
        <v>3</v>
      </c>
      <c r="AY5" s="1" t="n">
        <f aca="false">Participantes!AJ4</f>
        <v>1</v>
      </c>
      <c r="AZ5" s="82" t="str">
        <f aca="false">IF(AX$2="","",IF(AND(AX5=AX$2,AY5=AY$2),3,IF(AND(AX$2&gt;AY$2,AX5&gt;AY5),1,IF(AND(AY$2&gt;AX$2,AY5&gt;AX5),1,IF(AND(AX$2=AY$2,AX5=AY5),1,0)))))</f>
        <v/>
      </c>
      <c r="BA5" s="1" t="n">
        <f aca="false">Participantes!AK4</f>
        <v>0</v>
      </c>
      <c r="BB5" s="1" t="n">
        <f aca="false">Participantes!AL4</f>
        <v>3</v>
      </c>
      <c r="BC5" s="82" t="str">
        <f aca="false">IF(BA$2="","",IF(AND(BA5=BA$2,BB5=BB$2),3,IF(AND(BA$2&gt;BB$2,BA5&gt;BB5),1,IF(AND(BB$2&gt;BA$2,BB5&gt;BA5),1,IF(AND(BA$2=BB$2,BA5=BB5),1,0)))))</f>
        <v/>
      </c>
      <c r="BD5" s="1" t="n">
        <f aca="false">Participantes!AM4</f>
        <v>2</v>
      </c>
      <c r="BE5" s="1" t="n">
        <f aca="false">Participantes!AN4</f>
        <v>0</v>
      </c>
      <c r="BF5" s="82" t="str">
        <f aca="false">IF(BD$2="","",IF(AND(BD5=BD$2,BE5=BE$2),3,IF(AND(BD$2&gt;BE$2,BD5&gt;BE5),1,IF(AND(BE$2&gt;BD$2,BE5&gt;BD5),1,IF(AND(BD$2=BE$2,BD5=BE5),1,0)))))</f>
        <v/>
      </c>
      <c r="BG5" s="1" t="n">
        <f aca="false">Participantes!AO4</f>
        <v>2</v>
      </c>
      <c r="BH5" s="1" t="n">
        <f aca="false">Participantes!AP4</f>
        <v>0</v>
      </c>
      <c r="BI5" s="82" t="str">
        <f aca="false">IF(BG$2="","",IF(AND(BG5=BG$2,BH5=BH$2),3,IF(AND(BG$2&gt;BH$2,BG5&gt;BH5),1,IF(AND(BH$2&gt;BG$2,BH5&gt;BG5),1,IF(AND(BG$2=BH$2,BG5=BH5),1,0)))))</f>
        <v/>
      </c>
      <c r="BJ5" s="1" t="n">
        <f aca="false">Participantes!AQ4</f>
        <v>1</v>
      </c>
      <c r="BK5" s="1" t="n">
        <f aca="false">Participantes!AR4</f>
        <v>1</v>
      </c>
      <c r="BL5" s="82" t="str">
        <f aca="false">IF(BJ$2="","",IF(AND(BJ5=BJ$2,BK5=BK$2),3,IF(AND(BJ$2&gt;BK$2,BJ5&gt;BK5),1,IF(AND(BK$2&gt;BJ$2,BK5&gt;BJ5),1,IF(AND(BJ$2=BK$2,BJ5=BK5),1,0)))))</f>
        <v/>
      </c>
      <c r="BM5" s="1" t="n">
        <f aca="false">Participantes!AS4</f>
        <v>2</v>
      </c>
      <c r="BN5" s="1" t="n">
        <f aca="false">Participantes!AT4</f>
        <v>1</v>
      </c>
      <c r="BO5" s="82" t="str">
        <f aca="false">IF(BM$2="","",IF(AND(BM5=BM$2,BN5=BN$2),3,IF(AND(BM$2&gt;BN$2,BM5&gt;BN5),1,IF(AND(BN$2&gt;BM$2,BN5&gt;BM5),1,IF(AND(BM$2=BN$2,BM5=BN5),1,0)))))</f>
        <v/>
      </c>
      <c r="BP5" s="1" t="n">
        <f aca="false">Participantes!AU4</f>
        <v>3</v>
      </c>
      <c r="BQ5" s="1" t="n">
        <f aca="false">Participantes!AV4</f>
        <v>0</v>
      </c>
      <c r="BR5" s="82" t="str">
        <f aca="false">IF(BP$2="","",IF(AND(BP5=BP$2,BQ5=BQ$2),3,IF(AND(BP$2&gt;BQ$2,BP5&gt;BQ5),1,IF(AND(BQ$2&gt;BP$2,BQ5&gt;BP5),1,IF(AND(BP$2=BQ$2,BP5=BQ5),1,0)))))</f>
        <v/>
      </c>
      <c r="BS5" s="1" t="n">
        <f aca="false">Participantes!AW4</f>
        <v>0</v>
      </c>
      <c r="BT5" s="1" t="n">
        <f aca="false">Participantes!AX4</f>
        <v>2</v>
      </c>
      <c r="BU5" s="82" t="str">
        <f aca="false">IF(BS$2="","",IF(AND(BS5=BS$2,BT5=BT$2),3,IF(AND(BS$2&gt;BT$2,BS5&gt;BT5),1,IF(AND(BT$2&gt;BS$2,BT5&gt;BS5),1,IF(AND(BS$2=BT$2,BS5=BT5),1,0)))))</f>
        <v/>
      </c>
      <c r="BV5" s="1" t="n">
        <f aca="false">Participantes!AY4</f>
        <v>2</v>
      </c>
      <c r="BW5" s="1" t="n">
        <f aca="false">Participantes!AZ4</f>
        <v>0</v>
      </c>
      <c r="BX5" s="82" t="str">
        <f aca="false">IF(BV$2="","",IF(AND(BV5=BV$2,BW5=BW$2),3,IF(AND(BV$2&gt;BW$2,BV5&gt;BW5),1,IF(AND(BW$2&gt;BV$2,BW5&gt;BV5),1,IF(AND(BV$2=BW$2,BV5=BW5),1,0)))))</f>
        <v/>
      </c>
      <c r="BY5" s="1" t="n">
        <f aca="false">Participantes!BA4</f>
        <v>2</v>
      </c>
      <c r="BZ5" s="1" t="n">
        <f aca="false">Participantes!BB4</f>
        <v>1</v>
      </c>
      <c r="CA5" s="82" t="str">
        <f aca="false">IF(BY$2="","",IF(AND(BY5=BY$2,BZ5=BZ$2),3,IF(AND(BY$2&gt;BZ$2,BY5&gt;BZ5),1,IF(AND(BZ$2&gt;BY$2,BZ5&gt;BY5),1,IF(AND(BY$2=BZ$2,BY5=BZ5),1,0)))))</f>
        <v/>
      </c>
      <c r="CB5" s="1" t="n">
        <f aca="false">Participantes!BC4</f>
        <v>1</v>
      </c>
      <c r="CC5" s="1" t="n">
        <f aca="false">Participantes!BD4</f>
        <v>0</v>
      </c>
      <c r="CD5" s="82" t="str">
        <f aca="false">IF(CB$2="","",IF(AND(CB5=CB$2,CC5=CC$2),3,IF(AND(CB$2&gt;CC$2,CB5&gt;CC5),1,IF(AND(CC$2&gt;CB$2,CC5&gt;CB5),1,IF(AND(CB$2=CC$2,CB5=CC5),1,0)))))</f>
        <v/>
      </c>
      <c r="CE5" s="1" t="n">
        <f aca="false">Participantes!BE4</f>
        <v>2</v>
      </c>
      <c r="CF5" s="1" t="n">
        <f aca="false">Participantes!BF4</f>
        <v>1</v>
      </c>
      <c r="CG5" s="82" t="str">
        <f aca="false">IF(CE$2="","",IF(AND(CE5=CE$2,CF5=CF$2),3,IF(AND(CE$2&gt;CF$2,CE5&gt;CF5),1,IF(AND(CF$2&gt;CE$2,CF5&gt;CE5),1,IF(AND(CE$2=CF$2,CE5=CF5),1,0)))))</f>
        <v/>
      </c>
      <c r="CH5" s="1" t="n">
        <f aca="false">Participantes!BG4</f>
        <v>3</v>
      </c>
      <c r="CI5" s="1" t="n">
        <f aca="false">Participantes!BH4</f>
        <v>0</v>
      </c>
      <c r="CJ5" s="82" t="str">
        <f aca="false">IF(CH$2="","",IF(AND(CH5=CH$2,CI5=CI$2),3,IF(AND(CH$2&gt;CI$2,CH5&gt;CI5),1,IF(AND(CI$2&gt;CH$2,CI5&gt;CH5),1,IF(AND(CH$2=CI$2,CH5=CI5),1,0)))))</f>
        <v/>
      </c>
      <c r="CK5" s="1" t="n">
        <f aca="false">Participantes!BI4</f>
        <v>1</v>
      </c>
      <c r="CL5" s="1" t="n">
        <f aca="false">Participantes!BJ4</f>
        <v>2</v>
      </c>
      <c r="CM5" s="82" t="str">
        <f aca="false">IF(CK$2="","",IF(AND(CK5=CK$2,CL5=CL$2),3,IF(AND(CK$2&gt;CL$2,CK5&gt;CL5),1,IF(AND(CL$2&gt;CK$2,CL5&gt;CK5),1,IF(AND(CK$2=CL$2,CK5=CL5),1,0)))))</f>
        <v/>
      </c>
      <c r="CN5" s="1" t="n">
        <f aca="false">Participantes!BK4</f>
        <v>2</v>
      </c>
      <c r="CO5" s="1" t="n">
        <f aca="false">Participantes!BL4</f>
        <v>0</v>
      </c>
      <c r="CP5" s="82" t="str">
        <f aca="false">IF(CN$2="","",IF(AND(CN5=CN$2,CO5=CO$2),3,IF(AND(CN$2&gt;CO$2,CN5&gt;CO5),1,IF(AND(CO$2&gt;CN$2,CO5&gt;CN5),1,IF(AND(CN$2=CO$2,CN5=CO5),1,0)))))</f>
        <v/>
      </c>
      <c r="CQ5" s="1" t="n">
        <f aca="false">Participantes!BM4</f>
        <v>2</v>
      </c>
      <c r="CR5" s="1" t="n">
        <f aca="false">Participantes!BN4</f>
        <v>0</v>
      </c>
      <c r="CS5" s="82" t="str">
        <f aca="false">IF(CQ$2="","",IF(AND(CQ5=CQ$2,CR5=CR$2),3,IF(AND(CQ$2&gt;CR$2,CQ5&gt;CR5),1,IF(AND(CR$2&gt;CQ$2,CR5&gt;CQ5),1,IF(AND(CQ$2=CR$2,CQ5=CR5),1,0)))))</f>
        <v/>
      </c>
      <c r="CT5" s="1" t="n">
        <f aca="false">Participantes!BO4</f>
        <v>3</v>
      </c>
      <c r="CU5" s="1" t="n">
        <f aca="false">Participantes!BP4</f>
        <v>1</v>
      </c>
      <c r="CV5" s="82" t="str">
        <f aca="false">IF(CT$2="","",IF(AND(CT5=CT$2,CU5=CU$2),3,IF(AND(CT$2&gt;CU$2,CT5&gt;CU5),1,IF(AND(CU$2&gt;CT$2,CU5&gt;CT5),1,IF(AND(CT$2=CU$2,CT5=CU5),1,0)))))</f>
        <v/>
      </c>
      <c r="CW5" s="1" t="n">
        <f aca="false">Participantes!BQ4</f>
        <v>3</v>
      </c>
      <c r="CX5" s="1" t="n">
        <f aca="false">Participantes!BR4</f>
        <v>0</v>
      </c>
      <c r="CY5" s="82" t="str">
        <f aca="false">IF(CW$2="","",IF(AND(CW5=CW$2,CX5=CX$2),3,IF(AND(CW$2&gt;CX$2,CW5&gt;CX5),1,IF(AND(CX$2&gt;CW$2,CX5&gt;CW5),1,IF(AND(CW$2=CX$2,CW5=CX5),1,0)))))</f>
        <v/>
      </c>
      <c r="CZ5" s="1" t="n">
        <f aca="false">Participantes!BS4</f>
        <v>2</v>
      </c>
      <c r="DA5" s="1" t="n">
        <f aca="false">Participantes!BT4</f>
        <v>1</v>
      </c>
      <c r="DB5" s="82" t="str">
        <f aca="false">IF(CZ$2="","",IF(AND(CZ5=CZ$2,DA5=DA$2),3,IF(AND(CZ$2&gt;DA$2,CZ5&gt;DA5),1,IF(AND(DA$2&gt;CZ$2,DA5&gt;CZ5),1,IF(AND(CZ$2=DA$2,CZ5=DA5),1,0)))))</f>
        <v/>
      </c>
      <c r="DC5" s="1" t="n">
        <f aca="false">Participantes!BU4</f>
        <v>0</v>
      </c>
      <c r="DD5" s="1" t="n">
        <f aca="false">Participantes!BV4</f>
        <v>2</v>
      </c>
      <c r="DE5" s="82" t="str">
        <f aca="false">IF(DC$2="","",IF(AND(DC5=DC$2,DD5=DD$2),3,IF(AND(DC$2&gt;DD$2,DC5&gt;DD5),1,IF(AND(DD$2&gt;DC$2,DD5&gt;DC5),1,IF(AND(DC$2=DD$2,DC5=DD5),1,0)))))</f>
        <v/>
      </c>
      <c r="DF5" s="1" t="n">
        <f aca="false">Participantes!BW4</f>
        <v>2</v>
      </c>
      <c r="DG5" s="1" t="n">
        <f aca="false">Participantes!BX4</f>
        <v>1</v>
      </c>
      <c r="DH5" s="82" t="str">
        <f aca="false">IF(DF$2="","",IF(AND(DF5=DF$2,DG5=DG$2),3,IF(AND(DF$2&gt;DG$2,DF5&gt;DG5),1,IF(AND(DG$2&gt;DF$2,DG5&gt;DF5),1,IF(AND(DF$2=DG$2,DF5=DG5),1,0)))))</f>
        <v/>
      </c>
      <c r="DI5" s="1" t="n">
        <f aca="false">Participantes!BY4</f>
        <v>3</v>
      </c>
      <c r="DJ5" s="1" t="n">
        <f aca="false">Participantes!BZ4</f>
        <v>1</v>
      </c>
      <c r="DK5" s="82" t="str">
        <f aca="false">IF(DI$2="","",IF(AND(DI5=DI$2,DJ5=DJ$2),3,IF(AND(DI$2&gt;DJ$2,DI5&gt;DJ5),1,IF(AND(DJ$2&gt;DI$2,DJ5&gt;DI5),1,IF(AND(DI$2=DJ$2,DI5=DJ5),1,0)))))</f>
        <v/>
      </c>
      <c r="DL5" s="1" t="n">
        <f aca="false">Participantes!CA4</f>
        <v>3</v>
      </c>
      <c r="DM5" s="1" t="n">
        <f aca="false">Participantes!CB4</f>
        <v>0</v>
      </c>
      <c r="DN5" s="82" t="str">
        <f aca="false">IF(DL$2="","",IF(AND(DL5=DL$2,DM5=DM$2),3,IF(AND(DL$2&gt;DM$2,DL5&gt;DM5),1,IF(AND(DM$2&gt;DL$2,DM5&gt;DL5),1,IF(AND(DL$2=DM$2,DL5=DM5),1,0)))))</f>
        <v/>
      </c>
      <c r="DO5" s="1" t="n">
        <f aca="false">Participantes!CC4</f>
        <v>0</v>
      </c>
      <c r="DP5" s="1" t="n">
        <f aca="false">Participantes!CD4</f>
        <v>2</v>
      </c>
      <c r="DQ5" s="82" t="str">
        <f aca="false">IF(DO$2="","",IF(AND(DO5=DO$2,DP5=DP$2),3,IF(AND(DO$2&gt;DP$2,DO5&gt;DP5),1,IF(AND(DP$2&gt;DO$2,DP5&gt;DO5),1,IF(AND(DO$2=DP$2,DO5=DP5),1,0)))))</f>
        <v/>
      </c>
      <c r="DR5" s="1" t="n">
        <f aca="false">Participantes!CE4</f>
        <v>2</v>
      </c>
      <c r="DS5" s="1" t="n">
        <f aca="false">Participantes!CF4</f>
        <v>1</v>
      </c>
      <c r="DT5" s="82" t="str">
        <f aca="false">IF(DR$2="","",IF(AND(DR5=DR$2,DS5=DS$2),3,IF(AND(DR$2&gt;DS$2,DR5&gt;DS5),1,IF(AND(DS$2&gt;DR$2,DS5&gt;DR5),1,IF(AND(DR$2=DS$2,DR5=DS5),1,0)))))</f>
        <v/>
      </c>
      <c r="DU5" s="1" t="n">
        <f aca="false">Participantes!CG4</f>
        <v>3</v>
      </c>
      <c r="DV5" s="1" t="n">
        <f aca="false">Participantes!CH4</f>
        <v>0</v>
      </c>
      <c r="DW5" s="82" t="str">
        <f aca="false">IF(DU$2="","",IF(AND(DU5=DU$2,DV5=DV$2),3,IF(AND(DU$2&gt;DV$2,DU5&gt;DV5),1,IF(AND(DV$2&gt;DU$2,DV5&gt;DU5),1,IF(AND(DU$2=DV$2,DU5=DV5),1,0)))))</f>
        <v/>
      </c>
      <c r="DX5" s="1" t="n">
        <f aca="false">Participantes!CI4</f>
        <v>2</v>
      </c>
      <c r="DY5" s="1" t="n">
        <f aca="false">Participantes!CJ4</f>
        <v>1</v>
      </c>
      <c r="DZ5" s="82" t="str">
        <f aca="false">IF(DX$2="","",IF(AND(DX5=DX$2,DY5=DY$2),3,IF(AND(DX$2&gt;DY$2,DX5&gt;DY5),1,IF(AND(DY$2&gt;DX$2,DY5&gt;DX5),1,IF(AND(DX$2=DY$2,DX5=DY5),1,0)))))</f>
        <v/>
      </c>
      <c r="EA5" s="1" t="n">
        <f aca="false">Participantes!CK4</f>
        <v>0</v>
      </c>
      <c r="EB5" s="1" t="n">
        <f aca="false">Participantes!CL4</f>
        <v>1</v>
      </c>
      <c r="EC5" s="82" t="str">
        <f aca="false">IF(EA$2="","",IF(AND(EA5=EA$2,EB5=EB$2),3,IF(AND(EA$2&gt;EB$2,EA5&gt;EB5),1,IF(AND(EB$2&gt;EA$2,EB5&gt;EA5),1,IF(AND(EA$2=EB$2,EA5=EB5),1,0)))))</f>
        <v/>
      </c>
      <c r="ED5" s="1" t="n">
        <f aca="false">Participantes!CM4</f>
        <v>3</v>
      </c>
      <c r="EE5" s="1" t="n">
        <f aca="false">Participantes!CN4</f>
        <v>1</v>
      </c>
      <c r="EF5" s="82" t="str">
        <f aca="false">IF(ED$2="","",IF(AND(ED5=ED$2,EE5=EE$2),3,IF(AND(ED$2&gt;EE$2,ED5&gt;EE5),1,IF(AND(EE$2&gt;ED$2,EE5&gt;ED5),1,IF(AND(ED$2=EE$2,ED5=EE5),1,0)))))</f>
        <v/>
      </c>
      <c r="EG5" s="1" t="n">
        <f aca="false">Participantes!CO4</f>
        <v>1</v>
      </c>
      <c r="EH5" s="1" t="n">
        <f aca="false">Participantes!CP4</f>
        <v>2</v>
      </c>
      <c r="EI5" s="82" t="str">
        <f aca="false">IF(EG$2="","",IF(AND(EG5=EG$2,EH5=EH$2),3,IF(AND(EG$2&gt;EH$2,EG5&gt;EH5),1,IF(AND(EH$2&gt;EG$2,EH5&gt;EG5),1,IF(AND(EG$2=EH$2,EG5=EH5),1,0)))))</f>
        <v/>
      </c>
      <c r="EJ5" s="1" t="n">
        <f aca="false">Participantes!CQ4</f>
        <v>3</v>
      </c>
      <c r="EK5" s="1" t="n">
        <f aca="false">Participantes!CR4</f>
        <v>0</v>
      </c>
      <c r="EL5" s="82" t="str">
        <f aca="false">IF(EJ$2="","",IF(AND(EJ5=EJ$2,EK5=EK$2),3,IF(AND(EJ$2&gt;EK$2,EJ5&gt;EK5),1,IF(AND(EK$2&gt;EJ$2,EK5&gt;EJ5),1,IF(AND(EJ$2=EK$2,EJ5=EK5),1,0)))))</f>
        <v/>
      </c>
      <c r="EM5" s="1" t="n">
        <f aca="false">Participantes!CS4</f>
        <v>2</v>
      </c>
      <c r="EN5" s="1" t="n">
        <f aca="false">Participantes!CT4</f>
        <v>0</v>
      </c>
      <c r="EO5" s="82" t="str">
        <f aca="false">IF(EM$2="","",IF(AND(EM5=EM$2,EN5=EN$2),3,IF(AND(EM$2&gt;EN$2,EM5&gt;EN5),1,IF(AND(EN$2&gt;EM$2,EN5&gt;EM5),1,IF(AND(EM$2=EN$2,EM5=EN5),1,0)))))</f>
        <v/>
      </c>
      <c r="EP5" s="1" t="n">
        <f aca="false">Participantes!CU4</f>
        <v>1</v>
      </c>
      <c r="EQ5" s="1" t="n">
        <f aca="false">Participantes!CV4</f>
        <v>3</v>
      </c>
      <c r="ER5" s="82" t="str">
        <f aca="false">IF(EP$2="","",IF(AND(EP5=EP$2,EQ5=EQ$2),3,IF(AND(EP$2&gt;EQ$2,EP5&gt;EQ5),1,IF(AND(EQ$2&gt;EP$2,EQ5&gt;EP5),1,IF(AND(EP$2=EQ$2,EP5=EQ5),1,0)))))</f>
        <v/>
      </c>
      <c r="ES5" s="1" t="n">
        <f aca="false">Participantes!CW4</f>
        <v>2</v>
      </c>
      <c r="ET5" s="1" t="n">
        <f aca="false">Participantes!CX4</f>
        <v>1</v>
      </c>
      <c r="EU5" s="82" t="str">
        <f aca="false">IF(ES$2="","",IF(AND(ES5=ES$2,ET5=ET$2),3,IF(AND(ES$2&gt;ET$2,ES5&gt;ET5),1,IF(AND(ET$2&gt;ES$2,ET5&gt;ES5),1,IF(AND(ES$2=ET$2,ES5=ET5),1,0)))))</f>
        <v/>
      </c>
      <c r="EV5" s="1" t="n">
        <f aca="false">Participantes!CY4</f>
        <v>2</v>
      </c>
      <c r="EW5" s="1" t="n">
        <f aca="false">Participantes!CZ4</f>
        <v>1</v>
      </c>
      <c r="EX5" s="82" t="str">
        <f aca="false">IF(EV$2="","",IF(AND(EV5=EV$2,EW5=EW$2),3,IF(AND(EV$2&gt;EW$2,EV5&gt;EW5),1,IF(AND(EW$2&gt;EV$2,EW5&gt;EV5),1,IF(AND(EV$2=EW$2,EV5=EW5),1,0)))))</f>
        <v/>
      </c>
      <c r="EY5" s="1" t="n">
        <f aca="false">Participantes!DA4</f>
        <v>2</v>
      </c>
      <c r="EZ5" s="1" t="n">
        <f aca="false">Participantes!DB4</f>
        <v>0</v>
      </c>
      <c r="FA5" s="82" t="str">
        <f aca="false">IF(EY$2="","",IF(AND(EY5=EY$2,EZ5=EZ$2),3,IF(AND(EY$2&gt;EZ$2,EY5&gt;EZ5),1,IF(AND(EZ$2&gt;EY$2,EZ5&gt;EY5),1,IF(AND(EY$2=EZ$2,EY5=EZ5),1,0)))))</f>
        <v/>
      </c>
      <c r="FB5" s="1" t="n">
        <f aca="false">Participantes!DC4</f>
        <v>0</v>
      </c>
      <c r="FC5" s="1" t="n">
        <f aca="false">Participantes!DD4</f>
        <v>2</v>
      </c>
      <c r="FD5" s="82" t="str">
        <f aca="false">IF(FB$2="","",IF(AND(FB5=FB$2,FC5=FC$2),3,IF(AND(FB$2&gt;FC$2,FB5&gt;FC5),1,IF(AND(FC$2&gt;FB$2,FC5&gt;FB5),1,IF(AND(FB$2=FC$2,FB5=FC5),1,0)))))</f>
        <v/>
      </c>
      <c r="FE5" s="1" t="n">
        <f aca="false">Participantes!DE4</f>
        <v>1</v>
      </c>
      <c r="FF5" s="1" t="n">
        <f aca="false">Participantes!DF4</f>
        <v>1</v>
      </c>
      <c r="FG5" s="82" t="str">
        <f aca="false">IF(FE$2="","",IF(AND(FE5=FE$2,FF5=FF$2),3,IF(AND(FE$2&gt;FF$2,FE5&gt;FF5),1,IF(AND(FF$2&gt;FE$2,FF5&gt;FE5),1,IF(AND(FE$2=FF$2,FE5=FF5),1,0)))))</f>
        <v/>
      </c>
      <c r="FH5" s="1" t="n">
        <f aca="false">Participantes!DG4</f>
        <v>0</v>
      </c>
      <c r="FI5" s="1" t="n">
        <f aca="false">Participantes!DH4</f>
        <v>2</v>
      </c>
      <c r="FJ5" s="82" t="str">
        <f aca="false">IF(FH$2="","",IF(AND(FH5=FH$2,FI5=FI$2),3,IF(AND(FH$2&gt;FI$2,FH5&gt;FI5),1,IF(AND(FI$2&gt;FH$2,FI5&gt;FH5),1,IF(AND(FH$2=FI$2,FH5=FI5),1,0)))))</f>
        <v/>
      </c>
      <c r="FK5" s="1" t="n">
        <f aca="false">Participantes!DI4</f>
        <v>1</v>
      </c>
      <c r="FL5" s="1" t="n">
        <f aca="false">Participantes!DJ4</f>
        <v>3</v>
      </c>
      <c r="FM5" s="82" t="str">
        <f aca="false">IF(FK$2="","",IF(AND(FK5=FK$2,FL5=FL$2),3,IF(AND(FK$2&gt;FL$2,FK5&gt;FL5),1,IF(AND(FL$2&gt;FK$2,FL5&gt;FK5),1,IF(AND(FK$2=FL$2,FK5=FL5),1,0)))))</f>
        <v/>
      </c>
      <c r="FN5" s="1" t="n">
        <f aca="false">Participantes!DK4</f>
        <v>2</v>
      </c>
      <c r="FO5" s="1" t="n">
        <f aca="false">Participantes!DL4</f>
        <v>2</v>
      </c>
      <c r="FP5" s="82" t="str">
        <f aca="false">IF(FN$2="","",IF(AND(FN5=FN$2,FO5=FO$2),3,IF(AND(FN$2&gt;FO$2,FN5&gt;FO5),1,IF(AND(FO$2&gt;FN$2,FO5&gt;FN5),1,IF(AND(FN$2=FO$2,FN5=FO5),1,0)))))</f>
        <v/>
      </c>
      <c r="FQ5" s="1" t="n">
        <f aca="false">Participantes!DM4</f>
        <v>0</v>
      </c>
      <c r="FR5" s="1" t="n">
        <f aca="false">Participantes!DN4</f>
        <v>3</v>
      </c>
      <c r="FS5" s="82" t="str">
        <f aca="false">IF(FQ$2="","",IF(AND(FQ5=FQ$2,FR5=FR$2),3,IF(AND(FQ$2&gt;FR$2,FQ5&gt;FR5),1,IF(AND(FR$2&gt;FQ$2,FR5&gt;FQ5),1,IF(AND(FQ$2=FR$2,FQ5=FR5),1,0)))))</f>
        <v/>
      </c>
      <c r="FT5" s="1" t="n">
        <f aca="false">Participantes!DO4</f>
        <v>2</v>
      </c>
      <c r="FU5" s="1" t="n">
        <f aca="false">Participantes!DP4</f>
        <v>1</v>
      </c>
      <c r="FV5" s="82" t="str">
        <f aca="false">IF(FT$2="","",IF(AND(FT5=FT$2,FU5=FU$2),3,IF(AND(FT$2&gt;FU$2,FT5&gt;FU5),1,IF(AND(FU$2&gt;FT$2,FU5&gt;FT5),1,IF(AND(FT$2=FU$2,FT5=FU5),1,0)))))</f>
        <v/>
      </c>
      <c r="FW5" s="1" t="n">
        <f aca="false">Participantes!DQ4</f>
        <v>1</v>
      </c>
      <c r="FX5" s="1" t="n">
        <f aca="false">Participantes!DR4</f>
        <v>1</v>
      </c>
      <c r="FY5" s="82" t="str">
        <f aca="false">IF(FW$2="","",IF(AND(FW5=FW$2,FX5=FX$2),3,IF(AND(FW$2&gt;FX$2,FW5&gt;FX5),1,IF(AND(FX$2&gt;FW$2,FX5&gt;FW5),1,IF(AND(FW$2=FX$2,FW5=FX5),1,0)))))</f>
        <v/>
      </c>
      <c r="FZ5" s="1" t="n">
        <f aca="false">Participantes!DS4</f>
        <v>2</v>
      </c>
      <c r="GA5" s="1" t="n">
        <f aca="false">Participantes!DT4</f>
        <v>2</v>
      </c>
      <c r="GB5" s="82" t="str">
        <f aca="false">IF(FZ$2="","",IF(AND(FZ5=FZ$2,GA5=GA$2),3,IF(AND(FZ$2&gt;GA$2,FZ5&gt;GA5),1,IF(AND(GA$2&gt;FZ$2,GA5&gt;FZ5),1,IF(AND(FZ$2=GA$2,FZ5=GA5),1,0)))))</f>
        <v/>
      </c>
      <c r="GC5" s="1" t="n">
        <f aca="false">Participantes!DU4</f>
        <v>1</v>
      </c>
      <c r="GD5" s="1" t="n">
        <f aca="false">Participantes!DV4</f>
        <v>1</v>
      </c>
      <c r="GE5" s="82" t="str">
        <f aca="false">IF(GC$2="","",IF(AND(GC5=GC$2,GD5=GD$2),3,IF(AND(GC$2&gt;GD$2,GC5&gt;GD5),1,IF(AND(GD$2&gt;GC$2,GD5&gt;GC5),1,IF(AND(GC$2=GD$2,GC5=GD5),1,0)))))</f>
        <v/>
      </c>
      <c r="GF5" s="1" t="n">
        <f aca="false">Participantes!DW4</f>
        <v>3</v>
      </c>
      <c r="GG5" s="1" t="n">
        <f aca="false">Participantes!DX4</f>
        <v>0</v>
      </c>
      <c r="GH5" s="82" t="str">
        <f aca="false">IF(GF$2="","",IF(AND(GF5=GF$2,GG5=GG$2),3,IF(AND(GF$2&gt;GG$2,GF5&gt;GG5),1,IF(AND(GG$2&gt;GF$2,GG5&gt;GF5),1,IF(AND(GF$2=GG$2,GF5=GG5),1,0)))))</f>
        <v/>
      </c>
      <c r="GI5" s="1" t="n">
        <f aca="false">Participantes!DY4</f>
        <v>0</v>
      </c>
      <c r="GJ5" s="1" t="n">
        <f aca="false">Participantes!DZ4</f>
        <v>3</v>
      </c>
      <c r="GK5" s="82" t="str">
        <f aca="false">IF(GI$2="","",IF(AND(GI5=GI$2,GJ5=GJ$2),3,IF(AND(GI$2&gt;GJ$2,GI5&gt;GJ5),1,IF(AND(GJ$2&gt;GI$2,GJ5&gt;GI5),1,IF(AND(GI$2=GJ$2,GI5=GJ5),1,0)))))</f>
        <v/>
      </c>
      <c r="GL5" s="1" t="n">
        <f aca="false">Participantes!EA4</f>
        <v>0</v>
      </c>
      <c r="GM5" s="1" t="n">
        <f aca="false">Participantes!EB4</f>
        <v>1</v>
      </c>
      <c r="GN5" s="82" t="str">
        <f aca="false">IF(GL$2="","",IF(AND(GL5=GL$2,GM5=GM$2),3,IF(AND(GL$2&gt;GM$2,GL5&gt;GM5),1,IF(AND(GM$2&gt;GL$2,GM5&gt;GL5),1,IF(AND(GL$2=GM$2,GL5=GM5),1,0)))))</f>
        <v/>
      </c>
      <c r="GO5" s="1" t="n">
        <f aca="false">Participantes!EC4</f>
        <v>1</v>
      </c>
      <c r="GP5" s="1" t="n">
        <f aca="false">Participantes!ED4</f>
        <v>2</v>
      </c>
      <c r="GQ5" s="82" t="str">
        <f aca="false">IF(GO$2="","",IF(AND(GO5=GO$2,GP5=GP$2),3,IF(AND(GO$2&gt;GP$2,GO5&gt;GP5),1,IF(AND(GP$2&gt;GO$2,GP5&gt;GO5),1,IF(AND(GO$2=GP$2,GO5=GP5),1,0)))))</f>
        <v/>
      </c>
      <c r="GR5" s="1" t="n">
        <f aca="false">Participantes!EE4</f>
        <v>0</v>
      </c>
      <c r="GS5" s="1" t="n">
        <f aca="false">Participantes!EF4</f>
        <v>3</v>
      </c>
      <c r="GT5" s="82" t="str">
        <f aca="false">IF(GR$2="","",IF(AND(GR5=GR$2,GS5=GS$2),3,IF(AND(GR$2&gt;GS$2,GR5&gt;GS5),1,IF(AND(GS$2&gt;GR$2,GS5&gt;GR5),1,IF(AND(GR$2=GS$2,GR5=GS5),1,0)))))</f>
        <v/>
      </c>
      <c r="GU5" s="1" t="n">
        <f aca="false">Participantes!EG4</f>
        <v>2</v>
      </c>
      <c r="GV5" s="1" t="n">
        <f aca="false">Participantes!EH4</f>
        <v>0</v>
      </c>
      <c r="GW5" s="82" t="str">
        <f aca="false">IF(GU$2="","",IF(AND(GU5=GU$2,GV5=GV$2),3,IF(AND(GU$2&gt;GV$2,GU5&gt;GV5),1,IF(AND(GV$2&gt;GU$2,GV5&gt;GU5),1,IF(AND(GU$2=GV$2,GU5=GV5),1,0)))))</f>
        <v/>
      </c>
      <c r="GX5" s="1" t="n">
        <f aca="false">Participantes!EI4</f>
        <v>1</v>
      </c>
      <c r="GY5" s="1" t="n">
        <f aca="false">Participantes!EJ4</f>
        <v>2</v>
      </c>
      <c r="GZ5" s="82" t="str">
        <f aca="false">IF(GX$2="","",IF(AND(GX5=GX$2,GY5=GY$2),3,IF(AND(GX$2&gt;GY$2,GX5&gt;GY5),1,IF(AND(GY$2&gt;GX$2,GY5&gt;GX5),1,IF(AND(GX$2=GY$2,GX5=GY5),1,0)))))</f>
        <v/>
      </c>
      <c r="HA5" s="1" t="n">
        <f aca="false">Participantes!EK4</f>
        <v>0</v>
      </c>
      <c r="HB5" s="1" t="n">
        <f aca="false">Participantes!EL4</f>
        <v>2</v>
      </c>
      <c r="HC5" s="82" t="str">
        <f aca="false">IF(HA$2="","",IF(AND(HA5=HA$2,HB5=HB$2),3,IF(AND(HA$2&gt;HB$2,HA5&gt;HB5),1,IF(AND(HB$2&gt;HA$2,HB5&gt;HA5),1,IF(AND(HA$2=HB$2,HA5=HB5),1,0)))))</f>
        <v/>
      </c>
      <c r="HD5" s="1" t="n">
        <f aca="false">Participantes!EM4</f>
        <v>1</v>
      </c>
      <c r="HE5" s="1" t="n">
        <f aca="false">Participantes!EN4</f>
        <v>1</v>
      </c>
      <c r="HF5" s="82" t="str">
        <f aca="false">IF(HD$2="","",IF(AND(HD5=HD$2,HE5=HE$2),3,IF(AND(HD$2&gt;HE$2,HD5&gt;HE5),1,IF(AND(HE$2&gt;HD$2,HE5&gt;HD5),1,IF(AND(HD$2=HE$2,HD5=HE5),1,0)))))</f>
        <v/>
      </c>
      <c r="HG5" s="1" t="n">
        <f aca="false">Participantes!EO4</f>
        <v>1</v>
      </c>
      <c r="HH5" s="1" t="n">
        <f aca="false">Participantes!EP4</f>
        <v>1</v>
      </c>
      <c r="HI5" s="82" t="str">
        <f aca="false">IF(HG$2="","",IF(AND(HG5=HG$2,HH5=HH$2),3,IF(AND(HG$2&gt;HH$2,HG5&gt;HH5),1,IF(AND(HH$2&gt;HG$2,HH5&gt;HG5),1,IF(AND(HG$2=HH$2,HG5=HH5),1,0)))))</f>
        <v/>
      </c>
      <c r="HJ5" s="83" t="n">
        <f aca="false">SUM(D5,G5,J5,M5,P5,S5,V5,Y5,AB5,AE5,AH5,AK5,AN5,AQ5,AT5,AW5,AZ5,BC5,BF5,BI5,BL5,BO5,BR5,BU5,BX5,CA5,CD5,CG5,CJ5,CM5,CP5,CS5,CV5,CY5,DB5,DE5,DH5,DK5,DN5,DQ5,DT5,DW5,DZ5,EC5,EF5,EI5,EL5,EO5,ER5,EU5,EX5,FA5,FD5,FG5,FJ5,FM5,FP5,FS5,FV5,FY5,GB5,GE5,GH5,GK5,GN5,GQ5,GT5,GW5,GZ5,HC5,HF5,HI5)</f>
        <v>1</v>
      </c>
    </row>
    <row r="6" customFormat="false" ht="15" hidden="false" customHeight="true" outlineLevel="0" collapsed="false">
      <c r="A6" s="81" t="str">
        <f aca="false">Participantes!B5</f>
        <v>Alfredo 2</v>
      </c>
      <c r="B6" s="1" t="n">
        <f aca="false">Participantes!C5</f>
        <v>2</v>
      </c>
      <c r="C6" s="1" t="n">
        <f aca="false">Participantes!D5</f>
        <v>0</v>
      </c>
      <c r="D6" s="82" t="n">
        <f aca="false">IF(B$2="","",IF(AND(B6=B$2,C6=C$2),3,IF(AND(B$2&gt;C$2,B6&gt;C6),1,IF(AND(C$2&gt;B$2,C6&gt;B6),1,IF(AND(B$2=C$2,B6=C6),1,0)))))</f>
        <v>3</v>
      </c>
      <c r="E6" s="1" t="n">
        <f aca="false">Participantes!E5</f>
        <v>0</v>
      </c>
      <c r="F6" s="1" t="n">
        <f aca="false">Participantes!F5</f>
        <v>1</v>
      </c>
      <c r="G6" s="82" t="str">
        <f aca="false">IF(E$2="","",IF(AND(E6=E$2,F6=F$2),3,IF(AND(E$2&gt;F$2,E6&gt;F6),1,IF(AND(F$2&gt;E$2,F6&gt;E6),1,IF(AND(E$2=F$2,E6=F6),1,0)))))</f>
        <v/>
      </c>
      <c r="H6" s="1" t="n">
        <f aca="false">Participantes!G5</f>
        <v>2</v>
      </c>
      <c r="I6" s="1" t="n">
        <f aca="false">Participantes!H5</f>
        <v>0</v>
      </c>
      <c r="J6" s="82" t="str">
        <f aca="false">IF(H$2="","",IF(AND(H6=H$2,I6=I$2),3,IF(AND(H$2&gt;I$2,H6&gt;I6),1,IF(AND(I$2&gt;H$2,I6&gt;H6),1,IF(AND(H$2=I$2,H6=I6),1,0)))))</f>
        <v/>
      </c>
      <c r="K6" s="1" t="n">
        <f aca="false">Participantes!I5</f>
        <v>2</v>
      </c>
      <c r="L6" s="1" t="n">
        <f aca="false">Participantes!J5</f>
        <v>0</v>
      </c>
      <c r="M6" s="82" t="str">
        <f aca="false">IF(K$2="","",IF(AND(K6=K$2,L6=L$2),3,IF(AND(K$2&gt;L$2,K6&gt;L6),1,IF(AND(L$2&gt;K$2,L6&gt;K6),1,IF(AND(K$2=L$2,K6=L6),1,0)))))</f>
        <v/>
      </c>
      <c r="N6" s="1" t="n">
        <f aca="false">Participantes!K5</f>
        <v>0</v>
      </c>
      <c r="O6" s="1" t="n">
        <f aca="false">Participantes!L5</f>
        <v>1</v>
      </c>
      <c r="P6" s="82" t="str">
        <f aca="false">IF(N$2="","",IF(AND(N6=N$2,O6=O$2),3,IF(AND(N$2&gt;O$2,N6&gt;O6),1,IF(AND(O$2&gt;N$2,O6&gt;N6),1,IF(AND(N$2=O$2,N6=O6),1,0)))))</f>
        <v/>
      </c>
      <c r="Q6" s="1" t="n">
        <f aca="false">Participantes!M5</f>
        <v>0</v>
      </c>
      <c r="R6" s="1" t="n">
        <f aca="false">Participantes!N5</f>
        <v>2</v>
      </c>
      <c r="S6" s="82" t="str">
        <f aca="false">IF(Q$2="","",IF(AND(Q6=Q$2,R6=R$2),3,IF(AND(Q$2&gt;R$2,Q6&gt;R6),1,IF(AND(R$2&gt;Q$2,R6&gt;Q6),1,IF(AND(Q$2=R$2,Q6=R6),1,0)))))</f>
        <v/>
      </c>
      <c r="T6" s="1" t="n">
        <f aca="false">Participantes!O5</f>
        <v>2</v>
      </c>
      <c r="U6" s="1" t="n">
        <f aca="false">Participantes!P5</f>
        <v>1</v>
      </c>
      <c r="V6" s="82" t="str">
        <f aca="false">IF(T$2="","",IF(AND(T6=T$2,U6=U$2),3,IF(AND(T$2&gt;U$2,T6&gt;U6),1,IF(AND(U$2&gt;T$2,U6&gt;T6),1,IF(AND(T$2=U$2,T6=U6),1,0)))))</f>
        <v/>
      </c>
      <c r="W6" s="1" t="n">
        <f aca="false">Participantes!Q5</f>
        <v>0</v>
      </c>
      <c r="X6" s="1" t="n">
        <f aca="false">Participantes!R5</f>
        <v>2</v>
      </c>
      <c r="Y6" s="82" t="str">
        <f aca="false">IF(W$2="","",IF(AND(W6=W$2,X6=X$2),3,IF(AND(W$2&gt;X$2,W6&gt;X6),1,IF(AND(X$2&gt;W$2,X6&gt;W6),1,IF(AND(W$2=X$2,W6=X6),1,0)))))</f>
        <v/>
      </c>
      <c r="Z6" s="1" t="n">
        <f aca="false">Participantes!S5</f>
        <v>0</v>
      </c>
      <c r="AA6" s="1" t="n">
        <f aca="false">Participantes!T5</f>
        <v>1</v>
      </c>
      <c r="AB6" s="82" t="str">
        <f aca="false">IF(Z$2="","",IF(AND(Z6=Z$2,AA6=AA$2),3,IF(AND(Z$2&gt;AA$2,Z6&gt;AA6),1,IF(AND(AA$2&gt;Z$2,AA6&gt;Z6),1,IF(AND(Z$2=AA$2,Z6=AA6),1,0)))))</f>
        <v/>
      </c>
      <c r="AC6" s="1" t="n">
        <f aca="false">Participantes!U5</f>
        <v>3</v>
      </c>
      <c r="AD6" s="1" t="n">
        <f aca="false">Participantes!V5</f>
        <v>0</v>
      </c>
      <c r="AE6" s="82" t="str">
        <f aca="false">IF(AC$2="","",IF(AND(AC6=AC$2,AD6=AD$2),3,IF(AND(AC$2&gt;AD$2,AC6&gt;AD6),1,IF(AND(AD$2&gt;AC$2,AD6&gt;AC6),1,IF(AND(AC$2=AD$2,AC6=AD6),1,0)))))</f>
        <v/>
      </c>
      <c r="AF6" s="1" t="n">
        <f aca="false">Participantes!W5</f>
        <v>2</v>
      </c>
      <c r="AG6" s="1" t="n">
        <f aca="false">Participantes!X5</f>
        <v>2</v>
      </c>
      <c r="AH6" s="82" t="str">
        <f aca="false">IF(AF$2="","",IF(AND(AF6=AF$2,AG6=AG$2),3,IF(AND(AF$2&gt;AG$2,AF6&gt;AG6),1,IF(AND(AG$2&gt;AF$2,AG6&gt;AF6),1,IF(AND(AF$2=AG$2,AF6=AG6),1,0)))))</f>
        <v/>
      </c>
      <c r="AI6" s="1" t="n">
        <f aca="false">Participantes!Y5</f>
        <v>2</v>
      </c>
      <c r="AJ6" s="1" t="n">
        <f aca="false">Participantes!Z5</f>
        <v>1</v>
      </c>
      <c r="AK6" s="82" t="str">
        <f aca="false">IF(AI$2="","",IF(AND(AI6=AI$2,AJ6=AJ$2),3,IF(AND(AI$2&gt;AJ$2,AI6&gt;AJ6),1,IF(AND(AJ$2&gt;AI$2,AJ6&gt;AI6),1,IF(AND(AI$2=AJ$2,AI6=AJ6),1,0)))))</f>
        <v/>
      </c>
      <c r="AL6" s="1" t="n">
        <f aca="false">Participantes!AA5</f>
        <v>1</v>
      </c>
      <c r="AM6" s="1" t="n">
        <f aca="false">Participantes!AB5</f>
        <v>1</v>
      </c>
      <c r="AN6" s="82" t="str">
        <f aca="false">IF(AL$2="","",IF(AND(AL6=AL$2,AM6=AM$2),3,IF(AND(AL$2&gt;AM$2,AL6&gt;AM6),1,IF(AND(AM$2&gt;AL$2,AM6&gt;AL6),1,IF(AND(AL$2=AM$2,AL6=AM6),1,0)))))</f>
        <v/>
      </c>
      <c r="AO6" s="1" t="n">
        <f aca="false">Participantes!AC5</f>
        <v>3</v>
      </c>
      <c r="AP6" s="1" t="n">
        <f aca="false">Participantes!AD5</f>
        <v>0</v>
      </c>
      <c r="AQ6" s="82" t="str">
        <f aca="false">IF(AO$2="","",IF(AND(AO6=AO$2,AP6=AP$2),3,IF(AND(AO$2&gt;AP$2,AO6&gt;AP6),1,IF(AND(AP$2&gt;AO$2,AP6&gt;AO6),1,IF(AND(AO$2=AP$2,AO6=AP6),1,0)))))</f>
        <v/>
      </c>
      <c r="AR6" s="1" t="n">
        <f aca="false">Participantes!AE5</f>
        <v>0</v>
      </c>
      <c r="AS6" s="1" t="n">
        <f aca="false">Participantes!AF5</f>
        <v>0</v>
      </c>
      <c r="AT6" s="82" t="str">
        <f aca="false">IF(AR$2="","",IF(AND(AR6=AR$2,AS6=AS$2),3,IF(AND(AR$2&gt;AS$2,AR6&gt;AS6),1,IF(AND(AS$2&gt;AR$2,AS6&gt;AR6),1,IF(AND(AR$2=AS$2,AR6=AS6),1,0)))))</f>
        <v/>
      </c>
      <c r="AU6" s="1" t="n">
        <f aca="false">Participantes!AG5</f>
        <v>3</v>
      </c>
      <c r="AV6" s="1" t="n">
        <f aca="false">Participantes!AH5</f>
        <v>1</v>
      </c>
      <c r="AW6" s="82" t="str">
        <f aca="false">IF(AU$2="","",IF(AND(AU6=AU$2,AV6=AV$2),3,IF(AND(AU$2&gt;AV$2,AU6&gt;AV6),1,IF(AND(AV$2&gt;AU$2,AV6&gt;AU6),1,IF(AND(AU$2=AV$2,AU6=AV6),1,0)))))</f>
        <v/>
      </c>
      <c r="AX6" s="1" t="n">
        <f aca="false">Participantes!AI5</f>
        <v>3</v>
      </c>
      <c r="AY6" s="1" t="n">
        <f aca="false">Participantes!AJ5</f>
        <v>0</v>
      </c>
      <c r="AZ6" s="82" t="str">
        <f aca="false">IF(AX$2="","",IF(AND(AX6=AX$2,AY6=AY$2),3,IF(AND(AX$2&gt;AY$2,AX6&gt;AY6),1,IF(AND(AY$2&gt;AX$2,AY6&gt;AX6),1,IF(AND(AX$2=AY$2,AX6=AY6),1,0)))))</f>
        <v/>
      </c>
      <c r="BA6" s="1" t="n">
        <f aca="false">Participantes!AK5</f>
        <v>0</v>
      </c>
      <c r="BB6" s="1" t="n">
        <f aca="false">Participantes!AL5</f>
        <v>2</v>
      </c>
      <c r="BC6" s="82" t="str">
        <f aca="false">IF(BA$2="","",IF(AND(BA6=BA$2,BB6=BB$2),3,IF(AND(BA$2&gt;BB$2,BA6&gt;BB6),1,IF(AND(BB$2&gt;BA$2,BB6&gt;BA6),1,IF(AND(BA$2=BB$2,BA6=BB6),1,0)))))</f>
        <v/>
      </c>
      <c r="BD6" s="1" t="n">
        <f aca="false">Participantes!AM5</f>
        <v>2</v>
      </c>
      <c r="BE6" s="1" t="n">
        <f aca="false">Participantes!AN5</f>
        <v>1</v>
      </c>
      <c r="BF6" s="82" t="str">
        <f aca="false">IF(BD$2="","",IF(AND(BD6=BD$2,BE6=BE$2),3,IF(AND(BD$2&gt;BE$2,BD6&gt;BE6),1,IF(AND(BE$2&gt;BD$2,BE6&gt;BD6),1,IF(AND(BD$2=BE$2,BD6=BE6),1,0)))))</f>
        <v/>
      </c>
      <c r="BG6" s="1" t="n">
        <f aca="false">Participantes!AO5</f>
        <v>1</v>
      </c>
      <c r="BH6" s="1" t="n">
        <f aca="false">Participantes!AP5</f>
        <v>0</v>
      </c>
      <c r="BI6" s="82" t="str">
        <f aca="false">IF(BG$2="","",IF(AND(BG6=BG$2,BH6=BH$2),3,IF(AND(BG$2&gt;BH$2,BG6&gt;BH6),1,IF(AND(BH$2&gt;BG$2,BH6&gt;BG6),1,IF(AND(BG$2=BH$2,BG6=BH6),1,0)))))</f>
        <v/>
      </c>
      <c r="BJ6" s="1" t="n">
        <f aca="false">Participantes!AQ5</f>
        <v>1</v>
      </c>
      <c r="BK6" s="1" t="n">
        <f aca="false">Participantes!AR5</f>
        <v>2</v>
      </c>
      <c r="BL6" s="82" t="str">
        <f aca="false">IF(BJ$2="","",IF(AND(BJ6=BJ$2,BK6=BK$2),3,IF(AND(BJ$2&gt;BK$2,BJ6&gt;BK6),1,IF(AND(BK$2&gt;BJ$2,BK6&gt;BJ6),1,IF(AND(BJ$2=BK$2,BJ6=BK6),1,0)))))</f>
        <v/>
      </c>
      <c r="BM6" s="1" t="n">
        <f aca="false">Participantes!AS5</f>
        <v>1</v>
      </c>
      <c r="BN6" s="1" t="n">
        <f aca="false">Participantes!AT5</f>
        <v>1</v>
      </c>
      <c r="BO6" s="82" t="str">
        <f aca="false">IF(BM$2="","",IF(AND(BM6=BM$2,BN6=BN$2),3,IF(AND(BM$2&gt;BN$2,BM6&gt;BN6),1,IF(AND(BN$2&gt;BM$2,BN6&gt;BM6),1,IF(AND(BM$2=BN$2,BM6=BN6),1,0)))))</f>
        <v/>
      </c>
      <c r="BP6" s="1" t="n">
        <f aca="false">Participantes!AU5</f>
        <v>2</v>
      </c>
      <c r="BQ6" s="1" t="n">
        <f aca="false">Participantes!AV5</f>
        <v>0</v>
      </c>
      <c r="BR6" s="82" t="str">
        <f aca="false">IF(BP$2="","",IF(AND(BP6=BP$2,BQ6=BQ$2),3,IF(AND(BP$2&gt;BQ$2,BP6&gt;BQ6),1,IF(AND(BQ$2&gt;BP$2,BQ6&gt;BP6),1,IF(AND(BP$2=BQ$2,BP6=BQ6),1,0)))))</f>
        <v/>
      </c>
      <c r="BS6" s="1" t="n">
        <f aca="false">Participantes!AW5</f>
        <v>0</v>
      </c>
      <c r="BT6" s="1" t="n">
        <f aca="false">Participantes!AX5</f>
        <v>3</v>
      </c>
      <c r="BU6" s="82" t="str">
        <f aca="false">IF(BS$2="","",IF(AND(BS6=BS$2,BT6=BT$2),3,IF(AND(BS$2&gt;BT$2,BS6&gt;BT6),1,IF(AND(BT$2&gt;BS$2,BT6&gt;BS6),1,IF(AND(BS$2=BT$2,BS6=BT6),1,0)))))</f>
        <v/>
      </c>
      <c r="BV6" s="1" t="n">
        <f aca="false">Participantes!AY5</f>
        <v>2</v>
      </c>
      <c r="BW6" s="1" t="n">
        <f aca="false">Participantes!AZ5</f>
        <v>1</v>
      </c>
      <c r="BX6" s="82" t="str">
        <f aca="false">IF(BV$2="","",IF(AND(BV6=BV$2,BW6=BW$2),3,IF(AND(BV$2&gt;BW$2,BV6&gt;BW6),1,IF(AND(BW$2&gt;BV$2,BW6&gt;BV6),1,IF(AND(BV$2=BW$2,BV6=BW6),1,0)))))</f>
        <v/>
      </c>
      <c r="BY6" s="1" t="n">
        <f aca="false">Participantes!BA5</f>
        <v>2</v>
      </c>
      <c r="BZ6" s="1" t="n">
        <f aca="false">Participantes!BB5</f>
        <v>2</v>
      </c>
      <c r="CA6" s="82" t="str">
        <f aca="false">IF(BY$2="","",IF(AND(BY6=BY$2,BZ6=BZ$2),3,IF(AND(BY$2&gt;BZ$2,BY6&gt;BZ6),1,IF(AND(BZ$2&gt;BY$2,BZ6&gt;BY6),1,IF(AND(BY$2=BZ$2,BY6=BZ6),1,0)))))</f>
        <v/>
      </c>
      <c r="CB6" s="1" t="n">
        <f aca="false">Participantes!BC5</f>
        <v>2</v>
      </c>
      <c r="CC6" s="1" t="n">
        <f aca="false">Participantes!BD5</f>
        <v>0</v>
      </c>
      <c r="CD6" s="82" t="str">
        <f aca="false">IF(CB$2="","",IF(AND(CB6=CB$2,CC6=CC$2),3,IF(AND(CB$2&gt;CC$2,CB6&gt;CC6),1,IF(AND(CC$2&gt;CB$2,CC6&gt;CB6),1,IF(AND(CB$2=CC$2,CB6=CC6),1,0)))))</f>
        <v/>
      </c>
      <c r="CE6" s="1" t="n">
        <f aca="false">Participantes!BE5</f>
        <v>2</v>
      </c>
      <c r="CF6" s="1" t="n">
        <f aca="false">Participantes!BF5</f>
        <v>0</v>
      </c>
      <c r="CG6" s="82" t="str">
        <f aca="false">IF(CE$2="","",IF(AND(CE6=CE$2,CF6=CF$2),3,IF(AND(CE$2&gt;CF$2,CE6&gt;CF6),1,IF(AND(CF$2&gt;CE$2,CF6&gt;CE6),1,IF(AND(CE$2=CF$2,CE6=CF6),1,0)))))</f>
        <v/>
      </c>
      <c r="CH6" s="1" t="n">
        <f aca="false">Participantes!BG5</f>
        <v>3</v>
      </c>
      <c r="CI6" s="1" t="n">
        <f aca="false">Participantes!BH5</f>
        <v>1</v>
      </c>
      <c r="CJ6" s="82" t="str">
        <f aca="false">IF(CH$2="","",IF(AND(CH6=CH$2,CI6=CI$2),3,IF(AND(CH$2&gt;CI$2,CH6&gt;CI6),1,IF(AND(CI$2&gt;CH$2,CI6&gt;CH6),1,IF(AND(CH$2=CI$2,CH6=CI6),1,0)))))</f>
        <v/>
      </c>
      <c r="CK6" s="1" t="n">
        <f aca="false">Participantes!BI5</f>
        <v>0</v>
      </c>
      <c r="CL6" s="1" t="n">
        <f aca="false">Participantes!BJ5</f>
        <v>2</v>
      </c>
      <c r="CM6" s="82" t="str">
        <f aca="false">IF(CK$2="","",IF(AND(CK6=CK$2,CL6=CL$2),3,IF(AND(CK$2&gt;CL$2,CK6&gt;CL6),1,IF(AND(CL$2&gt;CK$2,CL6&gt;CK6),1,IF(AND(CK$2=CL$2,CK6=CL6),1,0)))))</f>
        <v/>
      </c>
      <c r="CN6" s="1" t="n">
        <f aca="false">Participantes!BK5</f>
        <v>2</v>
      </c>
      <c r="CO6" s="1" t="n">
        <f aca="false">Participantes!BL5</f>
        <v>1</v>
      </c>
      <c r="CP6" s="82" t="str">
        <f aca="false">IF(CN$2="","",IF(AND(CN6=CN$2,CO6=CO$2),3,IF(AND(CN$2&gt;CO$2,CN6&gt;CO6),1,IF(AND(CO$2&gt;CN$2,CO6&gt;CN6),1,IF(AND(CN$2=CO$2,CN6=CO6),1,0)))))</f>
        <v/>
      </c>
      <c r="CQ6" s="1" t="n">
        <f aca="false">Participantes!BM5</f>
        <v>3</v>
      </c>
      <c r="CR6" s="1" t="n">
        <f aca="false">Participantes!BN5</f>
        <v>0</v>
      </c>
      <c r="CS6" s="82" t="str">
        <f aca="false">IF(CQ$2="","",IF(AND(CQ6=CQ$2,CR6=CR$2),3,IF(AND(CQ$2&gt;CR$2,CQ6&gt;CR6),1,IF(AND(CR$2&gt;CQ$2,CR6&gt;CQ6),1,IF(AND(CQ$2=CR$2,CQ6=CR6),1,0)))))</f>
        <v/>
      </c>
      <c r="CT6" s="1" t="n">
        <f aca="false">Participantes!BO5</f>
        <v>4</v>
      </c>
      <c r="CU6" s="1" t="n">
        <f aca="false">Participantes!BP5</f>
        <v>1</v>
      </c>
      <c r="CV6" s="82" t="str">
        <f aca="false">IF(CT$2="","",IF(AND(CT6=CT$2,CU6=CU$2),3,IF(AND(CT$2&gt;CU$2,CT6&gt;CU6),1,IF(AND(CU$2&gt;CT$2,CU6&gt;CT6),1,IF(AND(CT$2=CU$2,CT6=CU6),1,0)))))</f>
        <v/>
      </c>
      <c r="CW6" s="1" t="n">
        <f aca="false">Participantes!BQ5</f>
        <v>2</v>
      </c>
      <c r="CX6" s="1" t="n">
        <f aca="false">Participantes!BR5</f>
        <v>0</v>
      </c>
      <c r="CY6" s="82" t="str">
        <f aca="false">IF(CW$2="","",IF(AND(CW6=CW$2,CX6=CX$2),3,IF(AND(CW$2&gt;CX$2,CW6&gt;CX6),1,IF(AND(CX$2&gt;CW$2,CX6&gt;CW6),1,IF(AND(CW$2=CX$2,CW6=CX6),1,0)))))</f>
        <v/>
      </c>
      <c r="CZ6" s="1" t="n">
        <f aca="false">Participantes!BS5</f>
        <v>1</v>
      </c>
      <c r="DA6" s="1" t="n">
        <f aca="false">Participantes!BT5</f>
        <v>1</v>
      </c>
      <c r="DB6" s="82" t="str">
        <f aca="false">IF(CZ$2="","",IF(AND(CZ6=CZ$2,DA6=DA$2),3,IF(AND(CZ$2&gt;DA$2,CZ6&gt;DA6),1,IF(AND(DA$2&gt;CZ$2,DA6&gt;CZ6),1,IF(AND(CZ$2=DA$2,CZ6=DA6),1,0)))))</f>
        <v/>
      </c>
      <c r="DC6" s="1" t="n">
        <f aca="false">Participantes!BU5</f>
        <v>0</v>
      </c>
      <c r="DD6" s="1" t="n">
        <f aca="false">Participantes!BV5</f>
        <v>2</v>
      </c>
      <c r="DE6" s="82" t="str">
        <f aca="false">IF(DC$2="","",IF(AND(DC6=DC$2,DD6=DD$2),3,IF(AND(DC$2&gt;DD$2,DC6&gt;DD6),1,IF(AND(DD$2&gt;DC$2,DD6&gt;DC6),1,IF(AND(DC$2=DD$2,DC6=DD6),1,0)))))</f>
        <v/>
      </c>
      <c r="DF6" s="1" t="n">
        <f aca="false">Participantes!BW5</f>
        <v>2</v>
      </c>
      <c r="DG6" s="1" t="n">
        <f aca="false">Participantes!BX5</f>
        <v>0</v>
      </c>
      <c r="DH6" s="82" t="str">
        <f aca="false">IF(DF$2="","",IF(AND(DF6=DF$2,DG6=DG$2),3,IF(AND(DF$2&gt;DG$2,DF6&gt;DG6),1,IF(AND(DG$2&gt;DF$2,DG6&gt;DF6),1,IF(AND(DF$2=DG$2,DF6=DG6),1,0)))))</f>
        <v/>
      </c>
      <c r="DI6" s="1" t="n">
        <f aca="false">Participantes!BY5</f>
        <v>3</v>
      </c>
      <c r="DJ6" s="1" t="n">
        <f aca="false">Participantes!BZ5</f>
        <v>1</v>
      </c>
      <c r="DK6" s="82" t="str">
        <f aca="false">IF(DI$2="","",IF(AND(DI6=DI$2,DJ6=DJ$2),3,IF(AND(DI$2&gt;DJ$2,DI6&gt;DJ6),1,IF(AND(DJ$2&gt;DI$2,DJ6&gt;DI6),1,IF(AND(DI$2=DJ$2,DI6=DJ6),1,0)))))</f>
        <v/>
      </c>
      <c r="DL6" s="1" t="n">
        <f aca="false">Participantes!CA5</f>
        <v>3</v>
      </c>
      <c r="DM6" s="1" t="n">
        <f aca="false">Participantes!CB5</f>
        <v>0</v>
      </c>
      <c r="DN6" s="82" t="str">
        <f aca="false">IF(DL$2="","",IF(AND(DL6=DL$2,DM6=DM$2),3,IF(AND(DL$2&gt;DM$2,DL6&gt;DM6),1,IF(AND(DM$2&gt;DL$2,DM6&gt;DL6),1,IF(AND(DL$2=DM$2,DL6=DM6),1,0)))))</f>
        <v/>
      </c>
      <c r="DO6" s="1" t="n">
        <f aca="false">Participantes!CC5</f>
        <v>0</v>
      </c>
      <c r="DP6" s="1" t="n">
        <f aca="false">Participantes!CD5</f>
        <v>3</v>
      </c>
      <c r="DQ6" s="82" t="str">
        <f aca="false">IF(DO$2="","",IF(AND(DO6=DO$2,DP6=DP$2),3,IF(AND(DO$2&gt;DP$2,DO6&gt;DP6),1,IF(AND(DP$2&gt;DO$2,DP6&gt;DO6),1,IF(AND(DO$2=DP$2,DO6=DP6),1,0)))))</f>
        <v/>
      </c>
      <c r="DR6" s="1" t="n">
        <f aca="false">Participantes!CE5</f>
        <v>4</v>
      </c>
      <c r="DS6" s="1" t="n">
        <f aca="false">Participantes!CF5</f>
        <v>1</v>
      </c>
      <c r="DT6" s="82" t="str">
        <f aca="false">IF(DR$2="","",IF(AND(DR6=DR$2,DS6=DS$2),3,IF(AND(DR$2&gt;DS$2,DR6&gt;DS6),1,IF(AND(DS$2&gt;DR$2,DS6&gt;DR6),1,IF(AND(DR$2=DS$2,DR6=DS6),1,0)))))</f>
        <v/>
      </c>
      <c r="DU6" s="1" t="n">
        <f aca="false">Participantes!CG5</f>
        <v>3</v>
      </c>
      <c r="DV6" s="1" t="n">
        <f aca="false">Participantes!CH5</f>
        <v>0</v>
      </c>
      <c r="DW6" s="82" t="str">
        <f aca="false">IF(DU$2="","",IF(AND(DU6=DU$2,DV6=DV$2),3,IF(AND(DU$2&gt;DV$2,DU6&gt;DV6),1,IF(AND(DV$2&gt;DU$2,DV6&gt;DU6),1,IF(AND(DU$2=DV$2,DU6=DV6),1,0)))))</f>
        <v/>
      </c>
      <c r="DX6" s="1" t="n">
        <f aca="false">Participantes!CI5</f>
        <v>2</v>
      </c>
      <c r="DY6" s="1" t="n">
        <f aca="false">Participantes!CJ5</f>
        <v>1</v>
      </c>
      <c r="DZ6" s="82" t="str">
        <f aca="false">IF(DX$2="","",IF(AND(DX6=DX$2,DY6=DY$2),3,IF(AND(DX$2&gt;DY$2,DX6&gt;DY6),1,IF(AND(DY$2&gt;DX$2,DY6&gt;DX6),1,IF(AND(DX$2=DY$2,DX6=DY6),1,0)))))</f>
        <v/>
      </c>
      <c r="EA6" s="1" t="n">
        <f aca="false">Participantes!CK5</f>
        <v>0</v>
      </c>
      <c r="EB6" s="1" t="n">
        <f aca="false">Participantes!CL5</f>
        <v>2</v>
      </c>
      <c r="EC6" s="82" t="str">
        <f aca="false">IF(EA$2="","",IF(AND(EA6=EA$2,EB6=EB$2),3,IF(AND(EA$2&gt;EB$2,EA6&gt;EB6),1,IF(AND(EB$2&gt;EA$2,EB6&gt;EA6),1,IF(AND(EA$2=EB$2,EA6=EB6),1,0)))))</f>
        <v/>
      </c>
      <c r="ED6" s="1" t="n">
        <f aca="false">Participantes!CM5</f>
        <v>3</v>
      </c>
      <c r="EE6" s="1" t="n">
        <f aca="false">Participantes!CN5</f>
        <v>0</v>
      </c>
      <c r="EF6" s="82" t="str">
        <f aca="false">IF(ED$2="","",IF(AND(ED6=ED$2,EE6=EE$2),3,IF(AND(ED$2&gt;EE$2,ED6&gt;EE6),1,IF(AND(EE$2&gt;ED$2,EE6&gt;ED6),1,IF(AND(ED$2=EE$2,ED6=EE6),1,0)))))</f>
        <v/>
      </c>
      <c r="EG6" s="1" t="n">
        <f aca="false">Participantes!CO5</f>
        <v>1</v>
      </c>
      <c r="EH6" s="1" t="n">
        <f aca="false">Participantes!CP5</f>
        <v>1</v>
      </c>
      <c r="EI6" s="82" t="str">
        <f aca="false">IF(EG$2="","",IF(AND(EG6=EG$2,EH6=EH$2),3,IF(AND(EG$2&gt;EH$2,EG6&gt;EH6),1,IF(AND(EH$2&gt;EG$2,EH6&gt;EG6),1,IF(AND(EG$2=EH$2,EG6=EH6),1,0)))))</f>
        <v/>
      </c>
      <c r="EJ6" s="1" t="n">
        <f aca="false">Participantes!CQ5</f>
        <v>3</v>
      </c>
      <c r="EK6" s="1" t="n">
        <f aca="false">Participantes!CR5</f>
        <v>0</v>
      </c>
      <c r="EL6" s="82" t="str">
        <f aca="false">IF(EJ$2="","",IF(AND(EJ6=EJ$2,EK6=EK$2),3,IF(AND(EJ$2&gt;EK$2,EJ6&gt;EK6),1,IF(AND(EK$2&gt;EJ$2,EK6&gt;EJ6),1,IF(AND(EJ$2=EK$2,EJ6=EK6),1,0)))))</f>
        <v/>
      </c>
      <c r="EM6" s="1" t="n">
        <f aca="false">Participantes!CS5</f>
        <v>3</v>
      </c>
      <c r="EN6" s="1" t="n">
        <f aca="false">Participantes!CT5</f>
        <v>0</v>
      </c>
      <c r="EO6" s="82" t="str">
        <f aca="false">IF(EM$2="","",IF(AND(EM6=EM$2,EN6=EN$2),3,IF(AND(EM$2&gt;EN$2,EM6&gt;EN6),1,IF(AND(EN$2&gt;EM$2,EN6&gt;EM6),1,IF(AND(EM$2=EN$2,EM6=EN6),1,0)))))</f>
        <v/>
      </c>
      <c r="EP6" s="1" t="n">
        <f aca="false">Participantes!CU5</f>
        <v>0</v>
      </c>
      <c r="EQ6" s="1" t="n">
        <f aca="false">Participantes!CV5</f>
        <v>3</v>
      </c>
      <c r="ER6" s="82" t="str">
        <f aca="false">IF(EP$2="","",IF(AND(EP6=EP$2,EQ6=EQ$2),3,IF(AND(EP$2&gt;EQ$2,EP6&gt;EQ6),1,IF(AND(EQ$2&gt;EP$2,EQ6&gt;EP6),1,IF(AND(EP$2=EQ$2,EP6=EQ6),1,0)))))</f>
        <v/>
      </c>
      <c r="ES6" s="1" t="n">
        <f aca="false">Participantes!CW5</f>
        <v>2</v>
      </c>
      <c r="ET6" s="1" t="n">
        <f aca="false">Participantes!CX5</f>
        <v>0</v>
      </c>
      <c r="EU6" s="82" t="str">
        <f aca="false">IF(ES$2="","",IF(AND(ES6=ES$2,ET6=ET$2),3,IF(AND(ES$2&gt;ET$2,ES6&gt;ET6),1,IF(AND(ET$2&gt;ES$2,ET6&gt;ES6),1,IF(AND(ES$2=ET$2,ES6=ET6),1,0)))))</f>
        <v/>
      </c>
      <c r="EV6" s="1" t="n">
        <f aca="false">Participantes!CY5</f>
        <v>1</v>
      </c>
      <c r="EW6" s="1" t="n">
        <f aca="false">Participantes!CZ5</f>
        <v>1</v>
      </c>
      <c r="EX6" s="82" t="str">
        <f aca="false">IF(EV$2="","",IF(AND(EV6=EV$2,EW6=EW$2),3,IF(AND(EV$2&gt;EW$2,EV6&gt;EW6),1,IF(AND(EW$2&gt;EV$2,EW6&gt;EV6),1,IF(AND(EV$2=EW$2,EV6=EW6),1,0)))))</f>
        <v/>
      </c>
      <c r="EY6" s="1" t="n">
        <f aca="false">Participantes!DA5</f>
        <v>1</v>
      </c>
      <c r="EZ6" s="1" t="n">
        <f aca="false">Participantes!DB5</f>
        <v>0</v>
      </c>
      <c r="FA6" s="82" t="str">
        <f aca="false">IF(EY$2="","",IF(AND(EY6=EY$2,EZ6=EZ$2),3,IF(AND(EY$2&gt;EZ$2,EY6&gt;EZ6),1,IF(AND(EZ$2&gt;EY$2,EZ6&gt;EY6),1,IF(AND(EY$2=EZ$2,EY6=EZ6),1,0)))))</f>
        <v/>
      </c>
      <c r="FB6" s="1" t="n">
        <f aca="false">Participantes!DC5</f>
        <v>1</v>
      </c>
      <c r="FC6" s="1" t="n">
        <f aca="false">Participantes!DD5</f>
        <v>2</v>
      </c>
      <c r="FD6" s="82" t="str">
        <f aca="false">IF(FB$2="","",IF(AND(FB6=FB$2,FC6=FC$2),3,IF(AND(FB$2&gt;FC$2,FB6&gt;FC6),1,IF(AND(FC$2&gt;FB$2,FC6&gt;FB6),1,IF(AND(FB$2=FC$2,FB6=FC6),1,0)))))</f>
        <v/>
      </c>
      <c r="FE6" s="1" t="n">
        <f aca="false">Participantes!DE5</f>
        <v>0</v>
      </c>
      <c r="FF6" s="1" t="n">
        <f aca="false">Participantes!DF5</f>
        <v>1</v>
      </c>
      <c r="FG6" s="82" t="str">
        <f aca="false">IF(FE$2="","",IF(AND(FE6=FE$2,FF6=FF$2),3,IF(AND(FE$2&gt;FF$2,FE6&gt;FF6),1,IF(AND(FF$2&gt;FE$2,FF6&gt;FE6),1,IF(AND(FE$2=FF$2,FE6=FF6),1,0)))))</f>
        <v/>
      </c>
      <c r="FH6" s="1" t="n">
        <f aca="false">Participantes!DG5</f>
        <v>0</v>
      </c>
      <c r="FI6" s="1" t="n">
        <f aca="false">Participantes!DH5</f>
        <v>1</v>
      </c>
      <c r="FJ6" s="82" t="str">
        <f aca="false">IF(FH$2="","",IF(AND(FH6=FH$2,FI6=FI$2),3,IF(AND(FH$2&gt;FI$2,FH6&gt;FI6),1,IF(AND(FI$2&gt;FH$2,FI6&gt;FH6),1,IF(AND(FH$2=FI$2,FH6=FI6),1,0)))))</f>
        <v/>
      </c>
      <c r="FK6" s="1" t="n">
        <f aca="false">Participantes!DI5</f>
        <v>1</v>
      </c>
      <c r="FL6" s="1" t="n">
        <f aca="false">Participantes!DJ5</f>
        <v>2</v>
      </c>
      <c r="FM6" s="82" t="str">
        <f aca="false">IF(FK$2="","",IF(AND(FK6=FK$2,FL6=FL$2),3,IF(AND(FK$2&gt;FL$2,FK6&gt;FL6),1,IF(AND(FL$2&gt;FK$2,FL6&gt;FK6),1,IF(AND(FK$2=FL$2,FK6=FL6),1,0)))))</f>
        <v/>
      </c>
      <c r="FN6" s="1" t="n">
        <f aca="false">Participantes!DK5</f>
        <v>2</v>
      </c>
      <c r="FO6" s="1" t="n">
        <f aca="false">Participantes!DL5</f>
        <v>2</v>
      </c>
      <c r="FP6" s="82" t="str">
        <f aca="false">IF(FN$2="","",IF(AND(FN6=FN$2,FO6=FO$2),3,IF(AND(FN$2&gt;FO$2,FN6&gt;FO6),1,IF(AND(FO$2&gt;FN$2,FO6&gt;FN6),1,IF(AND(FN$2=FO$2,FN6=FO6),1,0)))))</f>
        <v/>
      </c>
      <c r="FQ6" s="1" t="n">
        <f aca="false">Participantes!DM5</f>
        <v>0</v>
      </c>
      <c r="FR6" s="1" t="n">
        <f aca="false">Participantes!DN5</f>
        <v>2</v>
      </c>
      <c r="FS6" s="82" t="str">
        <f aca="false">IF(FQ$2="","",IF(AND(FQ6=FQ$2,FR6=FR$2),3,IF(AND(FQ$2&gt;FR$2,FQ6&gt;FR6),1,IF(AND(FR$2&gt;FQ$2,FR6&gt;FQ6),1,IF(AND(FQ$2=FR$2,FQ6=FR6),1,0)))))</f>
        <v/>
      </c>
      <c r="FT6" s="1" t="n">
        <f aca="false">Participantes!DO5</f>
        <v>1</v>
      </c>
      <c r="FU6" s="1" t="n">
        <f aca="false">Participantes!DP5</f>
        <v>1</v>
      </c>
      <c r="FV6" s="82" t="str">
        <f aca="false">IF(FT$2="","",IF(AND(FT6=FT$2,FU6=FU$2),3,IF(AND(FT$2&gt;FU$2,FT6&gt;FU6),1,IF(AND(FU$2&gt;FT$2,FU6&gt;FT6),1,IF(AND(FT$2=FU$2,FT6=FU6),1,0)))))</f>
        <v/>
      </c>
      <c r="FW6" s="1" t="n">
        <f aca="false">Participantes!DQ5</f>
        <v>1</v>
      </c>
      <c r="FX6" s="1" t="n">
        <f aca="false">Participantes!DR5</f>
        <v>0</v>
      </c>
      <c r="FY6" s="82" t="str">
        <f aca="false">IF(FW$2="","",IF(AND(FW6=FW$2,FX6=FX$2),3,IF(AND(FW$2&gt;FX$2,FW6&gt;FX6),1,IF(AND(FX$2&gt;FW$2,FX6&gt;FW6),1,IF(AND(FW$2=FX$2,FW6=FX6),1,0)))))</f>
        <v/>
      </c>
      <c r="FZ6" s="1" t="n">
        <f aca="false">Participantes!DS5</f>
        <v>2</v>
      </c>
      <c r="GA6" s="1" t="n">
        <f aca="false">Participantes!DT5</f>
        <v>2</v>
      </c>
      <c r="GB6" s="82" t="str">
        <f aca="false">IF(FZ$2="","",IF(AND(FZ6=FZ$2,GA6=GA$2),3,IF(AND(FZ$2&gt;GA$2,FZ6&gt;GA6),1,IF(AND(GA$2&gt;FZ$2,GA6&gt;FZ6),1,IF(AND(FZ$2=GA$2,FZ6=GA6),1,0)))))</f>
        <v/>
      </c>
      <c r="GC6" s="1" t="n">
        <f aca="false">Participantes!DU5</f>
        <v>1</v>
      </c>
      <c r="GD6" s="1" t="n">
        <f aca="false">Participantes!DV5</f>
        <v>0</v>
      </c>
      <c r="GE6" s="82" t="str">
        <f aca="false">IF(GC$2="","",IF(AND(GC6=GC$2,GD6=GD$2),3,IF(AND(GC$2&gt;GD$2,GC6&gt;GD6),1,IF(AND(GD$2&gt;GC$2,GD6&gt;GC6),1,IF(AND(GC$2=GD$2,GC6=GD6),1,0)))))</f>
        <v/>
      </c>
      <c r="GF6" s="1" t="n">
        <f aca="false">Participantes!DW5</f>
        <v>2</v>
      </c>
      <c r="GG6" s="1" t="n">
        <f aca="false">Participantes!DX5</f>
        <v>0</v>
      </c>
      <c r="GH6" s="82" t="str">
        <f aca="false">IF(GF$2="","",IF(AND(GF6=GF$2,GG6=GG$2),3,IF(AND(GF$2&gt;GG$2,GF6&gt;GG6),1,IF(AND(GG$2&gt;GF$2,GG6&gt;GF6),1,IF(AND(GF$2=GG$2,GF6=GG6),1,0)))))</f>
        <v/>
      </c>
      <c r="GI6" s="1" t="n">
        <f aca="false">Participantes!DY5</f>
        <v>0</v>
      </c>
      <c r="GJ6" s="1" t="n">
        <f aca="false">Participantes!DZ5</f>
        <v>4</v>
      </c>
      <c r="GK6" s="82" t="str">
        <f aca="false">IF(GI$2="","",IF(AND(GI6=GI$2,GJ6=GJ$2),3,IF(AND(GI$2&gt;GJ$2,GI6&gt;GJ6),1,IF(AND(GJ$2&gt;GI$2,GJ6&gt;GI6),1,IF(AND(GI$2=GJ$2,GI6=GJ6),1,0)))))</f>
        <v/>
      </c>
      <c r="GL6" s="1" t="n">
        <f aca="false">Participantes!EA5</f>
        <v>0</v>
      </c>
      <c r="GM6" s="1" t="n">
        <f aca="false">Participantes!EB5</f>
        <v>2</v>
      </c>
      <c r="GN6" s="82" t="str">
        <f aca="false">IF(GL$2="","",IF(AND(GL6=GL$2,GM6=GM$2),3,IF(AND(GL$2&gt;GM$2,GL6&gt;GM6),1,IF(AND(GM$2&gt;GL$2,GM6&gt;GL6),1,IF(AND(GL$2=GM$2,GL6=GM6),1,0)))))</f>
        <v/>
      </c>
      <c r="GO6" s="1" t="n">
        <f aca="false">Participantes!EC5</f>
        <v>1</v>
      </c>
      <c r="GP6" s="1" t="n">
        <f aca="false">Participantes!ED5</f>
        <v>3</v>
      </c>
      <c r="GQ6" s="82" t="str">
        <f aca="false">IF(GO$2="","",IF(AND(GO6=GO$2,GP6=GP$2),3,IF(AND(GO$2&gt;GP$2,GO6&gt;GP6),1,IF(AND(GP$2&gt;GO$2,GP6&gt;GO6),1,IF(AND(GO$2=GP$2,GO6=GP6),1,0)))))</f>
        <v/>
      </c>
      <c r="GR6" s="1" t="n">
        <f aca="false">Participantes!EE5</f>
        <v>1</v>
      </c>
      <c r="GS6" s="1" t="n">
        <f aca="false">Participantes!EF5</f>
        <v>4</v>
      </c>
      <c r="GT6" s="82" t="str">
        <f aca="false">IF(GR$2="","",IF(AND(GR6=GR$2,GS6=GS$2),3,IF(AND(GR$2&gt;GS$2,GR6&gt;GS6),1,IF(AND(GS$2&gt;GR$2,GS6&gt;GR6),1,IF(AND(GR$2=GS$2,GR6=GS6),1,0)))))</f>
        <v/>
      </c>
      <c r="GU6" s="1" t="n">
        <f aca="false">Participantes!EG5</f>
        <v>2</v>
      </c>
      <c r="GV6" s="1" t="n">
        <f aca="false">Participantes!EH5</f>
        <v>1</v>
      </c>
      <c r="GW6" s="82" t="str">
        <f aca="false">IF(GU$2="","",IF(AND(GU6=GU$2,GV6=GV$2),3,IF(AND(GU$2&gt;GV$2,GU6&gt;GV6),1,IF(AND(GV$2&gt;GU$2,GV6&gt;GU6),1,IF(AND(GU$2=GV$2,GU6=GV6),1,0)))))</f>
        <v/>
      </c>
      <c r="GX6" s="1" t="n">
        <f aca="false">Participantes!EI5</f>
        <v>1</v>
      </c>
      <c r="GY6" s="1" t="n">
        <f aca="false">Participantes!EJ5</f>
        <v>1</v>
      </c>
      <c r="GZ6" s="82" t="str">
        <f aca="false">IF(GX$2="","",IF(AND(GX6=GX$2,GY6=GY$2),3,IF(AND(GX$2&gt;GY$2,GX6&gt;GY6),1,IF(AND(GY$2&gt;GX$2,GY6&gt;GX6),1,IF(AND(GX$2=GY$2,GX6=GY6),1,0)))))</f>
        <v/>
      </c>
      <c r="HA6" s="1" t="n">
        <f aca="false">Participantes!EK5</f>
        <v>0</v>
      </c>
      <c r="HB6" s="1" t="n">
        <f aca="false">Participantes!EL5</f>
        <v>3</v>
      </c>
      <c r="HC6" s="82" t="str">
        <f aca="false">IF(HA$2="","",IF(AND(HA6=HA$2,HB6=HB$2),3,IF(AND(HA$2&gt;HB$2,HA6&gt;HB6),1,IF(AND(HB$2&gt;HA$2,HB6&gt;HA6),1,IF(AND(HA$2=HB$2,HA6=HB6),1,0)))))</f>
        <v/>
      </c>
      <c r="HD6" s="1" t="n">
        <f aca="false">Participantes!EM5</f>
        <v>2</v>
      </c>
      <c r="HE6" s="1" t="n">
        <f aca="false">Participantes!EN5</f>
        <v>2</v>
      </c>
      <c r="HF6" s="82" t="str">
        <f aca="false">IF(HD$2="","",IF(AND(HD6=HD$2,HE6=HE$2),3,IF(AND(HD$2&gt;HE$2,HD6&gt;HE6),1,IF(AND(HE$2&gt;HD$2,HE6&gt;HD6),1,IF(AND(HD$2=HE$2,HD6=HE6),1,0)))))</f>
        <v/>
      </c>
      <c r="HG6" s="1" t="n">
        <f aca="false">Participantes!EO5</f>
        <v>0</v>
      </c>
      <c r="HH6" s="1" t="n">
        <f aca="false">Participantes!EP5</f>
        <v>0</v>
      </c>
      <c r="HI6" s="82" t="str">
        <f aca="false">IF(HG$2="","",IF(AND(HG6=HG$2,HH6=HH$2),3,IF(AND(HG$2&gt;HH$2,HG6&gt;HH6),1,IF(AND(HH$2&gt;HG$2,HH6&gt;HG6),1,IF(AND(HG$2=HH$2,HG6=HH6),1,0)))))</f>
        <v/>
      </c>
      <c r="HJ6" s="83" t="n">
        <f aca="false">SUM(D6,G6,J6,M6,P6,S6,V6,Y6,AB6,AE6,AH6,AK6,AN6,AQ6,AT6,AW6,AZ6,BC6,BF6,BI6,BL6,BO6,BR6,BU6,BX6,CA6,CD6,CG6,CJ6,CM6,CP6,CS6,CV6,CY6,DB6,DE6,DH6,DK6,DN6,DQ6,DT6,DW6,DZ6,EC6,EF6,EI6,EL6,EO6,ER6,EU6,EX6,FA6,FD6,FG6,FJ6,FM6,FP6,FS6,FV6,FY6,GB6,GE6,GH6,GK6,GN6,GQ6,GT6,GW6,GZ6,HC6,HF6,HI6)</f>
        <v>3</v>
      </c>
    </row>
    <row r="7" customFormat="false" ht="15" hidden="false" customHeight="true" outlineLevel="0" collapsed="false">
      <c r="A7" s="81" t="str">
        <f aca="false">Participantes!B6</f>
        <v>Aneth</v>
      </c>
      <c r="B7" s="1" t="n">
        <f aca="false">Participantes!C6</f>
        <v>2</v>
      </c>
      <c r="C7" s="1" t="n">
        <f aca="false">Participantes!D6</f>
        <v>0</v>
      </c>
      <c r="D7" s="82" t="n">
        <f aca="false">IF(B$2="","",IF(AND(B7=B$2,C7=C$2),3,IF(AND(B$2&gt;C$2,B7&gt;C7),1,IF(AND(C$2&gt;B$2,C7&gt;B7),1,IF(AND(B$2=C$2,B7=C7),1,0)))))</f>
        <v>3</v>
      </c>
      <c r="E7" s="1" t="n">
        <f aca="false">Participantes!E6</f>
        <v>1</v>
      </c>
      <c r="F7" s="1" t="n">
        <f aca="false">Participantes!F6</f>
        <v>1</v>
      </c>
      <c r="G7" s="82" t="str">
        <f aca="false">IF(E$2="","",IF(AND(E7=E$2,F7=F$2),3,IF(AND(E$2&gt;F$2,E7&gt;F7),1,IF(AND(F$2&gt;E$2,F7&gt;E7),1,IF(AND(E$2=F$2,E7=F7),1,0)))))</f>
        <v/>
      </c>
      <c r="H7" s="1" t="n">
        <f aca="false">Participantes!G6</f>
        <v>2</v>
      </c>
      <c r="I7" s="1" t="n">
        <f aca="false">Participantes!H6</f>
        <v>1</v>
      </c>
      <c r="J7" s="82" t="str">
        <f aca="false">IF(H$2="","",IF(AND(H7=H$2,I7=I$2),3,IF(AND(H$2&gt;I$2,H7&gt;I7),1,IF(AND(I$2&gt;H$2,I7&gt;H7),1,IF(AND(H$2=I$2,H7=I7),1,0)))))</f>
        <v/>
      </c>
      <c r="K7" s="1" t="n">
        <f aca="false">Participantes!I6</f>
        <v>2</v>
      </c>
      <c r="L7" s="1" t="n">
        <f aca="false">Participantes!J6</f>
        <v>1</v>
      </c>
      <c r="M7" s="82" t="str">
        <f aca="false">IF(K$2="","",IF(AND(K7=K$2,L7=L$2),3,IF(AND(K$2&gt;L$2,K7&gt;L7),1,IF(AND(L$2&gt;K$2,L7&gt;K7),1,IF(AND(K$2=L$2,K7=L7),1,0)))))</f>
        <v/>
      </c>
      <c r="N7" s="1" t="n">
        <f aca="false">Participantes!K6</f>
        <v>2</v>
      </c>
      <c r="O7" s="1" t="n">
        <f aca="false">Participantes!L6</f>
        <v>0</v>
      </c>
      <c r="P7" s="82" t="str">
        <f aca="false">IF(N$2="","",IF(AND(N7=N$2,O7=O$2),3,IF(AND(N$2&gt;O$2,N7&gt;O7),1,IF(AND(O$2&gt;N$2,O7&gt;N7),1,IF(AND(N$2=O$2,N7=O7),1,0)))))</f>
        <v/>
      </c>
      <c r="Q7" s="1" t="n">
        <f aca="false">Participantes!M6</f>
        <v>1</v>
      </c>
      <c r="R7" s="1" t="n">
        <f aca="false">Participantes!N6</f>
        <v>1</v>
      </c>
      <c r="S7" s="82" t="str">
        <f aca="false">IF(Q$2="","",IF(AND(Q7=Q$2,R7=R$2),3,IF(AND(Q$2&gt;R$2,Q7&gt;R7),1,IF(AND(R$2&gt;Q$2,R7&gt;Q7),1,IF(AND(Q$2=R$2,Q7=R7),1,0)))))</f>
        <v/>
      </c>
      <c r="T7" s="1" t="n">
        <f aca="false">Participantes!O6</f>
        <v>2</v>
      </c>
      <c r="U7" s="1" t="n">
        <f aca="false">Participantes!P6</f>
        <v>1</v>
      </c>
      <c r="V7" s="82" t="str">
        <f aca="false">IF(T$2="","",IF(AND(T7=T$2,U7=U$2),3,IF(AND(T$2&gt;U$2,T7&gt;U7),1,IF(AND(U$2&gt;T$2,U7&gt;T7),1,IF(AND(T$2=U$2,T7=U7),1,0)))))</f>
        <v/>
      </c>
      <c r="W7" s="1" t="n">
        <f aca="false">Participantes!Q6</f>
        <v>2</v>
      </c>
      <c r="X7" s="1" t="n">
        <f aca="false">Participantes!R6</f>
        <v>0</v>
      </c>
      <c r="Y7" s="82" t="str">
        <f aca="false">IF(W$2="","",IF(AND(W7=W$2,X7=X$2),3,IF(AND(W$2&gt;X$2,W7&gt;X7),1,IF(AND(X$2&gt;W$2,X7&gt;W7),1,IF(AND(W$2=X$2,W7=X7),1,0)))))</f>
        <v/>
      </c>
      <c r="Z7" s="1" t="n">
        <f aca="false">Participantes!S6</f>
        <v>1</v>
      </c>
      <c r="AA7" s="1" t="n">
        <f aca="false">Participantes!T6</f>
        <v>1</v>
      </c>
      <c r="AB7" s="82" t="str">
        <f aca="false">IF(Z$2="","",IF(AND(Z7=Z$2,AA7=AA$2),3,IF(AND(Z$2&gt;AA$2,Z7&gt;AA7),1,IF(AND(AA$2&gt;Z$2,AA7&gt;Z7),1,IF(AND(Z$2=AA$2,Z7=AA7),1,0)))))</f>
        <v/>
      </c>
      <c r="AC7" s="1" t="n">
        <f aca="false">Participantes!U6</f>
        <v>4</v>
      </c>
      <c r="AD7" s="1" t="n">
        <f aca="false">Participantes!V6</f>
        <v>0</v>
      </c>
      <c r="AE7" s="82" t="str">
        <f aca="false">IF(AC$2="","",IF(AND(AC7=AC$2,AD7=AD$2),3,IF(AND(AC$2&gt;AD$2,AC7&gt;AD7),1,IF(AND(AD$2&gt;AC$2,AD7&gt;AC7),1,IF(AND(AC$2=AD$2,AC7=AD7),1,0)))))</f>
        <v/>
      </c>
      <c r="AF7" s="1" t="n">
        <f aca="false">Participantes!W6</f>
        <v>2</v>
      </c>
      <c r="AG7" s="1" t="n">
        <f aca="false">Participantes!X6</f>
        <v>1</v>
      </c>
      <c r="AH7" s="82" t="str">
        <f aca="false">IF(AF$2="","",IF(AND(AF7=AF$2,AG7=AG$2),3,IF(AND(AF$2&gt;AG$2,AF7&gt;AG7),1,IF(AND(AG$2&gt;AF$2,AG7&gt;AF7),1,IF(AND(AF$2=AG$2,AF7=AG7),1,0)))))</f>
        <v/>
      </c>
      <c r="AI7" s="1" t="n">
        <f aca="false">Participantes!Y6</f>
        <v>1</v>
      </c>
      <c r="AJ7" s="1" t="n">
        <f aca="false">Participantes!Z6</f>
        <v>0</v>
      </c>
      <c r="AK7" s="82" t="str">
        <f aca="false">IF(AI$2="","",IF(AND(AI7=AI$2,AJ7=AJ$2),3,IF(AND(AI$2&gt;AJ$2,AI7&gt;AJ7),1,IF(AND(AJ$2&gt;AI$2,AJ7&gt;AI7),1,IF(AND(AI$2=AJ$2,AI7=AJ7),1,0)))))</f>
        <v/>
      </c>
      <c r="AL7" s="1" t="n">
        <f aca="false">Participantes!AA6</f>
        <v>3</v>
      </c>
      <c r="AM7" s="1" t="n">
        <f aca="false">Participantes!AB6</f>
        <v>0</v>
      </c>
      <c r="AN7" s="82" t="str">
        <f aca="false">IF(AL$2="","",IF(AND(AL7=AL$2,AM7=AM$2),3,IF(AND(AL$2&gt;AM$2,AL7&gt;AM7),1,IF(AND(AM$2&gt;AL$2,AM7&gt;AL7),1,IF(AND(AL$2=AM$2,AL7=AM7),1,0)))))</f>
        <v/>
      </c>
      <c r="AO7" s="1" t="n">
        <f aca="false">Participantes!AC6</f>
        <v>3</v>
      </c>
      <c r="AP7" s="1" t="n">
        <f aca="false">Participantes!AD6</f>
        <v>0</v>
      </c>
      <c r="AQ7" s="82" t="str">
        <f aca="false">IF(AO$2="","",IF(AND(AO7=AO$2,AP7=AP$2),3,IF(AND(AO$2&gt;AP$2,AO7&gt;AP7),1,IF(AND(AP$2&gt;AO$2,AP7&gt;AO7),1,IF(AND(AO$2=AP$2,AO7=AP7),1,0)))))</f>
        <v/>
      </c>
      <c r="AR7" s="1" t="n">
        <f aca="false">Participantes!AE6</f>
        <v>2</v>
      </c>
      <c r="AS7" s="1" t="n">
        <f aca="false">Participantes!AF6</f>
        <v>0</v>
      </c>
      <c r="AT7" s="82" t="str">
        <f aca="false">IF(AR$2="","",IF(AND(AR7=AR$2,AS7=AS$2),3,IF(AND(AR$2&gt;AS$2,AR7&gt;AS7),1,IF(AND(AS$2&gt;AR$2,AS7&gt;AR7),1,IF(AND(AR$2=AS$2,AR7=AS7),1,0)))))</f>
        <v/>
      </c>
      <c r="AU7" s="1" t="n">
        <f aca="false">Participantes!AG6</f>
        <v>2</v>
      </c>
      <c r="AV7" s="1" t="n">
        <f aca="false">Participantes!AH6</f>
        <v>1</v>
      </c>
      <c r="AW7" s="82" t="str">
        <f aca="false">IF(AU$2="","",IF(AND(AU7=AU$2,AV7=AV$2),3,IF(AND(AU$2&gt;AV$2,AU7&gt;AV7),1,IF(AND(AV$2&gt;AU$2,AV7&gt;AU7),1,IF(AND(AU$2=AV$2,AU7=AV7),1,0)))))</f>
        <v/>
      </c>
      <c r="AX7" s="1" t="n">
        <f aca="false">Participantes!AI6</f>
        <v>2</v>
      </c>
      <c r="AY7" s="1" t="n">
        <f aca="false">Participantes!AJ6</f>
        <v>1</v>
      </c>
      <c r="AZ7" s="82" t="str">
        <f aca="false">IF(AX$2="","",IF(AND(AX7=AX$2,AY7=AY$2),3,IF(AND(AX$2&gt;AY$2,AX7&gt;AY7),1,IF(AND(AY$2&gt;AX$2,AY7&gt;AX7),1,IF(AND(AX$2=AY$2,AX7=AY7),1,0)))))</f>
        <v/>
      </c>
      <c r="BA7" s="1" t="n">
        <f aca="false">Participantes!AK6</f>
        <v>2</v>
      </c>
      <c r="BB7" s="1" t="n">
        <f aca="false">Participantes!AL6</f>
        <v>0</v>
      </c>
      <c r="BC7" s="82" t="str">
        <f aca="false">IF(BA$2="","",IF(AND(BA7=BA$2,BB7=BB$2),3,IF(AND(BA$2&gt;BB$2,BA7&gt;BB7),1,IF(AND(BB$2&gt;BA$2,BB7&gt;BA7),1,IF(AND(BA$2=BB$2,BA7=BB7),1,0)))))</f>
        <v/>
      </c>
      <c r="BD7" s="1" t="n">
        <f aca="false">Participantes!AM6</f>
        <v>3</v>
      </c>
      <c r="BE7" s="1" t="n">
        <f aca="false">Participantes!AN6</f>
        <v>0</v>
      </c>
      <c r="BF7" s="82" t="str">
        <f aca="false">IF(BD$2="","",IF(AND(BD7=BD$2,BE7=BE$2),3,IF(AND(BD$2&gt;BE$2,BD7&gt;BE7),1,IF(AND(BE$2&gt;BD$2,BE7&gt;BD7),1,IF(AND(BD$2=BE$2,BD7=BE7),1,0)))))</f>
        <v/>
      </c>
      <c r="BG7" s="1" t="n">
        <f aca="false">Participantes!AO6</f>
        <v>2</v>
      </c>
      <c r="BH7" s="1" t="n">
        <f aca="false">Participantes!AP6</f>
        <v>0</v>
      </c>
      <c r="BI7" s="82" t="str">
        <f aca="false">IF(BG$2="","",IF(AND(BG7=BG$2,BH7=BH$2),3,IF(AND(BG$2&gt;BH$2,BG7&gt;BH7),1,IF(AND(BH$2&gt;BG$2,BH7&gt;BG7),1,IF(AND(BG$2=BH$2,BG7=BH7),1,0)))))</f>
        <v/>
      </c>
      <c r="BJ7" s="1" t="n">
        <f aca="false">Participantes!AQ6</f>
        <v>1</v>
      </c>
      <c r="BK7" s="1" t="n">
        <f aca="false">Participantes!AR6</f>
        <v>1</v>
      </c>
      <c r="BL7" s="82" t="str">
        <f aca="false">IF(BJ$2="","",IF(AND(BJ7=BJ$2,BK7=BK$2),3,IF(AND(BJ$2&gt;BK$2,BJ7&gt;BK7),1,IF(AND(BK$2&gt;BJ$2,BK7&gt;BJ7),1,IF(AND(BJ$2=BK$2,BJ7=BK7),1,0)))))</f>
        <v/>
      </c>
      <c r="BM7" s="1" t="n">
        <f aca="false">Participantes!AS6</f>
        <v>2</v>
      </c>
      <c r="BN7" s="1" t="n">
        <f aca="false">Participantes!AT6</f>
        <v>1</v>
      </c>
      <c r="BO7" s="82" t="str">
        <f aca="false">IF(BM$2="","",IF(AND(BM7=BM$2,BN7=BN$2),3,IF(AND(BM$2&gt;BN$2,BM7&gt;BN7),1,IF(AND(BN$2&gt;BM$2,BN7&gt;BM7),1,IF(AND(BM$2=BN$2,BM7=BN7),1,0)))))</f>
        <v/>
      </c>
      <c r="BP7" s="1" t="n">
        <f aca="false">Participantes!AU6</f>
        <v>3</v>
      </c>
      <c r="BQ7" s="1" t="n">
        <f aca="false">Participantes!AV6</f>
        <v>0</v>
      </c>
      <c r="BR7" s="82" t="str">
        <f aca="false">IF(BP$2="","",IF(AND(BP7=BP$2,BQ7=BQ$2),3,IF(AND(BP$2&gt;BQ$2,BP7&gt;BQ7),1,IF(AND(BQ$2&gt;BP$2,BQ7&gt;BP7),1,IF(AND(BP$2=BQ$2,BP7=BQ7),1,0)))))</f>
        <v/>
      </c>
      <c r="BS7" s="1" t="n">
        <f aca="false">Participantes!AW6</f>
        <v>2</v>
      </c>
      <c r="BT7" s="1" t="n">
        <f aca="false">Participantes!AX6</f>
        <v>0</v>
      </c>
      <c r="BU7" s="82" t="str">
        <f aca="false">IF(BS$2="","",IF(AND(BS7=BS$2,BT7=BT$2),3,IF(AND(BS$2&gt;BT$2,BS7&gt;BT7),1,IF(AND(BT$2&gt;BS$2,BT7&gt;BS7),1,IF(AND(BS$2=BT$2,BS7=BT7),1,0)))))</f>
        <v/>
      </c>
      <c r="BV7" s="1" t="n">
        <f aca="false">Participantes!AY6</f>
        <v>2</v>
      </c>
      <c r="BW7" s="1" t="n">
        <f aca="false">Participantes!AZ6</f>
        <v>1</v>
      </c>
      <c r="BX7" s="82" t="str">
        <f aca="false">IF(BV$2="","",IF(AND(BV7=BV$2,BW7=BW$2),3,IF(AND(BV$2&gt;BW$2,BV7&gt;BW7),1,IF(AND(BW$2&gt;BV$2,BW7&gt;BV7),1,IF(AND(BV$2=BW$2,BV7=BW7),1,0)))))</f>
        <v/>
      </c>
      <c r="BY7" s="1" t="n">
        <f aca="false">Participantes!BA6</f>
        <v>2</v>
      </c>
      <c r="BZ7" s="1" t="n">
        <f aca="false">Participantes!BB6</f>
        <v>0</v>
      </c>
      <c r="CA7" s="82" t="str">
        <f aca="false">IF(BY$2="","",IF(AND(BY7=BY$2,BZ7=BZ$2),3,IF(AND(BY$2&gt;BZ$2,BY7&gt;BZ7),1,IF(AND(BZ$2&gt;BY$2,BZ7&gt;BY7),1,IF(AND(BY$2=BZ$2,BY7=BZ7),1,0)))))</f>
        <v/>
      </c>
      <c r="CB7" s="1" t="n">
        <f aca="false">Participantes!BC6</f>
        <v>1</v>
      </c>
      <c r="CC7" s="1" t="n">
        <f aca="false">Participantes!BD6</f>
        <v>1</v>
      </c>
      <c r="CD7" s="82" t="str">
        <f aca="false">IF(CB$2="","",IF(AND(CB7=CB$2,CC7=CC$2),3,IF(AND(CB$2&gt;CC$2,CB7&gt;CC7),1,IF(AND(CC$2&gt;CB$2,CC7&gt;CB7),1,IF(AND(CB$2=CC$2,CB7=CC7),1,0)))))</f>
        <v/>
      </c>
      <c r="CE7" s="1" t="n">
        <f aca="false">Participantes!BE6</f>
        <v>2</v>
      </c>
      <c r="CF7" s="1" t="n">
        <f aca="false">Participantes!BF6</f>
        <v>1</v>
      </c>
      <c r="CG7" s="82" t="str">
        <f aca="false">IF(CE$2="","",IF(AND(CE7=CE$2,CF7=CF$2),3,IF(AND(CE$2&gt;CF$2,CE7&gt;CF7),1,IF(AND(CF$2&gt;CE$2,CF7&gt;CE7),1,IF(AND(CE$2=CF$2,CE7=CF7),1,0)))))</f>
        <v/>
      </c>
      <c r="CH7" s="1" t="n">
        <f aca="false">Participantes!BG6</f>
        <v>0</v>
      </c>
      <c r="CI7" s="1" t="n">
        <f aca="false">Participantes!BH6</f>
        <v>0</v>
      </c>
      <c r="CJ7" s="82" t="str">
        <f aca="false">IF(CH$2="","",IF(AND(CH7=CH$2,CI7=CI$2),3,IF(AND(CH$2&gt;CI$2,CH7&gt;CI7),1,IF(AND(CI$2&gt;CH$2,CI7&gt;CH7),1,IF(AND(CH$2=CI$2,CH7=CI7),1,0)))))</f>
        <v/>
      </c>
      <c r="CK7" s="1" t="n">
        <f aca="false">Participantes!BI6</f>
        <v>0</v>
      </c>
      <c r="CL7" s="1" t="n">
        <f aca="false">Participantes!BJ6</f>
        <v>0</v>
      </c>
      <c r="CM7" s="82" t="str">
        <f aca="false">IF(CK$2="","",IF(AND(CK7=CK$2,CL7=CL$2),3,IF(AND(CK$2&gt;CL$2,CK7&gt;CL7),1,IF(AND(CL$2&gt;CK$2,CL7&gt;CK7),1,IF(AND(CK$2=CL$2,CK7=CL7),1,0)))))</f>
        <v/>
      </c>
      <c r="CN7" s="1" t="n">
        <f aca="false">Participantes!BK6</f>
        <v>0</v>
      </c>
      <c r="CO7" s="1" t="n">
        <f aca="false">Participantes!BL6</f>
        <v>0</v>
      </c>
      <c r="CP7" s="82" t="str">
        <f aca="false">IF(CN$2="","",IF(AND(CN7=CN$2,CO7=CO$2),3,IF(AND(CN$2&gt;CO$2,CN7&gt;CO7),1,IF(AND(CO$2&gt;CN$2,CO7&gt;CN7),1,IF(AND(CN$2=CO$2,CN7=CO7),1,0)))))</f>
        <v/>
      </c>
      <c r="CQ7" s="1" t="n">
        <f aca="false">Participantes!BM6</f>
        <v>0</v>
      </c>
      <c r="CR7" s="1" t="n">
        <f aca="false">Participantes!BN6</f>
        <v>0</v>
      </c>
      <c r="CS7" s="82" t="str">
        <f aca="false">IF(CQ$2="","",IF(AND(CQ7=CQ$2,CR7=CR$2),3,IF(AND(CQ$2&gt;CR$2,CQ7&gt;CR7),1,IF(AND(CR$2&gt;CQ$2,CR7&gt;CQ7),1,IF(AND(CQ$2=CR$2,CQ7=CR7),1,0)))))</f>
        <v/>
      </c>
      <c r="CT7" s="1" t="n">
        <f aca="false">Participantes!BO6</f>
        <v>0</v>
      </c>
      <c r="CU7" s="1" t="n">
        <f aca="false">Participantes!BP6</f>
        <v>0</v>
      </c>
      <c r="CV7" s="82" t="str">
        <f aca="false">IF(CT$2="","",IF(AND(CT7=CT$2,CU7=CU$2),3,IF(AND(CT$2&gt;CU$2,CT7&gt;CU7),1,IF(AND(CU$2&gt;CT$2,CU7&gt;CT7),1,IF(AND(CT$2=CU$2,CT7=CU7),1,0)))))</f>
        <v/>
      </c>
      <c r="CW7" s="1" t="n">
        <f aca="false">Participantes!BQ6</f>
        <v>0</v>
      </c>
      <c r="CX7" s="1" t="n">
        <f aca="false">Participantes!BR6</f>
        <v>0</v>
      </c>
      <c r="CY7" s="82" t="str">
        <f aca="false">IF(CW$2="","",IF(AND(CW7=CW$2,CX7=CX$2),3,IF(AND(CW$2&gt;CX$2,CW7&gt;CX7),1,IF(AND(CX$2&gt;CW$2,CX7&gt;CW7),1,IF(AND(CW$2=CX$2,CW7=CX7),1,0)))))</f>
        <v/>
      </c>
      <c r="CZ7" s="1" t="n">
        <f aca="false">Participantes!BS6</f>
        <v>0</v>
      </c>
      <c r="DA7" s="1" t="n">
        <f aca="false">Participantes!BT6</f>
        <v>0</v>
      </c>
      <c r="DB7" s="82" t="str">
        <f aca="false">IF(CZ$2="","",IF(AND(CZ7=CZ$2,DA7=DA$2),3,IF(AND(CZ$2&gt;DA$2,CZ7&gt;DA7),1,IF(AND(DA$2&gt;CZ$2,DA7&gt;CZ7),1,IF(AND(CZ$2=DA$2,CZ7=DA7),1,0)))))</f>
        <v/>
      </c>
      <c r="DC7" s="1" t="n">
        <f aca="false">Participantes!BU6</f>
        <v>0</v>
      </c>
      <c r="DD7" s="1" t="n">
        <f aca="false">Participantes!BV6</f>
        <v>0</v>
      </c>
      <c r="DE7" s="82" t="str">
        <f aca="false">IF(DC$2="","",IF(AND(DC7=DC$2,DD7=DD$2),3,IF(AND(DC$2&gt;DD$2,DC7&gt;DD7),1,IF(AND(DD$2&gt;DC$2,DD7&gt;DC7),1,IF(AND(DC$2=DD$2,DC7=DD7),1,0)))))</f>
        <v/>
      </c>
      <c r="DF7" s="1" t="n">
        <f aca="false">Participantes!BW6</f>
        <v>0</v>
      </c>
      <c r="DG7" s="1" t="n">
        <f aca="false">Participantes!BX6</f>
        <v>0</v>
      </c>
      <c r="DH7" s="82" t="str">
        <f aca="false">IF(DF$2="","",IF(AND(DF7=DF$2,DG7=DG$2),3,IF(AND(DF$2&gt;DG$2,DF7&gt;DG7),1,IF(AND(DG$2&gt;DF$2,DG7&gt;DF7),1,IF(AND(DF$2=DG$2,DF7=DG7),1,0)))))</f>
        <v/>
      </c>
      <c r="DI7" s="1" t="n">
        <f aca="false">Participantes!BY6</f>
        <v>0</v>
      </c>
      <c r="DJ7" s="1" t="n">
        <f aca="false">Participantes!BZ6</f>
        <v>0</v>
      </c>
      <c r="DK7" s="82" t="str">
        <f aca="false">IF(DI$2="","",IF(AND(DI7=DI$2,DJ7=DJ$2),3,IF(AND(DI$2&gt;DJ$2,DI7&gt;DJ7),1,IF(AND(DJ$2&gt;DI$2,DJ7&gt;DI7),1,IF(AND(DI$2=DJ$2,DI7=DJ7),1,0)))))</f>
        <v/>
      </c>
      <c r="DL7" s="1" t="n">
        <f aca="false">Participantes!CA6</f>
        <v>0</v>
      </c>
      <c r="DM7" s="1" t="n">
        <f aca="false">Participantes!CB6</f>
        <v>0</v>
      </c>
      <c r="DN7" s="82" t="str">
        <f aca="false">IF(DL$2="","",IF(AND(DL7=DL$2,DM7=DM$2),3,IF(AND(DL$2&gt;DM$2,DL7&gt;DM7),1,IF(AND(DM$2&gt;DL$2,DM7&gt;DL7),1,IF(AND(DL$2=DM$2,DL7=DM7),1,0)))))</f>
        <v/>
      </c>
      <c r="DO7" s="1" t="n">
        <f aca="false">Participantes!CC6</f>
        <v>0</v>
      </c>
      <c r="DP7" s="1" t="n">
        <f aca="false">Participantes!CD6</f>
        <v>0</v>
      </c>
      <c r="DQ7" s="82" t="str">
        <f aca="false">IF(DO$2="","",IF(AND(DO7=DO$2,DP7=DP$2),3,IF(AND(DO$2&gt;DP$2,DO7&gt;DP7),1,IF(AND(DP$2&gt;DO$2,DP7&gt;DO7),1,IF(AND(DO$2=DP$2,DO7=DP7),1,0)))))</f>
        <v/>
      </c>
      <c r="DR7" s="1" t="n">
        <f aca="false">Participantes!CE6</f>
        <v>0</v>
      </c>
      <c r="DS7" s="1" t="n">
        <f aca="false">Participantes!CF6</f>
        <v>0</v>
      </c>
      <c r="DT7" s="82" t="str">
        <f aca="false">IF(DR$2="","",IF(AND(DR7=DR$2,DS7=DS$2),3,IF(AND(DR$2&gt;DS$2,DR7&gt;DS7),1,IF(AND(DS$2&gt;DR$2,DS7&gt;DR7),1,IF(AND(DR$2=DS$2,DR7=DS7),1,0)))))</f>
        <v/>
      </c>
      <c r="DU7" s="1" t="n">
        <f aca="false">Participantes!CG6</f>
        <v>0</v>
      </c>
      <c r="DV7" s="1" t="n">
        <f aca="false">Participantes!CH6</f>
        <v>0</v>
      </c>
      <c r="DW7" s="82" t="str">
        <f aca="false">IF(DU$2="","",IF(AND(DU7=DU$2,DV7=DV$2),3,IF(AND(DU$2&gt;DV$2,DU7&gt;DV7),1,IF(AND(DV$2&gt;DU$2,DV7&gt;DU7),1,IF(AND(DU$2=DV$2,DU7=DV7),1,0)))))</f>
        <v/>
      </c>
      <c r="DX7" s="1" t="n">
        <f aca="false">Participantes!CI6</f>
        <v>0</v>
      </c>
      <c r="DY7" s="1" t="n">
        <f aca="false">Participantes!CJ6</f>
        <v>0</v>
      </c>
      <c r="DZ7" s="82" t="str">
        <f aca="false">IF(DX$2="","",IF(AND(DX7=DX$2,DY7=DY$2),3,IF(AND(DX$2&gt;DY$2,DX7&gt;DY7),1,IF(AND(DY$2&gt;DX$2,DY7&gt;DX7),1,IF(AND(DX$2=DY$2,DX7=DY7),1,0)))))</f>
        <v/>
      </c>
      <c r="EA7" s="1" t="n">
        <f aca="false">Participantes!CK6</f>
        <v>0</v>
      </c>
      <c r="EB7" s="1" t="n">
        <f aca="false">Participantes!CL6</f>
        <v>0</v>
      </c>
      <c r="EC7" s="82" t="str">
        <f aca="false">IF(EA$2="","",IF(AND(EA7=EA$2,EB7=EB$2),3,IF(AND(EA$2&gt;EB$2,EA7&gt;EB7),1,IF(AND(EB$2&gt;EA$2,EB7&gt;EA7),1,IF(AND(EA$2=EB$2,EA7=EB7),1,0)))))</f>
        <v/>
      </c>
      <c r="ED7" s="1" t="n">
        <f aca="false">Participantes!CM6</f>
        <v>0</v>
      </c>
      <c r="EE7" s="1" t="n">
        <f aca="false">Participantes!CN6</f>
        <v>0</v>
      </c>
      <c r="EF7" s="82" t="str">
        <f aca="false">IF(ED$2="","",IF(AND(ED7=ED$2,EE7=EE$2),3,IF(AND(ED$2&gt;EE$2,ED7&gt;EE7),1,IF(AND(EE$2&gt;ED$2,EE7&gt;ED7),1,IF(AND(ED$2=EE$2,ED7=EE7),1,0)))))</f>
        <v/>
      </c>
      <c r="EG7" s="1" t="n">
        <f aca="false">Participantes!CO6</f>
        <v>0</v>
      </c>
      <c r="EH7" s="1" t="n">
        <f aca="false">Participantes!CP6</f>
        <v>0</v>
      </c>
      <c r="EI7" s="82" t="str">
        <f aca="false">IF(EG$2="","",IF(AND(EG7=EG$2,EH7=EH$2),3,IF(AND(EG$2&gt;EH$2,EG7&gt;EH7),1,IF(AND(EH$2&gt;EG$2,EH7&gt;EG7),1,IF(AND(EG$2=EH$2,EG7=EH7),1,0)))))</f>
        <v/>
      </c>
      <c r="EJ7" s="1" t="n">
        <f aca="false">Participantes!CQ6</f>
        <v>0</v>
      </c>
      <c r="EK7" s="1" t="n">
        <f aca="false">Participantes!CR6</f>
        <v>0</v>
      </c>
      <c r="EL7" s="82" t="str">
        <f aca="false">IF(EJ$2="","",IF(AND(EJ7=EJ$2,EK7=EK$2),3,IF(AND(EJ$2&gt;EK$2,EJ7&gt;EK7),1,IF(AND(EK$2&gt;EJ$2,EK7&gt;EJ7),1,IF(AND(EJ$2=EK$2,EJ7=EK7),1,0)))))</f>
        <v/>
      </c>
      <c r="EM7" s="1" t="n">
        <f aca="false">Participantes!CS6</f>
        <v>0</v>
      </c>
      <c r="EN7" s="1" t="n">
        <f aca="false">Participantes!CT6</f>
        <v>0</v>
      </c>
      <c r="EO7" s="82" t="str">
        <f aca="false">IF(EM$2="","",IF(AND(EM7=EM$2,EN7=EN$2),3,IF(AND(EM$2&gt;EN$2,EM7&gt;EN7),1,IF(AND(EN$2&gt;EM$2,EN7&gt;EM7),1,IF(AND(EM$2=EN$2,EM7=EN7),1,0)))))</f>
        <v/>
      </c>
      <c r="EP7" s="1" t="n">
        <f aca="false">Participantes!CU6</f>
        <v>0</v>
      </c>
      <c r="EQ7" s="1" t="n">
        <f aca="false">Participantes!CV6</f>
        <v>0</v>
      </c>
      <c r="ER7" s="82" t="str">
        <f aca="false">IF(EP$2="","",IF(AND(EP7=EP$2,EQ7=EQ$2),3,IF(AND(EP$2&gt;EQ$2,EP7&gt;EQ7),1,IF(AND(EQ$2&gt;EP$2,EQ7&gt;EP7),1,IF(AND(EP$2=EQ$2,EP7=EQ7),1,0)))))</f>
        <v/>
      </c>
      <c r="ES7" s="1" t="n">
        <f aca="false">Participantes!CW6</f>
        <v>0</v>
      </c>
      <c r="ET7" s="1" t="n">
        <f aca="false">Participantes!CX6</f>
        <v>0</v>
      </c>
      <c r="EU7" s="82" t="str">
        <f aca="false">IF(ES$2="","",IF(AND(ES7=ES$2,ET7=ET$2),3,IF(AND(ES$2&gt;ET$2,ES7&gt;ET7),1,IF(AND(ET$2&gt;ES$2,ET7&gt;ES7),1,IF(AND(ES$2=ET$2,ES7=ET7),1,0)))))</f>
        <v/>
      </c>
      <c r="EV7" s="1" t="n">
        <f aca="false">Participantes!CY6</f>
        <v>0</v>
      </c>
      <c r="EW7" s="1" t="n">
        <f aca="false">Participantes!CZ6</f>
        <v>0</v>
      </c>
      <c r="EX7" s="82" t="str">
        <f aca="false">IF(EV$2="","",IF(AND(EV7=EV$2,EW7=EW$2),3,IF(AND(EV$2&gt;EW$2,EV7&gt;EW7),1,IF(AND(EW$2&gt;EV$2,EW7&gt;EV7),1,IF(AND(EV$2=EW$2,EV7=EW7),1,0)))))</f>
        <v/>
      </c>
      <c r="EY7" s="1" t="n">
        <f aca="false">Participantes!DA6</f>
        <v>0</v>
      </c>
      <c r="EZ7" s="1" t="n">
        <f aca="false">Participantes!DB6</f>
        <v>0</v>
      </c>
      <c r="FA7" s="82" t="str">
        <f aca="false">IF(EY$2="","",IF(AND(EY7=EY$2,EZ7=EZ$2),3,IF(AND(EY$2&gt;EZ$2,EY7&gt;EZ7),1,IF(AND(EZ$2&gt;EY$2,EZ7&gt;EY7),1,IF(AND(EY$2=EZ$2,EY7=EZ7),1,0)))))</f>
        <v/>
      </c>
      <c r="FB7" s="1" t="n">
        <f aca="false">Participantes!DC6</f>
        <v>0</v>
      </c>
      <c r="FC7" s="1" t="n">
        <f aca="false">Participantes!DD6</f>
        <v>0</v>
      </c>
      <c r="FD7" s="82" t="str">
        <f aca="false">IF(FB$2="","",IF(AND(FB7=FB$2,FC7=FC$2),3,IF(AND(FB$2&gt;FC$2,FB7&gt;FC7),1,IF(AND(FC$2&gt;FB$2,FC7&gt;FB7),1,IF(AND(FB$2=FC$2,FB7=FC7),1,0)))))</f>
        <v/>
      </c>
      <c r="FE7" s="1" t="n">
        <f aca="false">Participantes!DE6</f>
        <v>0</v>
      </c>
      <c r="FF7" s="1" t="n">
        <f aca="false">Participantes!DF6</f>
        <v>0</v>
      </c>
      <c r="FG7" s="82" t="str">
        <f aca="false">IF(FE$2="","",IF(AND(FE7=FE$2,FF7=FF$2),3,IF(AND(FE$2&gt;FF$2,FE7&gt;FF7),1,IF(AND(FF$2&gt;FE$2,FF7&gt;FE7),1,IF(AND(FE$2=FF$2,FE7=FF7),1,0)))))</f>
        <v/>
      </c>
      <c r="FH7" s="1" t="n">
        <f aca="false">Participantes!DG6</f>
        <v>0</v>
      </c>
      <c r="FI7" s="1" t="n">
        <f aca="false">Participantes!DH6</f>
        <v>0</v>
      </c>
      <c r="FJ7" s="82" t="str">
        <f aca="false">IF(FH$2="","",IF(AND(FH7=FH$2,FI7=FI$2),3,IF(AND(FH$2&gt;FI$2,FH7&gt;FI7),1,IF(AND(FI$2&gt;FH$2,FI7&gt;FH7),1,IF(AND(FH$2=FI$2,FH7=FI7),1,0)))))</f>
        <v/>
      </c>
      <c r="FK7" s="1" t="n">
        <f aca="false">Participantes!DI6</f>
        <v>0</v>
      </c>
      <c r="FL7" s="1" t="n">
        <f aca="false">Participantes!DJ6</f>
        <v>0</v>
      </c>
      <c r="FM7" s="82" t="str">
        <f aca="false">IF(FK$2="","",IF(AND(FK7=FK$2,FL7=FL$2),3,IF(AND(FK$2&gt;FL$2,FK7&gt;FL7),1,IF(AND(FL$2&gt;FK$2,FL7&gt;FK7),1,IF(AND(FK$2=FL$2,FK7=FL7),1,0)))))</f>
        <v/>
      </c>
      <c r="FN7" s="1" t="n">
        <f aca="false">Participantes!DK6</f>
        <v>0</v>
      </c>
      <c r="FO7" s="1" t="n">
        <f aca="false">Participantes!DL6</f>
        <v>0</v>
      </c>
      <c r="FP7" s="82" t="str">
        <f aca="false">IF(FN$2="","",IF(AND(FN7=FN$2,FO7=FO$2),3,IF(AND(FN$2&gt;FO$2,FN7&gt;FO7),1,IF(AND(FO$2&gt;FN$2,FO7&gt;FN7),1,IF(AND(FN$2=FO$2,FN7=FO7),1,0)))))</f>
        <v/>
      </c>
      <c r="FQ7" s="1" t="n">
        <f aca="false">Participantes!DM6</f>
        <v>0</v>
      </c>
      <c r="FR7" s="1" t="n">
        <f aca="false">Participantes!DN6</f>
        <v>0</v>
      </c>
      <c r="FS7" s="82" t="str">
        <f aca="false">IF(FQ$2="","",IF(AND(FQ7=FQ$2,FR7=FR$2),3,IF(AND(FQ$2&gt;FR$2,FQ7&gt;FR7),1,IF(AND(FR$2&gt;FQ$2,FR7&gt;FQ7),1,IF(AND(FQ$2=FR$2,FQ7=FR7),1,0)))))</f>
        <v/>
      </c>
      <c r="FT7" s="1" t="n">
        <f aca="false">Participantes!DO6</f>
        <v>0</v>
      </c>
      <c r="FU7" s="1" t="n">
        <f aca="false">Participantes!DP6</f>
        <v>0</v>
      </c>
      <c r="FV7" s="82" t="str">
        <f aca="false">IF(FT$2="","",IF(AND(FT7=FT$2,FU7=FU$2),3,IF(AND(FT$2&gt;FU$2,FT7&gt;FU7),1,IF(AND(FU$2&gt;FT$2,FU7&gt;FT7),1,IF(AND(FT$2=FU$2,FT7=FU7),1,0)))))</f>
        <v/>
      </c>
      <c r="FW7" s="1" t="n">
        <f aca="false">Participantes!DQ6</f>
        <v>0</v>
      </c>
      <c r="FX7" s="1" t="n">
        <f aca="false">Participantes!DR6</f>
        <v>0</v>
      </c>
      <c r="FY7" s="82" t="str">
        <f aca="false">IF(FW$2="","",IF(AND(FW7=FW$2,FX7=FX$2),3,IF(AND(FW$2&gt;FX$2,FW7&gt;FX7),1,IF(AND(FX$2&gt;FW$2,FX7&gt;FW7),1,IF(AND(FW$2=FX$2,FW7=FX7),1,0)))))</f>
        <v/>
      </c>
      <c r="FZ7" s="1" t="n">
        <f aca="false">Participantes!DS6</f>
        <v>0</v>
      </c>
      <c r="GA7" s="1" t="n">
        <f aca="false">Participantes!DT6</f>
        <v>0</v>
      </c>
      <c r="GB7" s="82" t="str">
        <f aca="false">IF(FZ$2="","",IF(AND(FZ7=FZ$2,GA7=GA$2),3,IF(AND(FZ$2&gt;GA$2,FZ7&gt;GA7),1,IF(AND(GA$2&gt;FZ$2,GA7&gt;FZ7),1,IF(AND(FZ$2=GA$2,FZ7=GA7),1,0)))))</f>
        <v/>
      </c>
      <c r="GC7" s="1" t="n">
        <f aca="false">Participantes!DU6</f>
        <v>0</v>
      </c>
      <c r="GD7" s="1" t="n">
        <f aca="false">Participantes!DV6</f>
        <v>0</v>
      </c>
      <c r="GE7" s="82" t="str">
        <f aca="false">IF(GC$2="","",IF(AND(GC7=GC$2,GD7=GD$2),3,IF(AND(GC$2&gt;GD$2,GC7&gt;GD7),1,IF(AND(GD$2&gt;GC$2,GD7&gt;GC7),1,IF(AND(GC$2=GD$2,GC7=GD7),1,0)))))</f>
        <v/>
      </c>
      <c r="GF7" s="1" t="n">
        <f aca="false">Participantes!DW6</f>
        <v>0</v>
      </c>
      <c r="GG7" s="1" t="n">
        <f aca="false">Participantes!DX6</f>
        <v>0</v>
      </c>
      <c r="GH7" s="82" t="str">
        <f aca="false">IF(GF$2="","",IF(AND(GF7=GF$2,GG7=GG$2),3,IF(AND(GF$2&gt;GG$2,GF7&gt;GG7),1,IF(AND(GG$2&gt;GF$2,GG7&gt;GF7),1,IF(AND(GF$2=GG$2,GF7=GG7),1,0)))))</f>
        <v/>
      </c>
      <c r="GI7" s="1" t="n">
        <f aca="false">Participantes!DY6</f>
        <v>0</v>
      </c>
      <c r="GJ7" s="1" t="n">
        <f aca="false">Participantes!DZ6</f>
        <v>0</v>
      </c>
      <c r="GK7" s="82" t="str">
        <f aca="false">IF(GI$2="","",IF(AND(GI7=GI$2,GJ7=GJ$2),3,IF(AND(GI$2&gt;GJ$2,GI7&gt;GJ7),1,IF(AND(GJ$2&gt;GI$2,GJ7&gt;GI7),1,IF(AND(GI$2=GJ$2,GI7=GJ7),1,0)))))</f>
        <v/>
      </c>
      <c r="GL7" s="1" t="n">
        <f aca="false">Participantes!EA6</f>
        <v>0</v>
      </c>
      <c r="GM7" s="1" t="n">
        <f aca="false">Participantes!EB6</f>
        <v>0</v>
      </c>
      <c r="GN7" s="82" t="str">
        <f aca="false">IF(GL$2="","",IF(AND(GL7=GL$2,GM7=GM$2),3,IF(AND(GL$2&gt;GM$2,GL7&gt;GM7),1,IF(AND(GM$2&gt;GL$2,GM7&gt;GL7),1,IF(AND(GL$2=GM$2,GL7=GM7),1,0)))))</f>
        <v/>
      </c>
      <c r="GO7" s="1" t="n">
        <f aca="false">Participantes!EC6</f>
        <v>0</v>
      </c>
      <c r="GP7" s="1" t="n">
        <f aca="false">Participantes!ED6</f>
        <v>0</v>
      </c>
      <c r="GQ7" s="82" t="str">
        <f aca="false">IF(GO$2="","",IF(AND(GO7=GO$2,GP7=GP$2),3,IF(AND(GO$2&gt;GP$2,GO7&gt;GP7),1,IF(AND(GP$2&gt;GO$2,GP7&gt;GO7),1,IF(AND(GO$2=GP$2,GO7=GP7),1,0)))))</f>
        <v/>
      </c>
      <c r="GR7" s="1" t="n">
        <f aca="false">Participantes!EE6</f>
        <v>0</v>
      </c>
      <c r="GS7" s="1" t="n">
        <f aca="false">Participantes!EF6</f>
        <v>0</v>
      </c>
      <c r="GT7" s="82" t="str">
        <f aca="false">IF(GR$2="","",IF(AND(GR7=GR$2,GS7=GS$2),3,IF(AND(GR$2&gt;GS$2,GR7&gt;GS7),1,IF(AND(GS$2&gt;GR$2,GS7&gt;GR7),1,IF(AND(GR$2=GS$2,GR7=GS7),1,0)))))</f>
        <v/>
      </c>
      <c r="GU7" s="1" t="n">
        <f aca="false">Participantes!EG6</f>
        <v>0</v>
      </c>
      <c r="GV7" s="1" t="n">
        <f aca="false">Participantes!EH6</f>
        <v>0</v>
      </c>
      <c r="GW7" s="82" t="str">
        <f aca="false">IF(GU$2="","",IF(AND(GU7=GU$2,GV7=GV$2),3,IF(AND(GU$2&gt;GV$2,GU7&gt;GV7),1,IF(AND(GV$2&gt;GU$2,GV7&gt;GU7),1,IF(AND(GU$2=GV$2,GU7=GV7),1,0)))))</f>
        <v/>
      </c>
      <c r="GX7" s="1" t="n">
        <f aca="false">Participantes!EI6</f>
        <v>0</v>
      </c>
      <c r="GY7" s="1" t="n">
        <f aca="false">Participantes!EJ6</f>
        <v>0</v>
      </c>
      <c r="GZ7" s="82" t="str">
        <f aca="false">IF(GX$2="","",IF(AND(GX7=GX$2,GY7=GY$2),3,IF(AND(GX$2&gt;GY$2,GX7&gt;GY7),1,IF(AND(GY$2&gt;GX$2,GY7&gt;GX7),1,IF(AND(GX$2=GY$2,GX7=GY7),1,0)))))</f>
        <v/>
      </c>
      <c r="HA7" s="1" t="n">
        <f aca="false">Participantes!EK6</f>
        <v>0</v>
      </c>
      <c r="HB7" s="1" t="n">
        <f aca="false">Participantes!EL6</f>
        <v>0</v>
      </c>
      <c r="HC7" s="82" t="str">
        <f aca="false">IF(HA$2="","",IF(AND(HA7=HA$2,HB7=HB$2),3,IF(AND(HA$2&gt;HB$2,HA7&gt;HB7),1,IF(AND(HB$2&gt;HA$2,HB7&gt;HA7),1,IF(AND(HA$2=HB$2,HA7=HB7),1,0)))))</f>
        <v/>
      </c>
      <c r="HD7" s="1" t="n">
        <f aca="false">Participantes!EM6</f>
        <v>0</v>
      </c>
      <c r="HE7" s="1" t="n">
        <f aca="false">Participantes!EN6</f>
        <v>0</v>
      </c>
      <c r="HF7" s="82" t="str">
        <f aca="false">IF(HD$2="","",IF(AND(HD7=HD$2,HE7=HE$2),3,IF(AND(HD$2&gt;HE$2,HD7&gt;HE7),1,IF(AND(HE$2&gt;HD$2,HE7&gt;HD7),1,IF(AND(HD$2=HE$2,HD7=HE7),1,0)))))</f>
        <v/>
      </c>
      <c r="HG7" s="1" t="n">
        <f aca="false">Participantes!EO6</f>
        <v>0</v>
      </c>
      <c r="HH7" s="1" t="n">
        <f aca="false">Participantes!EP6</f>
        <v>0</v>
      </c>
      <c r="HI7" s="82" t="str">
        <f aca="false">IF(HG$2="","",IF(AND(HG7=HG$2,HH7=HH$2),3,IF(AND(HG$2&gt;HH$2,HG7&gt;HH7),1,IF(AND(HH$2&gt;HG$2,HH7&gt;HG7),1,IF(AND(HG$2=HH$2,HG7=HH7),1,0)))))</f>
        <v/>
      </c>
      <c r="HJ7" s="83" t="n">
        <f aca="false">SUM(D7,G7,J7,M7,P7,S7,V7,Y7,AB7,AE7,AH7,AK7,AN7,AQ7,AT7,AW7,AZ7,BC7,BF7,BI7,BL7,BO7,BR7,BU7,BX7,CA7,CD7,CG7,CJ7,CM7,CP7,CS7,CV7,CY7,DB7,DE7,DH7,DK7,DN7,DQ7,DT7,DW7,DZ7,EC7,EF7,EI7,EL7,EO7,ER7,EU7,EX7,FA7,FD7,FG7,FJ7,FM7,FP7,FS7,FV7,FY7,GB7,GE7,GH7,GK7,GN7,GQ7,GT7,GW7,GZ7,HC7,HF7,HI7)</f>
        <v>3</v>
      </c>
    </row>
    <row r="8" customFormat="false" ht="15" hidden="false" customHeight="true" outlineLevel="0" collapsed="false">
      <c r="A8" s="81" t="str">
        <f aca="false">Participantes!B7</f>
        <v>Antonio</v>
      </c>
      <c r="B8" s="1" t="n">
        <f aca="false">Participantes!C7</f>
        <v>2</v>
      </c>
      <c r="C8" s="1" t="n">
        <f aca="false">Participantes!D7</f>
        <v>0</v>
      </c>
      <c r="D8" s="82" t="n">
        <f aca="false">IF(B$2="","",IF(AND(B8=B$2,C8=C$2),3,IF(AND(B$2&gt;C$2,B8&gt;C8),1,IF(AND(C$2&gt;B$2,C8&gt;B8),1,IF(AND(B$2=C$2,B8=C8),1,0)))))</f>
        <v>3</v>
      </c>
      <c r="E8" s="1" t="n">
        <f aca="false">Participantes!E7</f>
        <v>1</v>
      </c>
      <c r="F8" s="1" t="n">
        <f aca="false">Participantes!F7</f>
        <v>1</v>
      </c>
      <c r="G8" s="82" t="str">
        <f aca="false">IF(E$2="","",IF(AND(E8=E$2,F8=F$2),3,IF(AND(E$2&gt;F$2,E8&gt;F8),1,IF(AND(F$2&gt;E$2,F8&gt;E8),1,IF(AND(E$2=F$2,E8=F8),1,0)))))</f>
        <v/>
      </c>
      <c r="H8" s="1" t="n">
        <f aca="false">Participantes!G7</f>
        <v>3</v>
      </c>
      <c r="I8" s="1" t="n">
        <f aca="false">Participantes!H7</f>
        <v>1</v>
      </c>
      <c r="J8" s="82" t="str">
        <f aca="false">IF(H$2="","",IF(AND(H8=H$2,I8=I$2),3,IF(AND(H$2&gt;I$2,H8&gt;I8),1,IF(AND(I$2&gt;H$2,I8&gt;H8),1,IF(AND(H$2=I$2,H8=I8),1,0)))))</f>
        <v/>
      </c>
      <c r="K8" s="1" t="n">
        <f aca="false">Participantes!I7</f>
        <v>2</v>
      </c>
      <c r="L8" s="1" t="n">
        <f aca="false">Participantes!J7</f>
        <v>0</v>
      </c>
      <c r="M8" s="82" t="str">
        <f aca="false">IF(K$2="","",IF(AND(K8=K$2,L8=L$2),3,IF(AND(K$2&gt;L$2,K8&gt;L8),1,IF(AND(L$2&gt;K$2,L8&gt;K8),1,IF(AND(K$2=L$2,K8=L8),1,0)))))</f>
        <v/>
      </c>
      <c r="N8" s="1" t="n">
        <f aca="false">Participantes!K7</f>
        <v>0</v>
      </c>
      <c r="O8" s="1" t="n">
        <f aca="false">Participantes!L7</f>
        <v>3</v>
      </c>
      <c r="P8" s="82" t="str">
        <f aca="false">IF(N$2="","",IF(AND(N8=N$2,O8=O$2),3,IF(AND(N$2&gt;O$2,N8&gt;O8),1,IF(AND(O$2&gt;N$2,O8&gt;N8),1,IF(AND(N$2=O$2,N8=O8),1,0)))))</f>
        <v/>
      </c>
      <c r="Q8" s="1" t="n">
        <f aca="false">Participantes!M7</f>
        <v>1</v>
      </c>
      <c r="R8" s="1" t="n">
        <f aca="false">Participantes!N7</f>
        <v>2</v>
      </c>
      <c r="S8" s="82" t="str">
        <f aca="false">IF(Q$2="","",IF(AND(Q8=Q$2,R8=R$2),3,IF(AND(Q$2&gt;R$2,Q8&gt;R8),1,IF(AND(R$2&gt;Q$2,R8&gt;Q8),1,IF(AND(Q$2=R$2,Q8=R8),1,0)))))</f>
        <v/>
      </c>
      <c r="T8" s="1" t="n">
        <f aca="false">Participantes!O7</f>
        <v>2</v>
      </c>
      <c r="U8" s="1" t="n">
        <f aca="false">Participantes!P7</f>
        <v>2</v>
      </c>
      <c r="V8" s="82" t="str">
        <f aca="false">IF(T$2="","",IF(AND(T8=T$2,U8=U$2),3,IF(AND(T$2&gt;U$2,T8&gt;U8),1,IF(AND(U$2&gt;T$2,U8&gt;T8),1,IF(AND(T$2=U$2,T8=U8),1,0)))))</f>
        <v/>
      </c>
      <c r="W8" s="1" t="n">
        <f aca="false">Participantes!Q7</f>
        <v>0</v>
      </c>
      <c r="X8" s="1" t="n">
        <f aca="false">Participantes!R7</f>
        <v>2</v>
      </c>
      <c r="Y8" s="82" t="str">
        <f aca="false">IF(W$2="","",IF(AND(W8=W$2,X8=X$2),3,IF(AND(W$2&gt;X$2,W8&gt;X8),1,IF(AND(X$2&gt;W$2,X8&gt;W8),1,IF(AND(W$2=X$2,W8=X8),1,0)))))</f>
        <v/>
      </c>
      <c r="Z8" s="1" t="n">
        <f aca="false">Participantes!S7</f>
        <v>1</v>
      </c>
      <c r="AA8" s="1" t="n">
        <f aca="false">Participantes!T7</f>
        <v>1</v>
      </c>
      <c r="AB8" s="82" t="str">
        <f aca="false">IF(Z$2="","",IF(AND(Z8=Z$2,AA8=AA$2),3,IF(AND(Z$2&gt;AA$2,Z8&gt;AA8),1,IF(AND(AA$2&gt;Z$2,AA8&gt;Z8),1,IF(AND(Z$2=AA$2,Z8=AA8),1,0)))))</f>
        <v/>
      </c>
      <c r="AC8" s="1" t="n">
        <f aca="false">Participantes!U7</f>
        <v>4</v>
      </c>
      <c r="AD8" s="1" t="n">
        <f aca="false">Participantes!V7</f>
        <v>0</v>
      </c>
      <c r="AE8" s="82" t="str">
        <f aca="false">IF(AC$2="","",IF(AND(AC8=AC$2,AD8=AD$2),3,IF(AND(AC$2&gt;AD$2,AC8&gt;AD8),1,IF(AND(AD$2&gt;AC$2,AD8&gt;AC8),1,IF(AND(AC$2=AD$2,AC8=AD8),1,0)))))</f>
        <v/>
      </c>
      <c r="AF8" s="1" t="n">
        <f aca="false">Participantes!W7</f>
        <v>3</v>
      </c>
      <c r="AG8" s="1" t="n">
        <f aca="false">Participantes!X7</f>
        <v>0</v>
      </c>
      <c r="AH8" s="82" t="str">
        <f aca="false">IF(AF$2="","",IF(AND(AF8=AF$2,AG8=AG$2),3,IF(AND(AF$2&gt;AG$2,AF8&gt;AG8),1,IF(AND(AG$2&gt;AF$2,AG8&gt;AF8),1,IF(AND(AF$2=AG$2,AF8=AG8),1,0)))))</f>
        <v/>
      </c>
      <c r="AI8" s="1" t="n">
        <f aca="false">Participantes!Y7</f>
        <v>2</v>
      </c>
      <c r="AJ8" s="1" t="n">
        <f aca="false">Participantes!Z7</f>
        <v>1</v>
      </c>
      <c r="AK8" s="82" t="str">
        <f aca="false">IF(AI$2="","",IF(AND(AI8=AI$2,AJ8=AJ$2),3,IF(AND(AI$2&gt;AJ$2,AI8&gt;AJ8),1,IF(AND(AJ$2&gt;AI$2,AJ8&gt;AI8),1,IF(AND(AI$2=AJ$2,AI8=AJ8),1,0)))))</f>
        <v/>
      </c>
      <c r="AL8" s="1" t="n">
        <f aca="false">Participantes!AA7</f>
        <v>0</v>
      </c>
      <c r="AM8" s="1" t="n">
        <f aca="false">Participantes!AB7</f>
        <v>1</v>
      </c>
      <c r="AN8" s="82" t="str">
        <f aca="false">IF(AL$2="","",IF(AND(AL8=AL$2,AM8=AM$2),3,IF(AND(AL$2&gt;AM$2,AL8&gt;AM8),1,IF(AND(AM$2&gt;AL$2,AM8&gt;AL8),1,IF(AND(AL$2=AM$2,AL8=AM8),1,0)))))</f>
        <v/>
      </c>
      <c r="AO8" s="1" t="n">
        <f aca="false">Participantes!AC7</f>
        <v>3</v>
      </c>
      <c r="AP8" s="1" t="n">
        <f aca="false">Participantes!AD7</f>
        <v>0</v>
      </c>
      <c r="AQ8" s="82" t="str">
        <f aca="false">IF(AO$2="","",IF(AND(AO8=AO$2,AP8=AP$2),3,IF(AND(AO$2&gt;AP$2,AO8&gt;AP8),1,IF(AND(AP$2&gt;AO$2,AP8&gt;AO8),1,IF(AND(AO$2=AP$2,AO8=AP8),1,0)))))</f>
        <v/>
      </c>
      <c r="AR8" s="1" t="n">
        <f aca="false">Participantes!AE7</f>
        <v>0</v>
      </c>
      <c r="AS8" s="1" t="n">
        <f aca="false">Participantes!AF7</f>
        <v>2</v>
      </c>
      <c r="AT8" s="82" t="str">
        <f aca="false">IF(AR$2="","",IF(AND(AR8=AR$2,AS8=AS$2),3,IF(AND(AR$2&gt;AS$2,AR8&gt;AS8),1,IF(AND(AS$2&gt;AR$2,AS8&gt;AR8),1,IF(AND(AR$2=AS$2,AR8=AS8),1,0)))))</f>
        <v/>
      </c>
      <c r="AU8" s="1" t="n">
        <f aca="false">Participantes!AG7</f>
        <v>3</v>
      </c>
      <c r="AV8" s="1" t="n">
        <f aca="false">Participantes!AH7</f>
        <v>1</v>
      </c>
      <c r="AW8" s="82" t="str">
        <f aca="false">IF(AU$2="","",IF(AND(AU8=AU$2,AV8=AV$2),3,IF(AND(AU$2&gt;AV$2,AU8&gt;AV8),1,IF(AND(AV$2&gt;AU$2,AV8&gt;AU8),1,IF(AND(AU$2=AV$2,AU8=AV8),1,0)))))</f>
        <v/>
      </c>
      <c r="AX8" s="1" t="n">
        <f aca="false">Participantes!AI7</f>
        <v>4</v>
      </c>
      <c r="AY8" s="1" t="n">
        <f aca="false">Participantes!AJ7</f>
        <v>0</v>
      </c>
      <c r="AZ8" s="82" t="str">
        <f aca="false">IF(AX$2="","",IF(AND(AX8=AX$2,AY8=AY$2),3,IF(AND(AX$2&gt;AY$2,AX8&gt;AY8),1,IF(AND(AY$2&gt;AX$2,AY8&gt;AX8),1,IF(AND(AX$2=AY$2,AX8=AY8),1,0)))))</f>
        <v/>
      </c>
      <c r="BA8" s="1" t="n">
        <f aca="false">Participantes!AK7</f>
        <v>0</v>
      </c>
      <c r="BB8" s="1" t="n">
        <f aca="false">Participantes!AL7</f>
        <v>1</v>
      </c>
      <c r="BC8" s="82" t="str">
        <f aca="false">IF(BA$2="","",IF(AND(BA8=BA$2,BB8=BB$2),3,IF(AND(BA$2&gt;BB$2,BA8&gt;BB8),1,IF(AND(BB$2&gt;BA$2,BB8&gt;BA8),1,IF(AND(BA$2=BB$2,BA8=BB8),1,0)))))</f>
        <v/>
      </c>
      <c r="BD8" s="1" t="n">
        <f aca="false">Participantes!AM7</f>
        <v>3</v>
      </c>
      <c r="BE8" s="1" t="n">
        <f aca="false">Participantes!AN7</f>
        <v>1</v>
      </c>
      <c r="BF8" s="82" t="str">
        <f aca="false">IF(BD$2="","",IF(AND(BD8=BD$2,BE8=BE$2),3,IF(AND(BD$2&gt;BE$2,BD8&gt;BE8),1,IF(AND(BE$2&gt;BD$2,BE8&gt;BD8),1,IF(AND(BD$2=BE$2,BD8=BE8),1,0)))))</f>
        <v/>
      </c>
      <c r="BG8" s="1" t="n">
        <f aca="false">Participantes!AO7</f>
        <v>2</v>
      </c>
      <c r="BH8" s="1" t="n">
        <f aca="false">Participantes!AP7</f>
        <v>1</v>
      </c>
      <c r="BI8" s="82" t="str">
        <f aca="false">IF(BG$2="","",IF(AND(BG8=BG$2,BH8=BH$2),3,IF(AND(BG$2&gt;BH$2,BG8&gt;BH8),1,IF(AND(BH$2&gt;BG$2,BH8&gt;BG8),1,IF(AND(BG$2=BH$2,BG8=BH8),1,0)))))</f>
        <v/>
      </c>
      <c r="BJ8" s="1" t="n">
        <f aca="false">Participantes!AQ7</f>
        <v>0</v>
      </c>
      <c r="BK8" s="1" t="n">
        <f aca="false">Participantes!AR7</f>
        <v>1</v>
      </c>
      <c r="BL8" s="82" t="str">
        <f aca="false">IF(BJ$2="","",IF(AND(BJ8=BJ$2,BK8=BK$2),3,IF(AND(BJ$2&gt;BK$2,BJ8&gt;BK8),1,IF(AND(BK$2&gt;BJ$2,BK8&gt;BJ8),1,IF(AND(BJ$2=BK$2,BJ8=BK8),1,0)))))</f>
        <v/>
      </c>
      <c r="BM8" s="1" t="n">
        <f aca="false">Participantes!AS7</f>
        <v>3</v>
      </c>
      <c r="BN8" s="1" t="n">
        <f aca="false">Participantes!AT7</f>
        <v>2</v>
      </c>
      <c r="BO8" s="82" t="str">
        <f aca="false">IF(BM$2="","",IF(AND(BM8=BM$2,BN8=BN$2),3,IF(AND(BM$2&gt;BN$2,BM8&gt;BN8),1,IF(AND(BN$2&gt;BM$2,BN8&gt;BM8),1,IF(AND(BM$2=BN$2,BM8=BN8),1,0)))))</f>
        <v/>
      </c>
      <c r="BP8" s="1" t="n">
        <f aca="false">Participantes!AU7</f>
        <v>4</v>
      </c>
      <c r="BQ8" s="1" t="n">
        <f aca="false">Participantes!AV7</f>
        <v>0</v>
      </c>
      <c r="BR8" s="82" t="str">
        <f aca="false">IF(BP$2="","",IF(AND(BP8=BP$2,BQ8=BQ$2),3,IF(AND(BP$2&gt;BQ$2,BP8&gt;BQ8),1,IF(AND(BQ$2&gt;BP$2,BQ8&gt;BP8),1,IF(AND(BP$2=BQ$2,BP8=BQ8),1,0)))))</f>
        <v/>
      </c>
      <c r="BS8" s="1" t="n">
        <f aca="false">Participantes!AW7</f>
        <v>0</v>
      </c>
      <c r="BT8" s="1" t="n">
        <f aca="false">Participantes!AX7</f>
        <v>4</v>
      </c>
      <c r="BU8" s="82" t="str">
        <f aca="false">IF(BS$2="","",IF(AND(BS8=BS$2,BT8=BT$2),3,IF(AND(BS$2&gt;BT$2,BS8&gt;BT8),1,IF(AND(BT$2&gt;BS$2,BT8&gt;BS8),1,IF(AND(BS$2=BT$2,BS8=BT8),1,0)))))</f>
        <v/>
      </c>
      <c r="BV8" s="1" t="n">
        <f aca="false">Participantes!AY7</f>
        <v>0</v>
      </c>
      <c r="BW8" s="1" t="n">
        <f aca="false">Participantes!AZ7</f>
        <v>1</v>
      </c>
      <c r="BX8" s="82" t="str">
        <f aca="false">IF(BV$2="","",IF(AND(BV8=BV$2,BW8=BW$2),3,IF(AND(BV$2&gt;BW$2,BV8&gt;BW8),1,IF(AND(BW$2&gt;BV$2,BW8&gt;BV8),1,IF(AND(BV$2=BW$2,BV8=BW8),1,0)))))</f>
        <v/>
      </c>
      <c r="BY8" s="1" t="n">
        <f aca="false">Participantes!BA7</f>
        <v>3</v>
      </c>
      <c r="BZ8" s="1" t="n">
        <f aca="false">Participantes!BB7</f>
        <v>2</v>
      </c>
      <c r="CA8" s="82" t="str">
        <f aca="false">IF(BY$2="","",IF(AND(BY8=BY$2,BZ8=BZ$2),3,IF(AND(BY$2&gt;BZ$2,BY8&gt;BZ8),1,IF(AND(BZ$2&gt;BY$2,BZ8&gt;BY8),1,IF(AND(BY$2=BZ$2,BY8=BZ8),1,0)))))</f>
        <v/>
      </c>
      <c r="CB8" s="1" t="n">
        <f aca="false">Participantes!BC7</f>
        <v>2</v>
      </c>
      <c r="CC8" s="1" t="n">
        <f aca="false">Participantes!BD7</f>
        <v>1</v>
      </c>
      <c r="CD8" s="82" t="str">
        <f aca="false">IF(CB$2="","",IF(AND(CB8=CB$2,CC8=CC$2),3,IF(AND(CB$2&gt;CC$2,CB8&gt;CC8),1,IF(AND(CC$2&gt;CB$2,CC8&gt;CB8),1,IF(AND(CB$2=CC$2,CB8=CC8),1,0)))))</f>
        <v/>
      </c>
      <c r="CE8" s="1" t="n">
        <f aca="false">Participantes!BE7</f>
        <v>3</v>
      </c>
      <c r="CF8" s="1" t="n">
        <f aca="false">Participantes!BF7</f>
        <v>1</v>
      </c>
      <c r="CG8" s="82" t="str">
        <f aca="false">IF(CE$2="","",IF(AND(CE8=CE$2,CF8=CF$2),3,IF(AND(CE$2&gt;CF$2,CE8&gt;CF8),1,IF(AND(CF$2&gt;CE$2,CF8&gt;CE8),1,IF(AND(CE$2=CF$2,CE8=CF8),1,0)))))</f>
        <v/>
      </c>
      <c r="CH8" s="1" t="n">
        <f aca="false">Participantes!BG7</f>
        <v>0</v>
      </c>
      <c r="CI8" s="1" t="n">
        <f aca="false">Participantes!BH7</f>
        <v>0</v>
      </c>
      <c r="CJ8" s="82" t="str">
        <f aca="false">IF(CH$2="","",IF(AND(CH8=CH$2,CI8=CI$2),3,IF(AND(CH$2&gt;CI$2,CH8&gt;CI8),1,IF(AND(CI$2&gt;CH$2,CI8&gt;CH8),1,IF(AND(CH$2=CI$2,CH8=CI8),1,0)))))</f>
        <v/>
      </c>
      <c r="CK8" s="1" t="n">
        <f aca="false">Participantes!BI7</f>
        <v>0</v>
      </c>
      <c r="CL8" s="1" t="n">
        <f aca="false">Participantes!BJ7</f>
        <v>0</v>
      </c>
      <c r="CM8" s="82" t="str">
        <f aca="false">IF(CK$2="","",IF(AND(CK8=CK$2,CL8=CL$2),3,IF(AND(CK$2&gt;CL$2,CK8&gt;CL8),1,IF(AND(CL$2&gt;CK$2,CL8&gt;CK8),1,IF(AND(CK$2=CL$2,CK8=CL8),1,0)))))</f>
        <v/>
      </c>
      <c r="CN8" s="1" t="n">
        <f aca="false">Participantes!BK7</f>
        <v>0</v>
      </c>
      <c r="CO8" s="1" t="n">
        <f aca="false">Participantes!BL7</f>
        <v>0</v>
      </c>
      <c r="CP8" s="82" t="str">
        <f aca="false">IF(CN$2="","",IF(AND(CN8=CN$2,CO8=CO$2),3,IF(AND(CN$2&gt;CO$2,CN8&gt;CO8),1,IF(AND(CO$2&gt;CN$2,CO8&gt;CN8),1,IF(AND(CN$2=CO$2,CN8=CO8),1,0)))))</f>
        <v/>
      </c>
      <c r="CQ8" s="1" t="n">
        <f aca="false">Participantes!BM7</f>
        <v>0</v>
      </c>
      <c r="CR8" s="1" t="n">
        <f aca="false">Participantes!BN7</f>
        <v>0</v>
      </c>
      <c r="CS8" s="82" t="str">
        <f aca="false">IF(CQ$2="","",IF(AND(CQ8=CQ$2,CR8=CR$2),3,IF(AND(CQ$2&gt;CR$2,CQ8&gt;CR8),1,IF(AND(CR$2&gt;CQ$2,CR8&gt;CQ8),1,IF(AND(CQ$2=CR$2,CQ8=CR8),1,0)))))</f>
        <v/>
      </c>
      <c r="CT8" s="1" t="n">
        <f aca="false">Participantes!BO7</f>
        <v>0</v>
      </c>
      <c r="CU8" s="1" t="n">
        <f aca="false">Participantes!BP7</f>
        <v>0</v>
      </c>
      <c r="CV8" s="82" t="str">
        <f aca="false">IF(CT$2="","",IF(AND(CT8=CT$2,CU8=CU$2),3,IF(AND(CT$2&gt;CU$2,CT8&gt;CU8),1,IF(AND(CU$2&gt;CT$2,CU8&gt;CT8),1,IF(AND(CT$2=CU$2,CT8=CU8),1,0)))))</f>
        <v/>
      </c>
      <c r="CW8" s="1" t="n">
        <f aca="false">Participantes!BQ7</f>
        <v>0</v>
      </c>
      <c r="CX8" s="1" t="n">
        <f aca="false">Participantes!BR7</f>
        <v>0</v>
      </c>
      <c r="CY8" s="82" t="str">
        <f aca="false">IF(CW$2="","",IF(AND(CW8=CW$2,CX8=CX$2),3,IF(AND(CW$2&gt;CX$2,CW8&gt;CX8),1,IF(AND(CX$2&gt;CW$2,CX8&gt;CW8),1,IF(AND(CW$2=CX$2,CW8=CX8),1,0)))))</f>
        <v/>
      </c>
      <c r="CZ8" s="1" t="n">
        <f aca="false">Participantes!BS7</f>
        <v>0</v>
      </c>
      <c r="DA8" s="1" t="n">
        <f aca="false">Participantes!BT7</f>
        <v>0</v>
      </c>
      <c r="DB8" s="82" t="str">
        <f aca="false">IF(CZ$2="","",IF(AND(CZ8=CZ$2,DA8=DA$2),3,IF(AND(CZ$2&gt;DA$2,CZ8&gt;DA8),1,IF(AND(DA$2&gt;CZ$2,DA8&gt;CZ8),1,IF(AND(CZ$2=DA$2,CZ8=DA8),1,0)))))</f>
        <v/>
      </c>
      <c r="DC8" s="1" t="n">
        <f aca="false">Participantes!BU7</f>
        <v>0</v>
      </c>
      <c r="DD8" s="1" t="n">
        <f aca="false">Participantes!BV7</f>
        <v>0</v>
      </c>
      <c r="DE8" s="82" t="str">
        <f aca="false">IF(DC$2="","",IF(AND(DC8=DC$2,DD8=DD$2),3,IF(AND(DC$2&gt;DD$2,DC8&gt;DD8),1,IF(AND(DD$2&gt;DC$2,DD8&gt;DC8),1,IF(AND(DC$2=DD$2,DC8=DD8),1,0)))))</f>
        <v/>
      </c>
      <c r="DF8" s="1" t="n">
        <f aca="false">Participantes!BW7</f>
        <v>0</v>
      </c>
      <c r="DG8" s="1" t="n">
        <f aca="false">Participantes!BX7</f>
        <v>0</v>
      </c>
      <c r="DH8" s="82" t="str">
        <f aca="false">IF(DF$2="","",IF(AND(DF8=DF$2,DG8=DG$2),3,IF(AND(DF$2&gt;DG$2,DF8&gt;DG8),1,IF(AND(DG$2&gt;DF$2,DG8&gt;DF8),1,IF(AND(DF$2=DG$2,DF8=DG8),1,0)))))</f>
        <v/>
      </c>
      <c r="DI8" s="1" t="n">
        <f aca="false">Participantes!BY7</f>
        <v>0</v>
      </c>
      <c r="DJ8" s="1" t="n">
        <f aca="false">Participantes!BZ7</f>
        <v>0</v>
      </c>
      <c r="DK8" s="82" t="str">
        <f aca="false">IF(DI$2="","",IF(AND(DI8=DI$2,DJ8=DJ$2),3,IF(AND(DI$2&gt;DJ$2,DI8&gt;DJ8),1,IF(AND(DJ$2&gt;DI$2,DJ8&gt;DI8),1,IF(AND(DI$2=DJ$2,DI8=DJ8),1,0)))))</f>
        <v/>
      </c>
      <c r="DL8" s="1" t="n">
        <f aca="false">Participantes!CA7</f>
        <v>0</v>
      </c>
      <c r="DM8" s="1" t="n">
        <f aca="false">Participantes!CB7</f>
        <v>0</v>
      </c>
      <c r="DN8" s="82" t="str">
        <f aca="false">IF(DL$2="","",IF(AND(DL8=DL$2,DM8=DM$2),3,IF(AND(DL$2&gt;DM$2,DL8&gt;DM8),1,IF(AND(DM$2&gt;DL$2,DM8&gt;DL8),1,IF(AND(DL$2=DM$2,DL8=DM8),1,0)))))</f>
        <v/>
      </c>
      <c r="DO8" s="1" t="n">
        <f aca="false">Participantes!CC7</f>
        <v>0</v>
      </c>
      <c r="DP8" s="1" t="n">
        <f aca="false">Participantes!CD7</f>
        <v>0</v>
      </c>
      <c r="DQ8" s="82" t="str">
        <f aca="false">IF(DO$2="","",IF(AND(DO8=DO$2,DP8=DP$2),3,IF(AND(DO$2&gt;DP$2,DO8&gt;DP8),1,IF(AND(DP$2&gt;DO$2,DP8&gt;DO8),1,IF(AND(DO$2=DP$2,DO8=DP8),1,0)))))</f>
        <v/>
      </c>
      <c r="DR8" s="1" t="n">
        <f aca="false">Participantes!CE7</f>
        <v>0</v>
      </c>
      <c r="DS8" s="1" t="n">
        <f aca="false">Participantes!CF7</f>
        <v>0</v>
      </c>
      <c r="DT8" s="82" t="str">
        <f aca="false">IF(DR$2="","",IF(AND(DR8=DR$2,DS8=DS$2),3,IF(AND(DR$2&gt;DS$2,DR8&gt;DS8),1,IF(AND(DS$2&gt;DR$2,DS8&gt;DR8),1,IF(AND(DR$2=DS$2,DR8=DS8),1,0)))))</f>
        <v/>
      </c>
      <c r="DU8" s="1" t="n">
        <f aca="false">Participantes!CG7</f>
        <v>0</v>
      </c>
      <c r="DV8" s="1" t="n">
        <f aca="false">Participantes!CH7</f>
        <v>0</v>
      </c>
      <c r="DW8" s="82" t="str">
        <f aca="false">IF(DU$2="","",IF(AND(DU8=DU$2,DV8=DV$2),3,IF(AND(DU$2&gt;DV$2,DU8&gt;DV8),1,IF(AND(DV$2&gt;DU$2,DV8&gt;DU8),1,IF(AND(DU$2=DV$2,DU8=DV8),1,0)))))</f>
        <v/>
      </c>
      <c r="DX8" s="1" t="n">
        <f aca="false">Participantes!CI7</f>
        <v>0</v>
      </c>
      <c r="DY8" s="1" t="n">
        <f aca="false">Participantes!CJ7</f>
        <v>0</v>
      </c>
      <c r="DZ8" s="82" t="str">
        <f aca="false">IF(DX$2="","",IF(AND(DX8=DX$2,DY8=DY$2),3,IF(AND(DX$2&gt;DY$2,DX8&gt;DY8),1,IF(AND(DY$2&gt;DX$2,DY8&gt;DX8),1,IF(AND(DX$2=DY$2,DX8=DY8),1,0)))))</f>
        <v/>
      </c>
      <c r="EA8" s="1" t="n">
        <f aca="false">Participantes!CK7</f>
        <v>0</v>
      </c>
      <c r="EB8" s="1" t="n">
        <f aca="false">Participantes!CL7</f>
        <v>0</v>
      </c>
      <c r="EC8" s="82" t="str">
        <f aca="false">IF(EA$2="","",IF(AND(EA8=EA$2,EB8=EB$2),3,IF(AND(EA$2&gt;EB$2,EA8&gt;EB8),1,IF(AND(EB$2&gt;EA$2,EB8&gt;EA8),1,IF(AND(EA$2=EB$2,EA8=EB8),1,0)))))</f>
        <v/>
      </c>
      <c r="ED8" s="1" t="n">
        <f aca="false">Participantes!CM7</f>
        <v>0</v>
      </c>
      <c r="EE8" s="1" t="n">
        <f aca="false">Participantes!CN7</f>
        <v>0</v>
      </c>
      <c r="EF8" s="82" t="str">
        <f aca="false">IF(ED$2="","",IF(AND(ED8=ED$2,EE8=EE$2),3,IF(AND(ED$2&gt;EE$2,ED8&gt;EE8),1,IF(AND(EE$2&gt;ED$2,EE8&gt;ED8),1,IF(AND(ED$2=EE$2,ED8=EE8),1,0)))))</f>
        <v/>
      </c>
      <c r="EG8" s="1" t="n">
        <f aca="false">Participantes!CO7</f>
        <v>0</v>
      </c>
      <c r="EH8" s="1" t="n">
        <f aca="false">Participantes!CP7</f>
        <v>0</v>
      </c>
      <c r="EI8" s="82" t="str">
        <f aca="false">IF(EG$2="","",IF(AND(EG8=EG$2,EH8=EH$2),3,IF(AND(EG$2&gt;EH$2,EG8&gt;EH8),1,IF(AND(EH$2&gt;EG$2,EH8&gt;EG8),1,IF(AND(EG$2=EH$2,EG8=EH8),1,0)))))</f>
        <v/>
      </c>
      <c r="EJ8" s="1" t="n">
        <f aca="false">Participantes!CQ7</f>
        <v>0</v>
      </c>
      <c r="EK8" s="1" t="n">
        <f aca="false">Participantes!CR7</f>
        <v>0</v>
      </c>
      <c r="EL8" s="82" t="str">
        <f aca="false">IF(EJ$2="","",IF(AND(EJ8=EJ$2,EK8=EK$2),3,IF(AND(EJ$2&gt;EK$2,EJ8&gt;EK8),1,IF(AND(EK$2&gt;EJ$2,EK8&gt;EJ8),1,IF(AND(EJ$2=EK$2,EJ8=EK8),1,0)))))</f>
        <v/>
      </c>
      <c r="EM8" s="1" t="n">
        <f aca="false">Participantes!CS7</f>
        <v>0</v>
      </c>
      <c r="EN8" s="1" t="n">
        <f aca="false">Participantes!CT7</f>
        <v>0</v>
      </c>
      <c r="EO8" s="82" t="str">
        <f aca="false">IF(EM$2="","",IF(AND(EM8=EM$2,EN8=EN$2),3,IF(AND(EM$2&gt;EN$2,EM8&gt;EN8),1,IF(AND(EN$2&gt;EM$2,EN8&gt;EM8),1,IF(AND(EM$2=EN$2,EM8=EN8),1,0)))))</f>
        <v/>
      </c>
      <c r="EP8" s="1" t="n">
        <f aca="false">Participantes!CU7</f>
        <v>0</v>
      </c>
      <c r="EQ8" s="1" t="n">
        <f aca="false">Participantes!CV7</f>
        <v>0</v>
      </c>
      <c r="ER8" s="82" t="str">
        <f aca="false">IF(EP$2="","",IF(AND(EP8=EP$2,EQ8=EQ$2),3,IF(AND(EP$2&gt;EQ$2,EP8&gt;EQ8),1,IF(AND(EQ$2&gt;EP$2,EQ8&gt;EP8),1,IF(AND(EP$2=EQ$2,EP8=EQ8),1,0)))))</f>
        <v/>
      </c>
      <c r="ES8" s="1" t="n">
        <f aca="false">Participantes!CW7</f>
        <v>0</v>
      </c>
      <c r="ET8" s="1" t="n">
        <f aca="false">Participantes!CX7</f>
        <v>0</v>
      </c>
      <c r="EU8" s="82" t="str">
        <f aca="false">IF(ES$2="","",IF(AND(ES8=ES$2,ET8=ET$2),3,IF(AND(ES$2&gt;ET$2,ES8&gt;ET8),1,IF(AND(ET$2&gt;ES$2,ET8&gt;ES8),1,IF(AND(ES$2=ET$2,ES8=ET8),1,0)))))</f>
        <v/>
      </c>
      <c r="EV8" s="1" t="n">
        <f aca="false">Participantes!CY7</f>
        <v>0</v>
      </c>
      <c r="EW8" s="1" t="n">
        <f aca="false">Participantes!CZ7</f>
        <v>0</v>
      </c>
      <c r="EX8" s="82" t="str">
        <f aca="false">IF(EV$2="","",IF(AND(EV8=EV$2,EW8=EW$2),3,IF(AND(EV$2&gt;EW$2,EV8&gt;EW8),1,IF(AND(EW$2&gt;EV$2,EW8&gt;EV8),1,IF(AND(EV$2=EW$2,EV8=EW8),1,0)))))</f>
        <v/>
      </c>
      <c r="EY8" s="1" t="n">
        <f aca="false">Participantes!DA7</f>
        <v>0</v>
      </c>
      <c r="EZ8" s="1" t="n">
        <f aca="false">Participantes!DB7</f>
        <v>0</v>
      </c>
      <c r="FA8" s="82" t="str">
        <f aca="false">IF(EY$2="","",IF(AND(EY8=EY$2,EZ8=EZ$2),3,IF(AND(EY$2&gt;EZ$2,EY8&gt;EZ8),1,IF(AND(EZ$2&gt;EY$2,EZ8&gt;EY8),1,IF(AND(EY$2=EZ$2,EY8=EZ8),1,0)))))</f>
        <v/>
      </c>
      <c r="FB8" s="1" t="n">
        <f aca="false">Participantes!DC7</f>
        <v>0</v>
      </c>
      <c r="FC8" s="1" t="n">
        <f aca="false">Participantes!DD7</f>
        <v>0</v>
      </c>
      <c r="FD8" s="82" t="str">
        <f aca="false">IF(FB$2="","",IF(AND(FB8=FB$2,FC8=FC$2),3,IF(AND(FB$2&gt;FC$2,FB8&gt;FC8),1,IF(AND(FC$2&gt;FB$2,FC8&gt;FB8),1,IF(AND(FB$2=FC$2,FB8=FC8),1,0)))))</f>
        <v/>
      </c>
      <c r="FE8" s="1" t="n">
        <f aca="false">Participantes!DE7</f>
        <v>0</v>
      </c>
      <c r="FF8" s="1" t="n">
        <f aca="false">Participantes!DF7</f>
        <v>0</v>
      </c>
      <c r="FG8" s="82" t="str">
        <f aca="false">IF(FE$2="","",IF(AND(FE8=FE$2,FF8=FF$2),3,IF(AND(FE$2&gt;FF$2,FE8&gt;FF8),1,IF(AND(FF$2&gt;FE$2,FF8&gt;FE8),1,IF(AND(FE$2=FF$2,FE8=FF8),1,0)))))</f>
        <v/>
      </c>
      <c r="FH8" s="1" t="n">
        <f aca="false">Participantes!DG7</f>
        <v>0</v>
      </c>
      <c r="FI8" s="1" t="n">
        <f aca="false">Participantes!DH7</f>
        <v>0</v>
      </c>
      <c r="FJ8" s="82" t="str">
        <f aca="false">IF(FH$2="","",IF(AND(FH8=FH$2,FI8=FI$2),3,IF(AND(FH$2&gt;FI$2,FH8&gt;FI8),1,IF(AND(FI$2&gt;FH$2,FI8&gt;FH8),1,IF(AND(FH$2=FI$2,FH8=FI8),1,0)))))</f>
        <v/>
      </c>
      <c r="FK8" s="1" t="n">
        <f aca="false">Participantes!DI7</f>
        <v>0</v>
      </c>
      <c r="FL8" s="1" t="n">
        <f aca="false">Participantes!DJ7</f>
        <v>0</v>
      </c>
      <c r="FM8" s="82" t="str">
        <f aca="false">IF(FK$2="","",IF(AND(FK8=FK$2,FL8=FL$2),3,IF(AND(FK$2&gt;FL$2,FK8&gt;FL8),1,IF(AND(FL$2&gt;FK$2,FL8&gt;FK8),1,IF(AND(FK$2=FL$2,FK8=FL8),1,0)))))</f>
        <v/>
      </c>
      <c r="FN8" s="1" t="n">
        <f aca="false">Participantes!DK7</f>
        <v>0</v>
      </c>
      <c r="FO8" s="1" t="n">
        <f aca="false">Participantes!DL7</f>
        <v>0</v>
      </c>
      <c r="FP8" s="82" t="str">
        <f aca="false">IF(FN$2="","",IF(AND(FN8=FN$2,FO8=FO$2),3,IF(AND(FN$2&gt;FO$2,FN8&gt;FO8),1,IF(AND(FO$2&gt;FN$2,FO8&gt;FN8),1,IF(AND(FN$2=FO$2,FN8=FO8),1,0)))))</f>
        <v/>
      </c>
      <c r="FQ8" s="1" t="n">
        <f aca="false">Participantes!DM7</f>
        <v>0</v>
      </c>
      <c r="FR8" s="1" t="n">
        <f aca="false">Participantes!DN7</f>
        <v>0</v>
      </c>
      <c r="FS8" s="82" t="str">
        <f aca="false">IF(FQ$2="","",IF(AND(FQ8=FQ$2,FR8=FR$2),3,IF(AND(FQ$2&gt;FR$2,FQ8&gt;FR8),1,IF(AND(FR$2&gt;FQ$2,FR8&gt;FQ8),1,IF(AND(FQ$2=FR$2,FQ8=FR8),1,0)))))</f>
        <v/>
      </c>
      <c r="FT8" s="1" t="n">
        <f aca="false">Participantes!DO7</f>
        <v>0</v>
      </c>
      <c r="FU8" s="1" t="n">
        <f aca="false">Participantes!DP7</f>
        <v>0</v>
      </c>
      <c r="FV8" s="82" t="str">
        <f aca="false">IF(FT$2="","",IF(AND(FT8=FT$2,FU8=FU$2),3,IF(AND(FT$2&gt;FU$2,FT8&gt;FU8),1,IF(AND(FU$2&gt;FT$2,FU8&gt;FT8),1,IF(AND(FT$2=FU$2,FT8=FU8),1,0)))))</f>
        <v/>
      </c>
      <c r="FW8" s="1" t="n">
        <f aca="false">Participantes!DQ7</f>
        <v>0</v>
      </c>
      <c r="FX8" s="1" t="n">
        <f aca="false">Participantes!DR7</f>
        <v>0</v>
      </c>
      <c r="FY8" s="82" t="str">
        <f aca="false">IF(FW$2="","",IF(AND(FW8=FW$2,FX8=FX$2),3,IF(AND(FW$2&gt;FX$2,FW8&gt;FX8),1,IF(AND(FX$2&gt;FW$2,FX8&gt;FW8),1,IF(AND(FW$2=FX$2,FW8=FX8),1,0)))))</f>
        <v/>
      </c>
      <c r="FZ8" s="1" t="n">
        <f aca="false">Participantes!DS7</f>
        <v>0</v>
      </c>
      <c r="GA8" s="1" t="n">
        <f aca="false">Participantes!DT7</f>
        <v>0</v>
      </c>
      <c r="GB8" s="82" t="str">
        <f aca="false">IF(FZ$2="","",IF(AND(FZ8=FZ$2,GA8=GA$2),3,IF(AND(FZ$2&gt;GA$2,FZ8&gt;GA8),1,IF(AND(GA$2&gt;FZ$2,GA8&gt;FZ8),1,IF(AND(FZ$2=GA$2,FZ8=GA8),1,0)))))</f>
        <v/>
      </c>
      <c r="GC8" s="1" t="n">
        <f aca="false">Participantes!DU7</f>
        <v>0</v>
      </c>
      <c r="GD8" s="1" t="n">
        <f aca="false">Participantes!DV7</f>
        <v>0</v>
      </c>
      <c r="GE8" s="82" t="str">
        <f aca="false">IF(GC$2="","",IF(AND(GC8=GC$2,GD8=GD$2),3,IF(AND(GC$2&gt;GD$2,GC8&gt;GD8),1,IF(AND(GD$2&gt;GC$2,GD8&gt;GC8),1,IF(AND(GC$2=GD$2,GC8=GD8),1,0)))))</f>
        <v/>
      </c>
      <c r="GF8" s="1" t="n">
        <f aca="false">Participantes!DW7</f>
        <v>0</v>
      </c>
      <c r="GG8" s="1" t="n">
        <f aca="false">Participantes!DX7</f>
        <v>0</v>
      </c>
      <c r="GH8" s="82" t="str">
        <f aca="false">IF(GF$2="","",IF(AND(GF8=GF$2,GG8=GG$2),3,IF(AND(GF$2&gt;GG$2,GF8&gt;GG8),1,IF(AND(GG$2&gt;GF$2,GG8&gt;GF8),1,IF(AND(GF$2=GG$2,GF8=GG8),1,0)))))</f>
        <v/>
      </c>
      <c r="GI8" s="1" t="n">
        <f aca="false">Participantes!DY7</f>
        <v>0</v>
      </c>
      <c r="GJ8" s="1" t="n">
        <f aca="false">Participantes!DZ7</f>
        <v>0</v>
      </c>
      <c r="GK8" s="82" t="str">
        <f aca="false">IF(GI$2="","",IF(AND(GI8=GI$2,GJ8=GJ$2),3,IF(AND(GI$2&gt;GJ$2,GI8&gt;GJ8),1,IF(AND(GJ$2&gt;GI$2,GJ8&gt;GI8),1,IF(AND(GI$2=GJ$2,GI8=GJ8),1,0)))))</f>
        <v/>
      </c>
      <c r="GL8" s="1" t="n">
        <f aca="false">Participantes!EA7</f>
        <v>0</v>
      </c>
      <c r="GM8" s="1" t="n">
        <f aca="false">Participantes!EB7</f>
        <v>0</v>
      </c>
      <c r="GN8" s="82" t="str">
        <f aca="false">IF(GL$2="","",IF(AND(GL8=GL$2,GM8=GM$2),3,IF(AND(GL$2&gt;GM$2,GL8&gt;GM8),1,IF(AND(GM$2&gt;GL$2,GM8&gt;GL8),1,IF(AND(GL$2=GM$2,GL8=GM8),1,0)))))</f>
        <v/>
      </c>
      <c r="GO8" s="1" t="n">
        <f aca="false">Participantes!EC7</f>
        <v>0</v>
      </c>
      <c r="GP8" s="1" t="n">
        <f aca="false">Participantes!ED7</f>
        <v>0</v>
      </c>
      <c r="GQ8" s="82" t="str">
        <f aca="false">IF(GO$2="","",IF(AND(GO8=GO$2,GP8=GP$2),3,IF(AND(GO$2&gt;GP$2,GO8&gt;GP8),1,IF(AND(GP$2&gt;GO$2,GP8&gt;GO8),1,IF(AND(GO$2=GP$2,GO8=GP8),1,0)))))</f>
        <v/>
      </c>
      <c r="GR8" s="1" t="n">
        <f aca="false">Participantes!EE7</f>
        <v>0</v>
      </c>
      <c r="GS8" s="1" t="n">
        <f aca="false">Participantes!EF7</f>
        <v>0</v>
      </c>
      <c r="GT8" s="82" t="str">
        <f aca="false">IF(GR$2="","",IF(AND(GR8=GR$2,GS8=GS$2),3,IF(AND(GR$2&gt;GS$2,GR8&gt;GS8),1,IF(AND(GS$2&gt;GR$2,GS8&gt;GR8),1,IF(AND(GR$2=GS$2,GR8=GS8),1,0)))))</f>
        <v/>
      </c>
      <c r="GU8" s="1" t="n">
        <f aca="false">Participantes!EG7</f>
        <v>0</v>
      </c>
      <c r="GV8" s="1" t="n">
        <f aca="false">Participantes!EH7</f>
        <v>0</v>
      </c>
      <c r="GW8" s="82" t="str">
        <f aca="false">IF(GU$2="","",IF(AND(GU8=GU$2,GV8=GV$2),3,IF(AND(GU$2&gt;GV$2,GU8&gt;GV8),1,IF(AND(GV$2&gt;GU$2,GV8&gt;GU8),1,IF(AND(GU$2=GV$2,GU8=GV8),1,0)))))</f>
        <v/>
      </c>
      <c r="GX8" s="1" t="n">
        <f aca="false">Participantes!EI7</f>
        <v>0</v>
      </c>
      <c r="GY8" s="1" t="n">
        <f aca="false">Participantes!EJ7</f>
        <v>0</v>
      </c>
      <c r="GZ8" s="82" t="str">
        <f aca="false">IF(GX$2="","",IF(AND(GX8=GX$2,GY8=GY$2),3,IF(AND(GX$2&gt;GY$2,GX8&gt;GY8),1,IF(AND(GY$2&gt;GX$2,GY8&gt;GX8),1,IF(AND(GX$2=GY$2,GX8=GY8),1,0)))))</f>
        <v/>
      </c>
      <c r="HA8" s="1" t="n">
        <f aca="false">Participantes!EK7</f>
        <v>0</v>
      </c>
      <c r="HB8" s="1" t="n">
        <f aca="false">Participantes!EL7</f>
        <v>0</v>
      </c>
      <c r="HC8" s="82" t="str">
        <f aca="false">IF(HA$2="","",IF(AND(HA8=HA$2,HB8=HB$2),3,IF(AND(HA$2&gt;HB$2,HA8&gt;HB8),1,IF(AND(HB$2&gt;HA$2,HB8&gt;HA8),1,IF(AND(HA$2=HB$2,HA8=HB8),1,0)))))</f>
        <v/>
      </c>
      <c r="HD8" s="1" t="n">
        <f aca="false">Participantes!EM7</f>
        <v>0</v>
      </c>
      <c r="HE8" s="1" t="n">
        <f aca="false">Participantes!EN7</f>
        <v>0</v>
      </c>
      <c r="HF8" s="82" t="str">
        <f aca="false">IF(HD$2="","",IF(AND(HD8=HD$2,HE8=HE$2),3,IF(AND(HD$2&gt;HE$2,HD8&gt;HE8),1,IF(AND(HE$2&gt;HD$2,HE8&gt;HD8),1,IF(AND(HD$2=HE$2,HD8=HE8),1,0)))))</f>
        <v/>
      </c>
      <c r="HG8" s="1" t="n">
        <f aca="false">Participantes!EO7</f>
        <v>0</v>
      </c>
      <c r="HH8" s="1" t="n">
        <f aca="false">Participantes!EP7</f>
        <v>0</v>
      </c>
      <c r="HI8" s="82" t="str">
        <f aca="false">IF(HG$2="","",IF(AND(HG8=HG$2,HH8=HH$2),3,IF(AND(HG$2&gt;HH$2,HG8&gt;HH8),1,IF(AND(HH$2&gt;HG$2,HH8&gt;HG8),1,IF(AND(HG$2=HH$2,HG8=HH8),1,0)))))</f>
        <v/>
      </c>
      <c r="HJ8" s="83" t="n">
        <f aca="false">SUM(D8,G8,J8,M8,P8,S8,V8,Y8,AB8,AE8,AH8,AK8,AN8,AQ8,AT8,AW8,AZ8,BC8,BF8,BI8,BL8,BO8,BR8,BU8,BX8,CA8,CD8,CG8,CJ8,CM8,CP8,CS8,CV8,CY8,DB8,DE8,DH8,DK8,DN8,DQ8,DT8,DW8,DZ8,EC8,EF8,EI8,EL8,EO8,ER8,EU8,EX8,FA8,FD8,FG8,FJ8,FM8,FP8,FS8,FV8,FY8,GB8,GE8,GH8,GK8,GN8,GQ8,GT8,GW8,GZ8,HC8,HF8,HI8)</f>
        <v>3</v>
      </c>
    </row>
    <row r="9" customFormat="false" ht="15" hidden="false" customHeight="true" outlineLevel="0" collapsed="false">
      <c r="A9" s="81" t="str">
        <f aca="false">Participantes!B8</f>
        <v>Carlos</v>
      </c>
      <c r="B9" s="1" t="n">
        <f aca="false">Participantes!C8</f>
        <v>2</v>
      </c>
      <c r="C9" s="1" t="n">
        <f aca="false">Participantes!D8</f>
        <v>1</v>
      </c>
      <c r="D9" s="82" t="n">
        <f aca="false">IF(B$2="","",IF(AND(B9=B$2,C9=C$2),3,IF(AND(B$2&gt;C$2,B9&gt;C9),1,IF(AND(C$2&gt;B$2,C9&gt;B9),1,IF(AND(B$2=C$2,B9=C9),1,0)))))</f>
        <v>1</v>
      </c>
      <c r="E9" s="1" t="n">
        <f aca="false">Participantes!E8</f>
        <v>1</v>
      </c>
      <c r="F9" s="1" t="n">
        <f aca="false">Participantes!F8</f>
        <v>1</v>
      </c>
      <c r="G9" s="82" t="str">
        <f aca="false">IF(E$2="","",IF(AND(E9=E$2,F9=F$2),3,IF(AND(E$2&gt;F$2,E9&gt;F9),1,IF(AND(F$2&gt;E$2,F9&gt;E9),1,IF(AND(E$2=F$2,E9=F9),1,0)))))</f>
        <v/>
      </c>
      <c r="H9" s="1" t="n">
        <f aca="false">Participantes!G8</f>
        <v>2</v>
      </c>
      <c r="I9" s="1" t="n">
        <f aca="false">Participantes!H8</f>
        <v>1</v>
      </c>
      <c r="J9" s="82" t="str">
        <f aca="false">IF(H$2="","",IF(AND(H9=H$2,I9=I$2),3,IF(AND(H$2&gt;I$2,H9&gt;I9),1,IF(AND(I$2&gt;H$2,I9&gt;H9),1,IF(AND(H$2=I$2,H9=I9),1,0)))))</f>
        <v/>
      </c>
      <c r="K9" s="1" t="n">
        <f aca="false">Participantes!I8</f>
        <v>2</v>
      </c>
      <c r="L9" s="1" t="n">
        <f aca="false">Participantes!J8</f>
        <v>0</v>
      </c>
      <c r="M9" s="82" t="str">
        <f aca="false">IF(K$2="","",IF(AND(K9=K$2,L9=L$2),3,IF(AND(K$2&gt;L$2,K9&gt;L9),1,IF(AND(L$2&gt;K$2,L9&gt;K9),1,IF(AND(K$2=L$2,K9=L9),1,0)))))</f>
        <v/>
      </c>
      <c r="N9" s="1" t="n">
        <f aca="false">Participantes!K8</f>
        <v>0</v>
      </c>
      <c r="O9" s="1" t="n">
        <f aca="false">Participantes!L8</f>
        <v>2</v>
      </c>
      <c r="P9" s="82" t="str">
        <f aca="false">IF(N$2="","",IF(AND(N9=N$2,O9=O$2),3,IF(AND(N$2&gt;O$2,N9&gt;O9),1,IF(AND(O$2&gt;N$2,O9&gt;N9),1,IF(AND(N$2=O$2,N9=O9),1,0)))))</f>
        <v/>
      </c>
      <c r="Q9" s="1" t="n">
        <f aca="false">Participantes!M8</f>
        <v>1</v>
      </c>
      <c r="R9" s="1" t="n">
        <f aca="false">Participantes!N8</f>
        <v>2</v>
      </c>
      <c r="S9" s="82" t="str">
        <f aca="false">IF(Q$2="","",IF(AND(Q9=Q$2,R9=R$2),3,IF(AND(Q$2&gt;R$2,Q9&gt;R9),1,IF(AND(R$2&gt;Q$2,R9&gt;Q9),1,IF(AND(Q$2=R$2,Q9=R9),1,0)))))</f>
        <v/>
      </c>
      <c r="T9" s="1" t="n">
        <f aca="false">Participantes!O8</f>
        <v>2</v>
      </c>
      <c r="U9" s="1" t="n">
        <f aca="false">Participantes!P8</f>
        <v>1</v>
      </c>
      <c r="V9" s="82" t="str">
        <f aca="false">IF(T$2="","",IF(AND(T9=T$2,U9=U$2),3,IF(AND(T$2&gt;U$2,T9&gt;U9),1,IF(AND(U$2&gt;T$2,U9&gt;T9),1,IF(AND(T$2=U$2,T9=U9),1,0)))))</f>
        <v/>
      </c>
      <c r="W9" s="1" t="n">
        <f aca="false">Participantes!Q8</f>
        <v>0</v>
      </c>
      <c r="X9" s="1" t="n">
        <f aca="false">Participantes!R8</f>
        <v>2</v>
      </c>
      <c r="Y9" s="82" t="str">
        <f aca="false">IF(W$2="","",IF(AND(W9=W$2,X9=X$2),3,IF(AND(W$2&gt;X$2,W9&gt;X9),1,IF(AND(X$2&gt;W$2,X9&gt;W9),1,IF(AND(W$2=X$2,W9=X9),1,0)))))</f>
        <v/>
      </c>
      <c r="Z9" s="1" t="n">
        <f aca="false">Participantes!S8</f>
        <v>1</v>
      </c>
      <c r="AA9" s="1" t="n">
        <f aca="false">Participantes!T8</f>
        <v>1</v>
      </c>
      <c r="AB9" s="82" t="str">
        <f aca="false">IF(Z$2="","",IF(AND(Z9=Z$2,AA9=AA$2),3,IF(AND(Z$2&gt;AA$2,Z9&gt;AA9),1,IF(AND(AA$2&gt;Z$2,AA9&gt;Z9),1,IF(AND(Z$2=AA$2,Z9=AA9),1,0)))))</f>
        <v/>
      </c>
      <c r="AC9" s="1" t="n">
        <f aca="false">Participantes!U8</f>
        <v>5</v>
      </c>
      <c r="AD9" s="1" t="n">
        <f aca="false">Participantes!V8</f>
        <v>0</v>
      </c>
      <c r="AE9" s="82" t="str">
        <f aca="false">IF(AC$2="","",IF(AND(AC9=AC$2,AD9=AD$2),3,IF(AND(AC$2&gt;AD$2,AC9&gt;AD9),1,IF(AND(AD$2&gt;AC$2,AD9&gt;AC9),1,IF(AND(AC$2=AD$2,AC9=AD9),1,0)))))</f>
        <v/>
      </c>
      <c r="AF9" s="1" t="n">
        <f aca="false">Participantes!W8</f>
        <v>2</v>
      </c>
      <c r="AG9" s="1" t="n">
        <f aca="false">Participantes!X8</f>
        <v>1</v>
      </c>
      <c r="AH9" s="82" t="str">
        <f aca="false">IF(AF$2="","",IF(AND(AF9=AF$2,AG9=AG$2),3,IF(AND(AF$2&gt;AG$2,AF9&gt;AG9),1,IF(AND(AG$2&gt;AF$2,AG9&gt;AF9),1,IF(AND(AF$2=AG$2,AF9=AG9),1,0)))))</f>
        <v/>
      </c>
      <c r="AI9" s="1" t="n">
        <f aca="false">Participantes!Y8</f>
        <v>2</v>
      </c>
      <c r="AJ9" s="1" t="n">
        <f aca="false">Participantes!Z8</f>
        <v>0</v>
      </c>
      <c r="AK9" s="82" t="str">
        <f aca="false">IF(AI$2="","",IF(AND(AI9=AI$2,AJ9=AJ$2),3,IF(AND(AI$2&gt;AJ$2,AI9&gt;AJ9),1,IF(AND(AJ$2&gt;AI$2,AJ9&gt;AI9),1,IF(AND(AI$2=AJ$2,AI9=AJ9),1,0)))))</f>
        <v/>
      </c>
      <c r="AL9" s="1" t="n">
        <f aca="false">Participantes!AA8</f>
        <v>0</v>
      </c>
      <c r="AM9" s="1" t="n">
        <f aca="false">Participantes!AB8</f>
        <v>2</v>
      </c>
      <c r="AN9" s="82" t="str">
        <f aca="false">IF(AL$2="","",IF(AND(AL9=AL$2,AM9=AM$2),3,IF(AND(AL$2&gt;AM$2,AL9&gt;AM9),1,IF(AND(AM$2&gt;AL$2,AM9&gt;AL9),1,IF(AND(AL$2=AM$2,AL9=AM9),1,0)))))</f>
        <v/>
      </c>
      <c r="AO9" s="1" t="n">
        <f aca="false">Participantes!AC8</f>
        <v>4</v>
      </c>
      <c r="AP9" s="1" t="n">
        <f aca="false">Participantes!AD8</f>
        <v>0</v>
      </c>
      <c r="AQ9" s="82" t="str">
        <f aca="false">IF(AO$2="","",IF(AND(AO9=AO$2,AP9=AP$2),3,IF(AND(AO$2&gt;AP$2,AO9&gt;AP9),1,IF(AND(AP$2&gt;AO$2,AP9&gt;AO9),1,IF(AND(AO$2=AP$2,AO9=AP9),1,0)))))</f>
        <v/>
      </c>
      <c r="AR9" s="1" t="n">
        <f aca="false">Participantes!AE8</f>
        <v>2</v>
      </c>
      <c r="AS9" s="1" t="n">
        <f aca="false">Participantes!AF8</f>
        <v>0</v>
      </c>
      <c r="AT9" s="82" t="str">
        <f aca="false">IF(AR$2="","",IF(AND(AR9=AR$2,AS9=AS$2),3,IF(AND(AR$2&gt;AS$2,AR9&gt;AS9),1,IF(AND(AS$2&gt;AR$2,AS9&gt;AR9),1,IF(AND(AR$2=AS$2,AR9=AS9),1,0)))))</f>
        <v/>
      </c>
      <c r="AU9" s="1" t="n">
        <f aca="false">Participantes!AG8</f>
        <v>2</v>
      </c>
      <c r="AV9" s="1" t="n">
        <f aca="false">Participantes!AH8</f>
        <v>0</v>
      </c>
      <c r="AW9" s="82" t="str">
        <f aca="false">IF(AU$2="","",IF(AND(AU9=AU$2,AV9=AV$2),3,IF(AND(AU$2&gt;AV$2,AU9&gt;AV9),1,IF(AND(AV$2&gt;AU$2,AV9&gt;AU9),1,IF(AND(AU$2=AV$2,AU9=AV9),1,0)))))</f>
        <v/>
      </c>
      <c r="AX9" s="1" t="n">
        <f aca="false">Participantes!AI8</f>
        <v>2</v>
      </c>
      <c r="AY9" s="1" t="n">
        <f aca="false">Participantes!AJ8</f>
        <v>1</v>
      </c>
      <c r="AZ9" s="82" t="str">
        <f aca="false">IF(AX$2="","",IF(AND(AX9=AX$2,AY9=AY$2),3,IF(AND(AX$2&gt;AY$2,AX9&gt;AY9),1,IF(AND(AY$2&gt;AX$2,AY9&gt;AX9),1,IF(AND(AX$2=AY$2,AX9=AY9),1,0)))))</f>
        <v/>
      </c>
      <c r="BA9" s="1" t="n">
        <f aca="false">Participantes!AK8</f>
        <v>0</v>
      </c>
      <c r="BB9" s="1" t="n">
        <f aca="false">Participantes!AL8</f>
        <v>3</v>
      </c>
      <c r="BC9" s="82" t="str">
        <f aca="false">IF(BA$2="","",IF(AND(BA9=BA$2,BB9=BB$2),3,IF(AND(BA$2&gt;BB$2,BA9&gt;BB9),1,IF(AND(BB$2&gt;BA$2,BB9&gt;BA9),1,IF(AND(BA$2=BB$2,BA9=BB9),1,0)))))</f>
        <v/>
      </c>
      <c r="BD9" s="1" t="n">
        <f aca="false">Participantes!AM8</f>
        <v>3</v>
      </c>
      <c r="BE9" s="1" t="n">
        <f aca="false">Participantes!AN8</f>
        <v>0</v>
      </c>
      <c r="BF9" s="82" t="str">
        <f aca="false">IF(BD$2="","",IF(AND(BD9=BD$2,BE9=BE$2),3,IF(AND(BD$2&gt;BE$2,BD9&gt;BE9),1,IF(AND(BE$2&gt;BD$2,BE9&gt;BD9),1,IF(AND(BD$2=BE$2,BD9=BE9),1,0)))))</f>
        <v/>
      </c>
      <c r="BG9" s="1" t="n">
        <f aca="false">Participantes!AO8</f>
        <v>2</v>
      </c>
      <c r="BH9" s="1" t="n">
        <f aca="false">Participantes!AP8</f>
        <v>0</v>
      </c>
      <c r="BI9" s="82" t="str">
        <f aca="false">IF(BG$2="","",IF(AND(BG9=BG$2,BH9=BH$2),3,IF(AND(BG$2&gt;BH$2,BG9&gt;BH9),1,IF(AND(BH$2&gt;BG$2,BH9&gt;BG9),1,IF(AND(BG$2=BH$2,BG9=BH9),1,0)))))</f>
        <v/>
      </c>
      <c r="BJ9" s="1" t="n">
        <f aca="false">Participantes!AQ8</f>
        <v>1</v>
      </c>
      <c r="BK9" s="1" t="n">
        <f aca="false">Participantes!AR8</f>
        <v>2</v>
      </c>
      <c r="BL9" s="82" t="str">
        <f aca="false">IF(BJ$2="","",IF(AND(BJ9=BJ$2,BK9=BK$2),3,IF(AND(BJ$2&gt;BK$2,BJ9&gt;BK9),1,IF(AND(BK$2&gt;BJ$2,BK9&gt;BJ9),1,IF(AND(BJ$2=BK$2,BJ9=BK9),1,0)))))</f>
        <v/>
      </c>
      <c r="BM9" s="1" t="n">
        <f aca="false">Participantes!AS8</f>
        <v>2</v>
      </c>
      <c r="BN9" s="1" t="n">
        <f aca="false">Participantes!AT8</f>
        <v>1</v>
      </c>
      <c r="BO9" s="82" t="str">
        <f aca="false">IF(BM$2="","",IF(AND(BM9=BM$2,BN9=BN$2),3,IF(AND(BM$2&gt;BN$2,BM9&gt;BN9),1,IF(AND(BN$2&gt;BM$2,BN9&gt;BM9),1,IF(AND(BM$2=BN$2,BM9=BN9),1,0)))))</f>
        <v/>
      </c>
      <c r="BP9" s="1" t="n">
        <f aca="false">Participantes!AU8</f>
        <v>3</v>
      </c>
      <c r="BQ9" s="1" t="n">
        <f aca="false">Participantes!AV8</f>
        <v>0</v>
      </c>
      <c r="BR9" s="82" t="str">
        <f aca="false">IF(BP$2="","",IF(AND(BP9=BP$2,BQ9=BQ$2),3,IF(AND(BP$2&gt;BQ$2,BP9&gt;BQ9),1,IF(AND(BQ$2&gt;BP$2,BQ9&gt;BP9),1,IF(AND(BP$2=BQ$2,BP9=BQ9),1,0)))))</f>
        <v/>
      </c>
      <c r="BS9" s="1" t="n">
        <f aca="false">Participantes!AW8</f>
        <v>0</v>
      </c>
      <c r="BT9" s="1" t="n">
        <f aca="false">Participantes!AX8</f>
        <v>2</v>
      </c>
      <c r="BU9" s="82" t="str">
        <f aca="false">IF(BS$2="","",IF(AND(BS9=BS$2,BT9=BT$2),3,IF(AND(BS$2&gt;BT$2,BS9&gt;BT9),1,IF(AND(BT$2&gt;BS$2,BT9&gt;BS9),1,IF(AND(BS$2=BT$2,BS9=BT9),1,0)))))</f>
        <v/>
      </c>
      <c r="BV9" s="1" t="n">
        <f aca="false">Participantes!AY8</f>
        <v>2</v>
      </c>
      <c r="BW9" s="1" t="n">
        <f aca="false">Participantes!AZ8</f>
        <v>1</v>
      </c>
      <c r="BX9" s="82" t="str">
        <f aca="false">IF(BV$2="","",IF(AND(BV9=BV$2,BW9=BW$2),3,IF(AND(BV$2&gt;BW$2,BV9&gt;BW9),1,IF(AND(BW$2&gt;BV$2,BW9&gt;BV9),1,IF(AND(BV$2=BW$2,BV9=BW9),1,0)))))</f>
        <v/>
      </c>
      <c r="BY9" s="1" t="n">
        <f aca="false">Participantes!BA8</f>
        <v>1</v>
      </c>
      <c r="BZ9" s="1" t="n">
        <f aca="false">Participantes!BB8</f>
        <v>1</v>
      </c>
      <c r="CA9" s="82" t="str">
        <f aca="false">IF(BY$2="","",IF(AND(BY9=BY$2,BZ9=BZ$2),3,IF(AND(BY$2&gt;BZ$2,BY9&gt;BZ9),1,IF(AND(BZ$2&gt;BY$2,BZ9&gt;BY9),1,IF(AND(BY$2=BZ$2,BY9=BZ9),1,0)))))</f>
        <v/>
      </c>
      <c r="CB9" s="1" t="n">
        <f aca="false">Participantes!BC8</f>
        <v>3</v>
      </c>
      <c r="CC9" s="1" t="n">
        <f aca="false">Participantes!BD8</f>
        <v>1</v>
      </c>
      <c r="CD9" s="82" t="str">
        <f aca="false">IF(CB$2="","",IF(AND(CB9=CB$2,CC9=CC$2),3,IF(AND(CB$2&gt;CC$2,CB9&gt;CC9),1,IF(AND(CC$2&gt;CB$2,CC9&gt;CB9),1,IF(AND(CB$2=CC$2,CB9=CC9),1,0)))))</f>
        <v/>
      </c>
      <c r="CE9" s="1" t="n">
        <f aca="false">Participantes!BE8</f>
        <v>2</v>
      </c>
      <c r="CF9" s="1" t="n">
        <f aca="false">Participantes!BF8</f>
        <v>1</v>
      </c>
      <c r="CG9" s="82" t="str">
        <f aca="false">IF(CE$2="","",IF(AND(CE9=CE$2,CF9=CF$2),3,IF(AND(CE$2&gt;CF$2,CE9&gt;CF9),1,IF(AND(CF$2&gt;CE$2,CF9&gt;CE9),1,IF(AND(CE$2=CF$2,CE9=CF9),1,0)))))</f>
        <v/>
      </c>
      <c r="CH9" s="1" t="n">
        <f aca="false">Participantes!BG8</f>
        <v>0</v>
      </c>
      <c r="CI9" s="1" t="n">
        <f aca="false">Participantes!BH8</f>
        <v>0</v>
      </c>
      <c r="CJ9" s="82" t="str">
        <f aca="false">IF(CH$2="","",IF(AND(CH9=CH$2,CI9=CI$2),3,IF(AND(CH$2&gt;CI$2,CH9&gt;CI9),1,IF(AND(CI$2&gt;CH$2,CI9&gt;CH9),1,IF(AND(CH$2=CI$2,CH9=CI9),1,0)))))</f>
        <v/>
      </c>
      <c r="CK9" s="1" t="n">
        <f aca="false">Participantes!BI8</f>
        <v>0</v>
      </c>
      <c r="CL9" s="1" t="n">
        <f aca="false">Participantes!BJ8</f>
        <v>0</v>
      </c>
      <c r="CM9" s="82" t="str">
        <f aca="false">IF(CK$2="","",IF(AND(CK9=CK$2,CL9=CL$2),3,IF(AND(CK$2&gt;CL$2,CK9&gt;CL9),1,IF(AND(CL$2&gt;CK$2,CL9&gt;CK9),1,IF(AND(CK$2=CL$2,CK9=CL9),1,0)))))</f>
        <v/>
      </c>
      <c r="CN9" s="1" t="n">
        <f aca="false">Participantes!BK8</f>
        <v>0</v>
      </c>
      <c r="CO9" s="1" t="n">
        <f aca="false">Participantes!BL8</f>
        <v>0</v>
      </c>
      <c r="CP9" s="82" t="str">
        <f aca="false">IF(CN$2="","",IF(AND(CN9=CN$2,CO9=CO$2),3,IF(AND(CN$2&gt;CO$2,CN9&gt;CO9),1,IF(AND(CO$2&gt;CN$2,CO9&gt;CN9),1,IF(AND(CN$2=CO$2,CN9=CO9),1,0)))))</f>
        <v/>
      </c>
      <c r="CQ9" s="1" t="n">
        <f aca="false">Participantes!BM8</f>
        <v>0</v>
      </c>
      <c r="CR9" s="1" t="n">
        <f aca="false">Participantes!BN8</f>
        <v>0</v>
      </c>
      <c r="CS9" s="82" t="str">
        <f aca="false">IF(CQ$2="","",IF(AND(CQ9=CQ$2,CR9=CR$2),3,IF(AND(CQ$2&gt;CR$2,CQ9&gt;CR9),1,IF(AND(CR$2&gt;CQ$2,CR9&gt;CQ9),1,IF(AND(CQ$2=CR$2,CQ9=CR9),1,0)))))</f>
        <v/>
      </c>
      <c r="CT9" s="1" t="n">
        <f aca="false">Participantes!BO8</f>
        <v>0</v>
      </c>
      <c r="CU9" s="1" t="n">
        <f aca="false">Participantes!BP8</f>
        <v>0</v>
      </c>
      <c r="CV9" s="82" t="str">
        <f aca="false">IF(CT$2="","",IF(AND(CT9=CT$2,CU9=CU$2),3,IF(AND(CT$2&gt;CU$2,CT9&gt;CU9),1,IF(AND(CU$2&gt;CT$2,CU9&gt;CT9),1,IF(AND(CT$2=CU$2,CT9=CU9),1,0)))))</f>
        <v/>
      </c>
      <c r="CW9" s="1" t="n">
        <f aca="false">Participantes!BQ8</f>
        <v>0</v>
      </c>
      <c r="CX9" s="1" t="n">
        <f aca="false">Participantes!BR8</f>
        <v>0</v>
      </c>
      <c r="CY9" s="82" t="str">
        <f aca="false">IF(CW$2="","",IF(AND(CW9=CW$2,CX9=CX$2),3,IF(AND(CW$2&gt;CX$2,CW9&gt;CX9),1,IF(AND(CX$2&gt;CW$2,CX9&gt;CW9),1,IF(AND(CW$2=CX$2,CW9=CX9),1,0)))))</f>
        <v/>
      </c>
      <c r="CZ9" s="1" t="n">
        <f aca="false">Participantes!BS8</f>
        <v>0</v>
      </c>
      <c r="DA9" s="1" t="n">
        <f aca="false">Participantes!BT8</f>
        <v>0</v>
      </c>
      <c r="DB9" s="82" t="str">
        <f aca="false">IF(CZ$2="","",IF(AND(CZ9=CZ$2,DA9=DA$2),3,IF(AND(CZ$2&gt;DA$2,CZ9&gt;DA9),1,IF(AND(DA$2&gt;CZ$2,DA9&gt;CZ9),1,IF(AND(CZ$2=DA$2,CZ9=DA9),1,0)))))</f>
        <v/>
      </c>
      <c r="DC9" s="1" t="n">
        <f aca="false">Participantes!BU8</f>
        <v>0</v>
      </c>
      <c r="DD9" s="1" t="n">
        <f aca="false">Participantes!BV8</f>
        <v>0</v>
      </c>
      <c r="DE9" s="82" t="str">
        <f aca="false">IF(DC$2="","",IF(AND(DC9=DC$2,DD9=DD$2),3,IF(AND(DC$2&gt;DD$2,DC9&gt;DD9),1,IF(AND(DD$2&gt;DC$2,DD9&gt;DC9),1,IF(AND(DC$2=DD$2,DC9=DD9),1,0)))))</f>
        <v/>
      </c>
      <c r="DF9" s="1" t="n">
        <f aca="false">Participantes!BW8</f>
        <v>0</v>
      </c>
      <c r="DG9" s="1" t="n">
        <f aca="false">Participantes!BX8</f>
        <v>0</v>
      </c>
      <c r="DH9" s="82" t="str">
        <f aca="false">IF(DF$2="","",IF(AND(DF9=DF$2,DG9=DG$2),3,IF(AND(DF$2&gt;DG$2,DF9&gt;DG9),1,IF(AND(DG$2&gt;DF$2,DG9&gt;DF9),1,IF(AND(DF$2=DG$2,DF9=DG9),1,0)))))</f>
        <v/>
      </c>
      <c r="DI9" s="1" t="n">
        <f aca="false">Participantes!BY8</f>
        <v>0</v>
      </c>
      <c r="DJ9" s="1" t="n">
        <f aca="false">Participantes!BZ8</f>
        <v>0</v>
      </c>
      <c r="DK9" s="82" t="str">
        <f aca="false">IF(DI$2="","",IF(AND(DI9=DI$2,DJ9=DJ$2),3,IF(AND(DI$2&gt;DJ$2,DI9&gt;DJ9),1,IF(AND(DJ$2&gt;DI$2,DJ9&gt;DI9),1,IF(AND(DI$2=DJ$2,DI9=DJ9),1,0)))))</f>
        <v/>
      </c>
      <c r="DL9" s="1" t="n">
        <f aca="false">Participantes!CA8</f>
        <v>0</v>
      </c>
      <c r="DM9" s="1" t="n">
        <f aca="false">Participantes!CB8</f>
        <v>0</v>
      </c>
      <c r="DN9" s="82" t="str">
        <f aca="false">IF(DL$2="","",IF(AND(DL9=DL$2,DM9=DM$2),3,IF(AND(DL$2&gt;DM$2,DL9&gt;DM9),1,IF(AND(DM$2&gt;DL$2,DM9&gt;DL9),1,IF(AND(DL$2=DM$2,DL9=DM9),1,0)))))</f>
        <v/>
      </c>
      <c r="DO9" s="1" t="n">
        <f aca="false">Participantes!CC8</f>
        <v>0</v>
      </c>
      <c r="DP9" s="1" t="n">
        <f aca="false">Participantes!CD8</f>
        <v>0</v>
      </c>
      <c r="DQ9" s="82" t="str">
        <f aca="false">IF(DO$2="","",IF(AND(DO9=DO$2,DP9=DP$2),3,IF(AND(DO$2&gt;DP$2,DO9&gt;DP9),1,IF(AND(DP$2&gt;DO$2,DP9&gt;DO9),1,IF(AND(DO$2=DP$2,DO9=DP9),1,0)))))</f>
        <v/>
      </c>
      <c r="DR9" s="1" t="n">
        <f aca="false">Participantes!CE8</f>
        <v>0</v>
      </c>
      <c r="DS9" s="1" t="n">
        <f aca="false">Participantes!CF8</f>
        <v>0</v>
      </c>
      <c r="DT9" s="82" t="str">
        <f aca="false">IF(DR$2="","",IF(AND(DR9=DR$2,DS9=DS$2),3,IF(AND(DR$2&gt;DS$2,DR9&gt;DS9),1,IF(AND(DS$2&gt;DR$2,DS9&gt;DR9),1,IF(AND(DR$2=DS$2,DR9=DS9),1,0)))))</f>
        <v/>
      </c>
      <c r="DU9" s="1" t="n">
        <f aca="false">Participantes!CG8</f>
        <v>0</v>
      </c>
      <c r="DV9" s="1" t="n">
        <f aca="false">Participantes!CH8</f>
        <v>0</v>
      </c>
      <c r="DW9" s="82" t="str">
        <f aca="false">IF(DU$2="","",IF(AND(DU9=DU$2,DV9=DV$2),3,IF(AND(DU$2&gt;DV$2,DU9&gt;DV9),1,IF(AND(DV$2&gt;DU$2,DV9&gt;DU9),1,IF(AND(DU$2=DV$2,DU9=DV9),1,0)))))</f>
        <v/>
      </c>
      <c r="DX9" s="1" t="n">
        <f aca="false">Participantes!CI8</f>
        <v>0</v>
      </c>
      <c r="DY9" s="1" t="n">
        <f aca="false">Participantes!CJ8</f>
        <v>0</v>
      </c>
      <c r="DZ9" s="82" t="str">
        <f aca="false">IF(DX$2="","",IF(AND(DX9=DX$2,DY9=DY$2),3,IF(AND(DX$2&gt;DY$2,DX9&gt;DY9),1,IF(AND(DY$2&gt;DX$2,DY9&gt;DX9),1,IF(AND(DX$2=DY$2,DX9=DY9),1,0)))))</f>
        <v/>
      </c>
      <c r="EA9" s="1" t="n">
        <f aca="false">Participantes!CK8</f>
        <v>0</v>
      </c>
      <c r="EB9" s="1" t="n">
        <f aca="false">Participantes!CL8</f>
        <v>0</v>
      </c>
      <c r="EC9" s="82" t="str">
        <f aca="false">IF(EA$2="","",IF(AND(EA9=EA$2,EB9=EB$2),3,IF(AND(EA$2&gt;EB$2,EA9&gt;EB9),1,IF(AND(EB$2&gt;EA$2,EB9&gt;EA9),1,IF(AND(EA$2=EB$2,EA9=EB9),1,0)))))</f>
        <v/>
      </c>
      <c r="ED9" s="1" t="n">
        <f aca="false">Participantes!CM8</f>
        <v>0</v>
      </c>
      <c r="EE9" s="1" t="n">
        <f aca="false">Participantes!CN8</f>
        <v>0</v>
      </c>
      <c r="EF9" s="82" t="str">
        <f aca="false">IF(ED$2="","",IF(AND(ED9=ED$2,EE9=EE$2),3,IF(AND(ED$2&gt;EE$2,ED9&gt;EE9),1,IF(AND(EE$2&gt;ED$2,EE9&gt;ED9),1,IF(AND(ED$2=EE$2,ED9=EE9),1,0)))))</f>
        <v/>
      </c>
      <c r="EG9" s="1" t="n">
        <f aca="false">Participantes!CO8</f>
        <v>0</v>
      </c>
      <c r="EH9" s="1" t="n">
        <f aca="false">Participantes!CP8</f>
        <v>0</v>
      </c>
      <c r="EI9" s="82" t="str">
        <f aca="false">IF(EG$2="","",IF(AND(EG9=EG$2,EH9=EH$2),3,IF(AND(EG$2&gt;EH$2,EG9&gt;EH9),1,IF(AND(EH$2&gt;EG$2,EH9&gt;EG9),1,IF(AND(EG$2=EH$2,EG9=EH9),1,0)))))</f>
        <v/>
      </c>
      <c r="EJ9" s="1" t="n">
        <f aca="false">Participantes!CQ8</f>
        <v>0</v>
      </c>
      <c r="EK9" s="1" t="n">
        <f aca="false">Participantes!CR8</f>
        <v>0</v>
      </c>
      <c r="EL9" s="82" t="str">
        <f aca="false">IF(EJ$2="","",IF(AND(EJ9=EJ$2,EK9=EK$2),3,IF(AND(EJ$2&gt;EK$2,EJ9&gt;EK9),1,IF(AND(EK$2&gt;EJ$2,EK9&gt;EJ9),1,IF(AND(EJ$2=EK$2,EJ9=EK9),1,0)))))</f>
        <v/>
      </c>
      <c r="EM9" s="1" t="n">
        <f aca="false">Participantes!CS8</f>
        <v>0</v>
      </c>
      <c r="EN9" s="1" t="n">
        <f aca="false">Participantes!CT8</f>
        <v>0</v>
      </c>
      <c r="EO9" s="82" t="str">
        <f aca="false">IF(EM$2="","",IF(AND(EM9=EM$2,EN9=EN$2),3,IF(AND(EM$2&gt;EN$2,EM9&gt;EN9),1,IF(AND(EN$2&gt;EM$2,EN9&gt;EM9),1,IF(AND(EM$2=EN$2,EM9=EN9),1,0)))))</f>
        <v/>
      </c>
      <c r="EP9" s="1" t="n">
        <f aca="false">Participantes!CU8</f>
        <v>0</v>
      </c>
      <c r="EQ9" s="1" t="n">
        <f aca="false">Participantes!CV8</f>
        <v>0</v>
      </c>
      <c r="ER9" s="82" t="str">
        <f aca="false">IF(EP$2="","",IF(AND(EP9=EP$2,EQ9=EQ$2),3,IF(AND(EP$2&gt;EQ$2,EP9&gt;EQ9),1,IF(AND(EQ$2&gt;EP$2,EQ9&gt;EP9),1,IF(AND(EP$2=EQ$2,EP9=EQ9),1,0)))))</f>
        <v/>
      </c>
      <c r="ES9" s="1" t="n">
        <f aca="false">Participantes!CW8</f>
        <v>0</v>
      </c>
      <c r="ET9" s="1" t="n">
        <f aca="false">Participantes!CX8</f>
        <v>0</v>
      </c>
      <c r="EU9" s="82" t="str">
        <f aca="false">IF(ES$2="","",IF(AND(ES9=ES$2,ET9=ET$2),3,IF(AND(ES$2&gt;ET$2,ES9&gt;ET9),1,IF(AND(ET$2&gt;ES$2,ET9&gt;ES9),1,IF(AND(ES$2=ET$2,ES9=ET9),1,0)))))</f>
        <v/>
      </c>
      <c r="EV9" s="1" t="n">
        <f aca="false">Participantes!CY8</f>
        <v>0</v>
      </c>
      <c r="EW9" s="1" t="n">
        <f aca="false">Participantes!CZ8</f>
        <v>0</v>
      </c>
      <c r="EX9" s="82" t="str">
        <f aca="false">IF(EV$2="","",IF(AND(EV9=EV$2,EW9=EW$2),3,IF(AND(EV$2&gt;EW$2,EV9&gt;EW9),1,IF(AND(EW$2&gt;EV$2,EW9&gt;EV9),1,IF(AND(EV$2=EW$2,EV9=EW9),1,0)))))</f>
        <v/>
      </c>
      <c r="EY9" s="1" t="n">
        <f aca="false">Participantes!DA8</f>
        <v>0</v>
      </c>
      <c r="EZ9" s="1" t="n">
        <f aca="false">Participantes!DB8</f>
        <v>0</v>
      </c>
      <c r="FA9" s="82" t="str">
        <f aca="false">IF(EY$2="","",IF(AND(EY9=EY$2,EZ9=EZ$2),3,IF(AND(EY$2&gt;EZ$2,EY9&gt;EZ9),1,IF(AND(EZ$2&gt;EY$2,EZ9&gt;EY9),1,IF(AND(EY$2=EZ$2,EY9=EZ9),1,0)))))</f>
        <v/>
      </c>
      <c r="FB9" s="1" t="n">
        <f aca="false">Participantes!DC8</f>
        <v>0</v>
      </c>
      <c r="FC9" s="1" t="n">
        <f aca="false">Participantes!DD8</f>
        <v>0</v>
      </c>
      <c r="FD9" s="82" t="str">
        <f aca="false">IF(FB$2="","",IF(AND(FB9=FB$2,FC9=FC$2),3,IF(AND(FB$2&gt;FC$2,FB9&gt;FC9),1,IF(AND(FC$2&gt;FB$2,FC9&gt;FB9),1,IF(AND(FB$2=FC$2,FB9=FC9),1,0)))))</f>
        <v/>
      </c>
      <c r="FE9" s="1" t="n">
        <f aca="false">Participantes!DE8</f>
        <v>0</v>
      </c>
      <c r="FF9" s="1" t="n">
        <f aca="false">Participantes!DF8</f>
        <v>0</v>
      </c>
      <c r="FG9" s="82" t="str">
        <f aca="false">IF(FE$2="","",IF(AND(FE9=FE$2,FF9=FF$2),3,IF(AND(FE$2&gt;FF$2,FE9&gt;FF9),1,IF(AND(FF$2&gt;FE$2,FF9&gt;FE9),1,IF(AND(FE$2=FF$2,FE9=FF9),1,0)))))</f>
        <v/>
      </c>
      <c r="FH9" s="1" t="n">
        <f aca="false">Participantes!DG8</f>
        <v>0</v>
      </c>
      <c r="FI9" s="1" t="n">
        <f aca="false">Participantes!DH8</f>
        <v>0</v>
      </c>
      <c r="FJ9" s="82" t="str">
        <f aca="false">IF(FH$2="","",IF(AND(FH9=FH$2,FI9=FI$2),3,IF(AND(FH$2&gt;FI$2,FH9&gt;FI9),1,IF(AND(FI$2&gt;FH$2,FI9&gt;FH9),1,IF(AND(FH$2=FI$2,FH9=FI9),1,0)))))</f>
        <v/>
      </c>
      <c r="FK9" s="1" t="n">
        <f aca="false">Participantes!DI8</f>
        <v>0</v>
      </c>
      <c r="FL9" s="1" t="n">
        <f aca="false">Participantes!DJ8</f>
        <v>0</v>
      </c>
      <c r="FM9" s="82" t="str">
        <f aca="false">IF(FK$2="","",IF(AND(FK9=FK$2,FL9=FL$2),3,IF(AND(FK$2&gt;FL$2,FK9&gt;FL9),1,IF(AND(FL$2&gt;FK$2,FL9&gt;FK9),1,IF(AND(FK$2=FL$2,FK9=FL9),1,0)))))</f>
        <v/>
      </c>
      <c r="FN9" s="1" t="n">
        <f aca="false">Participantes!DK8</f>
        <v>0</v>
      </c>
      <c r="FO9" s="1" t="n">
        <f aca="false">Participantes!DL8</f>
        <v>0</v>
      </c>
      <c r="FP9" s="82" t="str">
        <f aca="false">IF(FN$2="","",IF(AND(FN9=FN$2,FO9=FO$2),3,IF(AND(FN$2&gt;FO$2,FN9&gt;FO9),1,IF(AND(FO$2&gt;FN$2,FO9&gt;FN9),1,IF(AND(FN$2=FO$2,FN9=FO9),1,0)))))</f>
        <v/>
      </c>
      <c r="FQ9" s="1" t="n">
        <f aca="false">Participantes!DM8</f>
        <v>0</v>
      </c>
      <c r="FR9" s="1" t="n">
        <f aca="false">Participantes!DN8</f>
        <v>0</v>
      </c>
      <c r="FS9" s="82" t="str">
        <f aca="false">IF(FQ$2="","",IF(AND(FQ9=FQ$2,FR9=FR$2),3,IF(AND(FQ$2&gt;FR$2,FQ9&gt;FR9),1,IF(AND(FR$2&gt;FQ$2,FR9&gt;FQ9),1,IF(AND(FQ$2=FR$2,FQ9=FR9),1,0)))))</f>
        <v/>
      </c>
      <c r="FT9" s="1" t="n">
        <f aca="false">Participantes!DO8</f>
        <v>0</v>
      </c>
      <c r="FU9" s="1" t="n">
        <f aca="false">Participantes!DP8</f>
        <v>0</v>
      </c>
      <c r="FV9" s="82" t="str">
        <f aca="false">IF(FT$2="","",IF(AND(FT9=FT$2,FU9=FU$2),3,IF(AND(FT$2&gt;FU$2,FT9&gt;FU9),1,IF(AND(FU$2&gt;FT$2,FU9&gt;FT9),1,IF(AND(FT$2=FU$2,FT9=FU9),1,0)))))</f>
        <v/>
      </c>
      <c r="FW9" s="1" t="n">
        <f aca="false">Participantes!DQ8</f>
        <v>0</v>
      </c>
      <c r="FX9" s="1" t="n">
        <f aca="false">Participantes!DR8</f>
        <v>0</v>
      </c>
      <c r="FY9" s="82" t="str">
        <f aca="false">IF(FW$2="","",IF(AND(FW9=FW$2,FX9=FX$2),3,IF(AND(FW$2&gt;FX$2,FW9&gt;FX9),1,IF(AND(FX$2&gt;FW$2,FX9&gt;FW9),1,IF(AND(FW$2=FX$2,FW9=FX9),1,0)))))</f>
        <v/>
      </c>
      <c r="FZ9" s="1" t="n">
        <f aca="false">Participantes!DS8</f>
        <v>0</v>
      </c>
      <c r="GA9" s="1" t="n">
        <f aca="false">Participantes!DT8</f>
        <v>0</v>
      </c>
      <c r="GB9" s="82" t="str">
        <f aca="false">IF(FZ$2="","",IF(AND(FZ9=FZ$2,GA9=GA$2),3,IF(AND(FZ$2&gt;GA$2,FZ9&gt;GA9),1,IF(AND(GA$2&gt;FZ$2,GA9&gt;FZ9),1,IF(AND(FZ$2=GA$2,FZ9=GA9),1,0)))))</f>
        <v/>
      </c>
      <c r="GC9" s="1" t="n">
        <f aca="false">Participantes!DU8</f>
        <v>0</v>
      </c>
      <c r="GD9" s="1" t="n">
        <f aca="false">Participantes!DV8</f>
        <v>0</v>
      </c>
      <c r="GE9" s="82" t="str">
        <f aca="false">IF(GC$2="","",IF(AND(GC9=GC$2,GD9=GD$2),3,IF(AND(GC$2&gt;GD$2,GC9&gt;GD9),1,IF(AND(GD$2&gt;GC$2,GD9&gt;GC9),1,IF(AND(GC$2=GD$2,GC9=GD9),1,0)))))</f>
        <v/>
      </c>
      <c r="GF9" s="1" t="n">
        <f aca="false">Participantes!DW8</f>
        <v>0</v>
      </c>
      <c r="GG9" s="1" t="n">
        <f aca="false">Participantes!DX8</f>
        <v>0</v>
      </c>
      <c r="GH9" s="82" t="str">
        <f aca="false">IF(GF$2="","",IF(AND(GF9=GF$2,GG9=GG$2),3,IF(AND(GF$2&gt;GG$2,GF9&gt;GG9),1,IF(AND(GG$2&gt;GF$2,GG9&gt;GF9),1,IF(AND(GF$2=GG$2,GF9=GG9),1,0)))))</f>
        <v/>
      </c>
      <c r="GI9" s="1" t="n">
        <f aca="false">Participantes!DY8</f>
        <v>0</v>
      </c>
      <c r="GJ9" s="1" t="n">
        <f aca="false">Participantes!DZ8</f>
        <v>0</v>
      </c>
      <c r="GK9" s="82" t="str">
        <f aca="false">IF(GI$2="","",IF(AND(GI9=GI$2,GJ9=GJ$2),3,IF(AND(GI$2&gt;GJ$2,GI9&gt;GJ9),1,IF(AND(GJ$2&gt;GI$2,GJ9&gt;GI9),1,IF(AND(GI$2=GJ$2,GI9=GJ9),1,0)))))</f>
        <v/>
      </c>
      <c r="GL9" s="1" t="n">
        <f aca="false">Participantes!EA8</f>
        <v>0</v>
      </c>
      <c r="GM9" s="1" t="n">
        <f aca="false">Participantes!EB8</f>
        <v>0</v>
      </c>
      <c r="GN9" s="82" t="str">
        <f aca="false">IF(GL$2="","",IF(AND(GL9=GL$2,GM9=GM$2),3,IF(AND(GL$2&gt;GM$2,GL9&gt;GM9),1,IF(AND(GM$2&gt;GL$2,GM9&gt;GL9),1,IF(AND(GL$2=GM$2,GL9=GM9),1,0)))))</f>
        <v/>
      </c>
      <c r="GO9" s="1" t="n">
        <f aca="false">Participantes!EC8</f>
        <v>0</v>
      </c>
      <c r="GP9" s="1" t="n">
        <f aca="false">Participantes!ED8</f>
        <v>0</v>
      </c>
      <c r="GQ9" s="82" t="str">
        <f aca="false">IF(GO$2="","",IF(AND(GO9=GO$2,GP9=GP$2),3,IF(AND(GO$2&gt;GP$2,GO9&gt;GP9),1,IF(AND(GP$2&gt;GO$2,GP9&gt;GO9),1,IF(AND(GO$2=GP$2,GO9=GP9),1,0)))))</f>
        <v/>
      </c>
      <c r="GR9" s="1" t="n">
        <f aca="false">Participantes!EE8</f>
        <v>0</v>
      </c>
      <c r="GS9" s="1" t="n">
        <f aca="false">Participantes!EF8</f>
        <v>0</v>
      </c>
      <c r="GT9" s="82" t="str">
        <f aca="false">IF(GR$2="","",IF(AND(GR9=GR$2,GS9=GS$2),3,IF(AND(GR$2&gt;GS$2,GR9&gt;GS9),1,IF(AND(GS$2&gt;GR$2,GS9&gt;GR9),1,IF(AND(GR$2=GS$2,GR9=GS9),1,0)))))</f>
        <v/>
      </c>
      <c r="GU9" s="1" t="n">
        <f aca="false">Participantes!EG8</f>
        <v>0</v>
      </c>
      <c r="GV9" s="1" t="n">
        <f aca="false">Participantes!EH8</f>
        <v>0</v>
      </c>
      <c r="GW9" s="82" t="str">
        <f aca="false">IF(GU$2="","",IF(AND(GU9=GU$2,GV9=GV$2),3,IF(AND(GU$2&gt;GV$2,GU9&gt;GV9),1,IF(AND(GV$2&gt;GU$2,GV9&gt;GU9),1,IF(AND(GU$2=GV$2,GU9=GV9),1,0)))))</f>
        <v/>
      </c>
      <c r="GX9" s="1" t="n">
        <f aca="false">Participantes!EI8</f>
        <v>0</v>
      </c>
      <c r="GY9" s="1" t="n">
        <f aca="false">Participantes!EJ8</f>
        <v>0</v>
      </c>
      <c r="GZ9" s="82" t="str">
        <f aca="false">IF(GX$2="","",IF(AND(GX9=GX$2,GY9=GY$2),3,IF(AND(GX$2&gt;GY$2,GX9&gt;GY9),1,IF(AND(GY$2&gt;GX$2,GY9&gt;GX9),1,IF(AND(GX$2=GY$2,GX9=GY9),1,0)))))</f>
        <v/>
      </c>
      <c r="HA9" s="1" t="n">
        <f aca="false">Participantes!EK8</f>
        <v>0</v>
      </c>
      <c r="HB9" s="1" t="n">
        <f aca="false">Participantes!EL8</f>
        <v>0</v>
      </c>
      <c r="HC9" s="82" t="str">
        <f aca="false">IF(HA$2="","",IF(AND(HA9=HA$2,HB9=HB$2),3,IF(AND(HA$2&gt;HB$2,HA9&gt;HB9),1,IF(AND(HB$2&gt;HA$2,HB9&gt;HA9),1,IF(AND(HA$2=HB$2,HA9=HB9),1,0)))))</f>
        <v/>
      </c>
      <c r="HD9" s="1" t="n">
        <f aca="false">Participantes!EM8</f>
        <v>0</v>
      </c>
      <c r="HE9" s="1" t="n">
        <f aca="false">Participantes!EN8</f>
        <v>0</v>
      </c>
      <c r="HF9" s="82" t="str">
        <f aca="false">IF(HD$2="","",IF(AND(HD9=HD$2,HE9=HE$2),3,IF(AND(HD$2&gt;HE$2,HD9&gt;HE9),1,IF(AND(HE$2&gt;HD$2,HE9&gt;HD9),1,IF(AND(HD$2=HE$2,HD9=HE9),1,0)))))</f>
        <v/>
      </c>
      <c r="HG9" s="1" t="n">
        <f aca="false">Participantes!EO8</f>
        <v>0</v>
      </c>
      <c r="HH9" s="1" t="n">
        <f aca="false">Participantes!EP8</f>
        <v>0</v>
      </c>
      <c r="HI9" s="82" t="str">
        <f aca="false">IF(HG$2="","",IF(AND(HG9=HG$2,HH9=HH$2),3,IF(AND(HG$2&gt;HH$2,HG9&gt;HH9),1,IF(AND(HH$2&gt;HG$2,HH9&gt;HG9),1,IF(AND(HG$2=HH$2,HG9=HH9),1,0)))))</f>
        <v/>
      </c>
      <c r="HJ9" s="83" t="n">
        <f aca="false">SUM(D9,G9,J9,M9,P9,S9,V9,Y9,AB9,AE9,AH9,AK9,AN9,AQ9,AT9,AW9,AZ9,BC9,BF9,BI9,BL9,BO9,BR9,BU9,BX9,CA9,CD9,CG9,CJ9,CM9,CP9,CS9,CV9,CY9,DB9,DE9,DH9,DK9,DN9,DQ9,DT9,DW9,DZ9,EC9,EF9,EI9,EL9,EO9,ER9,EU9,EX9,FA9,FD9,FG9,FJ9,FM9,FP9,FS9,FV9,FY9,GB9,GE9,GH9,GK9,GN9,GQ9,GT9,GW9,GZ9,HC9,HF9,HI9)</f>
        <v>1</v>
      </c>
    </row>
    <row r="10" customFormat="false" ht="15" hidden="false" customHeight="true" outlineLevel="0" collapsed="false">
      <c r="A10" s="81" t="str">
        <f aca="false">Participantes!B9</f>
        <v>Castillo L.</v>
      </c>
      <c r="B10" s="1" t="n">
        <f aca="false">Participantes!C9</f>
        <v>2</v>
      </c>
      <c r="C10" s="1" t="n">
        <f aca="false">Participantes!D9</f>
        <v>1</v>
      </c>
      <c r="D10" s="82" t="n">
        <f aca="false">IF(B$2="","",IF(AND(B10=B$2,C10=C$2),3,IF(AND(B$2&gt;C$2,B10&gt;C10),1,IF(AND(C$2&gt;B$2,C10&gt;B10),1,IF(AND(B$2=C$2,B10=C10),1,0)))))</f>
        <v>1</v>
      </c>
      <c r="E10" s="1" t="n">
        <f aca="false">Participantes!E9</f>
        <v>2</v>
      </c>
      <c r="F10" s="1" t="n">
        <f aca="false">Participantes!F9</f>
        <v>1</v>
      </c>
      <c r="G10" s="82" t="str">
        <f aca="false">IF(E$2="","",IF(AND(E10=E$2,F10=F$2),3,IF(AND(E$2&gt;F$2,E10&gt;F10),1,IF(AND(F$2&gt;E$2,F10&gt;E10),1,IF(AND(E$2=F$2,E10=F10),1,0)))))</f>
        <v/>
      </c>
      <c r="H10" s="1" t="n">
        <f aca="false">Participantes!G9</f>
        <v>1</v>
      </c>
      <c r="I10" s="1" t="n">
        <f aca="false">Participantes!H9</f>
        <v>1</v>
      </c>
      <c r="J10" s="82" t="str">
        <f aca="false">IF(H$2="","",IF(AND(H10=H$2,I10=I$2),3,IF(AND(H$2&gt;I$2,H10&gt;I10),1,IF(AND(I$2&gt;H$2,I10&gt;H10),1,IF(AND(H$2=I$2,H10=I10),1,0)))))</f>
        <v/>
      </c>
      <c r="K10" s="1" t="n">
        <f aca="false">Participantes!I9</f>
        <v>2</v>
      </c>
      <c r="L10" s="1" t="n">
        <f aca="false">Participantes!J9</f>
        <v>1</v>
      </c>
      <c r="M10" s="82" t="str">
        <f aca="false">IF(K$2="","",IF(AND(K10=K$2,L10=L$2),3,IF(AND(K$2&gt;L$2,K10&gt;L10),1,IF(AND(L$2&gt;K$2,L10&gt;K10),1,IF(AND(K$2=L$2,K10=L10),1,0)))))</f>
        <v/>
      </c>
      <c r="N10" s="1" t="n">
        <f aca="false">Participantes!K9</f>
        <v>0</v>
      </c>
      <c r="O10" s="1" t="n">
        <f aca="false">Participantes!L9</f>
        <v>2</v>
      </c>
      <c r="P10" s="82" t="str">
        <f aca="false">IF(N$2="","",IF(AND(N10=N$2,O10=O$2),3,IF(AND(N$2&gt;O$2,N10&gt;O10),1,IF(AND(O$2&gt;N$2,O10&gt;N10),1,IF(AND(N$2=O$2,N10=O10),1,0)))))</f>
        <v/>
      </c>
      <c r="Q10" s="1" t="n">
        <f aca="false">Participantes!M9</f>
        <v>1</v>
      </c>
      <c r="R10" s="1" t="n">
        <f aca="false">Participantes!N9</f>
        <v>3</v>
      </c>
      <c r="S10" s="82" t="str">
        <f aca="false">IF(Q$2="","",IF(AND(Q10=Q$2,R10=R$2),3,IF(AND(Q$2&gt;R$2,Q10&gt;R10),1,IF(AND(R$2&gt;Q$2,R10&gt;Q10),1,IF(AND(Q$2=R$2,Q10=R10),1,0)))))</f>
        <v/>
      </c>
      <c r="T10" s="1" t="n">
        <f aca="false">Participantes!O9</f>
        <v>2</v>
      </c>
      <c r="U10" s="1" t="n">
        <f aca="false">Participantes!P9</f>
        <v>1</v>
      </c>
      <c r="V10" s="82" t="str">
        <f aca="false">IF(T$2="","",IF(AND(T10=T$2,U10=U$2),3,IF(AND(T$2&gt;U$2,T10&gt;U10),1,IF(AND(U$2&gt;T$2,U10&gt;T10),1,IF(AND(T$2=U$2,T10=U10),1,0)))))</f>
        <v/>
      </c>
      <c r="W10" s="1" t="n">
        <f aca="false">Participantes!Q9</f>
        <v>0</v>
      </c>
      <c r="X10" s="1" t="n">
        <f aca="false">Participantes!R9</f>
        <v>3</v>
      </c>
      <c r="Y10" s="82" t="str">
        <f aca="false">IF(W$2="","",IF(AND(W10=W$2,X10=X$2),3,IF(AND(W$2&gt;X$2,W10&gt;X10),1,IF(AND(X$2&gt;W$2,X10&gt;W10),1,IF(AND(W$2=X$2,W10=X10),1,0)))))</f>
        <v/>
      </c>
      <c r="Z10" s="1" t="n">
        <f aca="false">Participantes!S9</f>
        <v>1</v>
      </c>
      <c r="AA10" s="1" t="n">
        <f aca="false">Participantes!T9</f>
        <v>1</v>
      </c>
      <c r="AB10" s="82" t="str">
        <f aca="false">IF(Z$2="","",IF(AND(Z10=Z$2,AA10=AA$2),3,IF(AND(Z$2&gt;AA$2,Z10&gt;AA10),1,IF(AND(AA$2&gt;Z$2,AA10&gt;Z10),1,IF(AND(Z$2=AA$2,Z10=AA10),1,0)))))</f>
        <v/>
      </c>
      <c r="AC10" s="1" t="n">
        <f aca="false">Participantes!U9</f>
        <v>4</v>
      </c>
      <c r="AD10" s="1" t="n">
        <f aca="false">Participantes!V9</f>
        <v>0</v>
      </c>
      <c r="AE10" s="82" t="str">
        <f aca="false">IF(AC$2="","",IF(AND(AC10=AC$2,AD10=AD$2),3,IF(AND(AC$2&gt;AD$2,AC10&gt;AD10),1,IF(AND(AD$2&gt;AC$2,AD10&gt;AC10),1,IF(AND(AC$2=AD$2,AC10=AD10),1,0)))))</f>
        <v/>
      </c>
      <c r="AF10" s="1" t="n">
        <f aca="false">Participantes!W9</f>
        <v>2</v>
      </c>
      <c r="AG10" s="1" t="n">
        <f aca="false">Participantes!X9</f>
        <v>2</v>
      </c>
      <c r="AH10" s="82" t="str">
        <f aca="false">IF(AF$2="","",IF(AND(AF10=AF$2,AG10=AG$2),3,IF(AND(AF$2&gt;AG$2,AF10&gt;AG10),1,IF(AND(AG$2&gt;AF$2,AG10&gt;AF10),1,IF(AND(AF$2=AG$2,AF10=AG10),1,0)))))</f>
        <v/>
      </c>
      <c r="AI10" s="1" t="n">
        <f aca="false">Participantes!Y9</f>
        <v>2</v>
      </c>
      <c r="AJ10" s="1" t="n">
        <f aca="false">Participantes!Z9</f>
        <v>11</v>
      </c>
      <c r="AK10" s="82" t="str">
        <f aca="false">IF(AI$2="","",IF(AND(AI10=AI$2,AJ10=AJ$2),3,IF(AND(AI$2&gt;AJ$2,AI10&gt;AJ10),1,IF(AND(AJ$2&gt;AI$2,AJ10&gt;AI10),1,IF(AND(AI$2=AJ$2,AI10=AJ10),1,0)))))</f>
        <v/>
      </c>
      <c r="AL10" s="1" t="n">
        <f aca="false">Participantes!AA9</f>
        <v>0</v>
      </c>
      <c r="AM10" s="1" t="n">
        <f aca="false">Participantes!AB9</f>
        <v>2</v>
      </c>
      <c r="AN10" s="82" t="str">
        <f aca="false">IF(AL$2="","",IF(AND(AL10=AL$2,AM10=AM$2),3,IF(AND(AL$2&gt;AM$2,AL10&gt;AM10),1,IF(AND(AM$2&gt;AL$2,AM10&gt;AL10),1,IF(AND(AL$2=AM$2,AL10=AM10),1,0)))))</f>
        <v/>
      </c>
      <c r="AO10" s="1" t="n">
        <f aca="false">Participantes!AC9</f>
        <v>4</v>
      </c>
      <c r="AP10" s="1" t="n">
        <f aca="false">Participantes!AD9</f>
        <v>0</v>
      </c>
      <c r="AQ10" s="82" t="str">
        <f aca="false">IF(AO$2="","",IF(AND(AO10=AO$2,AP10=AP$2),3,IF(AND(AO$2&gt;AP$2,AO10&gt;AP10),1,IF(AND(AP$2&gt;AO$2,AP10&gt;AO10),1,IF(AND(AO$2=AP$2,AO10=AP10),1,0)))))</f>
        <v/>
      </c>
      <c r="AR10" s="1" t="n">
        <f aca="false">Participantes!AE9</f>
        <v>2</v>
      </c>
      <c r="AS10" s="1" t="n">
        <f aca="false">Participantes!AF9</f>
        <v>0</v>
      </c>
      <c r="AT10" s="82" t="str">
        <f aca="false">IF(AR$2="","",IF(AND(AR10=AR$2,AS10=AS$2),3,IF(AND(AR$2&gt;AS$2,AR10&gt;AS10),1,IF(AND(AS$2&gt;AR$2,AS10&gt;AR10),1,IF(AND(AR$2=AS$2,AR10=AS10),1,0)))))</f>
        <v/>
      </c>
      <c r="AU10" s="1" t="n">
        <f aca="false">Participantes!AG9</f>
        <v>3</v>
      </c>
      <c r="AV10" s="1" t="n">
        <f aca="false">Participantes!AH9</f>
        <v>1</v>
      </c>
      <c r="AW10" s="82" t="str">
        <f aca="false">IF(AU$2="","",IF(AND(AU10=AU$2,AV10=AV$2),3,IF(AND(AU$2&gt;AV$2,AU10&gt;AV10),1,IF(AND(AV$2&gt;AU$2,AV10&gt;AU10),1,IF(AND(AU$2=AV$2,AU10=AV10),1,0)))))</f>
        <v/>
      </c>
      <c r="AX10" s="1" t="n">
        <f aca="false">Participantes!AI9</f>
        <v>2</v>
      </c>
      <c r="AY10" s="1" t="n">
        <f aca="false">Participantes!AJ9</f>
        <v>1</v>
      </c>
      <c r="AZ10" s="82" t="str">
        <f aca="false">IF(AX$2="","",IF(AND(AX10=AX$2,AY10=AY$2),3,IF(AND(AX$2&gt;AY$2,AX10&gt;AY10),1,IF(AND(AY$2&gt;AX$2,AY10&gt;AX10),1,IF(AND(AX$2=AY$2,AX10=AY10),1,0)))))</f>
        <v/>
      </c>
      <c r="BA10" s="1" t="n">
        <f aca="false">Participantes!AK9</f>
        <v>0</v>
      </c>
      <c r="BB10" s="1" t="n">
        <f aca="false">Participantes!AL9</f>
        <v>3</v>
      </c>
      <c r="BC10" s="82" t="str">
        <f aca="false">IF(BA$2="","",IF(AND(BA10=BA$2,BB10=BB$2),3,IF(AND(BA$2&gt;BB$2,BA10&gt;BB10),1,IF(AND(BB$2&gt;BA$2,BB10&gt;BA10),1,IF(AND(BA$2=BB$2,BA10=BB10),1,0)))))</f>
        <v/>
      </c>
      <c r="BD10" s="1" t="n">
        <f aca="false">Participantes!AM9</f>
        <v>3</v>
      </c>
      <c r="BE10" s="1" t="n">
        <f aca="false">Participantes!AN9</f>
        <v>0</v>
      </c>
      <c r="BF10" s="82" t="str">
        <f aca="false">IF(BD$2="","",IF(AND(BD10=BD$2,BE10=BE$2),3,IF(AND(BD$2&gt;BE$2,BD10&gt;BE10),1,IF(AND(BE$2&gt;BD$2,BE10&gt;BD10),1,IF(AND(BD$2=BE$2,BD10=BE10),1,0)))))</f>
        <v/>
      </c>
      <c r="BG10" s="1" t="n">
        <f aca="false">Participantes!AO9</f>
        <v>2</v>
      </c>
      <c r="BH10" s="1" t="n">
        <f aca="false">Participantes!AP9</f>
        <v>1</v>
      </c>
      <c r="BI10" s="82" t="str">
        <f aca="false">IF(BG$2="","",IF(AND(BG10=BG$2,BH10=BH$2),3,IF(AND(BG$2&gt;BH$2,BG10&gt;BH10),1,IF(AND(BH$2&gt;BG$2,BH10&gt;BG10),1,IF(AND(BG$2=BH$2,BG10=BH10),1,0)))))</f>
        <v/>
      </c>
      <c r="BJ10" s="1" t="n">
        <f aca="false">Participantes!AQ9</f>
        <v>2</v>
      </c>
      <c r="BK10" s="1" t="n">
        <f aca="false">Participantes!AR9</f>
        <v>1</v>
      </c>
      <c r="BL10" s="82" t="str">
        <f aca="false">IF(BJ$2="","",IF(AND(BJ10=BJ$2,BK10=BK$2),3,IF(AND(BJ$2&gt;BK$2,BJ10&gt;BK10),1,IF(AND(BK$2&gt;BJ$2,BK10&gt;BJ10),1,IF(AND(BJ$2=BK$2,BJ10=BK10),1,0)))))</f>
        <v/>
      </c>
      <c r="BM10" s="1" t="n">
        <f aca="false">Participantes!AS9</f>
        <v>2</v>
      </c>
      <c r="BN10" s="1" t="n">
        <f aca="false">Participantes!AT9</f>
        <v>2</v>
      </c>
      <c r="BO10" s="82" t="str">
        <f aca="false">IF(BM$2="","",IF(AND(BM10=BM$2,BN10=BN$2),3,IF(AND(BM$2&gt;BN$2,BM10&gt;BN10),1,IF(AND(BN$2&gt;BM$2,BN10&gt;BM10),1,IF(AND(BM$2=BN$2,BM10=BN10),1,0)))))</f>
        <v/>
      </c>
      <c r="BP10" s="1" t="n">
        <f aca="false">Participantes!AU9</f>
        <v>3</v>
      </c>
      <c r="BQ10" s="1" t="n">
        <f aca="false">Participantes!AV9</f>
        <v>0</v>
      </c>
      <c r="BR10" s="82" t="str">
        <f aca="false">IF(BP$2="","",IF(AND(BP10=BP$2,BQ10=BQ$2),3,IF(AND(BP$2&gt;BQ$2,BP10&gt;BQ10),1,IF(AND(BQ$2&gt;BP$2,BQ10&gt;BP10),1,IF(AND(BP$2=BQ$2,BP10=BQ10),1,0)))))</f>
        <v/>
      </c>
      <c r="BS10" s="1" t="n">
        <f aca="false">Participantes!AW9</f>
        <v>1</v>
      </c>
      <c r="BT10" s="1" t="n">
        <f aca="false">Participantes!AX9</f>
        <v>1</v>
      </c>
      <c r="BU10" s="82" t="str">
        <f aca="false">IF(BS$2="","",IF(AND(BS10=BS$2,BT10=BT$2),3,IF(AND(BS$2&gt;BT$2,BS10&gt;BT10),1,IF(AND(BT$2&gt;BS$2,BT10&gt;BS10),1,IF(AND(BS$2=BT$2,BS10=BT10),1,0)))))</f>
        <v/>
      </c>
      <c r="BV10" s="1" t="n">
        <f aca="false">Participantes!AY9</f>
        <v>3</v>
      </c>
      <c r="BW10" s="1" t="n">
        <f aca="false">Participantes!AZ9</f>
        <v>0</v>
      </c>
      <c r="BX10" s="82" t="str">
        <f aca="false">IF(BV$2="","",IF(AND(BV10=BV$2,BW10=BW$2),3,IF(AND(BV$2&gt;BW$2,BV10&gt;BW10),1,IF(AND(BW$2&gt;BV$2,BW10&gt;BV10),1,IF(AND(BV$2=BW$2,BV10=BW10),1,0)))))</f>
        <v/>
      </c>
      <c r="BY10" s="1" t="n">
        <f aca="false">Participantes!BA9</f>
        <v>2</v>
      </c>
      <c r="BZ10" s="1" t="n">
        <f aca="false">Participantes!BB9</f>
        <v>0</v>
      </c>
      <c r="CA10" s="82" t="str">
        <f aca="false">IF(BY$2="","",IF(AND(BY10=BY$2,BZ10=BZ$2),3,IF(AND(BY$2&gt;BZ$2,BY10&gt;BZ10),1,IF(AND(BZ$2&gt;BY$2,BZ10&gt;BY10),1,IF(AND(BY$2=BZ$2,BY10=BZ10),1,0)))))</f>
        <v/>
      </c>
      <c r="CB10" s="1" t="n">
        <f aca="false">Participantes!BC9</f>
        <v>3</v>
      </c>
      <c r="CC10" s="1" t="n">
        <f aca="false">Participantes!BD9</f>
        <v>1</v>
      </c>
      <c r="CD10" s="82" t="str">
        <f aca="false">IF(CB$2="","",IF(AND(CB10=CB$2,CC10=CC$2),3,IF(AND(CB$2&gt;CC$2,CB10&gt;CC10),1,IF(AND(CC$2&gt;CB$2,CC10&gt;CB10),1,IF(AND(CB$2=CC$2,CB10=CC10),1,0)))))</f>
        <v/>
      </c>
      <c r="CE10" s="1" t="n">
        <f aca="false">Participantes!BE9</f>
        <v>1</v>
      </c>
      <c r="CF10" s="1" t="n">
        <f aca="false">Participantes!BF9</f>
        <v>2</v>
      </c>
      <c r="CG10" s="82" t="str">
        <f aca="false">IF(CE$2="","",IF(AND(CE10=CE$2,CF10=CF$2),3,IF(AND(CE$2&gt;CF$2,CE10&gt;CF10),1,IF(AND(CF$2&gt;CE$2,CF10&gt;CE10),1,IF(AND(CE$2=CF$2,CE10=CF10),1,0)))))</f>
        <v/>
      </c>
      <c r="CH10" s="1" t="n">
        <f aca="false">Participantes!BG9</f>
        <v>0</v>
      </c>
      <c r="CI10" s="1" t="n">
        <f aca="false">Participantes!BH9</f>
        <v>0</v>
      </c>
      <c r="CJ10" s="82" t="str">
        <f aca="false">IF(CH$2="","",IF(AND(CH10=CH$2,CI10=CI$2),3,IF(AND(CH$2&gt;CI$2,CH10&gt;CI10),1,IF(AND(CI$2&gt;CH$2,CI10&gt;CH10),1,IF(AND(CH$2=CI$2,CH10=CI10),1,0)))))</f>
        <v/>
      </c>
      <c r="CK10" s="1" t="n">
        <f aca="false">Participantes!BI9</f>
        <v>0</v>
      </c>
      <c r="CL10" s="1" t="n">
        <f aca="false">Participantes!BJ9</f>
        <v>0</v>
      </c>
      <c r="CM10" s="82" t="str">
        <f aca="false">IF(CK$2="","",IF(AND(CK10=CK$2,CL10=CL$2),3,IF(AND(CK$2&gt;CL$2,CK10&gt;CL10),1,IF(AND(CL$2&gt;CK$2,CL10&gt;CK10),1,IF(AND(CK$2=CL$2,CK10=CL10),1,0)))))</f>
        <v/>
      </c>
      <c r="CN10" s="1" t="n">
        <f aca="false">Participantes!BK9</f>
        <v>0</v>
      </c>
      <c r="CO10" s="1" t="n">
        <f aca="false">Participantes!BL9</f>
        <v>0</v>
      </c>
      <c r="CP10" s="82" t="str">
        <f aca="false">IF(CN$2="","",IF(AND(CN10=CN$2,CO10=CO$2),3,IF(AND(CN$2&gt;CO$2,CN10&gt;CO10),1,IF(AND(CO$2&gt;CN$2,CO10&gt;CN10),1,IF(AND(CN$2=CO$2,CN10=CO10),1,0)))))</f>
        <v/>
      </c>
      <c r="CQ10" s="1" t="n">
        <f aca="false">Participantes!BM9</f>
        <v>0</v>
      </c>
      <c r="CR10" s="1" t="n">
        <f aca="false">Participantes!BN9</f>
        <v>0</v>
      </c>
      <c r="CS10" s="82" t="str">
        <f aca="false">IF(CQ$2="","",IF(AND(CQ10=CQ$2,CR10=CR$2),3,IF(AND(CQ$2&gt;CR$2,CQ10&gt;CR10),1,IF(AND(CR$2&gt;CQ$2,CR10&gt;CQ10),1,IF(AND(CQ$2=CR$2,CQ10=CR10),1,0)))))</f>
        <v/>
      </c>
      <c r="CT10" s="1" t="n">
        <f aca="false">Participantes!BO9</f>
        <v>0</v>
      </c>
      <c r="CU10" s="1" t="n">
        <f aca="false">Participantes!BP9</f>
        <v>0</v>
      </c>
      <c r="CV10" s="82" t="str">
        <f aca="false">IF(CT$2="","",IF(AND(CT10=CT$2,CU10=CU$2),3,IF(AND(CT$2&gt;CU$2,CT10&gt;CU10),1,IF(AND(CU$2&gt;CT$2,CU10&gt;CT10),1,IF(AND(CT$2=CU$2,CT10=CU10),1,0)))))</f>
        <v/>
      </c>
      <c r="CW10" s="1" t="n">
        <f aca="false">Participantes!BQ9</f>
        <v>0</v>
      </c>
      <c r="CX10" s="1" t="n">
        <f aca="false">Participantes!BR9</f>
        <v>0</v>
      </c>
      <c r="CY10" s="82" t="str">
        <f aca="false">IF(CW$2="","",IF(AND(CW10=CW$2,CX10=CX$2),3,IF(AND(CW$2&gt;CX$2,CW10&gt;CX10),1,IF(AND(CX$2&gt;CW$2,CX10&gt;CW10),1,IF(AND(CW$2=CX$2,CW10=CX10),1,0)))))</f>
        <v/>
      </c>
      <c r="CZ10" s="1" t="n">
        <f aca="false">Participantes!BS9</f>
        <v>0</v>
      </c>
      <c r="DA10" s="1" t="n">
        <f aca="false">Participantes!BT9</f>
        <v>0</v>
      </c>
      <c r="DB10" s="82" t="str">
        <f aca="false">IF(CZ$2="","",IF(AND(CZ10=CZ$2,DA10=DA$2),3,IF(AND(CZ$2&gt;DA$2,CZ10&gt;DA10),1,IF(AND(DA$2&gt;CZ$2,DA10&gt;CZ10),1,IF(AND(CZ$2=DA$2,CZ10=DA10),1,0)))))</f>
        <v/>
      </c>
      <c r="DC10" s="1" t="n">
        <f aca="false">Participantes!BU9</f>
        <v>0</v>
      </c>
      <c r="DD10" s="1" t="n">
        <f aca="false">Participantes!BV9</f>
        <v>0</v>
      </c>
      <c r="DE10" s="82" t="str">
        <f aca="false">IF(DC$2="","",IF(AND(DC10=DC$2,DD10=DD$2),3,IF(AND(DC$2&gt;DD$2,DC10&gt;DD10),1,IF(AND(DD$2&gt;DC$2,DD10&gt;DC10),1,IF(AND(DC$2=DD$2,DC10=DD10),1,0)))))</f>
        <v/>
      </c>
      <c r="DF10" s="1" t="n">
        <f aca="false">Participantes!BW9</f>
        <v>0</v>
      </c>
      <c r="DG10" s="1" t="n">
        <f aca="false">Participantes!BX9</f>
        <v>0</v>
      </c>
      <c r="DH10" s="82" t="str">
        <f aca="false">IF(DF$2="","",IF(AND(DF10=DF$2,DG10=DG$2),3,IF(AND(DF$2&gt;DG$2,DF10&gt;DG10),1,IF(AND(DG$2&gt;DF$2,DG10&gt;DF10),1,IF(AND(DF$2=DG$2,DF10=DG10),1,0)))))</f>
        <v/>
      </c>
      <c r="DI10" s="1" t="n">
        <f aca="false">Participantes!BY9</f>
        <v>0</v>
      </c>
      <c r="DJ10" s="1" t="n">
        <f aca="false">Participantes!BZ9</f>
        <v>0</v>
      </c>
      <c r="DK10" s="82" t="str">
        <f aca="false">IF(DI$2="","",IF(AND(DI10=DI$2,DJ10=DJ$2),3,IF(AND(DI$2&gt;DJ$2,DI10&gt;DJ10),1,IF(AND(DJ$2&gt;DI$2,DJ10&gt;DI10),1,IF(AND(DI$2=DJ$2,DI10=DJ10),1,0)))))</f>
        <v/>
      </c>
      <c r="DL10" s="1" t="n">
        <f aca="false">Participantes!CA9</f>
        <v>0</v>
      </c>
      <c r="DM10" s="1" t="n">
        <f aca="false">Participantes!CB9</f>
        <v>0</v>
      </c>
      <c r="DN10" s="82" t="str">
        <f aca="false">IF(DL$2="","",IF(AND(DL10=DL$2,DM10=DM$2),3,IF(AND(DL$2&gt;DM$2,DL10&gt;DM10),1,IF(AND(DM$2&gt;DL$2,DM10&gt;DL10),1,IF(AND(DL$2=DM$2,DL10=DM10),1,0)))))</f>
        <v/>
      </c>
      <c r="DO10" s="1" t="n">
        <f aca="false">Participantes!CC9</f>
        <v>0</v>
      </c>
      <c r="DP10" s="1" t="n">
        <f aca="false">Participantes!CD9</f>
        <v>0</v>
      </c>
      <c r="DQ10" s="82" t="str">
        <f aca="false">IF(DO$2="","",IF(AND(DO10=DO$2,DP10=DP$2),3,IF(AND(DO$2&gt;DP$2,DO10&gt;DP10),1,IF(AND(DP$2&gt;DO$2,DP10&gt;DO10),1,IF(AND(DO$2=DP$2,DO10=DP10),1,0)))))</f>
        <v/>
      </c>
      <c r="DR10" s="1" t="n">
        <f aca="false">Participantes!CE9</f>
        <v>0</v>
      </c>
      <c r="DS10" s="1" t="n">
        <f aca="false">Participantes!CF9</f>
        <v>0</v>
      </c>
      <c r="DT10" s="82" t="str">
        <f aca="false">IF(DR$2="","",IF(AND(DR10=DR$2,DS10=DS$2),3,IF(AND(DR$2&gt;DS$2,DR10&gt;DS10),1,IF(AND(DS$2&gt;DR$2,DS10&gt;DR10),1,IF(AND(DR$2=DS$2,DR10=DS10),1,0)))))</f>
        <v/>
      </c>
      <c r="DU10" s="1" t="n">
        <f aca="false">Participantes!CG9</f>
        <v>0</v>
      </c>
      <c r="DV10" s="1" t="n">
        <f aca="false">Participantes!CH9</f>
        <v>0</v>
      </c>
      <c r="DW10" s="82" t="str">
        <f aca="false">IF(DU$2="","",IF(AND(DU10=DU$2,DV10=DV$2),3,IF(AND(DU$2&gt;DV$2,DU10&gt;DV10),1,IF(AND(DV$2&gt;DU$2,DV10&gt;DU10),1,IF(AND(DU$2=DV$2,DU10=DV10),1,0)))))</f>
        <v/>
      </c>
      <c r="DX10" s="1" t="n">
        <f aca="false">Participantes!CI9</f>
        <v>0</v>
      </c>
      <c r="DY10" s="1" t="n">
        <f aca="false">Participantes!CJ9</f>
        <v>0</v>
      </c>
      <c r="DZ10" s="82" t="str">
        <f aca="false">IF(DX$2="","",IF(AND(DX10=DX$2,DY10=DY$2),3,IF(AND(DX$2&gt;DY$2,DX10&gt;DY10),1,IF(AND(DY$2&gt;DX$2,DY10&gt;DX10),1,IF(AND(DX$2=DY$2,DX10=DY10),1,0)))))</f>
        <v/>
      </c>
      <c r="EA10" s="1" t="n">
        <f aca="false">Participantes!CK9</f>
        <v>0</v>
      </c>
      <c r="EB10" s="1" t="n">
        <f aca="false">Participantes!CL9</f>
        <v>0</v>
      </c>
      <c r="EC10" s="82" t="str">
        <f aca="false">IF(EA$2="","",IF(AND(EA10=EA$2,EB10=EB$2),3,IF(AND(EA$2&gt;EB$2,EA10&gt;EB10),1,IF(AND(EB$2&gt;EA$2,EB10&gt;EA10),1,IF(AND(EA$2=EB$2,EA10=EB10),1,0)))))</f>
        <v/>
      </c>
      <c r="ED10" s="1" t="n">
        <f aca="false">Participantes!CM9</f>
        <v>0</v>
      </c>
      <c r="EE10" s="1" t="n">
        <f aca="false">Participantes!CN9</f>
        <v>0</v>
      </c>
      <c r="EF10" s="82" t="str">
        <f aca="false">IF(ED$2="","",IF(AND(ED10=ED$2,EE10=EE$2),3,IF(AND(ED$2&gt;EE$2,ED10&gt;EE10),1,IF(AND(EE$2&gt;ED$2,EE10&gt;ED10),1,IF(AND(ED$2=EE$2,ED10=EE10),1,0)))))</f>
        <v/>
      </c>
      <c r="EG10" s="1" t="n">
        <f aca="false">Participantes!CO9</f>
        <v>0</v>
      </c>
      <c r="EH10" s="1" t="n">
        <f aca="false">Participantes!CP9</f>
        <v>0</v>
      </c>
      <c r="EI10" s="82" t="str">
        <f aca="false">IF(EG$2="","",IF(AND(EG10=EG$2,EH10=EH$2),3,IF(AND(EG$2&gt;EH$2,EG10&gt;EH10),1,IF(AND(EH$2&gt;EG$2,EH10&gt;EG10),1,IF(AND(EG$2=EH$2,EG10=EH10),1,0)))))</f>
        <v/>
      </c>
      <c r="EJ10" s="1" t="n">
        <f aca="false">Participantes!CQ9</f>
        <v>0</v>
      </c>
      <c r="EK10" s="1" t="n">
        <f aca="false">Participantes!CR9</f>
        <v>0</v>
      </c>
      <c r="EL10" s="82" t="str">
        <f aca="false">IF(EJ$2="","",IF(AND(EJ10=EJ$2,EK10=EK$2),3,IF(AND(EJ$2&gt;EK$2,EJ10&gt;EK10),1,IF(AND(EK$2&gt;EJ$2,EK10&gt;EJ10),1,IF(AND(EJ$2=EK$2,EJ10=EK10),1,0)))))</f>
        <v/>
      </c>
      <c r="EM10" s="1" t="n">
        <f aca="false">Participantes!CS9</f>
        <v>0</v>
      </c>
      <c r="EN10" s="1" t="n">
        <f aca="false">Participantes!CT9</f>
        <v>0</v>
      </c>
      <c r="EO10" s="82" t="str">
        <f aca="false">IF(EM$2="","",IF(AND(EM10=EM$2,EN10=EN$2),3,IF(AND(EM$2&gt;EN$2,EM10&gt;EN10),1,IF(AND(EN$2&gt;EM$2,EN10&gt;EM10),1,IF(AND(EM$2=EN$2,EM10=EN10),1,0)))))</f>
        <v/>
      </c>
      <c r="EP10" s="1" t="n">
        <f aca="false">Participantes!CU9</f>
        <v>0</v>
      </c>
      <c r="EQ10" s="1" t="n">
        <f aca="false">Participantes!CV9</f>
        <v>0</v>
      </c>
      <c r="ER10" s="82" t="str">
        <f aca="false">IF(EP$2="","",IF(AND(EP10=EP$2,EQ10=EQ$2),3,IF(AND(EP$2&gt;EQ$2,EP10&gt;EQ10),1,IF(AND(EQ$2&gt;EP$2,EQ10&gt;EP10),1,IF(AND(EP$2=EQ$2,EP10=EQ10),1,0)))))</f>
        <v/>
      </c>
      <c r="ES10" s="1" t="n">
        <f aca="false">Participantes!CW9</f>
        <v>0</v>
      </c>
      <c r="ET10" s="1" t="n">
        <f aca="false">Participantes!CX9</f>
        <v>0</v>
      </c>
      <c r="EU10" s="82" t="str">
        <f aca="false">IF(ES$2="","",IF(AND(ES10=ES$2,ET10=ET$2),3,IF(AND(ES$2&gt;ET$2,ES10&gt;ET10),1,IF(AND(ET$2&gt;ES$2,ET10&gt;ES10),1,IF(AND(ES$2=ET$2,ES10=ET10),1,0)))))</f>
        <v/>
      </c>
      <c r="EV10" s="1" t="n">
        <f aca="false">Participantes!CY9</f>
        <v>0</v>
      </c>
      <c r="EW10" s="1" t="n">
        <f aca="false">Participantes!CZ9</f>
        <v>0</v>
      </c>
      <c r="EX10" s="82" t="str">
        <f aca="false">IF(EV$2="","",IF(AND(EV10=EV$2,EW10=EW$2),3,IF(AND(EV$2&gt;EW$2,EV10&gt;EW10),1,IF(AND(EW$2&gt;EV$2,EW10&gt;EV10),1,IF(AND(EV$2=EW$2,EV10=EW10),1,0)))))</f>
        <v/>
      </c>
      <c r="EY10" s="1" t="n">
        <f aca="false">Participantes!DA9</f>
        <v>0</v>
      </c>
      <c r="EZ10" s="1" t="n">
        <f aca="false">Participantes!DB9</f>
        <v>0</v>
      </c>
      <c r="FA10" s="82" t="str">
        <f aca="false">IF(EY$2="","",IF(AND(EY10=EY$2,EZ10=EZ$2),3,IF(AND(EY$2&gt;EZ$2,EY10&gt;EZ10),1,IF(AND(EZ$2&gt;EY$2,EZ10&gt;EY10),1,IF(AND(EY$2=EZ$2,EY10=EZ10),1,0)))))</f>
        <v/>
      </c>
      <c r="FB10" s="1" t="n">
        <f aca="false">Participantes!DC9</f>
        <v>0</v>
      </c>
      <c r="FC10" s="1" t="n">
        <f aca="false">Participantes!DD9</f>
        <v>0</v>
      </c>
      <c r="FD10" s="82" t="str">
        <f aca="false">IF(FB$2="","",IF(AND(FB10=FB$2,FC10=FC$2),3,IF(AND(FB$2&gt;FC$2,FB10&gt;FC10),1,IF(AND(FC$2&gt;FB$2,FC10&gt;FB10),1,IF(AND(FB$2=FC$2,FB10=FC10),1,0)))))</f>
        <v/>
      </c>
      <c r="FE10" s="1" t="n">
        <f aca="false">Participantes!DE9</f>
        <v>0</v>
      </c>
      <c r="FF10" s="1" t="n">
        <f aca="false">Participantes!DF9</f>
        <v>0</v>
      </c>
      <c r="FG10" s="82" t="str">
        <f aca="false">IF(FE$2="","",IF(AND(FE10=FE$2,FF10=FF$2),3,IF(AND(FE$2&gt;FF$2,FE10&gt;FF10),1,IF(AND(FF$2&gt;FE$2,FF10&gt;FE10),1,IF(AND(FE$2=FF$2,FE10=FF10),1,0)))))</f>
        <v/>
      </c>
      <c r="FH10" s="1" t="n">
        <f aca="false">Participantes!DG9</f>
        <v>0</v>
      </c>
      <c r="FI10" s="1" t="n">
        <f aca="false">Participantes!DH9</f>
        <v>0</v>
      </c>
      <c r="FJ10" s="82" t="str">
        <f aca="false">IF(FH$2="","",IF(AND(FH10=FH$2,FI10=FI$2),3,IF(AND(FH$2&gt;FI$2,FH10&gt;FI10),1,IF(AND(FI$2&gt;FH$2,FI10&gt;FH10),1,IF(AND(FH$2=FI$2,FH10=FI10),1,0)))))</f>
        <v/>
      </c>
      <c r="FK10" s="1" t="n">
        <f aca="false">Participantes!DI9</f>
        <v>0</v>
      </c>
      <c r="FL10" s="1" t="n">
        <f aca="false">Participantes!DJ9</f>
        <v>0</v>
      </c>
      <c r="FM10" s="82" t="str">
        <f aca="false">IF(FK$2="","",IF(AND(FK10=FK$2,FL10=FL$2),3,IF(AND(FK$2&gt;FL$2,FK10&gt;FL10),1,IF(AND(FL$2&gt;FK$2,FL10&gt;FK10),1,IF(AND(FK$2=FL$2,FK10=FL10),1,0)))))</f>
        <v/>
      </c>
      <c r="FN10" s="1" t="n">
        <f aca="false">Participantes!DK9</f>
        <v>0</v>
      </c>
      <c r="FO10" s="1" t="n">
        <f aca="false">Participantes!DL9</f>
        <v>0</v>
      </c>
      <c r="FP10" s="82" t="str">
        <f aca="false">IF(FN$2="","",IF(AND(FN10=FN$2,FO10=FO$2),3,IF(AND(FN$2&gt;FO$2,FN10&gt;FO10),1,IF(AND(FO$2&gt;FN$2,FO10&gt;FN10),1,IF(AND(FN$2=FO$2,FN10=FO10),1,0)))))</f>
        <v/>
      </c>
      <c r="FQ10" s="1" t="n">
        <f aca="false">Participantes!DM9</f>
        <v>0</v>
      </c>
      <c r="FR10" s="1" t="n">
        <f aca="false">Participantes!DN9</f>
        <v>0</v>
      </c>
      <c r="FS10" s="82" t="str">
        <f aca="false">IF(FQ$2="","",IF(AND(FQ10=FQ$2,FR10=FR$2),3,IF(AND(FQ$2&gt;FR$2,FQ10&gt;FR10),1,IF(AND(FR$2&gt;FQ$2,FR10&gt;FQ10),1,IF(AND(FQ$2=FR$2,FQ10=FR10),1,0)))))</f>
        <v/>
      </c>
      <c r="FT10" s="1" t="n">
        <f aca="false">Participantes!DO9</f>
        <v>0</v>
      </c>
      <c r="FU10" s="1" t="n">
        <f aca="false">Participantes!DP9</f>
        <v>0</v>
      </c>
      <c r="FV10" s="82" t="str">
        <f aca="false">IF(FT$2="","",IF(AND(FT10=FT$2,FU10=FU$2),3,IF(AND(FT$2&gt;FU$2,FT10&gt;FU10),1,IF(AND(FU$2&gt;FT$2,FU10&gt;FT10),1,IF(AND(FT$2=FU$2,FT10=FU10),1,0)))))</f>
        <v/>
      </c>
      <c r="FW10" s="1" t="n">
        <f aca="false">Participantes!DQ9</f>
        <v>0</v>
      </c>
      <c r="FX10" s="1" t="n">
        <f aca="false">Participantes!DR9</f>
        <v>0</v>
      </c>
      <c r="FY10" s="82" t="str">
        <f aca="false">IF(FW$2="","",IF(AND(FW10=FW$2,FX10=FX$2),3,IF(AND(FW$2&gt;FX$2,FW10&gt;FX10),1,IF(AND(FX$2&gt;FW$2,FX10&gt;FW10),1,IF(AND(FW$2=FX$2,FW10=FX10),1,0)))))</f>
        <v/>
      </c>
      <c r="FZ10" s="1" t="n">
        <f aca="false">Participantes!DS9</f>
        <v>0</v>
      </c>
      <c r="GA10" s="1" t="n">
        <f aca="false">Participantes!DT9</f>
        <v>0</v>
      </c>
      <c r="GB10" s="82" t="str">
        <f aca="false">IF(FZ$2="","",IF(AND(FZ10=FZ$2,GA10=GA$2),3,IF(AND(FZ$2&gt;GA$2,FZ10&gt;GA10),1,IF(AND(GA$2&gt;FZ$2,GA10&gt;FZ10),1,IF(AND(FZ$2=GA$2,FZ10=GA10),1,0)))))</f>
        <v/>
      </c>
      <c r="GC10" s="1" t="n">
        <f aca="false">Participantes!DU9</f>
        <v>0</v>
      </c>
      <c r="GD10" s="1" t="n">
        <f aca="false">Participantes!DV9</f>
        <v>0</v>
      </c>
      <c r="GE10" s="82" t="str">
        <f aca="false">IF(GC$2="","",IF(AND(GC10=GC$2,GD10=GD$2),3,IF(AND(GC$2&gt;GD$2,GC10&gt;GD10),1,IF(AND(GD$2&gt;GC$2,GD10&gt;GC10),1,IF(AND(GC$2=GD$2,GC10=GD10),1,0)))))</f>
        <v/>
      </c>
      <c r="GF10" s="1" t="n">
        <f aca="false">Participantes!DW9</f>
        <v>0</v>
      </c>
      <c r="GG10" s="1" t="n">
        <f aca="false">Participantes!DX9</f>
        <v>0</v>
      </c>
      <c r="GH10" s="82" t="str">
        <f aca="false">IF(GF$2="","",IF(AND(GF10=GF$2,GG10=GG$2),3,IF(AND(GF$2&gt;GG$2,GF10&gt;GG10),1,IF(AND(GG$2&gt;GF$2,GG10&gt;GF10),1,IF(AND(GF$2=GG$2,GF10=GG10),1,0)))))</f>
        <v/>
      </c>
      <c r="GI10" s="1" t="n">
        <f aca="false">Participantes!DY9</f>
        <v>0</v>
      </c>
      <c r="GJ10" s="1" t="n">
        <f aca="false">Participantes!DZ9</f>
        <v>0</v>
      </c>
      <c r="GK10" s="82" t="str">
        <f aca="false">IF(GI$2="","",IF(AND(GI10=GI$2,GJ10=GJ$2),3,IF(AND(GI$2&gt;GJ$2,GI10&gt;GJ10),1,IF(AND(GJ$2&gt;GI$2,GJ10&gt;GI10),1,IF(AND(GI$2=GJ$2,GI10=GJ10),1,0)))))</f>
        <v/>
      </c>
      <c r="GL10" s="1" t="n">
        <f aca="false">Participantes!EA9</f>
        <v>0</v>
      </c>
      <c r="GM10" s="1" t="n">
        <f aca="false">Participantes!EB9</f>
        <v>0</v>
      </c>
      <c r="GN10" s="82" t="str">
        <f aca="false">IF(GL$2="","",IF(AND(GL10=GL$2,GM10=GM$2),3,IF(AND(GL$2&gt;GM$2,GL10&gt;GM10),1,IF(AND(GM$2&gt;GL$2,GM10&gt;GL10),1,IF(AND(GL$2=GM$2,GL10=GM10),1,0)))))</f>
        <v/>
      </c>
      <c r="GO10" s="1" t="n">
        <f aca="false">Participantes!EC9</f>
        <v>0</v>
      </c>
      <c r="GP10" s="1" t="n">
        <f aca="false">Participantes!ED9</f>
        <v>0</v>
      </c>
      <c r="GQ10" s="82" t="str">
        <f aca="false">IF(GO$2="","",IF(AND(GO10=GO$2,GP10=GP$2),3,IF(AND(GO$2&gt;GP$2,GO10&gt;GP10),1,IF(AND(GP$2&gt;GO$2,GP10&gt;GO10),1,IF(AND(GO$2=GP$2,GO10=GP10),1,0)))))</f>
        <v/>
      </c>
      <c r="GR10" s="1" t="n">
        <f aca="false">Participantes!EE9</f>
        <v>0</v>
      </c>
      <c r="GS10" s="1" t="n">
        <f aca="false">Participantes!EF9</f>
        <v>0</v>
      </c>
      <c r="GT10" s="82" t="str">
        <f aca="false">IF(GR$2="","",IF(AND(GR10=GR$2,GS10=GS$2),3,IF(AND(GR$2&gt;GS$2,GR10&gt;GS10),1,IF(AND(GS$2&gt;GR$2,GS10&gt;GR10),1,IF(AND(GR$2=GS$2,GR10=GS10),1,0)))))</f>
        <v/>
      </c>
      <c r="GU10" s="1" t="n">
        <f aca="false">Participantes!EG9</f>
        <v>0</v>
      </c>
      <c r="GV10" s="1" t="n">
        <f aca="false">Participantes!EH9</f>
        <v>0</v>
      </c>
      <c r="GW10" s="82" t="str">
        <f aca="false">IF(GU$2="","",IF(AND(GU10=GU$2,GV10=GV$2),3,IF(AND(GU$2&gt;GV$2,GU10&gt;GV10),1,IF(AND(GV$2&gt;GU$2,GV10&gt;GU10),1,IF(AND(GU$2=GV$2,GU10=GV10),1,0)))))</f>
        <v/>
      </c>
      <c r="GX10" s="1" t="n">
        <f aca="false">Participantes!EI9</f>
        <v>0</v>
      </c>
      <c r="GY10" s="1" t="n">
        <f aca="false">Participantes!EJ9</f>
        <v>0</v>
      </c>
      <c r="GZ10" s="82" t="str">
        <f aca="false">IF(GX$2="","",IF(AND(GX10=GX$2,GY10=GY$2),3,IF(AND(GX$2&gt;GY$2,GX10&gt;GY10),1,IF(AND(GY$2&gt;GX$2,GY10&gt;GX10),1,IF(AND(GX$2=GY$2,GX10=GY10),1,0)))))</f>
        <v/>
      </c>
      <c r="HA10" s="1" t="n">
        <f aca="false">Participantes!EK9</f>
        <v>0</v>
      </c>
      <c r="HB10" s="1" t="n">
        <f aca="false">Participantes!EL9</f>
        <v>0</v>
      </c>
      <c r="HC10" s="82" t="str">
        <f aca="false">IF(HA$2="","",IF(AND(HA10=HA$2,HB10=HB$2),3,IF(AND(HA$2&gt;HB$2,HA10&gt;HB10),1,IF(AND(HB$2&gt;HA$2,HB10&gt;HA10),1,IF(AND(HA$2=HB$2,HA10=HB10),1,0)))))</f>
        <v/>
      </c>
      <c r="HD10" s="1" t="n">
        <f aca="false">Participantes!EM9</f>
        <v>0</v>
      </c>
      <c r="HE10" s="1" t="n">
        <f aca="false">Participantes!EN9</f>
        <v>0</v>
      </c>
      <c r="HF10" s="82" t="str">
        <f aca="false">IF(HD$2="","",IF(AND(HD10=HD$2,HE10=HE$2),3,IF(AND(HD$2&gt;HE$2,HD10&gt;HE10),1,IF(AND(HE$2&gt;HD$2,HE10&gt;HD10),1,IF(AND(HD$2=HE$2,HD10=HE10),1,0)))))</f>
        <v/>
      </c>
      <c r="HG10" s="1" t="n">
        <f aca="false">Participantes!EO9</f>
        <v>0</v>
      </c>
      <c r="HH10" s="1" t="n">
        <f aca="false">Participantes!EP9</f>
        <v>0</v>
      </c>
      <c r="HI10" s="82" t="str">
        <f aca="false">IF(HG$2="","",IF(AND(HG10=HG$2,HH10=HH$2),3,IF(AND(HG$2&gt;HH$2,HG10&gt;HH10),1,IF(AND(HH$2&gt;HG$2,HH10&gt;HG10),1,IF(AND(HG$2=HH$2,HG10=HH10),1,0)))))</f>
        <v/>
      </c>
      <c r="HJ10" s="83" t="n">
        <f aca="false">SUM(D10,G10,J10,M10,P10,S10,V10,Y10,AB10,AE10,AH10,AK10,AN10,AQ10,AT10,AW10,AZ10,BC10,BF10,BI10,BL10,BO10,BR10,BU10,BX10,CA10,CD10,CG10,CJ10,CM10,CP10,CS10,CV10,CY10,DB10,DE10,DH10,DK10,DN10,DQ10,DT10,DW10,DZ10,EC10,EF10,EI10,EL10,EO10,ER10,EU10,EX10,FA10,FD10,FG10,FJ10,FM10,FP10,FS10,FV10,FY10,GB10,GE10,GH10,GK10,GN10,GQ10,GT10,GW10,GZ10,HC10,HF10,HI10)</f>
        <v>1</v>
      </c>
    </row>
    <row r="11" customFormat="false" ht="15" hidden="false" customHeight="true" outlineLevel="0" collapsed="false">
      <c r="A11" s="81" t="str">
        <f aca="false">Participantes!B10</f>
        <v>Christofer</v>
      </c>
      <c r="B11" s="1" t="n">
        <f aca="false">Participantes!C10</f>
        <v>2</v>
      </c>
      <c r="C11" s="1" t="n">
        <f aca="false">Participantes!D10</f>
        <v>3</v>
      </c>
      <c r="D11" s="82" t="n">
        <f aca="false">IF(B$2="","",IF(AND(B11=B$2,C11=C$2),3,IF(AND(B$2&gt;C$2,B11&gt;C11),1,IF(AND(C$2&gt;B$2,C11&gt;B11),1,IF(AND(B$2=C$2,B11=C11),1,0)))))</f>
        <v>0</v>
      </c>
      <c r="E11" s="1" t="n">
        <f aca="false">Participantes!E10</f>
        <v>1</v>
      </c>
      <c r="F11" s="1" t="n">
        <f aca="false">Participantes!F10</f>
        <v>1</v>
      </c>
      <c r="G11" s="82" t="str">
        <f aca="false">IF(E$2="","",IF(AND(E11=E$2,F11=F$2),3,IF(AND(E$2&gt;F$2,E11&gt;F11),1,IF(AND(F$2&gt;E$2,F11&gt;E11),1,IF(AND(E$2=F$2,E11=F11),1,0)))))</f>
        <v/>
      </c>
      <c r="H11" s="1" t="n">
        <f aca="false">Participantes!G10</f>
        <v>1</v>
      </c>
      <c r="I11" s="1" t="n">
        <f aca="false">Participantes!H10</f>
        <v>2</v>
      </c>
      <c r="J11" s="82" t="str">
        <f aca="false">IF(H$2="","",IF(AND(H11=H$2,I11=I$2),3,IF(AND(H$2&gt;I$2,H11&gt;I11),1,IF(AND(I$2&gt;H$2,I11&gt;H11),1,IF(AND(H$2=I$2,H11=I11),1,0)))))</f>
        <v/>
      </c>
      <c r="K11" s="1" t="n">
        <f aca="false">Participantes!I10</f>
        <v>2</v>
      </c>
      <c r="L11" s="1" t="n">
        <f aca="false">Participantes!J10</f>
        <v>4</v>
      </c>
      <c r="M11" s="82" t="str">
        <f aca="false">IF(K$2="","",IF(AND(K11=K$2,L11=L$2),3,IF(AND(K$2&gt;L$2,K11&gt;L11),1,IF(AND(L$2&gt;K$2,L11&gt;K11),1,IF(AND(K$2=L$2,K11=L11),1,0)))))</f>
        <v/>
      </c>
      <c r="N11" s="1" t="n">
        <f aca="false">Participantes!K10</f>
        <v>3</v>
      </c>
      <c r="O11" s="1" t="n">
        <f aca="false">Participantes!L10</f>
        <v>4</v>
      </c>
      <c r="P11" s="82" t="str">
        <f aca="false">IF(N$2="","",IF(AND(N11=N$2,O11=O$2),3,IF(AND(N$2&gt;O$2,N11&gt;O11),1,IF(AND(O$2&gt;N$2,O11&gt;N11),1,IF(AND(N$2=O$2,N11=O11),1,0)))))</f>
        <v/>
      </c>
      <c r="Q11" s="1" t="n">
        <f aca="false">Participantes!M10</f>
        <v>2</v>
      </c>
      <c r="R11" s="1" t="n">
        <f aca="false">Participantes!N10</f>
        <v>1</v>
      </c>
      <c r="S11" s="82" t="str">
        <f aca="false">IF(Q$2="","",IF(AND(Q11=Q$2,R11=R$2),3,IF(AND(Q$2&gt;R$2,Q11&gt;R11),1,IF(AND(R$2&gt;Q$2,R11&gt;Q11),1,IF(AND(Q$2=R$2,Q11=R11),1,0)))))</f>
        <v/>
      </c>
      <c r="T11" s="1" t="n">
        <f aca="false">Participantes!O10</f>
        <v>5</v>
      </c>
      <c r="U11" s="1" t="n">
        <f aca="false">Participantes!P10</f>
        <v>1</v>
      </c>
      <c r="V11" s="82" t="str">
        <f aca="false">IF(T$2="","",IF(AND(T11=T$2,U11=U$2),3,IF(AND(T$2&gt;U$2,T11&gt;U11),1,IF(AND(U$2&gt;T$2,U11&gt;T11),1,IF(AND(T$2=U$2,T11=U11),1,0)))))</f>
        <v/>
      </c>
      <c r="W11" s="1" t="n">
        <f aca="false">Participantes!Q10</f>
        <v>2</v>
      </c>
      <c r="X11" s="1" t="n">
        <f aca="false">Participantes!R10</f>
        <v>1</v>
      </c>
      <c r="Y11" s="82" t="str">
        <f aca="false">IF(W$2="","",IF(AND(W11=W$2,X11=X$2),3,IF(AND(W$2&gt;X$2,W11&gt;X11),1,IF(AND(X$2&gt;W$2,X11&gt;W11),1,IF(AND(W$2=X$2,W11=X11),1,0)))))</f>
        <v/>
      </c>
      <c r="Z11" s="1" t="n">
        <f aca="false">Participantes!S10</f>
        <v>0</v>
      </c>
      <c r="AA11" s="1" t="n">
        <f aca="false">Participantes!T10</f>
        <v>3</v>
      </c>
      <c r="AB11" s="82" t="str">
        <f aca="false">IF(Z$2="","",IF(AND(Z11=Z$2,AA11=AA$2),3,IF(AND(Z$2&gt;AA$2,Z11&gt;AA11),1,IF(AND(AA$2&gt;Z$2,AA11&gt;Z11),1,IF(AND(Z$2=AA$2,Z11=AA11),1,0)))))</f>
        <v/>
      </c>
      <c r="AC11" s="1" t="n">
        <f aca="false">Participantes!U10</f>
        <v>2</v>
      </c>
      <c r="AD11" s="1" t="n">
        <f aca="false">Participantes!V10</f>
        <v>2</v>
      </c>
      <c r="AE11" s="82" t="str">
        <f aca="false">IF(AC$2="","",IF(AND(AC11=AC$2,AD11=AD$2),3,IF(AND(AC$2&gt;AD$2,AC11&gt;AD11),1,IF(AND(AD$2&gt;AC$2,AD11&gt;AC11),1,IF(AND(AC$2=AD$2,AC11=AD11),1,0)))))</f>
        <v/>
      </c>
      <c r="AF11" s="1" t="n">
        <f aca="false">Participantes!W10</f>
        <v>2</v>
      </c>
      <c r="AG11" s="1" t="n">
        <f aca="false">Participantes!X10</f>
        <v>5</v>
      </c>
      <c r="AH11" s="82" t="str">
        <f aca="false">IF(AF$2="","",IF(AND(AF11=AF$2,AG11=AG$2),3,IF(AND(AF$2&gt;AG$2,AF11&gt;AG11),1,IF(AND(AG$2&gt;AF$2,AG11&gt;AF11),1,IF(AND(AF$2=AG$2,AF11=AG11),1,0)))))</f>
        <v/>
      </c>
      <c r="AI11" s="1" t="n">
        <f aca="false">Participantes!Y10</f>
        <v>4</v>
      </c>
      <c r="AJ11" s="1" t="n">
        <f aca="false">Participantes!Z10</f>
        <v>1</v>
      </c>
      <c r="AK11" s="82" t="str">
        <f aca="false">IF(AI$2="","",IF(AND(AI11=AI$2,AJ11=AJ$2),3,IF(AND(AI$2&gt;AJ$2,AI11&gt;AJ11),1,IF(AND(AJ$2&gt;AI$2,AJ11&gt;AI11),1,IF(AND(AI$2=AJ$2,AI11=AJ11),1,0)))))</f>
        <v/>
      </c>
      <c r="AL11" s="1" t="n">
        <f aca="false">Participantes!AA10</f>
        <v>1</v>
      </c>
      <c r="AM11" s="1" t="n">
        <f aca="false">Participantes!AB10</f>
        <v>2</v>
      </c>
      <c r="AN11" s="82" t="str">
        <f aca="false">IF(AL$2="","",IF(AND(AL11=AL$2,AM11=AM$2),3,IF(AND(AL$2&gt;AM$2,AL11&gt;AM11),1,IF(AND(AM$2&gt;AL$2,AM11&gt;AL11),1,IF(AND(AL$2=AM$2,AL11=AM11),1,0)))))</f>
        <v/>
      </c>
      <c r="AO11" s="1" t="n">
        <f aca="false">Participantes!AC10</f>
        <v>3</v>
      </c>
      <c r="AP11" s="1" t="n">
        <f aca="false">Participantes!AD10</f>
        <v>1</v>
      </c>
      <c r="AQ11" s="82" t="str">
        <f aca="false">IF(AO$2="","",IF(AND(AO11=AO$2,AP11=AP$2),3,IF(AND(AO$2&gt;AP$2,AO11&gt;AP11),1,IF(AND(AP$2&gt;AO$2,AP11&gt;AO11),1,IF(AND(AO$2=AP$2,AO11=AP11),1,0)))))</f>
        <v/>
      </c>
      <c r="AR11" s="1" t="n">
        <f aca="false">Participantes!AE10</f>
        <v>1</v>
      </c>
      <c r="AS11" s="1" t="n">
        <f aca="false">Participantes!AF10</f>
        <v>1</v>
      </c>
      <c r="AT11" s="82" t="str">
        <f aca="false">IF(AR$2="","",IF(AND(AR11=AR$2,AS11=AS$2),3,IF(AND(AR$2&gt;AS$2,AR11&gt;AS11),1,IF(AND(AS$2&gt;AR$2,AS11&gt;AR11),1,IF(AND(AR$2=AS$2,AR11=AS11),1,0)))))</f>
        <v/>
      </c>
      <c r="AU11" s="1" t="n">
        <f aca="false">Participantes!AG10</f>
        <v>2</v>
      </c>
      <c r="AV11" s="1" t="n">
        <f aca="false">Participantes!AH10</f>
        <v>0</v>
      </c>
      <c r="AW11" s="82" t="str">
        <f aca="false">IF(AU$2="","",IF(AND(AU11=AU$2,AV11=AV$2),3,IF(AND(AU$2&gt;AV$2,AU11&gt;AV11),1,IF(AND(AV$2&gt;AU$2,AV11&gt;AU11),1,IF(AND(AU$2=AV$2,AU11=AV11),1,0)))))</f>
        <v/>
      </c>
      <c r="AX11" s="1" t="n">
        <f aca="false">Participantes!AI10</f>
        <v>1</v>
      </c>
      <c r="AY11" s="1" t="n">
        <f aca="false">Participantes!AJ10</f>
        <v>3</v>
      </c>
      <c r="AZ11" s="82" t="str">
        <f aca="false">IF(AX$2="","",IF(AND(AX11=AX$2,AY11=AY$2),3,IF(AND(AX$2&gt;AY$2,AX11&gt;AY11),1,IF(AND(AY$2&gt;AX$2,AY11&gt;AX11),1,IF(AND(AX$2=AY$2,AX11=AY11),1,0)))))</f>
        <v/>
      </c>
      <c r="BA11" s="1" t="n">
        <f aca="false">Participantes!AK10</f>
        <v>1</v>
      </c>
      <c r="BB11" s="1" t="n">
        <f aca="false">Participantes!AL10</f>
        <v>4</v>
      </c>
      <c r="BC11" s="82" t="str">
        <f aca="false">IF(BA$2="","",IF(AND(BA11=BA$2,BB11=BB$2),3,IF(AND(BA$2&gt;BB$2,BA11&gt;BB11),1,IF(AND(BB$2&gt;BA$2,BB11&gt;BA11),1,IF(AND(BA$2=BB$2,BA11=BB11),1,0)))))</f>
        <v/>
      </c>
      <c r="BD11" s="1" t="n">
        <f aca="false">Participantes!AM10</f>
        <v>3</v>
      </c>
      <c r="BE11" s="1" t="n">
        <f aca="false">Participantes!AN10</f>
        <v>2</v>
      </c>
      <c r="BF11" s="82" t="str">
        <f aca="false">IF(BD$2="","",IF(AND(BD11=BD$2,BE11=BE$2),3,IF(AND(BD$2&gt;BE$2,BD11&gt;BE11),1,IF(AND(BE$2&gt;BD$2,BE11&gt;BD11),1,IF(AND(BD$2=BE$2,BD11=BE11),1,0)))))</f>
        <v/>
      </c>
      <c r="BG11" s="1" t="n">
        <f aca="false">Participantes!AO10</f>
        <v>1</v>
      </c>
      <c r="BH11" s="1" t="n">
        <f aca="false">Participantes!AP10</f>
        <v>1</v>
      </c>
      <c r="BI11" s="82" t="str">
        <f aca="false">IF(BG$2="","",IF(AND(BG11=BG$2,BH11=BH$2),3,IF(AND(BG$2&gt;BH$2,BG11&gt;BH11),1,IF(AND(BH$2&gt;BG$2,BH11&gt;BG11),1,IF(AND(BG$2=BH$2,BG11=BH11),1,0)))))</f>
        <v/>
      </c>
      <c r="BJ11" s="1" t="n">
        <f aca="false">Participantes!AQ10</f>
        <v>1</v>
      </c>
      <c r="BK11" s="1" t="n">
        <f aca="false">Participantes!AR10</f>
        <v>3</v>
      </c>
      <c r="BL11" s="82" t="str">
        <f aca="false">IF(BJ$2="","",IF(AND(BJ11=BJ$2,BK11=BK$2),3,IF(AND(BJ$2&gt;BK$2,BJ11&gt;BK11),1,IF(AND(BK$2&gt;BJ$2,BK11&gt;BJ11),1,IF(AND(BJ$2=BK$2,BJ11=BK11),1,0)))))</f>
        <v/>
      </c>
      <c r="BM11" s="1" t="n">
        <f aca="false">Participantes!AS10</f>
        <v>2</v>
      </c>
      <c r="BN11" s="1" t="n">
        <f aca="false">Participantes!AT10</f>
        <v>1</v>
      </c>
      <c r="BO11" s="82" t="str">
        <f aca="false">IF(BM$2="","",IF(AND(BM11=BM$2,BN11=BN$2),3,IF(AND(BM$2&gt;BN$2,BM11&gt;BN11),1,IF(AND(BN$2&gt;BM$2,BN11&gt;BM11),1,IF(AND(BM$2=BN$2,BM11=BN11),1,0)))))</f>
        <v/>
      </c>
      <c r="BP11" s="1" t="n">
        <f aca="false">Participantes!AU10</f>
        <v>7</v>
      </c>
      <c r="BQ11" s="1" t="n">
        <f aca="false">Participantes!AV10</f>
        <v>4</v>
      </c>
      <c r="BR11" s="82" t="str">
        <f aca="false">IF(BP$2="","",IF(AND(BP11=BP$2,BQ11=BQ$2),3,IF(AND(BP$2&gt;BQ$2,BP11&gt;BQ11),1,IF(AND(BQ$2&gt;BP$2,BQ11&gt;BP11),1,IF(AND(BP$2=BQ$2,BP11=BQ11),1,0)))))</f>
        <v/>
      </c>
      <c r="BS11" s="1" t="n">
        <f aca="false">Participantes!AW10</f>
        <v>1</v>
      </c>
      <c r="BT11" s="1" t="n">
        <f aca="false">Participantes!AX10</f>
        <v>2</v>
      </c>
      <c r="BU11" s="82" t="str">
        <f aca="false">IF(BS$2="","",IF(AND(BS11=BS$2,BT11=BT$2),3,IF(AND(BS$2&gt;BT$2,BS11&gt;BT11),1,IF(AND(BT$2&gt;BS$2,BT11&gt;BS11),1,IF(AND(BS$2=BT$2,BS11=BT11),1,0)))))</f>
        <v/>
      </c>
      <c r="BV11" s="1" t="n">
        <f aca="false">Participantes!AY10</f>
        <v>2</v>
      </c>
      <c r="BW11" s="1" t="n">
        <f aca="false">Participantes!AZ10</f>
        <v>2</v>
      </c>
      <c r="BX11" s="82" t="str">
        <f aca="false">IF(BV$2="","",IF(AND(BV11=BV$2,BW11=BW$2),3,IF(AND(BV$2&gt;BW$2,BV11&gt;BW11),1,IF(AND(BW$2&gt;BV$2,BW11&gt;BV11),1,IF(AND(BV$2=BW$2,BV11=BW11),1,0)))))</f>
        <v/>
      </c>
      <c r="BY11" s="1" t="n">
        <f aca="false">Participantes!BA10</f>
        <v>3</v>
      </c>
      <c r="BZ11" s="1" t="n">
        <f aca="false">Participantes!BB10</f>
        <v>4</v>
      </c>
      <c r="CA11" s="82" t="str">
        <f aca="false">IF(BY$2="","",IF(AND(BY11=BY$2,BZ11=BZ$2),3,IF(AND(BY$2&gt;BZ$2,BY11&gt;BZ11),1,IF(AND(BZ$2&gt;BY$2,BZ11&gt;BY11),1,IF(AND(BY$2=BZ$2,BY11=BZ11),1,0)))))</f>
        <v/>
      </c>
      <c r="CB11" s="1" t="n">
        <f aca="false">Participantes!BC10</f>
        <v>2</v>
      </c>
      <c r="CC11" s="1" t="n">
        <f aca="false">Participantes!BD10</f>
        <v>3</v>
      </c>
      <c r="CD11" s="82" t="str">
        <f aca="false">IF(CB$2="","",IF(AND(CB11=CB$2,CC11=CC$2),3,IF(AND(CB$2&gt;CC$2,CB11&gt;CC11),1,IF(AND(CC$2&gt;CB$2,CC11&gt;CB11),1,IF(AND(CB$2=CC$2,CB11=CC11),1,0)))))</f>
        <v/>
      </c>
      <c r="CE11" s="1" t="n">
        <f aca="false">Participantes!BE10</f>
        <v>1</v>
      </c>
      <c r="CF11" s="1" t="n">
        <f aca="false">Participantes!BF10</f>
        <v>2</v>
      </c>
      <c r="CG11" s="82" t="str">
        <f aca="false">IF(CE$2="","",IF(AND(CE11=CE$2,CF11=CF$2),3,IF(AND(CE$2&gt;CF$2,CE11&gt;CF11),1,IF(AND(CF$2&gt;CE$2,CF11&gt;CE11),1,IF(AND(CE$2=CF$2,CE11=CF11),1,0)))))</f>
        <v/>
      </c>
      <c r="CH11" s="1" t="n">
        <f aca="false">Participantes!BG10</f>
        <v>0</v>
      </c>
      <c r="CI11" s="1" t="n">
        <f aca="false">Participantes!BH10</f>
        <v>0</v>
      </c>
      <c r="CJ11" s="82" t="str">
        <f aca="false">IF(CH$2="","",IF(AND(CH11=CH$2,CI11=CI$2),3,IF(AND(CH$2&gt;CI$2,CH11&gt;CI11),1,IF(AND(CI$2&gt;CH$2,CI11&gt;CH11),1,IF(AND(CH$2=CI$2,CH11=CI11),1,0)))))</f>
        <v/>
      </c>
      <c r="CK11" s="1" t="n">
        <f aca="false">Participantes!BI10</f>
        <v>0</v>
      </c>
      <c r="CL11" s="1" t="n">
        <f aca="false">Participantes!BJ10</f>
        <v>0</v>
      </c>
      <c r="CM11" s="82" t="str">
        <f aca="false">IF(CK$2="","",IF(AND(CK11=CK$2,CL11=CL$2),3,IF(AND(CK$2&gt;CL$2,CK11&gt;CL11),1,IF(AND(CL$2&gt;CK$2,CL11&gt;CK11),1,IF(AND(CK$2=CL$2,CK11=CL11),1,0)))))</f>
        <v/>
      </c>
      <c r="CN11" s="1" t="n">
        <f aca="false">Participantes!BK10</f>
        <v>0</v>
      </c>
      <c r="CO11" s="1" t="n">
        <f aca="false">Participantes!BL10</f>
        <v>0</v>
      </c>
      <c r="CP11" s="82" t="str">
        <f aca="false">IF(CN$2="","",IF(AND(CN11=CN$2,CO11=CO$2),3,IF(AND(CN$2&gt;CO$2,CN11&gt;CO11),1,IF(AND(CO$2&gt;CN$2,CO11&gt;CN11),1,IF(AND(CN$2=CO$2,CN11=CO11),1,0)))))</f>
        <v/>
      </c>
      <c r="CQ11" s="1" t="n">
        <f aca="false">Participantes!BM10</f>
        <v>0</v>
      </c>
      <c r="CR11" s="1" t="n">
        <f aca="false">Participantes!BN10</f>
        <v>0</v>
      </c>
      <c r="CS11" s="82" t="str">
        <f aca="false">IF(CQ$2="","",IF(AND(CQ11=CQ$2,CR11=CR$2),3,IF(AND(CQ$2&gt;CR$2,CQ11&gt;CR11),1,IF(AND(CR$2&gt;CQ$2,CR11&gt;CQ11),1,IF(AND(CQ$2=CR$2,CQ11=CR11),1,0)))))</f>
        <v/>
      </c>
      <c r="CT11" s="1" t="n">
        <f aca="false">Participantes!BO10</f>
        <v>0</v>
      </c>
      <c r="CU11" s="1" t="n">
        <f aca="false">Participantes!BP10</f>
        <v>0</v>
      </c>
      <c r="CV11" s="82" t="str">
        <f aca="false">IF(CT$2="","",IF(AND(CT11=CT$2,CU11=CU$2),3,IF(AND(CT$2&gt;CU$2,CT11&gt;CU11),1,IF(AND(CU$2&gt;CT$2,CU11&gt;CT11),1,IF(AND(CT$2=CU$2,CT11=CU11),1,0)))))</f>
        <v/>
      </c>
      <c r="CW11" s="1" t="n">
        <f aca="false">Participantes!BQ10</f>
        <v>0</v>
      </c>
      <c r="CX11" s="1" t="n">
        <f aca="false">Participantes!BR10</f>
        <v>0</v>
      </c>
      <c r="CY11" s="82" t="str">
        <f aca="false">IF(CW$2="","",IF(AND(CW11=CW$2,CX11=CX$2),3,IF(AND(CW$2&gt;CX$2,CW11&gt;CX11),1,IF(AND(CX$2&gt;CW$2,CX11&gt;CW11),1,IF(AND(CW$2=CX$2,CW11=CX11),1,0)))))</f>
        <v/>
      </c>
      <c r="CZ11" s="1" t="n">
        <f aca="false">Participantes!BS10</f>
        <v>0</v>
      </c>
      <c r="DA11" s="1" t="n">
        <f aca="false">Participantes!BT10</f>
        <v>0</v>
      </c>
      <c r="DB11" s="82" t="str">
        <f aca="false">IF(CZ$2="","",IF(AND(CZ11=CZ$2,DA11=DA$2),3,IF(AND(CZ$2&gt;DA$2,CZ11&gt;DA11),1,IF(AND(DA$2&gt;CZ$2,DA11&gt;CZ11),1,IF(AND(CZ$2=DA$2,CZ11=DA11),1,0)))))</f>
        <v/>
      </c>
      <c r="DC11" s="1" t="n">
        <f aca="false">Participantes!BU10</f>
        <v>0</v>
      </c>
      <c r="DD11" s="1" t="n">
        <f aca="false">Participantes!BV10</f>
        <v>0</v>
      </c>
      <c r="DE11" s="82" t="str">
        <f aca="false">IF(DC$2="","",IF(AND(DC11=DC$2,DD11=DD$2),3,IF(AND(DC$2&gt;DD$2,DC11&gt;DD11),1,IF(AND(DD$2&gt;DC$2,DD11&gt;DC11),1,IF(AND(DC$2=DD$2,DC11=DD11),1,0)))))</f>
        <v/>
      </c>
      <c r="DF11" s="1" t="n">
        <f aca="false">Participantes!BW10</f>
        <v>0</v>
      </c>
      <c r="DG11" s="1" t="n">
        <f aca="false">Participantes!BX10</f>
        <v>0</v>
      </c>
      <c r="DH11" s="82" t="str">
        <f aca="false">IF(DF$2="","",IF(AND(DF11=DF$2,DG11=DG$2),3,IF(AND(DF$2&gt;DG$2,DF11&gt;DG11),1,IF(AND(DG$2&gt;DF$2,DG11&gt;DF11),1,IF(AND(DF$2=DG$2,DF11=DG11),1,0)))))</f>
        <v/>
      </c>
      <c r="DI11" s="1" t="n">
        <f aca="false">Participantes!BY10</f>
        <v>0</v>
      </c>
      <c r="DJ11" s="1" t="n">
        <f aca="false">Participantes!BZ10</f>
        <v>0</v>
      </c>
      <c r="DK11" s="82" t="str">
        <f aca="false">IF(DI$2="","",IF(AND(DI11=DI$2,DJ11=DJ$2),3,IF(AND(DI$2&gt;DJ$2,DI11&gt;DJ11),1,IF(AND(DJ$2&gt;DI$2,DJ11&gt;DI11),1,IF(AND(DI$2=DJ$2,DI11=DJ11),1,0)))))</f>
        <v/>
      </c>
      <c r="DL11" s="1" t="n">
        <f aca="false">Participantes!CA10</f>
        <v>0</v>
      </c>
      <c r="DM11" s="1" t="n">
        <f aca="false">Participantes!CB10</f>
        <v>0</v>
      </c>
      <c r="DN11" s="82" t="str">
        <f aca="false">IF(DL$2="","",IF(AND(DL11=DL$2,DM11=DM$2),3,IF(AND(DL$2&gt;DM$2,DL11&gt;DM11),1,IF(AND(DM$2&gt;DL$2,DM11&gt;DL11),1,IF(AND(DL$2=DM$2,DL11=DM11),1,0)))))</f>
        <v/>
      </c>
      <c r="DO11" s="1" t="n">
        <f aca="false">Participantes!CC10</f>
        <v>0</v>
      </c>
      <c r="DP11" s="1" t="n">
        <f aca="false">Participantes!CD10</f>
        <v>0</v>
      </c>
      <c r="DQ11" s="82" t="str">
        <f aca="false">IF(DO$2="","",IF(AND(DO11=DO$2,DP11=DP$2),3,IF(AND(DO$2&gt;DP$2,DO11&gt;DP11),1,IF(AND(DP$2&gt;DO$2,DP11&gt;DO11),1,IF(AND(DO$2=DP$2,DO11=DP11),1,0)))))</f>
        <v/>
      </c>
      <c r="DR11" s="1" t="n">
        <f aca="false">Participantes!CE10</f>
        <v>0</v>
      </c>
      <c r="DS11" s="1" t="n">
        <f aca="false">Participantes!CF10</f>
        <v>0</v>
      </c>
      <c r="DT11" s="82" t="str">
        <f aca="false">IF(DR$2="","",IF(AND(DR11=DR$2,DS11=DS$2),3,IF(AND(DR$2&gt;DS$2,DR11&gt;DS11),1,IF(AND(DS$2&gt;DR$2,DS11&gt;DR11),1,IF(AND(DR$2=DS$2,DR11=DS11),1,0)))))</f>
        <v/>
      </c>
      <c r="DU11" s="1" t="n">
        <f aca="false">Participantes!CG10</f>
        <v>0</v>
      </c>
      <c r="DV11" s="1" t="n">
        <f aca="false">Participantes!CH10</f>
        <v>0</v>
      </c>
      <c r="DW11" s="82" t="str">
        <f aca="false">IF(DU$2="","",IF(AND(DU11=DU$2,DV11=DV$2),3,IF(AND(DU$2&gt;DV$2,DU11&gt;DV11),1,IF(AND(DV$2&gt;DU$2,DV11&gt;DU11),1,IF(AND(DU$2=DV$2,DU11=DV11),1,0)))))</f>
        <v/>
      </c>
      <c r="DX11" s="1" t="n">
        <f aca="false">Participantes!CI10</f>
        <v>0</v>
      </c>
      <c r="DY11" s="1" t="n">
        <f aca="false">Participantes!CJ10</f>
        <v>0</v>
      </c>
      <c r="DZ11" s="82" t="str">
        <f aca="false">IF(DX$2="","",IF(AND(DX11=DX$2,DY11=DY$2),3,IF(AND(DX$2&gt;DY$2,DX11&gt;DY11),1,IF(AND(DY$2&gt;DX$2,DY11&gt;DX11),1,IF(AND(DX$2=DY$2,DX11=DY11),1,0)))))</f>
        <v/>
      </c>
      <c r="EA11" s="1" t="n">
        <f aca="false">Participantes!CK10</f>
        <v>0</v>
      </c>
      <c r="EB11" s="1" t="n">
        <f aca="false">Participantes!CL10</f>
        <v>0</v>
      </c>
      <c r="EC11" s="82" t="str">
        <f aca="false">IF(EA$2="","",IF(AND(EA11=EA$2,EB11=EB$2),3,IF(AND(EA$2&gt;EB$2,EA11&gt;EB11),1,IF(AND(EB$2&gt;EA$2,EB11&gt;EA11),1,IF(AND(EA$2=EB$2,EA11=EB11),1,0)))))</f>
        <v/>
      </c>
      <c r="ED11" s="1" t="n">
        <f aca="false">Participantes!CM10</f>
        <v>0</v>
      </c>
      <c r="EE11" s="1" t="n">
        <f aca="false">Participantes!CN10</f>
        <v>0</v>
      </c>
      <c r="EF11" s="82" t="str">
        <f aca="false">IF(ED$2="","",IF(AND(ED11=ED$2,EE11=EE$2),3,IF(AND(ED$2&gt;EE$2,ED11&gt;EE11),1,IF(AND(EE$2&gt;ED$2,EE11&gt;ED11),1,IF(AND(ED$2=EE$2,ED11=EE11),1,0)))))</f>
        <v/>
      </c>
      <c r="EG11" s="1" t="n">
        <f aca="false">Participantes!CO10</f>
        <v>0</v>
      </c>
      <c r="EH11" s="1" t="n">
        <f aca="false">Participantes!CP10</f>
        <v>0</v>
      </c>
      <c r="EI11" s="82" t="str">
        <f aca="false">IF(EG$2="","",IF(AND(EG11=EG$2,EH11=EH$2),3,IF(AND(EG$2&gt;EH$2,EG11&gt;EH11),1,IF(AND(EH$2&gt;EG$2,EH11&gt;EG11),1,IF(AND(EG$2=EH$2,EG11=EH11),1,0)))))</f>
        <v/>
      </c>
      <c r="EJ11" s="1" t="n">
        <f aca="false">Participantes!CQ10</f>
        <v>0</v>
      </c>
      <c r="EK11" s="1" t="n">
        <f aca="false">Participantes!CR10</f>
        <v>0</v>
      </c>
      <c r="EL11" s="82" t="str">
        <f aca="false">IF(EJ$2="","",IF(AND(EJ11=EJ$2,EK11=EK$2),3,IF(AND(EJ$2&gt;EK$2,EJ11&gt;EK11),1,IF(AND(EK$2&gt;EJ$2,EK11&gt;EJ11),1,IF(AND(EJ$2=EK$2,EJ11=EK11),1,0)))))</f>
        <v/>
      </c>
      <c r="EM11" s="1" t="n">
        <f aca="false">Participantes!CS10</f>
        <v>0</v>
      </c>
      <c r="EN11" s="1" t="n">
        <f aca="false">Participantes!CT10</f>
        <v>0</v>
      </c>
      <c r="EO11" s="82" t="str">
        <f aca="false">IF(EM$2="","",IF(AND(EM11=EM$2,EN11=EN$2),3,IF(AND(EM$2&gt;EN$2,EM11&gt;EN11),1,IF(AND(EN$2&gt;EM$2,EN11&gt;EM11),1,IF(AND(EM$2=EN$2,EM11=EN11),1,0)))))</f>
        <v/>
      </c>
      <c r="EP11" s="1" t="n">
        <f aca="false">Participantes!CU10</f>
        <v>0</v>
      </c>
      <c r="EQ11" s="1" t="n">
        <f aca="false">Participantes!CV10</f>
        <v>0</v>
      </c>
      <c r="ER11" s="82" t="str">
        <f aca="false">IF(EP$2="","",IF(AND(EP11=EP$2,EQ11=EQ$2),3,IF(AND(EP$2&gt;EQ$2,EP11&gt;EQ11),1,IF(AND(EQ$2&gt;EP$2,EQ11&gt;EP11),1,IF(AND(EP$2=EQ$2,EP11=EQ11),1,0)))))</f>
        <v/>
      </c>
      <c r="ES11" s="1" t="n">
        <f aca="false">Participantes!CW10</f>
        <v>0</v>
      </c>
      <c r="ET11" s="1" t="n">
        <f aca="false">Participantes!CX10</f>
        <v>0</v>
      </c>
      <c r="EU11" s="82" t="str">
        <f aca="false">IF(ES$2="","",IF(AND(ES11=ES$2,ET11=ET$2),3,IF(AND(ES$2&gt;ET$2,ES11&gt;ET11),1,IF(AND(ET$2&gt;ES$2,ET11&gt;ES11),1,IF(AND(ES$2=ET$2,ES11=ET11),1,0)))))</f>
        <v/>
      </c>
      <c r="EV11" s="1" t="n">
        <f aca="false">Participantes!CY10</f>
        <v>0</v>
      </c>
      <c r="EW11" s="1" t="n">
        <f aca="false">Participantes!CZ10</f>
        <v>0</v>
      </c>
      <c r="EX11" s="82" t="str">
        <f aca="false">IF(EV$2="","",IF(AND(EV11=EV$2,EW11=EW$2),3,IF(AND(EV$2&gt;EW$2,EV11&gt;EW11),1,IF(AND(EW$2&gt;EV$2,EW11&gt;EV11),1,IF(AND(EV$2=EW$2,EV11=EW11),1,0)))))</f>
        <v/>
      </c>
      <c r="EY11" s="1" t="n">
        <f aca="false">Participantes!DA10</f>
        <v>0</v>
      </c>
      <c r="EZ11" s="1" t="n">
        <f aca="false">Participantes!DB10</f>
        <v>0</v>
      </c>
      <c r="FA11" s="82" t="str">
        <f aca="false">IF(EY$2="","",IF(AND(EY11=EY$2,EZ11=EZ$2),3,IF(AND(EY$2&gt;EZ$2,EY11&gt;EZ11),1,IF(AND(EZ$2&gt;EY$2,EZ11&gt;EY11),1,IF(AND(EY$2=EZ$2,EY11=EZ11),1,0)))))</f>
        <v/>
      </c>
      <c r="FB11" s="1" t="n">
        <f aca="false">Participantes!DC10</f>
        <v>0</v>
      </c>
      <c r="FC11" s="1" t="n">
        <f aca="false">Participantes!DD10</f>
        <v>0</v>
      </c>
      <c r="FD11" s="82" t="str">
        <f aca="false">IF(FB$2="","",IF(AND(FB11=FB$2,FC11=FC$2),3,IF(AND(FB$2&gt;FC$2,FB11&gt;FC11),1,IF(AND(FC$2&gt;FB$2,FC11&gt;FB11),1,IF(AND(FB$2=FC$2,FB11=FC11),1,0)))))</f>
        <v/>
      </c>
      <c r="FE11" s="1" t="n">
        <f aca="false">Participantes!DE10</f>
        <v>0</v>
      </c>
      <c r="FF11" s="1" t="n">
        <f aca="false">Participantes!DF10</f>
        <v>0</v>
      </c>
      <c r="FG11" s="82" t="str">
        <f aca="false">IF(FE$2="","",IF(AND(FE11=FE$2,FF11=FF$2),3,IF(AND(FE$2&gt;FF$2,FE11&gt;FF11),1,IF(AND(FF$2&gt;FE$2,FF11&gt;FE11),1,IF(AND(FE$2=FF$2,FE11=FF11),1,0)))))</f>
        <v/>
      </c>
      <c r="FH11" s="1" t="n">
        <f aca="false">Participantes!DG10</f>
        <v>0</v>
      </c>
      <c r="FI11" s="1" t="n">
        <f aca="false">Participantes!DH10</f>
        <v>0</v>
      </c>
      <c r="FJ11" s="82" t="str">
        <f aca="false">IF(FH$2="","",IF(AND(FH11=FH$2,FI11=FI$2),3,IF(AND(FH$2&gt;FI$2,FH11&gt;FI11),1,IF(AND(FI$2&gt;FH$2,FI11&gt;FH11),1,IF(AND(FH$2=FI$2,FH11=FI11),1,0)))))</f>
        <v/>
      </c>
      <c r="FK11" s="1" t="n">
        <f aca="false">Participantes!DI10</f>
        <v>0</v>
      </c>
      <c r="FL11" s="1" t="n">
        <f aca="false">Participantes!DJ10</f>
        <v>0</v>
      </c>
      <c r="FM11" s="82" t="str">
        <f aca="false">IF(FK$2="","",IF(AND(FK11=FK$2,FL11=FL$2),3,IF(AND(FK$2&gt;FL$2,FK11&gt;FL11),1,IF(AND(FL$2&gt;FK$2,FL11&gt;FK11),1,IF(AND(FK$2=FL$2,FK11=FL11),1,0)))))</f>
        <v/>
      </c>
      <c r="FN11" s="1" t="n">
        <f aca="false">Participantes!DK10</f>
        <v>0</v>
      </c>
      <c r="FO11" s="1" t="n">
        <f aca="false">Participantes!DL10</f>
        <v>0</v>
      </c>
      <c r="FP11" s="82" t="str">
        <f aca="false">IF(FN$2="","",IF(AND(FN11=FN$2,FO11=FO$2),3,IF(AND(FN$2&gt;FO$2,FN11&gt;FO11),1,IF(AND(FO$2&gt;FN$2,FO11&gt;FN11),1,IF(AND(FN$2=FO$2,FN11=FO11),1,0)))))</f>
        <v/>
      </c>
      <c r="FQ11" s="1" t="n">
        <f aca="false">Participantes!DM10</f>
        <v>0</v>
      </c>
      <c r="FR11" s="1" t="n">
        <f aca="false">Participantes!DN10</f>
        <v>0</v>
      </c>
      <c r="FS11" s="82" t="str">
        <f aca="false">IF(FQ$2="","",IF(AND(FQ11=FQ$2,FR11=FR$2),3,IF(AND(FQ$2&gt;FR$2,FQ11&gt;FR11),1,IF(AND(FR$2&gt;FQ$2,FR11&gt;FQ11),1,IF(AND(FQ$2=FR$2,FQ11=FR11),1,0)))))</f>
        <v/>
      </c>
      <c r="FT11" s="1" t="n">
        <f aca="false">Participantes!DO10</f>
        <v>0</v>
      </c>
      <c r="FU11" s="1" t="n">
        <f aca="false">Participantes!DP10</f>
        <v>0</v>
      </c>
      <c r="FV11" s="82" t="str">
        <f aca="false">IF(FT$2="","",IF(AND(FT11=FT$2,FU11=FU$2),3,IF(AND(FT$2&gt;FU$2,FT11&gt;FU11),1,IF(AND(FU$2&gt;FT$2,FU11&gt;FT11),1,IF(AND(FT$2=FU$2,FT11=FU11),1,0)))))</f>
        <v/>
      </c>
      <c r="FW11" s="1" t="n">
        <f aca="false">Participantes!DQ10</f>
        <v>0</v>
      </c>
      <c r="FX11" s="1" t="n">
        <f aca="false">Participantes!DR10</f>
        <v>0</v>
      </c>
      <c r="FY11" s="82" t="str">
        <f aca="false">IF(FW$2="","",IF(AND(FW11=FW$2,FX11=FX$2),3,IF(AND(FW$2&gt;FX$2,FW11&gt;FX11),1,IF(AND(FX$2&gt;FW$2,FX11&gt;FW11),1,IF(AND(FW$2=FX$2,FW11=FX11),1,0)))))</f>
        <v/>
      </c>
      <c r="FZ11" s="1" t="n">
        <f aca="false">Participantes!DS10</f>
        <v>0</v>
      </c>
      <c r="GA11" s="1" t="n">
        <f aca="false">Participantes!DT10</f>
        <v>0</v>
      </c>
      <c r="GB11" s="82" t="str">
        <f aca="false">IF(FZ$2="","",IF(AND(FZ11=FZ$2,GA11=GA$2),3,IF(AND(FZ$2&gt;GA$2,FZ11&gt;GA11),1,IF(AND(GA$2&gt;FZ$2,GA11&gt;FZ11),1,IF(AND(FZ$2=GA$2,FZ11=GA11),1,0)))))</f>
        <v/>
      </c>
      <c r="GC11" s="1" t="n">
        <f aca="false">Participantes!DU10</f>
        <v>0</v>
      </c>
      <c r="GD11" s="1" t="n">
        <f aca="false">Participantes!DV10</f>
        <v>0</v>
      </c>
      <c r="GE11" s="82" t="str">
        <f aca="false">IF(GC$2="","",IF(AND(GC11=GC$2,GD11=GD$2),3,IF(AND(GC$2&gt;GD$2,GC11&gt;GD11),1,IF(AND(GD$2&gt;GC$2,GD11&gt;GC11),1,IF(AND(GC$2=GD$2,GC11=GD11),1,0)))))</f>
        <v/>
      </c>
      <c r="GF11" s="1" t="n">
        <f aca="false">Participantes!DW10</f>
        <v>0</v>
      </c>
      <c r="GG11" s="1" t="n">
        <f aca="false">Participantes!DX10</f>
        <v>0</v>
      </c>
      <c r="GH11" s="82" t="str">
        <f aca="false">IF(GF$2="","",IF(AND(GF11=GF$2,GG11=GG$2),3,IF(AND(GF$2&gt;GG$2,GF11&gt;GG11),1,IF(AND(GG$2&gt;GF$2,GG11&gt;GF11),1,IF(AND(GF$2=GG$2,GF11=GG11),1,0)))))</f>
        <v/>
      </c>
      <c r="GI11" s="1" t="n">
        <f aca="false">Participantes!DY10</f>
        <v>0</v>
      </c>
      <c r="GJ11" s="1" t="n">
        <f aca="false">Participantes!DZ10</f>
        <v>0</v>
      </c>
      <c r="GK11" s="82" t="str">
        <f aca="false">IF(GI$2="","",IF(AND(GI11=GI$2,GJ11=GJ$2),3,IF(AND(GI$2&gt;GJ$2,GI11&gt;GJ11),1,IF(AND(GJ$2&gt;GI$2,GJ11&gt;GI11),1,IF(AND(GI$2=GJ$2,GI11=GJ11),1,0)))))</f>
        <v/>
      </c>
      <c r="GL11" s="1" t="n">
        <f aca="false">Participantes!EA10</f>
        <v>0</v>
      </c>
      <c r="GM11" s="1" t="n">
        <f aca="false">Participantes!EB10</f>
        <v>0</v>
      </c>
      <c r="GN11" s="82" t="str">
        <f aca="false">IF(GL$2="","",IF(AND(GL11=GL$2,GM11=GM$2),3,IF(AND(GL$2&gt;GM$2,GL11&gt;GM11),1,IF(AND(GM$2&gt;GL$2,GM11&gt;GL11),1,IF(AND(GL$2=GM$2,GL11=GM11),1,0)))))</f>
        <v/>
      </c>
      <c r="GO11" s="1" t="n">
        <f aca="false">Participantes!EC10</f>
        <v>0</v>
      </c>
      <c r="GP11" s="1" t="n">
        <f aca="false">Participantes!ED10</f>
        <v>0</v>
      </c>
      <c r="GQ11" s="82" t="str">
        <f aca="false">IF(GO$2="","",IF(AND(GO11=GO$2,GP11=GP$2),3,IF(AND(GO$2&gt;GP$2,GO11&gt;GP11),1,IF(AND(GP$2&gt;GO$2,GP11&gt;GO11),1,IF(AND(GO$2=GP$2,GO11=GP11),1,0)))))</f>
        <v/>
      </c>
      <c r="GR11" s="1" t="n">
        <f aca="false">Participantes!EE10</f>
        <v>0</v>
      </c>
      <c r="GS11" s="1" t="n">
        <f aca="false">Participantes!EF10</f>
        <v>0</v>
      </c>
      <c r="GT11" s="82" t="str">
        <f aca="false">IF(GR$2="","",IF(AND(GR11=GR$2,GS11=GS$2),3,IF(AND(GR$2&gt;GS$2,GR11&gt;GS11),1,IF(AND(GS$2&gt;GR$2,GS11&gt;GR11),1,IF(AND(GR$2=GS$2,GR11=GS11),1,0)))))</f>
        <v/>
      </c>
      <c r="GU11" s="1" t="n">
        <f aca="false">Participantes!EG10</f>
        <v>0</v>
      </c>
      <c r="GV11" s="1" t="n">
        <f aca="false">Participantes!EH10</f>
        <v>0</v>
      </c>
      <c r="GW11" s="82" t="str">
        <f aca="false">IF(GU$2="","",IF(AND(GU11=GU$2,GV11=GV$2),3,IF(AND(GU$2&gt;GV$2,GU11&gt;GV11),1,IF(AND(GV$2&gt;GU$2,GV11&gt;GU11),1,IF(AND(GU$2=GV$2,GU11=GV11),1,0)))))</f>
        <v/>
      </c>
      <c r="GX11" s="1" t="n">
        <f aca="false">Participantes!EI10</f>
        <v>0</v>
      </c>
      <c r="GY11" s="1" t="n">
        <f aca="false">Participantes!EJ10</f>
        <v>0</v>
      </c>
      <c r="GZ11" s="82" t="str">
        <f aca="false">IF(GX$2="","",IF(AND(GX11=GX$2,GY11=GY$2),3,IF(AND(GX$2&gt;GY$2,GX11&gt;GY11),1,IF(AND(GY$2&gt;GX$2,GY11&gt;GX11),1,IF(AND(GX$2=GY$2,GX11=GY11),1,0)))))</f>
        <v/>
      </c>
      <c r="HA11" s="1" t="n">
        <f aca="false">Participantes!EK10</f>
        <v>0</v>
      </c>
      <c r="HB11" s="1" t="n">
        <f aca="false">Participantes!EL10</f>
        <v>0</v>
      </c>
      <c r="HC11" s="82" t="str">
        <f aca="false">IF(HA$2="","",IF(AND(HA11=HA$2,HB11=HB$2),3,IF(AND(HA$2&gt;HB$2,HA11&gt;HB11),1,IF(AND(HB$2&gt;HA$2,HB11&gt;HA11),1,IF(AND(HA$2=HB$2,HA11=HB11),1,0)))))</f>
        <v/>
      </c>
      <c r="HD11" s="1" t="n">
        <f aca="false">Participantes!EM10</f>
        <v>0</v>
      </c>
      <c r="HE11" s="1" t="n">
        <f aca="false">Participantes!EN10</f>
        <v>0</v>
      </c>
      <c r="HF11" s="82" t="str">
        <f aca="false">IF(HD$2="","",IF(AND(HD11=HD$2,HE11=HE$2),3,IF(AND(HD$2&gt;HE$2,HD11&gt;HE11),1,IF(AND(HE$2&gt;HD$2,HE11&gt;HD11),1,IF(AND(HD$2=HE$2,HD11=HE11),1,0)))))</f>
        <v/>
      </c>
      <c r="HG11" s="1" t="n">
        <f aca="false">Participantes!EO10</f>
        <v>0</v>
      </c>
      <c r="HH11" s="1" t="n">
        <f aca="false">Participantes!EP10</f>
        <v>0</v>
      </c>
      <c r="HI11" s="82" t="str">
        <f aca="false">IF(HG$2="","",IF(AND(HG11=HG$2,HH11=HH$2),3,IF(AND(HG$2&gt;HH$2,HG11&gt;HH11),1,IF(AND(HH$2&gt;HG$2,HH11&gt;HG11),1,IF(AND(HG$2=HH$2,HG11=HH11),1,0)))))</f>
        <v/>
      </c>
      <c r="HJ11" s="83" t="n">
        <f aca="false">SUM(D11,G11,J11,M11,P11,S11,V11,Y11,AB11,AE11,AH11,AK11,AN11,AQ11,AT11,AW11,AZ11,BC11,BF11,BI11,BL11,BO11,BR11,BU11,BX11,CA11,CD11,CG11,CJ11,CM11,CP11,CS11,CV11,CY11,DB11,DE11,DH11,DK11,DN11,DQ11,DT11,DW11,DZ11,EC11,EF11,EI11,EL11,EO11,ER11,EU11,EX11,FA11,FD11,FG11,FJ11,FM11,FP11,FS11,FV11,FY11,GB11,GE11,GH11,GK11,GN11,GQ11,GT11,GW11,GZ11,HC11,HF11,HI11)</f>
        <v>0</v>
      </c>
    </row>
    <row r="12" customFormat="false" ht="15" hidden="false" customHeight="true" outlineLevel="0" collapsed="false">
      <c r="A12" s="81" t="str">
        <f aca="false">Participantes!B11</f>
        <v>Cynthia</v>
      </c>
      <c r="B12" s="1" t="n">
        <f aca="false">Participantes!C11</f>
        <v>1</v>
      </c>
      <c r="C12" s="1" t="n">
        <f aca="false">Participantes!D11</f>
        <v>2</v>
      </c>
      <c r="D12" s="82" t="n">
        <f aca="false">IF(B$2="","",IF(AND(B12=B$2,C12=C$2),3,IF(AND(B$2&gt;C$2,B12&gt;C12),1,IF(AND(C$2&gt;B$2,C12&gt;B12),1,IF(AND(B$2=C$2,B12=C12),1,0)))))</f>
        <v>0</v>
      </c>
      <c r="E12" s="1" t="n">
        <f aca="false">Participantes!E11</f>
        <v>1</v>
      </c>
      <c r="F12" s="1" t="n">
        <f aca="false">Participantes!F11</f>
        <v>0</v>
      </c>
      <c r="G12" s="82" t="str">
        <f aca="false">IF(E$2="","",IF(AND(E12=E$2,F12=F$2),3,IF(AND(E$2&gt;F$2,E12&gt;F12),1,IF(AND(F$2&gt;E$2,F12&gt;E12),1,IF(AND(E$2=F$2,E12=F12),1,0)))))</f>
        <v/>
      </c>
      <c r="H12" s="1" t="n">
        <f aca="false">Participantes!G11</f>
        <v>2</v>
      </c>
      <c r="I12" s="1" t="n">
        <f aca="false">Participantes!H11</f>
        <v>1</v>
      </c>
      <c r="J12" s="82" t="str">
        <f aca="false">IF(H$2="","",IF(AND(H12=H$2,I12=I$2),3,IF(AND(H$2&gt;I$2,H12&gt;I12),1,IF(AND(I$2&gt;H$2,I12&gt;H12),1,IF(AND(H$2=I$2,H12=I12),1,0)))))</f>
        <v/>
      </c>
      <c r="K12" s="1" t="n">
        <f aca="false">Participantes!I11</f>
        <v>0</v>
      </c>
      <c r="L12" s="1" t="n">
        <f aca="false">Participantes!J11</f>
        <v>0</v>
      </c>
      <c r="M12" s="82" t="str">
        <f aca="false">IF(K$2="","",IF(AND(K12=K$2,L12=L$2),3,IF(AND(K$2&gt;L$2,K12&gt;L12),1,IF(AND(L$2&gt;K$2,L12&gt;K12),1,IF(AND(K$2=L$2,K12=L12),1,0)))))</f>
        <v/>
      </c>
      <c r="N12" s="1" t="n">
        <f aca="false">Participantes!K11</f>
        <v>1</v>
      </c>
      <c r="O12" s="1" t="n">
        <f aca="false">Participantes!L11</f>
        <v>3</v>
      </c>
      <c r="P12" s="82" t="str">
        <f aca="false">IF(N$2="","",IF(AND(N12=N$2,O12=O$2),3,IF(AND(N$2&gt;O$2,N12&gt;O12),1,IF(AND(O$2&gt;N$2,O12&gt;N12),1,IF(AND(N$2=O$2,N12=O12),1,0)))))</f>
        <v/>
      </c>
      <c r="Q12" s="1" t="n">
        <f aca="false">Participantes!M11</f>
        <v>1</v>
      </c>
      <c r="R12" s="1" t="n">
        <f aca="false">Participantes!N11</f>
        <v>1</v>
      </c>
      <c r="S12" s="82" t="str">
        <f aca="false">IF(Q$2="","",IF(AND(Q12=Q$2,R12=R$2),3,IF(AND(Q$2&gt;R$2,Q12&gt;R12),1,IF(AND(R$2&gt;Q$2,R12&gt;Q12),1,IF(AND(Q$2=R$2,Q12=R12),1,0)))))</f>
        <v/>
      </c>
      <c r="T12" s="1" t="n">
        <f aca="false">Participantes!O11</f>
        <v>2</v>
      </c>
      <c r="U12" s="1" t="n">
        <f aca="false">Participantes!P11</f>
        <v>2</v>
      </c>
      <c r="V12" s="82" t="str">
        <f aca="false">IF(T$2="","",IF(AND(T12=T$2,U12=U$2),3,IF(AND(T$2&gt;U$2,T12&gt;U12),1,IF(AND(U$2&gt;T$2,U12&gt;T12),1,IF(AND(T$2=U$2,T12=U12),1,0)))))</f>
        <v/>
      </c>
      <c r="W12" s="1" t="n">
        <f aca="false">Participantes!Q11</f>
        <v>0</v>
      </c>
      <c r="X12" s="1" t="n">
        <f aca="false">Participantes!R11</f>
        <v>1</v>
      </c>
      <c r="Y12" s="82" t="str">
        <f aca="false">IF(W$2="","",IF(AND(W12=W$2,X12=X$2),3,IF(AND(W$2&gt;X$2,W12&gt;X12),1,IF(AND(X$2&gt;W$2,X12&gt;W12),1,IF(AND(W$2=X$2,W12=X12),1,0)))))</f>
        <v/>
      </c>
      <c r="Z12" s="1" t="n">
        <f aca="false">Participantes!S11</f>
        <v>0</v>
      </c>
      <c r="AA12" s="1" t="n">
        <f aca="false">Participantes!T11</f>
        <v>1</v>
      </c>
      <c r="AB12" s="82" t="str">
        <f aca="false">IF(Z$2="","",IF(AND(Z12=Z$2,AA12=AA$2),3,IF(AND(Z$2&gt;AA$2,Z12&gt;AA12),1,IF(AND(AA$2&gt;Z$2,AA12&gt;Z12),1,IF(AND(Z$2=AA$2,Z12=AA12),1,0)))))</f>
        <v/>
      </c>
      <c r="AC12" s="1" t="n">
        <f aca="false">Participantes!U11</f>
        <v>3</v>
      </c>
      <c r="AD12" s="1" t="n">
        <f aca="false">Participantes!V11</f>
        <v>1</v>
      </c>
      <c r="AE12" s="82" t="str">
        <f aca="false">IF(AC$2="","",IF(AND(AC12=AC$2,AD12=AD$2),3,IF(AND(AC$2&gt;AD$2,AC12&gt;AD12),1,IF(AND(AD$2&gt;AC$2,AD12&gt;AC12),1,IF(AND(AC$2=AD$2,AC12=AD12),1,0)))))</f>
        <v/>
      </c>
      <c r="AF12" s="1" t="n">
        <f aca="false">Participantes!W11</f>
        <v>2</v>
      </c>
      <c r="AG12" s="1" t="n">
        <f aca="false">Participantes!X11</f>
        <v>2</v>
      </c>
      <c r="AH12" s="82" t="str">
        <f aca="false">IF(AF$2="","",IF(AND(AF12=AF$2,AG12=AG$2),3,IF(AND(AF$2&gt;AG$2,AF12&gt;AG12),1,IF(AND(AG$2&gt;AF$2,AG12&gt;AF12),1,IF(AND(AF$2=AG$2,AF12=AG12),1,0)))))</f>
        <v/>
      </c>
      <c r="AI12" s="1" t="n">
        <f aca="false">Participantes!Y11</f>
        <v>3</v>
      </c>
      <c r="AJ12" s="1" t="n">
        <f aca="false">Participantes!Z11</f>
        <v>1</v>
      </c>
      <c r="AK12" s="82" t="str">
        <f aca="false">IF(AI$2="","",IF(AND(AI12=AI$2,AJ12=AJ$2),3,IF(AND(AI$2&gt;AJ$2,AI12&gt;AJ12),1,IF(AND(AJ$2&gt;AI$2,AJ12&gt;AI12),1,IF(AND(AI$2=AJ$2,AI12=AJ12),1,0)))))</f>
        <v/>
      </c>
      <c r="AL12" s="1" t="n">
        <f aca="false">Participantes!AA11</f>
        <v>2</v>
      </c>
      <c r="AM12" s="1" t="n">
        <f aca="false">Participantes!AB11</f>
        <v>2</v>
      </c>
      <c r="AN12" s="82" t="str">
        <f aca="false">IF(AL$2="","",IF(AND(AL12=AL$2,AM12=AM$2),3,IF(AND(AL$2&gt;AM$2,AL12&gt;AM12),1,IF(AND(AM$2&gt;AL$2,AM12&gt;AL12),1,IF(AND(AL$2=AM$2,AL12=AM12),1,0)))))</f>
        <v/>
      </c>
      <c r="AO12" s="1" t="n">
        <f aca="false">Participantes!AC11</f>
        <v>3</v>
      </c>
      <c r="AP12" s="1" t="n">
        <f aca="false">Participantes!AD11</f>
        <v>1</v>
      </c>
      <c r="AQ12" s="82" t="str">
        <f aca="false">IF(AO$2="","",IF(AND(AO12=AO$2,AP12=AP$2),3,IF(AND(AO$2&gt;AP$2,AO12&gt;AP12),1,IF(AND(AP$2&gt;AO$2,AP12&gt;AO12),1,IF(AND(AO$2=AP$2,AO12=AP12),1,0)))))</f>
        <v/>
      </c>
      <c r="AR12" s="1" t="n">
        <f aca="false">Participantes!AE11</f>
        <v>1</v>
      </c>
      <c r="AS12" s="1" t="n">
        <f aca="false">Participantes!AF11</f>
        <v>1</v>
      </c>
      <c r="AT12" s="82" t="str">
        <f aca="false">IF(AR$2="","",IF(AND(AR12=AR$2,AS12=AS$2),3,IF(AND(AR$2&gt;AS$2,AR12&gt;AS12),1,IF(AND(AS$2&gt;AR$2,AS12&gt;AR12),1,IF(AND(AR$2=AS$2,AR12=AS12),1,0)))))</f>
        <v/>
      </c>
      <c r="AU12" s="1" t="n">
        <f aca="false">Participantes!AG11</f>
        <v>0</v>
      </c>
      <c r="AV12" s="1" t="n">
        <f aca="false">Participantes!AH11</f>
        <v>0</v>
      </c>
      <c r="AW12" s="82" t="str">
        <f aca="false">IF(AU$2="","",IF(AND(AU12=AU$2,AV12=AV$2),3,IF(AND(AU$2&gt;AV$2,AU12&gt;AV12),1,IF(AND(AV$2&gt;AU$2,AV12&gt;AU12),1,IF(AND(AU$2=AV$2,AU12=AV12),1,0)))))</f>
        <v/>
      </c>
      <c r="AX12" s="1" t="n">
        <f aca="false">Participantes!AI11</f>
        <v>2</v>
      </c>
      <c r="AY12" s="1" t="n">
        <f aca="false">Participantes!AJ11</f>
        <v>1</v>
      </c>
      <c r="AZ12" s="82" t="str">
        <f aca="false">IF(AX$2="","",IF(AND(AX12=AX$2,AY12=AY$2),3,IF(AND(AX$2&gt;AY$2,AX12&gt;AY12),1,IF(AND(AY$2&gt;AX$2,AY12&gt;AX12),1,IF(AND(AX$2=AY$2,AX12=AY12),1,0)))))</f>
        <v/>
      </c>
      <c r="BA12" s="1" t="n">
        <f aca="false">Participantes!AK11</f>
        <v>1</v>
      </c>
      <c r="BB12" s="1" t="n">
        <f aca="false">Participantes!AL11</f>
        <v>0</v>
      </c>
      <c r="BC12" s="82" t="str">
        <f aca="false">IF(BA$2="","",IF(AND(BA12=BA$2,BB12=BB$2),3,IF(AND(BA$2&gt;BB$2,BA12&gt;BB12),1,IF(AND(BB$2&gt;BA$2,BB12&gt;BA12),1,IF(AND(BA$2=BB$2,BA12=BB12),1,0)))))</f>
        <v/>
      </c>
      <c r="BD12" s="1" t="n">
        <f aca="false">Participantes!AM11</f>
        <v>3</v>
      </c>
      <c r="BE12" s="1" t="n">
        <f aca="false">Participantes!AN11</f>
        <v>1</v>
      </c>
      <c r="BF12" s="82" t="str">
        <f aca="false">IF(BD$2="","",IF(AND(BD12=BD$2,BE12=BE$2),3,IF(AND(BD$2&gt;BE$2,BD12&gt;BE12),1,IF(AND(BE$2&gt;BD$2,BE12&gt;BD12),1,IF(AND(BD$2=BE$2,BD12=BE12),1,0)))))</f>
        <v/>
      </c>
      <c r="BG12" s="1" t="n">
        <f aca="false">Participantes!AO11</f>
        <v>2</v>
      </c>
      <c r="BH12" s="1" t="n">
        <f aca="false">Participantes!AP11</f>
        <v>1</v>
      </c>
      <c r="BI12" s="82" t="str">
        <f aca="false">IF(BG$2="","",IF(AND(BG12=BG$2,BH12=BH$2),3,IF(AND(BG$2&gt;BH$2,BG12&gt;BH12),1,IF(AND(BH$2&gt;BG$2,BH12&gt;BG12),1,IF(AND(BG$2=BH$2,BG12=BH12),1,0)))))</f>
        <v/>
      </c>
      <c r="BJ12" s="1" t="n">
        <f aca="false">Participantes!AQ11</f>
        <v>0</v>
      </c>
      <c r="BK12" s="1" t="n">
        <f aca="false">Participantes!AR11</f>
        <v>1</v>
      </c>
      <c r="BL12" s="82" t="str">
        <f aca="false">IF(BJ$2="","",IF(AND(BJ12=BJ$2,BK12=BK$2),3,IF(AND(BJ$2&gt;BK$2,BJ12&gt;BK12),1,IF(AND(BK$2&gt;BJ$2,BK12&gt;BJ12),1,IF(AND(BJ$2=BK$2,BJ12=BK12),1,0)))))</f>
        <v/>
      </c>
      <c r="BM12" s="1" t="n">
        <f aca="false">Participantes!AS11</f>
        <v>3</v>
      </c>
      <c r="BN12" s="1" t="n">
        <f aca="false">Participantes!AT11</f>
        <v>1</v>
      </c>
      <c r="BO12" s="82" t="str">
        <f aca="false">IF(BM$2="","",IF(AND(BM12=BM$2,BN12=BN$2),3,IF(AND(BM$2&gt;BN$2,BM12&gt;BN12),1,IF(AND(BN$2&gt;BM$2,BN12&gt;BM12),1,IF(AND(BM$2=BN$2,BM12=BN12),1,0)))))</f>
        <v/>
      </c>
      <c r="BP12" s="1" t="n">
        <f aca="false">Participantes!AU11</f>
        <v>2</v>
      </c>
      <c r="BQ12" s="1" t="n">
        <f aca="false">Participantes!AV11</f>
        <v>1</v>
      </c>
      <c r="BR12" s="82" t="str">
        <f aca="false">IF(BP$2="","",IF(AND(BP12=BP$2,BQ12=BQ$2),3,IF(AND(BP$2&gt;BQ$2,BP12&gt;BQ12),1,IF(AND(BQ$2&gt;BP$2,BQ12&gt;BP12),1,IF(AND(BP$2=BQ$2,BP12=BQ12),1,0)))))</f>
        <v/>
      </c>
      <c r="BS12" s="1" t="n">
        <f aca="false">Participantes!AW11</f>
        <v>1</v>
      </c>
      <c r="BT12" s="1" t="n">
        <f aca="false">Participantes!AX11</f>
        <v>3</v>
      </c>
      <c r="BU12" s="82" t="str">
        <f aca="false">IF(BS$2="","",IF(AND(BS12=BS$2,BT12=BT$2),3,IF(AND(BS$2&gt;BT$2,BS12&gt;BT12),1,IF(AND(BT$2&gt;BS$2,BT12&gt;BS12),1,IF(AND(BS$2=BT$2,BS12=BT12),1,0)))))</f>
        <v/>
      </c>
      <c r="BV12" s="1" t="n">
        <f aca="false">Participantes!AY11</f>
        <v>1</v>
      </c>
      <c r="BW12" s="1" t="n">
        <f aca="false">Participantes!AZ11</f>
        <v>2</v>
      </c>
      <c r="BX12" s="82" t="str">
        <f aca="false">IF(BV$2="","",IF(AND(BV12=BV$2,BW12=BW$2),3,IF(AND(BV$2&gt;BW$2,BV12&gt;BW12),1,IF(AND(BW$2&gt;BV$2,BW12&gt;BV12),1,IF(AND(BV$2=BW$2,BV12=BW12),1,0)))))</f>
        <v/>
      </c>
      <c r="BY12" s="1" t="n">
        <f aca="false">Participantes!BA11</f>
        <v>1</v>
      </c>
      <c r="BZ12" s="1" t="n">
        <f aca="false">Participantes!BB11</f>
        <v>0</v>
      </c>
      <c r="CA12" s="82" t="str">
        <f aca="false">IF(BY$2="","",IF(AND(BY12=BY$2,BZ12=BZ$2),3,IF(AND(BY$2&gt;BZ$2,BY12&gt;BZ12),1,IF(AND(BZ$2&gt;BY$2,BZ12&gt;BY12),1,IF(AND(BY$2=BZ$2,BY12=BZ12),1,0)))))</f>
        <v/>
      </c>
      <c r="CB12" s="1" t="n">
        <f aca="false">Participantes!BC11</f>
        <v>1</v>
      </c>
      <c r="CC12" s="1" t="n">
        <f aca="false">Participantes!BD11</f>
        <v>1</v>
      </c>
      <c r="CD12" s="82" t="str">
        <f aca="false">IF(CB$2="","",IF(AND(CB12=CB$2,CC12=CC$2),3,IF(AND(CB$2&gt;CC$2,CB12&gt;CC12),1,IF(AND(CC$2&gt;CB$2,CC12&gt;CB12),1,IF(AND(CB$2=CC$2,CB12=CC12),1,0)))))</f>
        <v/>
      </c>
      <c r="CE12" s="1" t="n">
        <f aca="false">Participantes!BE11</f>
        <v>1</v>
      </c>
      <c r="CF12" s="1" t="n">
        <f aca="false">Participantes!BF11</f>
        <v>1</v>
      </c>
      <c r="CG12" s="82" t="str">
        <f aca="false">IF(CE$2="","",IF(AND(CE12=CE$2,CF12=CF$2),3,IF(AND(CE$2&gt;CF$2,CE12&gt;CF12),1,IF(AND(CF$2&gt;CE$2,CF12&gt;CE12),1,IF(AND(CE$2=CF$2,CE12=CF12),1,0)))))</f>
        <v/>
      </c>
      <c r="CH12" s="1" t="n">
        <f aca="false">Participantes!BG11</f>
        <v>0</v>
      </c>
      <c r="CI12" s="1" t="n">
        <f aca="false">Participantes!BH11</f>
        <v>0</v>
      </c>
      <c r="CJ12" s="82" t="str">
        <f aca="false">IF(CH$2="","",IF(AND(CH12=CH$2,CI12=CI$2),3,IF(AND(CH$2&gt;CI$2,CH12&gt;CI12),1,IF(AND(CI$2&gt;CH$2,CI12&gt;CH12),1,IF(AND(CH$2=CI$2,CH12=CI12),1,0)))))</f>
        <v/>
      </c>
      <c r="CK12" s="1" t="n">
        <f aca="false">Participantes!BI11</f>
        <v>0</v>
      </c>
      <c r="CL12" s="1" t="n">
        <f aca="false">Participantes!BJ11</f>
        <v>0</v>
      </c>
      <c r="CM12" s="82" t="str">
        <f aca="false">IF(CK$2="","",IF(AND(CK12=CK$2,CL12=CL$2),3,IF(AND(CK$2&gt;CL$2,CK12&gt;CL12),1,IF(AND(CL$2&gt;CK$2,CL12&gt;CK12),1,IF(AND(CK$2=CL$2,CK12=CL12),1,0)))))</f>
        <v/>
      </c>
      <c r="CN12" s="1" t="n">
        <f aca="false">Participantes!BK11</f>
        <v>0</v>
      </c>
      <c r="CO12" s="1" t="n">
        <f aca="false">Participantes!BL11</f>
        <v>0</v>
      </c>
      <c r="CP12" s="82" t="str">
        <f aca="false">IF(CN$2="","",IF(AND(CN12=CN$2,CO12=CO$2),3,IF(AND(CN$2&gt;CO$2,CN12&gt;CO12),1,IF(AND(CO$2&gt;CN$2,CO12&gt;CN12),1,IF(AND(CN$2=CO$2,CN12=CO12),1,0)))))</f>
        <v/>
      </c>
      <c r="CQ12" s="1" t="n">
        <f aca="false">Participantes!BM11</f>
        <v>0</v>
      </c>
      <c r="CR12" s="1" t="n">
        <f aca="false">Participantes!BN11</f>
        <v>0</v>
      </c>
      <c r="CS12" s="82" t="str">
        <f aca="false">IF(CQ$2="","",IF(AND(CQ12=CQ$2,CR12=CR$2),3,IF(AND(CQ$2&gt;CR$2,CQ12&gt;CR12),1,IF(AND(CR$2&gt;CQ$2,CR12&gt;CQ12),1,IF(AND(CQ$2=CR$2,CQ12=CR12),1,0)))))</f>
        <v/>
      </c>
      <c r="CT12" s="1" t="n">
        <f aca="false">Participantes!BO11</f>
        <v>0</v>
      </c>
      <c r="CU12" s="1" t="n">
        <f aca="false">Participantes!BP11</f>
        <v>0</v>
      </c>
      <c r="CV12" s="82" t="str">
        <f aca="false">IF(CT$2="","",IF(AND(CT12=CT$2,CU12=CU$2),3,IF(AND(CT$2&gt;CU$2,CT12&gt;CU12),1,IF(AND(CU$2&gt;CT$2,CU12&gt;CT12),1,IF(AND(CT$2=CU$2,CT12=CU12),1,0)))))</f>
        <v/>
      </c>
      <c r="CW12" s="1" t="n">
        <f aca="false">Participantes!BQ11</f>
        <v>0</v>
      </c>
      <c r="CX12" s="1" t="n">
        <f aca="false">Participantes!BR11</f>
        <v>0</v>
      </c>
      <c r="CY12" s="82" t="str">
        <f aca="false">IF(CW$2="","",IF(AND(CW12=CW$2,CX12=CX$2),3,IF(AND(CW$2&gt;CX$2,CW12&gt;CX12),1,IF(AND(CX$2&gt;CW$2,CX12&gt;CW12),1,IF(AND(CW$2=CX$2,CW12=CX12),1,0)))))</f>
        <v/>
      </c>
      <c r="CZ12" s="1" t="n">
        <f aca="false">Participantes!BS11</f>
        <v>0</v>
      </c>
      <c r="DA12" s="1" t="n">
        <f aca="false">Participantes!BT11</f>
        <v>0</v>
      </c>
      <c r="DB12" s="82" t="str">
        <f aca="false">IF(CZ$2="","",IF(AND(CZ12=CZ$2,DA12=DA$2),3,IF(AND(CZ$2&gt;DA$2,CZ12&gt;DA12),1,IF(AND(DA$2&gt;CZ$2,DA12&gt;CZ12),1,IF(AND(CZ$2=DA$2,CZ12=DA12),1,0)))))</f>
        <v/>
      </c>
      <c r="DC12" s="1" t="n">
        <f aca="false">Participantes!BU11</f>
        <v>0</v>
      </c>
      <c r="DD12" s="1" t="n">
        <f aca="false">Participantes!BV11</f>
        <v>0</v>
      </c>
      <c r="DE12" s="82" t="str">
        <f aca="false">IF(DC$2="","",IF(AND(DC12=DC$2,DD12=DD$2),3,IF(AND(DC$2&gt;DD$2,DC12&gt;DD12),1,IF(AND(DD$2&gt;DC$2,DD12&gt;DC12),1,IF(AND(DC$2=DD$2,DC12=DD12),1,0)))))</f>
        <v/>
      </c>
      <c r="DF12" s="1" t="n">
        <f aca="false">Participantes!BW11</f>
        <v>0</v>
      </c>
      <c r="DG12" s="1" t="n">
        <f aca="false">Participantes!BX11</f>
        <v>0</v>
      </c>
      <c r="DH12" s="82" t="str">
        <f aca="false">IF(DF$2="","",IF(AND(DF12=DF$2,DG12=DG$2),3,IF(AND(DF$2&gt;DG$2,DF12&gt;DG12),1,IF(AND(DG$2&gt;DF$2,DG12&gt;DF12),1,IF(AND(DF$2=DG$2,DF12=DG12),1,0)))))</f>
        <v/>
      </c>
      <c r="DI12" s="1" t="n">
        <f aca="false">Participantes!BY11</f>
        <v>0</v>
      </c>
      <c r="DJ12" s="1" t="n">
        <f aca="false">Participantes!BZ11</f>
        <v>0</v>
      </c>
      <c r="DK12" s="82" t="str">
        <f aca="false">IF(DI$2="","",IF(AND(DI12=DI$2,DJ12=DJ$2),3,IF(AND(DI$2&gt;DJ$2,DI12&gt;DJ12),1,IF(AND(DJ$2&gt;DI$2,DJ12&gt;DI12),1,IF(AND(DI$2=DJ$2,DI12=DJ12),1,0)))))</f>
        <v/>
      </c>
      <c r="DL12" s="1" t="n">
        <f aca="false">Participantes!CA11</f>
        <v>0</v>
      </c>
      <c r="DM12" s="1" t="n">
        <f aca="false">Participantes!CB11</f>
        <v>0</v>
      </c>
      <c r="DN12" s="82" t="str">
        <f aca="false">IF(DL$2="","",IF(AND(DL12=DL$2,DM12=DM$2),3,IF(AND(DL$2&gt;DM$2,DL12&gt;DM12),1,IF(AND(DM$2&gt;DL$2,DM12&gt;DL12),1,IF(AND(DL$2=DM$2,DL12=DM12),1,0)))))</f>
        <v/>
      </c>
      <c r="DO12" s="1" t="n">
        <f aca="false">Participantes!CC11</f>
        <v>0</v>
      </c>
      <c r="DP12" s="1" t="n">
        <f aca="false">Participantes!CD11</f>
        <v>0</v>
      </c>
      <c r="DQ12" s="82" t="str">
        <f aca="false">IF(DO$2="","",IF(AND(DO12=DO$2,DP12=DP$2),3,IF(AND(DO$2&gt;DP$2,DO12&gt;DP12),1,IF(AND(DP$2&gt;DO$2,DP12&gt;DO12),1,IF(AND(DO$2=DP$2,DO12=DP12),1,0)))))</f>
        <v/>
      </c>
      <c r="DR12" s="1" t="n">
        <f aca="false">Participantes!CE11</f>
        <v>0</v>
      </c>
      <c r="DS12" s="1" t="n">
        <f aca="false">Participantes!CF11</f>
        <v>0</v>
      </c>
      <c r="DT12" s="82" t="str">
        <f aca="false">IF(DR$2="","",IF(AND(DR12=DR$2,DS12=DS$2),3,IF(AND(DR$2&gt;DS$2,DR12&gt;DS12),1,IF(AND(DS$2&gt;DR$2,DS12&gt;DR12),1,IF(AND(DR$2=DS$2,DR12=DS12),1,0)))))</f>
        <v/>
      </c>
      <c r="DU12" s="1" t="n">
        <f aca="false">Participantes!CG11</f>
        <v>0</v>
      </c>
      <c r="DV12" s="1" t="n">
        <f aca="false">Participantes!CH11</f>
        <v>0</v>
      </c>
      <c r="DW12" s="82" t="str">
        <f aca="false">IF(DU$2="","",IF(AND(DU12=DU$2,DV12=DV$2),3,IF(AND(DU$2&gt;DV$2,DU12&gt;DV12),1,IF(AND(DV$2&gt;DU$2,DV12&gt;DU12),1,IF(AND(DU$2=DV$2,DU12=DV12),1,0)))))</f>
        <v/>
      </c>
      <c r="DX12" s="1" t="n">
        <f aca="false">Participantes!CI11</f>
        <v>0</v>
      </c>
      <c r="DY12" s="1" t="n">
        <f aca="false">Participantes!CJ11</f>
        <v>0</v>
      </c>
      <c r="DZ12" s="82" t="str">
        <f aca="false">IF(DX$2="","",IF(AND(DX12=DX$2,DY12=DY$2),3,IF(AND(DX$2&gt;DY$2,DX12&gt;DY12),1,IF(AND(DY$2&gt;DX$2,DY12&gt;DX12),1,IF(AND(DX$2=DY$2,DX12=DY12),1,0)))))</f>
        <v/>
      </c>
      <c r="EA12" s="1" t="n">
        <f aca="false">Participantes!CK11</f>
        <v>0</v>
      </c>
      <c r="EB12" s="1" t="n">
        <f aca="false">Participantes!CL11</f>
        <v>0</v>
      </c>
      <c r="EC12" s="82" t="str">
        <f aca="false">IF(EA$2="","",IF(AND(EA12=EA$2,EB12=EB$2),3,IF(AND(EA$2&gt;EB$2,EA12&gt;EB12),1,IF(AND(EB$2&gt;EA$2,EB12&gt;EA12),1,IF(AND(EA$2=EB$2,EA12=EB12),1,0)))))</f>
        <v/>
      </c>
      <c r="ED12" s="1" t="n">
        <f aca="false">Participantes!CM11</f>
        <v>0</v>
      </c>
      <c r="EE12" s="1" t="n">
        <f aca="false">Participantes!CN11</f>
        <v>0</v>
      </c>
      <c r="EF12" s="82" t="str">
        <f aca="false">IF(ED$2="","",IF(AND(ED12=ED$2,EE12=EE$2),3,IF(AND(ED$2&gt;EE$2,ED12&gt;EE12),1,IF(AND(EE$2&gt;ED$2,EE12&gt;ED12),1,IF(AND(ED$2=EE$2,ED12=EE12),1,0)))))</f>
        <v/>
      </c>
      <c r="EG12" s="1" t="n">
        <f aca="false">Participantes!CO11</f>
        <v>0</v>
      </c>
      <c r="EH12" s="1" t="n">
        <f aca="false">Participantes!CP11</f>
        <v>0</v>
      </c>
      <c r="EI12" s="82" t="str">
        <f aca="false">IF(EG$2="","",IF(AND(EG12=EG$2,EH12=EH$2),3,IF(AND(EG$2&gt;EH$2,EG12&gt;EH12),1,IF(AND(EH$2&gt;EG$2,EH12&gt;EG12),1,IF(AND(EG$2=EH$2,EG12=EH12),1,0)))))</f>
        <v/>
      </c>
      <c r="EJ12" s="1" t="n">
        <f aca="false">Participantes!CQ11</f>
        <v>0</v>
      </c>
      <c r="EK12" s="1" t="n">
        <f aca="false">Participantes!CR11</f>
        <v>0</v>
      </c>
      <c r="EL12" s="82" t="str">
        <f aca="false">IF(EJ$2="","",IF(AND(EJ12=EJ$2,EK12=EK$2),3,IF(AND(EJ$2&gt;EK$2,EJ12&gt;EK12),1,IF(AND(EK$2&gt;EJ$2,EK12&gt;EJ12),1,IF(AND(EJ$2=EK$2,EJ12=EK12),1,0)))))</f>
        <v/>
      </c>
      <c r="EM12" s="1" t="n">
        <f aca="false">Participantes!CS11</f>
        <v>0</v>
      </c>
      <c r="EN12" s="1" t="n">
        <f aca="false">Participantes!CT11</f>
        <v>0</v>
      </c>
      <c r="EO12" s="82" t="str">
        <f aca="false">IF(EM$2="","",IF(AND(EM12=EM$2,EN12=EN$2),3,IF(AND(EM$2&gt;EN$2,EM12&gt;EN12),1,IF(AND(EN$2&gt;EM$2,EN12&gt;EM12),1,IF(AND(EM$2=EN$2,EM12=EN12),1,0)))))</f>
        <v/>
      </c>
      <c r="EP12" s="1" t="n">
        <f aca="false">Participantes!CU11</f>
        <v>0</v>
      </c>
      <c r="EQ12" s="1" t="n">
        <f aca="false">Participantes!CV11</f>
        <v>0</v>
      </c>
      <c r="ER12" s="82" t="str">
        <f aca="false">IF(EP$2="","",IF(AND(EP12=EP$2,EQ12=EQ$2),3,IF(AND(EP$2&gt;EQ$2,EP12&gt;EQ12),1,IF(AND(EQ$2&gt;EP$2,EQ12&gt;EP12),1,IF(AND(EP$2=EQ$2,EP12=EQ12),1,0)))))</f>
        <v/>
      </c>
      <c r="ES12" s="1" t="n">
        <f aca="false">Participantes!CW11</f>
        <v>0</v>
      </c>
      <c r="ET12" s="1" t="n">
        <f aca="false">Participantes!CX11</f>
        <v>0</v>
      </c>
      <c r="EU12" s="82" t="str">
        <f aca="false">IF(ES$2="","",IF(AND(ES12=ES$2,ET12=ET$2),3,IF(AND(ES$2&gt;ET$2,ES12&gt;ET12),1,IF(AND(ET$2&gt;ES$2,ET12&gt;ES12),1,IF(AND(ES$2=ET$2,ES12=ET12),1,0)))))</f>
        <v/>
      </c>
      <c r="EV12" s="1" t="n">
        <f aca="false">Participantes!CY11</f>
        <v>0</v>
      </c>
      <c r="EW12" s="1" t="n">
        <f aca="false">Participantes!CZ11</f>
        <v>0</v>
      </c>
      <c r="EX12" s="82" t="str">
        <f aca="false">IF(EV$2="","",IF(AND(EV12=EV$2,EW12=EW$2),3,IF(AND(EV$2&gt;EW$2,EV12&gt;EW12),1,IF(AND(EW$2&gt;EV$2,EW12&gt;EV12),1,IF(AND(EV$2=EW$2,EV12=EW12),1,0)))))</f>
        <v/>
      </c>
      <c r="EY12" s="1" t="n">
        <f aca="false">Participantes!DA11</f>
        <v>0</v>
      </c>
      <c r="EZ12" s="1" t="n">
        <f aca="false">Participantes!DB11</f>
        <v>0</v>
      </c>
      <c r="FA12" s="82" t="str">
        <f aca="false">IF(EY$2="","",IF(AND(EY12=EY$2,EZ12=EZ$2),3,IF(AND(EY$2&gt;EZ$2,EY12&gt;EZ12),1,IF(AND(EZ$2&gt;EY$2,EZ12&gt;EY12),1,IF(AND(EY$2=EZ$2,EY12=EZ12),1,0)))))</f>
        <v/>
      </c>
      <c r="FB12" s="1" t="n">
        <f aca="false">Participantes!DC11</f>
        <v>0</v>
      </c>
      <c r="FC12" s="1" t="n">
        <f aca="false">Participantes!DD11</f>
        <v>0</v>
      </c>
      <c r="FD12" s="82" t="str">
        <f aca="false">IF(FB$2="","",IF(AND(FB12=FB$2,FC12=FC$2),3,IF(AND(FB$2&gt;FC$2,FB12&gt;FC12),1,IF(AND(FC$2&gt;FB$2,FC12&gt;FB12),1,IF(AND(FB$2=FC$2,FB12=FC12),1,0)))))</f>
        <v/>
      </c>
      <c r="FE12" s="1" t="n">
        <f aca="false">Participantes!DE11</f>
        <v>0</v>
      </c>
      <c r="FF12" s="1" t="n">
        <f aca="false">Participantes!DF11</f>
        <v>0</v>
      </c>
      <c r="FG12" s="82" t="str">
        <f aca="false">IF(FE$2="","",IF(AND(FE12=FE$2,FF12=FF$2),3,IF(AND(FE$2&gt;FF$2,FE12&gt;FF12),1,IF(AND(FF$2&gt;FE$2,FF12&gt;FE12),1,IF(AND(FE$2=FF$2,FE12=FF12),1,0)))))</f>
        <v/>
      </c>
      <c r="FH12" s="1" t="n">
        <f aca="false">Participantes!DG11</f>
        <v>0</v>
      </c>
      <c r="FI12" s="1" t="n">
        <f aca="false">Participantes!DH11</f>
        <v>0</v>
      </c>
      <c r="FJ12" s="82" t="str">
        <f aca="false">IF(FH$2="","",IF(AND(FH12=FH$2,FI12=FI$2),3,IF(AND(FH$2&gt;FI$2,FH12&gt;FI12),1,IF(AND(FI$2&gt;FH$2,FI12&gt;FH12),1,IF(AND(FH$2=FI$2,FH12=FI12),1,0)))))</f>
        <v/>
      </c>
      <c r="FK12" s="1" t="n">
        <f aca="false">Participantes!DI11</f>
        <v>0</v>
      </c>
      <c r="FL12" s="1" t="n">
        <f aca="false">Participantes!DJ11</f>
        <v>0</v>
      </c>
      <c r="FM12" s="82" t="str">
        <f aca="false">IF(FK$2="","",IF(AND(FK12=FK$2,FL12=FL$2),3,IF(AND(FK$2&gt;FL$2,FK12&gt;FL12),1,IF(AND(FL$2&gt;FK$2,FL12&gt;FK12),1,IF(AND(FK$2=FL$2,FK12=FL12),1,0)))))</f>
        <v/>
      </c>
      <c r="FN12" s="1" t="n">
        <f aca="false">Participantes!DK11</f>
        <v>0</v>
      </c>
      <c r="FO12" s="1" t="n">
        <f aca="false">Participantes!DL11</f>
        <v>0</v>
      </c>
      <c r="FP12" s="82" t="str">
        <f aca="false">IF(FN$2="","",IF(AND(FN12=FN$2,FO12=FO$2),3,IF(AND(FN$2&gt;FO$2,FN12&gt;FO12),1,IF(AND(FO$2&gt;FN$2,FO12&gt;FN12),1,IF(AND(FN$2=FO$2,FN12=FO12),1,0)))))</f>
        <v/>
      </c>
      <c r="FQ12" s="1" t="n">
        <f aca="false">Participantes!DM11</f>
        <v>0</v>
      </c>
      <c r="FR12" s="1" t="n">
        <f aca="false">Participantes!DN11</f>
        <v>0</v>
      </c>
      <c r="FS12" s="82" t="str">
        <f aca="false">IF(FQ$2="","",IF(AND(FQ12=FQ$2,FR12=FR$2),3,IF(AND(FQ$2&gt;FR$2,FQ12&gt;FR12),1,IF(AND(FR$2&gt;FQ$2,FR12&gt;FQ12),1,IF(AND(FQ$2=FR$2,FQ12=FR12),1,0)))))</f>
        <v/>
      </c>
      <c r="FT12" s="1" t="n">
        <f aca="false">Participantes!DO11</f>
        <v>0</v>
      </c>
      <c r="FU12" s="1" t="n">
        <f aca="false">Participantes!DP11</f>
        <v>0</v>
      </c>
      <c r="FV12" s="82" t="str">
        <f aca="false">IF(FT$2="","",IF(AND(FT12=FT$2,FU12=FU$2),3,IF(AND(FT$2&gt;FU$2,FT12&gt;FU12),1,IF(AND(FU$2&gt;FT$2,FU12&gt;FT12),1,IF(AND(FT$2=FU$2,FT12=FU12),1,0)))))</f>
        <v/>
      </c>
      <c r="FW12" s="1" t="n">
        <f aca="false">Participantes!DQ11</f>
        <v>0</v>
      </c>
      <c r="FX12" s="1" t="n">
        <f aca="false">Participantes!DR11</f>
        <v>0</v>
      </c>
      <c r="FY12" s="82" t="str">
        <f aca="false">IF(FW$2="","",IF(AND(FW12=FW$2,FX12=FX$2),3,IF(AND(FW$2&gt;FX$2,FW12&gt;FX12),1,IF(AND(FX$2&gt;FW$2,FX12&gt;FW12),1,IF(AND(FW$2=FX$2,FW12=FX12),1,0)))))</f>
        <v/>
      </c>
      <c r="FZ12" s="1" t="n">
        <f aca="false">Participantes!DS11</f>
        <v>0</v>
      </c>
      <c r="GA12" s="1" t="n">
        <f aca="false">Participantes!DT11</f>
        <v>0</v>
      </c>
      <c r="GB12" s="82" t="str">
        <f aca="false">IF(FZ$2="","",IF(AND(FZ12=FZ$2,GA12=GA$2),3,IF(AND(FZ$2&gt;GA$2,FZ12&gt;GA12),1,IF(AND(GA$2&gt;FZ$2,GA12&gt;FZ12),1,IF(AND(FZ$2=GA$2,FZ12=GA12),1,0)))))</f>
        <v/>
      </c>
      <c r="GC12" s="1" t="n">
        <f aca="false">Participantes!DU11</f>
        <v>0</v>
      </c>
      <c r="GD12" s="1" t="n">
        <f aca="false">Participantes!DV11</f>
        <v>0</v>
      </c>
      <c r="GE12" s="82" t="str">
        <f aca="false">IF(GC$2="","",IF(AND(GC12=GC$2,GD12=GD$2),3,IF(AND(GC$2&gt;GD$2,GC12&gt;GD12),1,IF(AND(GD$2&gt;GC$2,GD12&gt;GC12),1,IF(AND(GC$2=GD$2,GC12=GD12),1,0)))))</f>
        <v/>
      </c>
      <c r="GF12" s="1" t="n">
        <f aca="false">Participantes!DW11</f>
        <v>0</v>
      </c>
      <c r="GG12" s="1" t="n">
        <f aca="false">Participantes!DX11</f>
        <v>0</v>
      </c>
      <c r="GH12" s="82" t="str">
        <f aca="false">IF(GF$2="","",IF(AND(GF12=GF$2,GG12=GG$2),3,IF(AND(GF$2&gt;GG$2,GF12&gt;GG12),1,IF(AND(GG$2&gt;GF$2,GG12&gt;GF12),1,IF(AND(GF$2=GG$2,GF12=GG12),1,0)))))</f>
        <v/>
      </c>
      <c r="GI12" s="1" t="n">
        <f aca="false">Participantes!DY11</f>
        <v>0</v>
      </c>
      <c r="GJ12" s="1" t="n">
        <f aca="false">Participantes!DZ11</f>
        <v>0</v>
      </c>
      <c r="GK12" s="82" t="str">
        <f aca="false">IF(GI$2="","",IF(AND(GI12=GI$2,GJ12=GJ$2),3,IF(AND(GI$2&gt;GJ$2,GI12&gt;GJ12),1,IF(AND(GJ$2&gt;GI$2,GJ12&gt;GI12),1,IF(AND(GI$2=GJ$2,GI12=GJ12),1,0)))))</f>
        <v/>
      </c>
      <c r="GL12" s="1" t="n">
        <f aca="false">Participantes!EA11</f>
        <v>0</v>
      </c>
      <c r="GM12" s="1" t="n">
        <f aca="false">Participantes!EB11</f>
        <v>0</v>
      </c>
      <c r="GN12" s="82" t="str">
        <f aca="false">IF(GL$2="","",IF(AND(GL12=GL$2,GM12=GM$2),3,IF(AND(GL$2&gt;GM$2,GL12&gt;GM12),1,IF(AND(GM$2&gt;GL$2,GM12&gt;GL12),1,IF(AND(GL$2=GM$2,GL12=GM12),1,0)))))</f>
        <v/>
      </c>
      <c r="GO12" s="1" t="n">
        <f aca="false">Participantes!EC11</f>
        <v>0</v>
      </c>
      <c r="GP12" s="1" t="n">
        <f aca="false">Participantes!ED11</f>
        <v>0</v>
      </c>
      <c r="GQ12" s="82" t="str">
        <f aca="false">IF(GO$2="","",IF(AND(GO12=GO$2,GP12=GP$2),3,IF(AND(GO$2&gt;GP$2,GO12&gt;GP12),1,IF(AND(GP$2&gt;GO$2,GP12&gt;GO12),1,IF(AND(GO$2=GP$2,GO12=GP12),1,0)))))</f>
        <v/>
      </c>
      <c r="GR12" s="1" t="n">
        <f aca="false">Participantes!EE11</f>
        <v>0</v>
      </c>
      <c r="GS12" s="1" t="n">
        <f aca="false">Participantes!EF11</f>
        <v>0</v>
      </c>
      <c r="GT12" s="82" t="str">
        <f aca="false">IF(GR$2="","",IF(AND(GR12=GR$2,GS12=GS$2),3,IF(AND(GR$2&gt;GS$2,GR12&gt;GS12),1,IF(AND(GS$2&gt;GR$2,GS12&gt;GR12),1,IF(AND(GR$2=GS$2,GR12=GS12),1,0)))))</f>
        <v/>
      </c>
      <c r="GU12" s="1" t="n">
        <f aca="false">Participantes!EG11</f>
        <v>0</v>
      </c>
      <c r="GV12" s="1" t="n">
        <f aca="false">Participantes!EH11</f>
        <v>0</v>
      </c>
      <c r="GW12" s="82" t="str">
        <f aca="false">IF(GU$2="","",IF(AND(GU12=GU$2,GV12=GV$2),3,IF(AND(GU$2&gt;GV$2,GU12&gt;GV12),1,IF(AND(GV$2&gt;GU$2,GV12&gt;GU12),1,IF(AND(GU$2=GV$2,GU12=GV12),1,0)))))</f>
        <v/>
      </c>
      <c r="GX12" s="1" t="n">
        <f aca="false">Participantes!EI11</f>
        <v>0</v>
      </c>
      <c r="GY12" s="1" t="n">
        <f aca="false">Participantes!EJ11</f>
        <v>0</v>
      </c>
      <c r="GZ12" s="82" t="str">
        <f aca="false">IF(GX$2="","",IF(AND(GX12=GX$2,GY12=GY$2),3,IF(AND(GX$2&gt;GY$2,GX12&gt;GY12),1,IF(AND(GY$2&gt;GX$2,GY12&gt;GX12),1,IF(AND(GX$2=GY$2,GX12=GY12),1,0)))))</f>
        <v/>
      </c>
      <c r="HA12" s="1" t="n">
        <f aca="false">Participantes!EK11</f>
        <v>0</v>
      </c>
      <c r="HB12" s="1" t="n">
        <f aca="false">Participantes!EL11</f>
        <v>0</v>
      </c>
      <c r="HC12" s="82" t="str">
        <f aca="false">IF(HA$2="","",IF(AND(HA12=HA$2,HB12=HB$2),3,IF(AND(HA$2&gt;HB$2,HA12&gt;HB12),1,IF(AND(HB$2&gt;HA$2,HB12&gt;HA12),1,IF(AND(HA$2=HB$2,HA12=HB12),1,0)))))</f>
        <v/>
      </c>
      <c r="HD12" s="1" t="n">
        <f aca="false">Participantes!EM11</f>
        <v>0</v>
      </c>
      <c r="HE12" s="1" t="n">
        <f aca="false">Participantes!EN11</f>
        <v>0</v>
      </c>
      <c r="HF12" s="82" t="str">
        <f aca="false">IF(HD$2="","",IF(AND(HD12=HD$2,HE12=HE$2),3,IF(AND(HD$2&gt;HE$2,HD12&gt;HE12),1,IF(AND(HE$2&gt;HD$2,HE12&gt;HD12),1,IF(AND(HD$2=HE$2,HD12=HE12),1,0)))))</f>
        <v/>
      </c>
      <c r="HG12" s="1" t="n">
        <f aca="false">Participantes!EO11</f>
        <v>0</v>
      </c>
      <c r="HH12" s="1" t="n">
        <f aca="false">Participantes!EP11</f>
        <v>0</v>
      </c>
      <c r="HI12" s="82" t="str">
        <f aca="false">IF(HG$2="","",IF(AND(HG12=HG$2,HH12=HH$2),3,IF(AND(HG$2&gt;HH$2,HG12&gt;HH12),1,IF(AND(HH$2&gt;HG$2,HH12&gt;HG12),1,IF(AND(HG$2=HH$2,HG12=HH12),1,0)))))</f>
        <v/>
      </c>
      <c r="HJ12" s="83" t="n">
        <f aca="false">SUM(D12,G12,J12,M12,P12,S12,V12,Y12,AB12,AE12,AH12,AK12,AN12,AQ12,AT12,AW12,AZ12,BC12,BF12,BI12,BL12,BO12,BR12,BU12,BX12,CA12,CD12,CG12,CJ12,CM12,CP12,CS12,CV12,CY12,DB12,DE12,DH12,DK12,DN12,DQ12,DT12,DW12,DZ12,EC12,EF12,EI12,EL12,EO12,ER12,EU12,EX12,FA12,FD12,FG12,FJ12,FM12,FP12,FS12,FV12,FY12,GB12,GE12,GH12,GK12,GN12,GQ12,GT12,GW12,GZ12,HC12,HF12,HI12)</f>
        <v>0</v>
      </c>
    </row>
    <row r="13" customFormat="false" ht="15" hidden="false" customHeight="true" outlineLevel="0" collapsed="false">
      <c r="A13" s="81" t="str">
        <f aca="false">Participantes!B12</f>
        <v>Edward</v>
      </c>
      <c r="B13" s="1" t="n">
        <f aca="false">Participantes!C12</f>
        <v>2</v>
      </c>
      <c r="C13" s="1" t="n">
        <f aca="false">Participantes!D12</f>
        <v>0</v>
      </c>
      <c r="D13" s="82" t="n">
        <f aca="false">IF(B$2="","",IF(AND(B13=B$2,C13=C$2),3,IF(AND(B$2&gt;C$2,B13&gt;C13),1,IF(AND(C$2&gt;B$2,C13&gt;B13),1,IF(AND(B$2=C$2,B13=C13),1,0)))))</f>
        <v>3</v>
      </c>
      <c r="E13" s="1" t="n">
        <f aca="false">Participantes!E12</f>
        <v>2</v>
      </c>
      <c r="F13" s="1" t="n">
        <f aca="false">Participantes!F12</f>
        <v>1</v>
      </c>
      <c r="G13" s="82" t="str">
        <f aca="false">IF(E$2="","",IF(AND(E13=E$2,F13=F$2),3,IF(AND(E$2&gt;F$2,E13&gt;F13),1,IF(AND(F$2&gt;E$2,F13&gt;E13),1,IF(AND(E$2=F$2,E13=F13),1,0)))))</f>
        <v/>
      </c>
      <c r="H13" s="1" t="n">
        <f aca="false">Participantes!G12</f>
        <v>2</v>
      </c>
      <c r="I13" s="1" t="n">
        <f aca="false">Participantes!H12</f>
        <v>1</v>
      </c>
      <c r="J13" s="82" t="str">
        <f aca="false">IF(H$2="","",IF(AND(H13=H$2,I13=I$2),3,IF(AND(H$2&gt;I$2,H13&gt;I13),1,IF(AND(I$2&gt;H$2,I13&gt;H13),1,IF(AND(H$2=I$2,H13=I13),1,0)))))</f>
        <v/>
      </c>
      <c r="K13" s="1" t="n">
        <f aca="false">Participantes!I12</f>
        <v>2</v>
      </c>
      <c r="L13" s="1" t="n">
        <f aca="false">Participantes!J12</f>
        <v>1</v>
      </c>
      <c r="M13" s="82" t="str">
        <f aca="false">IF(K$2="","",IF(AND(K13=K$2,L13=L$2),3,IF(AND(K$2&gt;L$2,K13&gt;L13),1,IF(AND(L$2&gt;K$2,L13&gt;K13),1,IF(AND(K$2=L$2,K13=L13),1,0)))))</f>
        <v/>
      </c>
      <c r="N13" s="1" t="n">
        <f aca="false">Participantes!K12</f>
        <v>0</v>
      </c>
      <c r="O13" s="1" t="n">
        <f aca="false">Participantes!L12</f>
        <v>2</v>
      </c>
      <c r="P13" s="82" t="str">
        <f aca="false">IF(N$2="","",IF(AND(N13=N$2,O13=O$2),3,IF(AND(N$2&gt;O$2,N13&gt;O13),1,IF(AND(O$2&gt;N$2,O13&gt;N13),1,IF(AND(N$2=O$2,N13=O13),1,0)))))</f>
        <v/>
      </c>
      <c r="Q13" s="1" t="n">
        <f aca="false">Participantes!M12</f>
        <v>0</v>
      </c>
      <c r="R13" s="1" t="n">
        <f aca="false">Participantes!N12</f>
        <v>1</v>
      </c>
      <c r="S13" s="82" t="str">
        <f aca="false">IF(Q$2="","",IF(AND(Q13=Q$2,R13=R$2),3,IF(AND(Q$2&gt;R$2,Q13&gt;R13),1,IF(AND(R$2&gt;Q$2,R13&gt;Q13),1,IF(AND(Q$2=R$2,Q13=R13),1,0)))))</f>
        <v/>
      </c>
      <c r="T13" s="1" t="n">
        <f aca="false">Participantes!O12</f>
        <v>2</v>
      </c>
      <c r="U13" s="1" t="n">
        <f aca="false">Participantes!P12</f>
        <v>1</v>
      </c>
      <c r="V13" s="82" t="str">
        <f aca="false">IF(T$2="","",IF(AND(T13=T$2,U13=U$2),3,IF(AND(T$2&gt;U$2,T13&gt;U13),1,IF(AND(U$2&gt;T$2,U13&gt;T13),1,IF(AND(T$2=U$2,T13=U13),1,0)))))</f>
        <v/>
      </c>
      <c r="W13" s="1" t="n">
        <f aca="false">Participantes!Q12</f>
        <v>0</v>
      </c>
      <c r="X13" s="1" t="n">
        <f aca="false">Participantes!R12</f>
        <v>2</v>
      </c>
      <c r="Y13" s="82" t="str">
        <f aca="false">IF(W$2="","",IF(AND(W13=W$2,X13=X$2),3,IF(AND(W$2&gt;X$2,W13&gt;X13),1,IF(AND(X$2&gt;W$2,X13&gt;W13),1,IF(AND(W$2=X$2,W13=X13),1,0)))))</f>
        <v/>
      </c>
      <c r="Z13" s="1" t="n">
        <f aca="false">Participantes!S12</f>
        <v>1</v>
      </c>
      <c r="AA13" s="1" t="n">
        <f aca="false">Participantes!T12</f>
        <v>1</v>
      </c>
      <c r="AB13" s="82" t="str">
        <f aca="false">IF(Z$2="","",IF(AND(Z13=Z$2,AA13=AA$2),3,IF(AND(Z$2&gt;AA$2,Z13&gt;AA13),1,IF(AND(AA$2&gt;Z$2,AA13&gt;Z13),1,IF(AND(Z$2=AA$2,Z13=AA13),1,0)))))</f>
        <v/>
      </c>
      <c r="AC13" s="1" t="n">
        <f aca="false">Participantes!U12</f>
        <v>3</v>
      </c>
      <c r="AD13" s="1" t="n">
        <f aca="false">Participantes!V12</f>
        <v>0</v>
      </c>
      <c r="AE13" s="82" t="str">
        <f aca="false">IF(AC$2="","",IF(AND(AC13=AC$2,AD13=AD$2),3,IF(AND(AC$2&gt;AD$2,AC13&gt;AD13),1,IF(AND(AD$2&gt;AC$2,AD13&gt;AC13),1,IF(AND(AC$2=AD$2,AC13=AD13),1,0)))))</f>
        <v/>
      </c>
      <c r="AF13" s="1" t="n">
        <f aca="false">Participantes!W12</f>
        <v>2</v>
      </c>
      <c r="AG13" s="1" t="n">
        <f aca="false">Participantes!X12</f>
        <v>1</v>
      </c>
      <c r="AH13" s="82" t="str">
        <f aca="false">IF(AF$2="","",IF(AND(AF13=AF$2,AG13=AG$2),3,IF(AND(AF$2&gt;AG$2,AF13&gt;AG13),1,IF(AND(AG$2&gt;AF$2,AG13&gt;AF13),1,IF(AND(AF$2=AG$2,AF13=AG13),1,0)))))</f>
        <v/>
      </c>
      <c r="AI13" s="1" t="n">
        <f aca="false">Participantes!Y12</f>
        <v>2</v>
      </c>
      <c r="AJ13" s="1" t="n">
        <f aca="false">Participantes!Z12</f>
        <v>0</v>
      </c>
      <c r="AK13" s="82" t="str">
        <f aca="false">IF(AI$2="","",IF(AND(AI13=AI$2,AJ13=AJ$2),3,IF(AND(AI$2&gt;AJ$2,AI13&gt;AJ13),1,IF(AND(AJ$2&gt;AI$2,AJ13&gt;AI13),1,IF(AND(AI$2=AJ$2,AI13=AJ13),1,0)))))</f>
        <v/>
      </c>
      <c r="AL13" s="1" t="n">
        <f aca="false">Participantes!AA12</f>
        <v>1</v>
      </c>
      <c r="AM13" s="1" t="n">
        <f aca="false">Participantes!AB12</f>
        <v>2</v>
      </c>
      <c r="AN13" s="82" t="str">
        <f aca="false">IF(AL$2="","",IF(AND(AL13=AL$2,AM13=AM$2),3,IF(AND(AL$2&gt;AM$2,AL13&gt;AM13),1,IF(AND(AM$2&gt;AL$2,AM13&gt;AL13),1,IF(AND(AL$2=AM$2,AL13=AM13),1,0)))))</f>
        <v/>
      </c>
      <c r="AO13" s="1" t="n">
        <f aca="false">Participantes!AC12</f>
        <v>4</v>
      </c>
      <c r="AP13" s="1" t="n">
        <f aca="false">Participantes!AD12</f>
        <v>0</v>
      </c>
      <c r="AQ13" s="82" t="str">
        <f aca="false">IF(AO$2="","",IF(AND(AO13=AO$2,AP13=AP$2),3,IF(AND(AO$2&gt;AP$2,AO13&gt;AP13),1,IF(AND(AP$2&gt;AO$2,AP13&gt;AO13),1,IF(AND(AO$2=AP$2,AO13=AP13),1,0)))))</f>
        <v/>
      </c>
      <c r="AR13" s="1" t="n">
        <f aca="false">Participantes!AE12</f>
        <v>1</v>
      </c>
      <c r="AS13" s="1" t="n">
        <f aca="false">Participantes!AF12</f>
        <v>0</v>
      </c>
      <c r="AT13" s="82" t="str">
        <f aca="false">IF(AR$2="","",IF(AND(AR13=AR$2,AS13=AS$2),3,IF(AND(AR$2&gt;AS$2,AR13&gt;AS13),1,IF(AND(AS$2&gt;AR$2,AS13&gt;AR13),1,IF(AND(AR$2=AS$2,AR13=AS13),1,0)))))</f>
        <v/>
      </c>
      <c r="AU13" s="1" t="n">
        <f aca="false">Participantes!AG12</f>
        <v>2</v>
      </c>
      <c r="AV13" s="1" t="n">
        <f aca="false">Participantes!AH12</f>
        <v>1</v>
      </c>
      <c r="AW13" s="82" t="str">
        <f aca="false">IF(AU$2="","",IF(AND(AU13=AU$2,AV13=AV$2),3,IF(AND(AU$2&gt;AV$2,AU13&gt;AV13),1,IF(AND(AV$2&gt;AU$2,AV13&gt;AU13),1,IF(AND(AU$2=AV$2,AU13=AV13),1,0)))))</f>
        <v/>
      </c>
      <c r="AX13" s="1" t="n">
        <f aca="false">Participantes!AI12</f>
        <v>2</v>
      </c>
      <c r="AY13" s="1" t="n">
        <f aca="false">Participantes!AJ12</f>
        <v>1</v>
      </c>
      <c r="AZ13" s="82" t="str">
        <f aca="false">IF(AX$2="","",IF(AND(AX13=AX$2,AY13=AY$2),3,IF(AND(AX$2&gt;AY$2,AX13&gt;AY13),1,IF(AND(AY$2&gt;AX$2,AY13&gt;AX13),1,IF(AND(AX$2=AY$2,AX13=AY13),1,0)))))</f>
        <v/>
      </c>
      <c r="BA13" s="1" t="n">
        <f aca="false">Participantes!AK12</f>
        <v>0</v>
      </c>
      <c r="BB13" s="1" t="n">
        <f aca="false">Participantes!AL12</f>
        <v>2</v>
      </c>
      <c r="BC13" s="82" t="str">
        <f aca="false">IF(BA$2="","",IF(AND(BA13=BA$2,BB13=BB$2),3,IF(AND(BA$2&gt;BB$2,BA13&gt;BB13),1,IF(AND(BB$2&gt;BA$2,BB13&gt;BA13),1,IF(AND(BA$2=BB$2,BA13=BB13),1,0)))))</f>
        <v/>
      </c>
      <c r="BD13" s="1" t="n">
        <f aca="false">Participantes!AM12</f>
        <v>2</v>
      </c>
      <c r="BE13" s="1" t="n">
        <f aca="false">Participantes!AN12</f>
        <v>0</v>
      </c>
      <c r="BF13" s="82" t="str">
        <f aca="false">IF(BD$2="","",IF(AND(BD13=BD$2,BE13=BE$2),3,IF(AND(BD$2&gt;BE$2,BD13&gt;BE13),1,IF(AND(BE$2&gt;BD$2,BE13&gt;BD13),1,IF(AND(BD$2=BE$2,BD13=BE13),1,0)))))</f>
        <v/>
      </c>
      <c r="BG13" s="1" t="n">
        <f aca="false">Participantes!AO12</f>
        <v>2</v>
      </c>
      <c r="BH13" s="1" t="n">
        <f aca="false">Participantes!AP12</f>
        <v>0</v>
      </c>
      <c r="BI13" s="82" t="str">
        <f aca="false">IF(BG$2="","",IF(AND(BG13=BG$2,BH13=BH$2),3,IF(AND(BG$2&gt;BH$2,BG13&gt;BH13),1,IF(AND(BH$2&gt;BG$2,BH13&gt;BG13),1,IF(AND(BG$2=BH$2,BG13=BH13),1,0)))))</f>
        <v/>
      </c>
      <c r="BJ13" s="1" t="n">
        <f aca="false">Participantes!AQ12</f>
        <v>1</v>
      </c>
      <c r="BK13" s="1" t="n">
        <f aca="false">Participantes!AR12</f>
        <v>2</v>
      </c>
      <c r="BL13" s="82" t="str">
        <f aca="false">IF(BJ$2="","",IF(AND(BJ13=BJ$2,BK13=BK$2),3,IF(AND(BJ$2&gt;BK$2,BJ13&gt;BK13),1,IF(AND(BK$2&gt;BJ$2,BK13&gt;BJ13),1,IF(AND(BJ$2=BK$2,BJ13=BK13),1,0)))))</f>
        <v/>
      </c>
      <c r="BM13" s="1" t="n">
        <f aca="false">Participantes!AS12</f>
        <v>2</v>
      </c>
      <c r="BN13" s="1" t="n">
        <f aca="false">Participantes!AT12</f>
        <v>1</v>
      </c>
      <c r="BO13" s="82" t="str">
        <f aca="false">IF(BM$2="","",IF(AND(BM13=BM$2,BN13=BN$2),3,IF(AND(BM$2&gt;BN$2,BM13&gt;BN13),1,IF(AND(BN$2&gt;BM$2,BN13&gt;BM13),1,IF(AND(BM$2=BN$2,BM13=BN13),1,0)))))</f>
        <v/>
      </c>
      <c r="BP13" s="1" t="n">
        <f aca="false">Participantes!AU12</f>
        <v>2</v>
      </c>
      <c r="BQ13" s="1" t="n">
        <f aca="false">Participantes!AV12</f>
        <v>1</v>
      </c>
      <c r="BR13" s="82" t="str">
        <f aca="false">IF(BP$2="","",IF(AND(BP13=BP$2,BQ13=BQ$2),3,IF(AND(BP$2&gt;BQ$2,BP13&gt;BQ13),1,IF(AND(BQ$2&gt;BP$2,BQ13&gt;BP13),1,IF(AND(BP$2=BQ$2,BP13=BQ13),1,0)))))</f>
        <v/>
      </c>
      <c r="BS13" s="1" t="n">
        <f aca="false">Participantes!AW12</f>
        <v>1</v>
      </c>
      <c r="BT13" s="1" t="n">
        <f aca="false">Participantes!AX12</f>
        <v>2</v>
      </c>
      <c r="BU13" s="82" t="str">
        <f aca="false">IF(BS$2="","",IF(AND(BS13=BS$2,BT13=BT$2),3,IF(AND(BS$2&gt;BT$2,BS13&gt;BT13),1,IF(AND(BT$2&gt;BS$2,BT13&gt;BS13),1,IF(AND(BS$2=BT$2,BS13=BT13),1,0)))))</f>
        <v/>
      </c>
      <c r="BV13" s="1" t="n">
        <f aca="false">Participantes!AY12</f>
        <v>2</v>
      </c>
      <c r="BW13" s="1" t="n">
        <f aca="false">Participantes!AZ12</f>
        <v>0</v>
      </c>
      <c r="BX13" s="82" t="str">
        <f aca="false">IF(BV$2="","",IF(AND(BV13=BV$2,BW13=BW$2),3,IF(AND(BV$2&gt;BW$2,BV13&gt;BW13),1,IF(AND(BW$2&gt;BV$2,BW13&gt;BV13),1,IF(AND(BV$2=BW$2,BV13=BW13),1,0)))))</f>
        <v/>
      </c>
      <c r="BY13" s="1" t="n">
        <f aca="false">Participantes!BA12</f>
        <v>2</v>
      </c>
      <c r="BZ13" s="1" t="n">
        <f aca="false">Participantes!BB12</f>
        <v>1</v>
      </c>
      <c r="CA13" s="82" t="str">
        <f aca="false">IF(BY$2="","",IF(AND(BY13=BY$2,BZ13=BZ$2),3,IF(AND(BY$2&gt;BZ$2,BY13&gt;BZ13),1,IF(AND(BZ$2&gt;BY$2,BZ13&gt;BY13),1,IF(AND(BY$2=BZ$2,BY13=BZ13),1,0)))))</f>
        <v/>
      </c>
      <c r="CB13" s="1" t="n">
        <f aca="false">Participantes!BC12</f>
        <v>2</v>
      </c>
      <c r="CC13" s="1" t="n">
        <f aca="false">Participantes!BD12</f>
        <v>0</v>
      </c>
      <c r="CD13" s="82" t="str">
        <f aca="false">IF(CB$2="","",IF(AND(CB13=CB$2,CC13=CC$2),3,IF(AND(CB$2&gt;CC$2,CB13&gt;CC13),1,IF(AND(CC$2&gt;CB$2,CC13&gt;CB13),1,IF(AND(CB$2=CC$2,CB13=CC13),1,0)))))</f>
        <v/>
      </c>
      <c r="CE13" s="1" t="n">
        <f aca="false">Participantes!BE12</f>
        <v>1</v>
      </c>
      <c r="CF13" s="1" t="n">
        <f aca="false">Participantes!BF12</f>
        <v>1</v>
      </c>
      <c r="CG13" s="82" t="str">
        <f aca="false">IF(CE$2="","",IF(AND(CE13=CE$2,CF13=CF$2),3,IF(AND(CE$2&gt;CF$2,CE13&gt;CF13),1,IF(AND(CF$2&gt;CE$2,CF13&gt;CE13),1,IF(AND(CE$2=CF$2,CE13=CF13),1,0)))))</f>
        <v/>
      </c>
      <c r="CH13" s="1" t="n">
        <f aca="false">Participantes!BG12</f>
        <v>0</v>
      </c>
      <c r="CI13" s="1" t="n">
        <f aca="false">Participantes!BH12</f>
        <v>0</v>
      </c>
      <c r="CJ13" s="82" t="str">
        <f aca="false">IF(CH$2="","",IF(AND(CH13=CH$2,CI13=CI$2),3,IF(AND(CH$2&gt;CI$2,CH13&gt;CI13),1,IF(AND(CI$2&gt;CH$2,CI13&gt;CH13),1,IF(AND(CH$2=CI$2,CH13=CI13),1,0)))))</f>
        <v/>
      </c>
      <c r="CK13" s="1" t="n">
        <f aca="false">Participantes!BI12</f>
        <v>0</v>
      </c>
      <c r="CL13" s="1" t="n">
        <f aca="false">Participantes!BJ12</f>
        <v>0</v>
      </c>
      <c r="CM13" s="82" t="str">
        <f aca="false">IF(CK$2="","",IF(AND(CK13=CK$2,CL13=CL$2),3,IF(AND(CK$2&gt;CL$2,CK13&gt;CL13),1,IF(AND(CL$2&gt;CK$2,CL13&gt;CK13),1,IF(AND(CK$2=CL$2,CK13=CL13),1,0)))))</f>
        <v/>
      </c>
      <c r="CN13" s="1" t="n">
        <f aca="false">Participantes!BK12</f>
        <v>0</v>
      </c>
      <c r="CO13" s="1" t="n">
        <f aca="false">Participantes!BL12</f>
        <v>0</v>
      </c>
      <c r="CP13" s="82" t="str">
        <f aca="false">IF(CN$2="","",IF(AND(CN13=CN$2,CO13=CO$2),3,IF(AND(CN$2&gt;CO$2,CN13&gt;CO13),1,IF(AND(CO$2&gt;CN$2,CO13&gt;CN13),1,IF(AND(CN$2=CO$2,CN13=CO13),1,0)))))</f>
        <v/>
      </c>
      <c r="CQ13" s="1" t="n">
        <f aca="false">Participantes!BM12</f>
        <v>0</v>
      </c>
      <c r="CR13" s="1" t="n">
        <f aca="false">Participantes!BN12</f>
        <v>0</v>
      </c>
      <c r="CS13" s="82" t="str">
        <f aca="false">IF(CQ$2="","",IF(AND(CQ13=CQ$2,CR13=CR$2),3,IF(AND(CQ$2&gt;CR$2,CQ13&gt;CR13),1,IF(AND(CR$2&gt;CQ$2,CR13&gt;CQ13),1,IF(AND(CQ$2=CR$2,CQ13=CR13),1,0)))))</f>
        <v/>
      </c>
      <c r="CT13" s="1" t="n">
        <f aca="false">Participantes!BO12</f>
        <v>0</v>
      </c>
      <c r="CU13" s="1" t="n">
        <f aca="false">Participantes!BP12</f>
        <v>0</v>
      </c>
      <c r="CV13" s="82" t="str">
        <f aca="false">IF(CT$2="","",IF(AND(CT13=CT$2,CU13=CU$2),3,IF(AND(CT$2&gt;CU$2,CT13&gt;CU13),1,IF(AND(CU$2&gt;CT$2,CU13&gt;CT13),1,IF(AND(CT$2=CU$2,CT13=CU13),1,0)))))</f>
        <v/>
      </c>
      <c r="CW13" s="1" t="n">
        <f aca="false">Participantes!BQ12</f>
        <v>0</v>
      </c>
      <c r="CX13" s="1" t="n">
        <f aca="false">Participantes!BR12</f>
        <v>0</v>
      </c>
      <c r="CY13" s="82" t="str">
        <f aca="false">IF(CW$2="","",IF(AND(CW13=CW$2,CX13=CX$2),3,IF(AND(CW$2&gt;CX$2,CW13&gt;CX13),1,IF(AND(CX$2&gt;CW$2,CX13&gt;CW13),1,IF(AND(CW$2=CX$2,CW13=CX13),1,0)))))</f>
        <v/>
      </c>
      <c r="CZ13" s="1" t="n">
        <f aca="false">Participantes!BS12</f>
        <v>0</v>
      </c>
      <c r="DA13" s="1" t="n">
        <f aca="false">Participantes!BT12</f>
        <v>0</v>
      </c>
      <c r="DB13" s="82" t="str">
        <f aca="false">IF(CZ$2="","",IF(AND(CZ13=CZ$2,DA13=DA$2),3,IF(AND(CZ$2&gt;DA$2,CZ13&gt;DA13),1,IF(AND(DA$2&gt;CZ$2,DA13&gt;CZ13),1,IF(AND(CZ$2=DA$2,CZ13=DA13),1,0)))))</f>
        <v/>
      </c>
      <c r="DC13" s="1" t="n">
        <f aca="false">Participantes!BU12</f>
        <v>0</v>
      </c>
      <c r="DD13" s="1" t="n">
        <f aca="false">Participantes!BV12</f>
        <v>0</v>
      </c>
      <c r="DE13" s="82" t="str">
        <f aca="false">IF(DC$2="","",IF(AND(DC13=DC$2,DD13=DD$2),3,IF(AND(DC$2&gt;DD$2,DC13&gt;DD13),1,IF(AND(DD$2&gt;DC$2,DD13&gt;DC13),1,IF(AND(DC$2=DD$2,DC13=DD13),1,0)))))</f>
        <v/>
      </c>
      <c r="DF13" s="1" t="n">
        <f aca="false">Participantes!BW12</f>
        <v>0</v>
      </c>
      <c r="DG13" s="1" t="n">
        <f aca="false">Participantes!BX12</f>
        <v>0</v>
      </c>
      <c r="DH13" s="82" t="str">
        <f aca="false">IF(DF$2="","",IF(AND(DF13=DF$2,DG13=DG$2),3,IF(AND(DF$2&gt;DG$2,DF13&gt;DG13),1,IF(AND(DG$2&gt;DF$2,DG13&gt;DF13),1,IF(AND(DF$2=DG$2,DF13=DG13),1,0)))))</f>
        <v/>
      </c>
      <c r="DI13" s="1" t="n">
        <f aca="false">Participantes!BY12</f>
        <v>0</v>
      </c>
      <c r="DJ13" s="1" t="n">
        <f aca="false">Participantes!BZ12</f>
        <v>0</v>
      </c>
      <c r="DK13" s="82" t="str">
        <f aca="false">IF(DI$2="","",IF(AND(DI13=DI$2,DJ13=DJ$2),3,IF(AND(DI$2&gt;DJ$2,DI13&gt;DJ13),1,IF(AND(DJ$2&gt;DI$2,DJ13&gt;DI13),1,IF(AND(DI$2=DJ$2,DI13=DJ13),1,0)))))</f>
        <v/>
      </c>
      <c r="DL13" s="1" t="n">
        <f aca="false">Participantes!CA12</f>
        <v>0</v>
      </c>
      <c r="DM13" s="1" t="n">
        <f aca="false">Participantes!CB12</f>
        <v>0</v>
      </c>
      <c r="DN13" s="82" t="str">
        <f aca="false">IF(DL$2="","",IF(AND(DL13=DL$2,DM13=DM$2),3,IF(AND(DL$2&gt;DM$2,DL13&gt;DM13),1,IF(AND(DM$2&gt;DL$2,DM13&gt;DL13),1,IF(AND(DL$2=DM$2,DL13=DM13),1,0)))))</f>
        <v/>
      </c>
      <c r="DO13" s="1" t="n">
        <f aca="false">Participantes!CC12</f>
        <v>0</v>
      </c>
      <c r="DP13" s="1" t="n">
        <f aca="false">Participantes!CD12</f>
        <v>0</v>
      </c>
      <c r="DQ13" s="82" t="str">
        <f aca="false">IF(DO$2="","",IF(AND(DO13=DO$2,DP13=DP$2),3,IF(AND(DO$2&gt;DP$2,DO13&gt;DP13),1,IF(AND(DP$2&gt;DO$2,DP13&gt;DO13),1,IF(AND(DO$2=DP$2,DO13=DP13),1,0)))))</f>
        <v/>
      </c>
      <c r="DR13" s="1" t="n">
        <f aca="false">Participantes!CE12</f>
        <v>0</v>
      </c>
      <c r="DS13" s="1" t="n">
        <f aca="false">Participantes!CF12</f>
        <v>0</v>
      </c>
      <c r="DT13" s="82" t="str">
        <f aca="false">IF(DR$2="","",IF(AND(DR13=DR$2,DS13=DS$2),3,IF(AND(DR$2&gt;DS$2,DR13&gt;DS13),1,IF(AND(DS$2&gt;DR$2,DS13&gt;DR13),1,IF(AND(DR$2=DS$2,DR13=DS13),1,0)))))</f>
        <v/>
      </c>
      <c r="DU13" s="1" t="n">
        <f aca="false">Participantes!CG12</f>
        <v>0</v>
      </c>
      <c r="DV13" s="1" t="n">
        <f aca="false">Participantes!CH12</f>
        <v>0</v>
      </c>
      <c r="DW13" s="82" t="str">
        <f aca="false">IF(DU$2="","",IF(AND(DU13=DU$2,DV13=DV$2),3,IF(AND(DU$2&gt;DV$2,DU13&gt;DV13),1,IF(AND(DV$2&gt;DU$2,DV13&gt;DU13),1,IF(AND(DU$2=DV$2,DU13=DV13),1,0)))))</f>
        <v/>
      </c>
      <c r="DX13" s="1" t="n">
        <f aca="false">Participantes!CI12</f>
        <v>0</v>
      </c>
      <c r="DY13" s="1" t="n">
        <f aca="false">Participantes!CJ12</f>
        <v>0</v>
      </c>
      <c r="DZ13" s="82" t="str">
        <f aca="false">IF(DX$2="","",IF(AND(DX13=DX$2,DY13=DY$2),3,IF(AND(DX$2&gt;DY$2,DX13&gt;DY13),1,IF(AND(DY$2&gt;DX$2,DY13&gt;DX13),1,IF(AND(DX$2=DY$2,DX13=DY13),1,0)))))</f>
        <v/>
      </c>
      <c r="EA13" s="1" t="n">
        <f aca="false">Participantes!CK12</f>
        <v>0</v>
      </c>
      <c r="EB13" s="1" t="n">
        <f aca="false">Participantes!CL12</f>
        <v>0</v>
      </c>
      <c r="EC13" s="82" t="str">
        <f aca="false">IF(EA$2="","",IF(AND(EA13=EA$2,EB13=EB$2),3,IF(AND(EA$2&gt;EB$2,EA13&gt;EB13),1,IF(AND(EB$2&gt;EA$2,EB13&gt;EA13),1,IF(AND(EA$2=EB$2,EA13=EB13),1,0)))))</f>
        <v/>
      </c>
      <c r="ED13" s="1" t="n">
        <f aca="false">Participantes!CM12</f>
        <v>0</v>
      </c>
      <c r="EE13" s="1" t="n">
        <f aca="false">Participantes!CN12</f>
        <v>0</v>
      </c>
      <c r="EF13" s="82" t="str">
        <f aca="false">IF(ED$2="","",IF(AND(ED13=ED$2,EE13=EE$2),3,IF(AND(ED$2&gt;EE$2,ED13&gt;EE13),1,IF(AND(EE$2&gt;ED$2,EE13&gt;ED13),1,IF(AND(ED$2=EE$2,ED13=EE13),1,0)))))</f>
        <v/>
      </c>
      <c r="EG13" s="1" t="n">
        <f aca="false">Participantes!CO12</f>
        <v>0</v>
      </c>
      <c r="EH13" s="1" t="n">
        <f aca="false">Participantes!CP12</f>
        <v>0</v>
      </c>
      <c r="EI13" s="82" t="str">
        <f aca="false">IF(EG$2="","",IF(AND(EG13=EG$2,EH13=EH$2),3,IF(AND(EG$2&gt;EH$2,EG13&gt;EH13),1,IF(AND(EH$2&gt;EG$2,EH13&gt;EG13),1,IF(AND(EG$2=EH$2,EG13=EH13),1,0)))))</f>
        <v/>
      </c>
      <c r="EJ13" s="1" t="n">
        <f aca="false">Participantes!CQ12</f>
        <v>0</v>
      </c>
      <c r="EK13" s="1" t="n">
        <f aca="false">Participantes!CR12</f>
        <v>0</v>
      </c>
      <c r="EL13" s="82" t="str">
        <f aca="false">IF(EJ$2="","",IF(AND(EJ13=EJ$2,EK13=EK$2),3,IF(AND(EJ$2&gt;EK$2,EJ13&gt;EK13),1,IF(AND(EK$2&gt;EJ$2,EK13&gt;EJ13),1,IF(AND(EJ$2=EK$2,EJ13=EK13),1,0)))))</f>
        <v/>
      </c>
      <c r="EM13" s="1" t="n">
        <f aca="false">Participantes!CS12</f>
        <v>0</v>
      </c>
      <c r="EN13" s="1" t="n">
        <f aca="false">Participantes!CT12</f>
        <v>0</v>
      </c>
      <c r="EO13" s="82" t="str">
        <f aca="false">IF(EM$2="","",IF(AND(EM13=EM$2,EN13=EN$2),3,IF(AND(EM$2&gt;EN$2,EM13&gt;EN13),1,IF(AND(EN$2&gt;EM$2,EN13&gt;EM13),1,IF(AND(EM$2=EN$2,EM13=EN13),1,0)))))</f>
        <v/>
      </c>
      <c r="EP13" s="1" t="n">
        <f aca="false">Participantes!CU12</f>
        <v>0</v>
      </c>
      <c r="EQ13" s="1" t="n">
        <f aca="false">Participantes!CV12</f>
        <v>0</v>
      </c>
      <c r="ER13" s="82" t="str">
        <f aca="false">IF(EP$2="","",IF(AND(EP13=EP$2,EQ13=EQ$2),3,IF(AND(EP$2&gt;EQ$2,EP13&gt;EQ13),1,IF(AND(EQ$2&gt;EP$2,EQ13&gt;EP13),1,IF(AND(EP$2=EQ$2,EP13=EQ13),1,0)))))</f>
        <v/>
      </c>
      <c r="ES13" s="1" t="n">
        <f aca="false">Participantes!CW12</f>
        <v>0</v>
      </c>
      <c r="ET13" s="1" t="n">
        <f aca="false">Participantes!CX12</f>
        <v>0</v>
      </c>
      <c r="EU13" s="82" t="str">
        <f aca="false">IF(ES$2="","",IF(AND(ES13=ES$2,ET13=ET$2),3,IF(AND(ES$2&gt;ET$2,ES13&gt;ET13),1,IF(AND(ET$2&gt;ES$2,ET13&gt;ES13),1,IF(AND(ES$2=ET$2,ES13=ET13),1,0)))))</f>
        <v/>
      </c>
      <c r="EV13" s="1" t="n">
        <f aca="false">Participantes!CY12</f>
        <v>0</v>
      </c>
      <c r="EW13" s="1" t="n">
        <f aca="false">Participantes!CZ12</f>
        <v>0</v>
      </c>
      <c r="EX13" s="82" t="str">
        <f aca="false">IF(EV$2="","",IF(AND(EV13=EV$2,EW13=EW$2),3,IF(AND(EV$2&gt;EW$2,EV13&gt;EW13),1,IF(AND(EW$2&gt;EV$2,EW13&gt;EV13),1,IF(AND(EV$2=EW$2,EV13=EW13),1,0)))))</f>
        <v/>
      </c>
      <c r="EY13" s="1" t="n">
        <f aca="false">Participantes!DA12</f>
        <v>0</v>
      </c>
      <c r="EZ13" s="1" t="n">
        <f aca="false">Participantes!DB12</f>
        <v>0</v>
      </c>
      <c r="FA13" s="82" t="str">
        <f aca="false">IF(EY$2="","",IF(AND(EY13=EY$2,EZ13=EZ$2),3,IF(AND(EY$2&gt;EZ$2,EY13&gt;EZ13),1,IF(AND(EZ$2&gt;EY$2,EZ13&gt;EY13),1,IF(AND(EY$2=EZ$2,EY13=EZ13),1,0)))))</f>
        <v/>
      </c>
      <c r="FB13" s="1" t="n">
        <f aca="false">Participantes!DC12</f>
        <v>0</v>
      </c>
      <c r="FC13" s="1" t="n">
        <f aca="false">Participantes!DD12</f>
        <v>0</v>
      </c>
      <c r="FD13" s="82" t="str">
        <f aca="false">IF(FB$2="","",IF(AND(FB13=FB$2,FC13=FC$2),3,IF(AND(FB$2&gt;FC$2,FB13&gt;FC13),1,IF(AND(FC$2&gt;FB$2,FC13&gt;FB13),1,IF(AND(FB$2=FC$2,FB13=FC13),1,0)))))</f>
        <v/>
      </c>
      <c r="FE13" s="1" t="n">
        <f aca="false">Participantes!DE12</f>
        <v>0</v>
      </c>
      <c r="FF13" s="1" t="n">
        <f aca="false">Participantes!DF12</f>
        <v>0</v>
      </c>
      <c r="FG13" s="82" t="str">
        <f aca="false">IF(FE$2="","",IF(AND(FE13=FE$2,FF13=FF$2),3,IF(AND(FE$2&gt;FF$2,FE13&gt;FF13),1,IF(AND(FF$2&gt;FE$2,FF13&gt;FE13),1,IF(AND(FE$2=FF$2,FE13=FF13),1,0)))))</f>
        <v/>
      </c>
      <c r="FH13" s="1" t="n">
        <f aca="false">Participantes!DG12</f>
        <v>0</v>
      </c>
      <c r="FI13" s="1" t="n">
        <f aca="false">Participantes!DH12</f>
        <v>0</v>
      </c>
      <c r="FJ13" s="82" t="str">
        <f aca="false">IF(FH$2="","",IF(AND(FH13=FH$2,FI13=FI$2),3,IF(AND(FH$2&gt;FI$2,FH13&gt;FI13),1,IF(AND(FI$2&gt;FH$2,FI13&gt;FH13),1,IF(AND(FH$2=FI$2,FH13=FI13),1,0)))))</f>
        <v/>
      </c>
      <c r="FK13" s="1" t="n">
        <f aca="false">Participantes!DI12</f>
        <v>0</v>
      </c>
      <c r="FL13" s="1" t="n">
        <f aca="false">Participantes!DJ12</f>
        <v>0</v>
      </c>
      <c r="FM13" s="82" t="str">
        <f aca="false">IF(FK$2="","",IF(AND(FK13=FK$2,FL13=FL$2),3,IF(AND(FK$2&gt;FL$2,FK13&gt;FL13),1,IF(AND(FL$2&gt;FK$2,FL13&gt;FK13),1,IF(AND(FK$2=FL$2,FK13=FL13),1,0)))))</f>
        <v/>
      </c>
      <c r="FN13" s="1" t="n">
        <f aca="false">Participantes!DK12</f>
        <v>0</v>
      </c>
      <c r="FO13" s="1" t="n">
        <f aca="false">Participantes!DL12</f>
        <v>0</v>
      </c>
      <c r="FP13" s="82" t="str">
        <f aca="false">IF(FN$2="","",IF(AND(FN13=FN$2,FO13=FO$2),3,IF(AND(FN$2&gt;FO$2,FN13&gt;FO13),1,IF(AND(FO$2&gt;FN$2,FO13&gt;FN13),1,IF(AND(FN$2=FO$2,FN13=FO13),1,0)))))</f>
        <v/>
      </c>
      <c r="FQ13" s="1" t="n">
        <f aca="false">Participantes!DM12</f>
        <v>0</v>
      </c>
      <c r="FR13" s="1" t="n">
        <f aca="false">Participantes!DN12</f>
        <v>0</v>
      </c>
      <c r="FS13" s="82" t="str">
        <f aca="false">IF(FQ$2="","",IF(AND(FQ13=FQ$2,FR13=FR$2),3,IF(AND(FQ$2&gt;FR$2,FQ13&gt;FR13),1,IF(AND(FR$2&gt;FQ$2,FR13&gt;FQ13),1,IF(AND(FQ$2=FR$2,FQ13=FR13),1,0)))))</f>
        <v/>
      </c>
      <c r="FT13" s="1" t="n">
        <f aca="false">Participantes!DO12</f>
        <v>0</v>
      </c>
      <c r="FU13" s="1" t="n">
        <f aca="false">Participantes!DP12</f>
        <v>0</v>
      </c>
      <c r="FV13" s="82" t="str">
        <f aca="false">IF(FT$2="","",IF(AND(FT13=FT$2,FU13=FU$2),3,IF(AND(FT$2&gt;FU$2,FT13&gt;FU13),1,IF(AND(FU$2&gt;FT$2,FU13&gt;FT13),1,IF(AND(FT$2=FU$2,FT13=FU13),1,0)))))</f>
        <v/>
      </c>
      <c r="FW13" s="1" t="n">
        <f aca="false">Participantes!DQ12</f>
        <v>0</v>
      </c>
      <c r="FX13" s="1" t="n">
        <f aca="false">Participantes!DR12</f>
        <v>0</v>
      </c>
      <c r="FY13" s="82" t="str">
        <f aca="false">IF(FW$2="","",IF(AND(FW13=FW$2,FX13=FX$2),3,IF(AND(FW$2&gt;FX$2,FW13&gt;FX13),1,IF(AND(FX$2&gt;FW$2,FX13&gt;FW13),1,IF(AND(FW$2=FX$2,FW13=FX13),1,0)))))</f>
        <v/>
      </c>
      <c r="FZ13" s="1" t="n">
        <f aca="false">Participantes!DS12</f>
        <v>0</v>
      </c>
      <c r="GA13" s="1" t="n">
        <f aca="false">Participantes!DT12</f>
        <v>0</v>
      </c>
      <c r="GB13" s="82" t="str">
        <f aca="false">IF(FZ$2="","",IF(AND(FZ13=FZ$2,GA13=GA$2),3,IF(AND(FZ$2&gt;GA$2,FZ13&gt;GA13),1,IF(AND(GA$2&gt;FZ$2,GA13&gt;FZ13),1,IF(AND(FZ$2=GA$2,FZ13=GA13),1,0)))))</f>
        <v/>
      </c>
      <c r="GC13" s="1" t="n">
        <f aca="false">Participantes!DU12</f>
        <v>0</v>
      </c>
      <c r="GD13" s="1" t="n">
        <f aca="false">Participantes!DV12</f>
        <v>0</v>
      </c>
      <c r="GE13" s="82" t="str">
        <f aca="false">IF(GC$2="","",IF(AND(GC13=GC$2,GD13=GD$2),3,IF(AND(GC$2&gt;GD$2,GC13&gt;GD13),1,IF(AND(GD$2&gt;GC$2,GD13&gt;GC13),1,IF(AND(GC$2=GD$2,GC13=GD13),1,0)))))</f>
        <v/>
      </c>
      <c r="GF13" s="1" t="n">
        <f aca="false">Participantes!DW12</f>
        <v>0</v>
      </c>
      <c r="GG13" s="1" t="n">
        <f aca="false">Participantes!DX12</f>
        <v>0</v>
      </c>
      <c r="GH13" s="82" t="str">
        <f aca="false">IF(GF$2="","",IF(AND(GF13=GF$2,GG13=GG$2),3,IF(AND(GF$2&gt;GG$2,GF13&gt;GG13),1,IF(AND(GG$2&gt;GF$2,GG13&gt;GF13),1,IF(AND(GF$2=GG$2,GF13=GG13),1,0)))))</f>
        <v/>
      </c>
      <c r="GI13" s="1" t="n">
        <f aca="false">Participantes!DY12</f>
        <v>0</v>
      </c>
      <c r="GJ13" s="1" t="n">
        <f aca="false">Participantes!DZ12</f>
        <v>0</v>
      </c>
      <c r="GK13" s="82" t="str">
        <f aca="false">IF(GI$2="","",IF(AND(GI13=GI$2,GJ13=GJ$2),3,IF(AND(GI$2&gt;GJ$2,GI13&gt;GJ13),1,IF(AND(GJ$2&gt;GI$2,GJ13&gt;GI13),1,IF(AND(GI$2=GJ$2,GI13=GJ13),1,0)))))</f>
        <v/>
      </c>
      <c r="GL13" s="1" t="n">
        <f aca="false">Participantes!EA12</f>
        <v>0</v>
      </c>
      <c r="GM13" s="1" t="n">
        <f aca="false">Participantes!EB12</f>
        <v>0</v>
      </c>
      <c r="GN13" s="82" t="str">
        <f aca="false">IF(GL$2="","",IF(AND(GL13=GL$2,GM13=GM$2),3,IF(AND(GL$2&gt;GM$2,GL13&gt;GM13),1,IF(AND(GM$2&gt;GL$2,GM13&gt;GL13),1,IF(AND(GL$2=GM$2,GL13=GM13),1,0)))))</f>
        <v/>
      </c>
      <c r="GO13" s="1" t="n">
        <f aca="false">Participantes!EC12</f>
        <v>0</v>
      </c>
      <c r="GP13" s="1" t="n">
        <f aca="false">Participantes!ED12</f>
        <v>0</v>
      </c>
      <c r="GQ13" s="82" t="str">
        <f aca="false">IF(GO$2="","",IF(AND(GO13=GO$2,GP13=GP$2),3,IF(AND(GO$2&gt;GP$2,GO13&gt;GP13),1,IF(AND(GP$2&gt;GO$2,GP13&gt;GO13),1,IF(AND(GO$2=GP$2,GO13=GP13),1,0)))))</f>
        <v/>
      </c>
      <c r="GR13" s="1" t="n">
        <f aca="false">Participantes!EE12</f>
        <v>0</v>
      </c>
      <c r="GS13" s="1" t="n">
        <f aca="false">Participantes!EF12</f>
        <v>0</v>
      </c>
      <c r="GT13" s="82" t="str">
        <f aca="false">IF(GR$2="","",IF(AND(GR13=GR$2,GS13=GS$2),3,IF(AND(GR$2&gt;GS$2,GR13&gt;GS13),1,IF(AND(GS$2&gt;GR$2,GS13&gt;GR13),1,IF(AND(GR$2=GS$2,GR13=GS13),1,0)))))</f>
        <v/>
      </c>
      <c r="GU13" s="1" t="n">
        <f aca="false">Participantes!EG12</f>
        <v>0</v>
      </c>
      <c r="GV13" s="1" t="n">
        <f aca="false">Participantes!EH12</f>
        <v>0</v>
      </c>
      <c r="GW13" s="82" t="str">
        <f aca="false">IF(GU$2="","",IF(AND(GU13=GU$2,GV13=GV$2),3,IF(AND(GU$2&gt;GV$2,GU13&gt;GV13),1,IF(AND(GV$2&gt;GU$2,GV13&gt;GU13),1,IF(AND(GU$2=GV$2,GU13=GV13),1,0)))))</f>
        <v/>
      </c>
      <c r="GX13" s="1" t="n">
        <f aca="false">Participantes!EI12</f>
        <v>0</v>
      </c>
      <c r="GY13" s="1" t="n">
        <f aca="false">Participantes!EJ12</f>
        <v>0</v>
      </c>
      <c r="GZ13" s="82" t="str">
        <f aca="false">IF(GX$2="","",IF(AND(GX13=GX$2,GY13=GY$2),3,IF(AND(GX$2&gt;GY$2,GX13&gt;GY13),1,IF(AND(GY$2&gt;GX$2,GY13&gt;GX13),1,IF(AND(GX$2=GY$2,GX13=GY13),1,0)))))</f>
        <v/>
      </c>
      <c r="HA13" s="1" t="n">
        <f aca="false">Participantes!EK12</f>
        <v>0</v>
      </c>
      <c r="HB13" s="1" t="n">
        <f aca="false">Participantes!EL12</f>
        <v>0</v>
      </c>
      <c r="HC13" s="82" t="str">
        <f aca="false">IF(HA$2="","",IF(AND(HA13=HA$2,HB13=HB$2),3,IF(AND(HA$2&gt;HB$2,HA13&gt;HB13),1,IF(AND(HB$2&gt;HA$2,HB13&gt;HA13),1,IF(AND(HA$2=HB$2,HA13=HB13),1,0)))))</f>
        <v/>
      </c>
      <c r="HD13" s="1" t="n">
        <f aca="false">Participantes!EM12</f>
        <v>0</v>
      </c>
      <c r="HE13" s="1" t="n">
        <f aca="false">Participantes!EN12</f>
        <v>0</v>
      </c>
      <c r="HF13" s="82" t="str">
        <f aca="false">IF(HD$2="","",IF(AND(HD13=HD$2,HE13=HE$2),3,IF(AND(HD$2&gt;HE$2,HD13&gt;HE13),1,IF(AND(HE$2&gt;HD$2,HE13&gt;HD13),1,IF(AND(HD$2=HE$2,HD13=HE13),1,0)))))</f>
        <v/>
      </c>
      <c r="HG13" s="1" t="n">
        <f aca="false">Participantes!EO12</f>
        <v>0</v>
      </c>
      <c r="HH13" s="1" t="n">
        <f aca="false">Participantes!EP12</f>
        <v>0</v>
      </c>
      <c r="HI13" s="82" t="str">
        <f aca="false">IF(HG$2="","",IF(AND(HG13=HG$2,HH13=HH$2),3,IF(AND(HG$2&gt;HH$2,HG13&gt;HH13),1,IF(AND(HH$2&gt;HG$2,HH13&gt;HG13),1,IF(AND(HG$2=HH$2,HG13=HH13),1,0)))))</f>
        <v/>
      </c>
      <c r="HJ13" s="83" t="n">
        <f aca="false">SUM(D13,G13,J13,M13,P13,S13,V13,Y13,AB13,AE13,AH13,AK13,AN13,AQ13,AT13,AW13,AZ13,BC13,BF13,BI13,BL13,BO13,BR13,BU13,BX13,CA13,CD13,CG13,CJ13,CM13,CP13,CS13,CV13,CY13,DB13,DE13,DH13,DK13,DN13,DQ13,DT13,DW13,DZ13,EC13,EF13,EI13,EL13,EO13,ER13,EU13,EX13,FA13,FD13,FG13,FJ13,FM13,FP13,FS13,FV13,FY13,GB13,GE13,GH13,GK13,GN13,GQ13,GT13,GW13,GZ13,HC13,HF13,HI13)</f>
        <v>3</v>
      </c>
    </row>
    <row r="14" customFormat="false" ht="15" hidden="false" customHeight="true" outlineLevel="0" collapsed="false">
      <c r="A14" s="81" t="str">
        <f aca="false">Participantes!B13</f>
        <v>Espinosa L.</v>
      </c>
      <c r="B14" s="1" t="n">
        <f aca="false">Participantes!C13</f>
        <v>2</v>
      </c>
      <c r="C14" s="1" t="n">
        <f aca="false">Participantes!D13</f>
        <v>1</v>
      </c>
      <c r="D14" s="82" t="n">
        <f aca="false">IF(B$2="","",IF(AND(B14=B$2,C14=C$2),3,IF(AND(B$2&gt;C$2,B14&gt;C14),1,IF(AND(C$2&gt;B$2,C14&gt;B14),1,IF(AND(B$2=C$2,B14=C14),1,0)))))</f>
        <v>1</v>
      </c>
      <c r="E14" s="1" t="n">
        <f aca="false">Participantes!E13</f>
        <v>1</v>
      </c>
      <c r="F14" s="1" t="n">
        <f aca="false">Participantes!F13</f>
        <v>0</v>
      </c>
      <c r="G14" s="82" t="str">
        <f aca="false">IF(E$2="","",IF(AND(E14=E$2,F14=F$2),3,IF(AND(E$2&gt;F$2,E14&gt;F14),1,IF(AND(F$2&gt;E$2,F14&gt;E14),1,IF(AND(E$2=F$2,E14=F14),1,0)))))</f>
        <v/>
      </c>
      <c r="H14" s="1" t="n">
        <f aca="false">Participantes!G13</f>
        <v>3</v>
      </c>
      <c r="I14" s="1" t="n">
        <f aca="false">Participantes!H13</f>
        <v>0</v>
      </c>
      <c r="J14" s="82" t="str">
        <f aca="false">IF(H$2="","",IF(AND(H14=H$2,I14=I$2),3,IF(AND(H$2&gt;I$2,H14&gt;I14),1,IF(AND(I$2&gt;H$2,I14&gt;H14),1,IF(AND(H$2=I$2,H14=I14),1,0)))))</f>
        <v/>
      </c>
      <c r="K14" s="1" t="n">
        <f aca="false">Participantes!I13</f>
        <v>2</v>
      </c>
      <c r="L14" s="1" t="n">
        <f aca="false">Participantes!J13</f>
        <v>1</v>
      </c>
      <c r="M14" s="82" t="str">
        <f aca="false">IF(K$2="","",IF(AND(K14=K$2,L14=L$2),3,IF(AND(K$2&gt;L$2,K14&gt;L14),1,IF(AND(L$2&gt;K$2,L14&gt;K14),1,IF(AND(K$2=L$2,K14=L14),1,0)))))</f>
        <v/>
      </c>
      <c r="N14" s="1" t="n">
        <f aca="false">Participantes!K13</f>
        <v>3</v>
      </c>
      <c r="O14" s="1" t="n">
        <f aca="false">Participantes!L13</f>
        <v>1</v>
      </c>
      <c r="P14" s="82" t="str">
        <f aca="false">IF(N$2="","",IF(AND(N14=N$2,O14=O$2),3,IF(AND(N$2&gt;O$2,N14&gt;O14),1,IF(AND(O$2&gt;N$2,O14&gt;N14),1,IF(AND(N$2=O$2,N14=O14),1,0)))))</f>
        <v/>
      </c>
      <c r="Q14" s="1" t="n">
        <f aca="false">Participantes!M13</f>
        <v>1</v>
      </c>
      <c r="R14" s="1" t="n">
        <f aca="false">Participantes!N13</f>
        <v>1</v>
      </c>
      <c r="S14" s="82" t="str">
        <f aca="false">IF(Q$2="","",IF(AND(Q14=Q$2,R14=R$2),3,IF(AND(Q$2&gt;R$2,Q14&gt;R14),1,IF(AND(R$2&gt;Q$2,R14&gt;Q14),1,IF(AND(Q$2=R$2,Q14=R14),1,0)))))</f>
        <v/>
      </c>
      <c r="T14" s="1" t="n">
        <f aca="false">Participantes!O13</f>
        <v>2</v>
      </c>
      <c r="U14" s="1" t="n">
        <f aca="false">Participantes!P13</f>
        <v>0</v>
      </c>
      <c r="V14" s="82" t="str">
        <f aca="false">IF(T$2="","",IF(AND(T14=T$2,U14=U$2),3,IF(AND(T$2&gt;U$2,T14&gt;U14),1,IF(AND(U$2&gt;T$2,U14&gt;T14),1,IF(AND(T$2=U$2,T14=U14),1,0)))))</f>
        <v/>
      </c>
      <c r="W14" s="1" t="n">
        <f aca="false">Participantes!Q13</f>
        <v>0</v>
      </c>
      <c r="X14" s="1" t="n">
        <f aca="false">Participantes!R13</f>
        <v>0</v>
      </c>
      <c r="Y14" s="82" t="str">
        <f aca="false">IF(W$2="","",IF(AND(W14=W$2,X14=X$2),3,IF(AND(W$2&gt;X$2,W14&gt;X14),1,IF(AND(X$2&gt;W$2,X14&gt;W14),1,IF(AND(W$2=X$2,W14=X14),1,0)))))</f>
        <v/>
      </c>
      <c r="Z14" s="1" t="n">
        <f aca="false">Participantes!S13</f>
        <v>1</v>
      </c>
      <c r="AA14" s="1" t="n">
        <f aca="false">Participantes!T13</f>
        <v>2</v>
      </c>
      <c r="AB14" s="82" t="str">
        <f aca="false">IF(Z$2="","",IF(AND(Z14=Z$2,AA14=AA$2),3,IF(AND(Z$2&gt;AA$2,Z14&gt;AA14),1,IF(AND(AA$2&gt;Z$2,AA14&gt;Z14),1,IF(AND(Z$2=AA$2,Z14=AA14),1,0)))))</f>
        <v/>
      </c>
      <c r="AC14" s="1" t="n">
        <f aca="false">Participantes!U13</f>
        <v>3</v>
      </c>
      <c r="AD14" s="1" t="n">
        <f aca="false">Participantes!V13</f>
        <v>0</v>
      </c>
      <c r="AE14" s="82" t="str">
        <f aca="false">IF(AC$2="","",IF(AND(AC14=AC$2,AD14=AD$2),3,IF(AND(AC$2&gt;AD$2,AC14&gt;AD14),1,IF(AND(AD$2&gt;AC$2,AD14&gt;AC14),1,IF(AND(AC$2=AD$2,AC14=AD14),1,0)))))</f>
        <v/>
      </c>
      <c r="AF14" s="1" t="n">
        <f aca="false">Participantes!W13</f>
        <v>0</v>
      </c>
      <c r="AG14" s="1" t="n">
        <f aca="false">Participantes!X13</f>
        <v>2</v>
      </c>
      <c r="AH14" s="82" t="str">
        <f aca="false">IF(AF$2="","",IF(AND(AF14=AF$2,AG14=AG$2),3,IF(AND(AF$2&gt;AG$2,AF14&gt;AG14),1,IF(AND(AG$2&gt;AF$2,AG14&gt;AF14),1,IF(AND(AF$2=AG$2,AF14=AG14),1,0)))))</f>
        <v/>
      </c>
      <c r="AI14" s="1" t="n">
        <f aca="false">Participantes!Y13</f>
        <v>1</v>
      </c>
      <c r="AJ14" s="1" t="n">
        <f aca="false">Participantes!Z13</f>
        <v>1</v>
      </c>
      <c r="AK14" s="82" t="str">
        <f aca="false">IF(AI$2="","",IF(AND(AI14=AI$2,AJ14=AJ$2),3,IF(AND(AI$2&gt;AJ$2,AI14&gt;AJ14),1,IF(AND(AJ$2&gt;AI$2,AJ14&gt;AI14),1,IF(AND(AI$2=AJ$2,AI14=AJ14),1,0)))))</f>
        <v/>
      </c>
      <c r="AL14" s="1" t="n">
        <f aca="false">Participantes!AA13</f>
        <v>0</v>
      </c>
      <c r="AM14" s="1" t="n">
        <f aca="false">Participantes!AB13</f>
        <v>1</v>
      </c>
      <c r="AN14" s="82" t="str">
        <f aca="false">IF(AL$2="","",IF(AND(AL14=AL$2,AM14=AM$2),3,IF(AND(AL$2&gt;AM$2,AL14&gt;AM14),1,IF(AND(AM$2&gt;AL$2,AM14&gt;AL14),1,IF(AND(AL$2=AM$2,AL14=AM14),1,0)))))</f>
        <v/>
      </c>
      <c r="AO14" s="1" t="n">
        <f aca="false">Participantes!AC13</f>
        <v>2</v>
      </c>
      <c r="AP14" s="1" t="n">
        <f aca="false">Participantes!AD13</f>
        <v>0</v>
      </c>
      <c r="AQ14" s="82" t="str">
        <f aca="false">IF(AO$2="","",IF(AND(AO14=AO$2,AP14=AP$2),3,IF(AND(AO$2&gt;AP$2,AO14&gt;AP14),1,IF(AND(AP$2&gt;AO$2,AP14&gt;AO14),1,IF(AND(AO$2=AP$2,AO14=AP14),1,0)))))</f>
        <v/>
      </c>
      <c r="AR14" s="1" t="n">
        <f aca="false">Participantes!AE13</f>
        <v>2</v>
      </c>
      <c r="AS14" s="1" t="n">
        <f aca="false">Participantes!AF13</f>
        <v>0</v>
      </c>
      <c r="AT14" s="82" t="str">
        <f aca="false">IF(AR$2="","",IF(AND(AR14=AR$2,AS14=AS$2),3,IF(AND(AR$2&gt;AS$2,AR14&gt;AS14),1,IF(AND(AS$2&gt;AR$2,AS14&gt;AR14),1,IF(AND(AR$2=AS$2,AR14=AS14),1,0)))))</f>
        <v/>
      </c>
      <c r="AU14" s="1" t="n">
        <f aca="false">Participantes!AG13</f>
        <v>1</v>
      </c>
      <c r="AV14" s="1" t="n">
        <f aca="false">Participantes!AH13</f>
        <v>0</v>
      </c>
      <c r="AW14" s="82" t="str">
        <f aca="false">IF(AU$2="","",IF(AND(AU14=AU$2,AV14=AV$2),3,IF(AND(AU$2&gt;AV$2,AU14&gt;AV14),1,IF(AND(AV$2&gt;AU$2,AV14&gt;AU14),1,IF(AND(AU$2=AV$2,AU14=AV14),1,0)))))</f>
        <v/>
      </c>
      <c r="AX14" s="1" t="n">
        <f aca="false">Participantes!AI13</f>
        <v>3</v>
      </c>
      <c r="AY14" s="1" t="n">
        <f aca="false">Participantes!AJ13</f>
        <v>0</v>
      </c>
      <c r="AZ14" s="82" t="str">
        <f aca="false">IF(AX$2="","",IF(AND(AX14=AX$2,AY14=AY$2),3,IF(AND(AX$2&gt;AY$2,AX14&gt;AY14),1,IF(AND(AY$2&gt;AX$2,AY14&gt;AX14),1,IF(AND(AX$2=AY$2,AX14=AY14),1,0)))))</f>
        <v/>
      </c>
      <c r="BA14" s="1" t="n">
        <f aca="false">Participantes!AK13</f>
        <v>1</v>
      </c>
      <c r="BB14" s="1" t="n">
        <f aca="false">Participantes!AL13</f>
        <v>1</v>
      </c>
      <c r="BC14" s="82" t="str">
        <f aca="false">IF(BA$2="","",IF(AND(BA14=BA$2,BB14=BB$2),3,IF(AND(BA$2&gt;BB$2,BA14&gt;BB14),1,IF(AND(BB$2&gt;BA$2,BB14&gt;BA14),1,IF(AND(BA$2=BB$2,BA14=BB14),1,0)))))</f>
        <v/>
      </c>
      <c r="BD14" s="1" t="n">
        <f aca="false">Participantes!AM13</f>
        <v>2</v>
      </c>
      <c r="BE14" s="1" t="n">
        <f aca="false">Participantes!AN13</f>
        <v>0</v>
      </c>
      <c r="BF14" s="82" t="str">
        <f aca="false">IF(BD$2="","",IF(AND(BD14=BD$2,BE14=BE$2),3,IF(AND(BD$2&gt;BE$2,BD14&gt;BE14),1,IF(AND(BE$2&gt;BD$2,BE14&gt;BD14),1,IF(AND(BD$2=BE$2,BD14=BE14),1,0)))))</f>
        <v/>
      </c>
      <c r="BG14" s="1" t="n">
        <f aca="false">Participantes!AO13</f>
        <v>1</v>
      </c>
      <c r="BH14" s="1" t="n">
        <f aca="false">Participantes!AP13</f>
        <v>1</v>
      </c>
      <c r="BI14" s="82" t="str">
        <f aca="false">IF(BG$2="","",IF(AND(BG14=BG$2,BH14=BH$2),3,IF(AND(BG$2&gt;BH$2,BG14&gt;BH14),1,IF(AND(BH$2&gt;BG$2,BH14&gt;BG14),1,IF(AND(BG$2=BH$2,BG14=BH14),1,0)))))</f>
        <v/>
      </c>
      <c r="BJ14" s="1" t="n">
        <f aca="false">Participantes!AQ13</f>
        <v>0</v>
      </c>
      <c r="BK14" s="1" t="n">
        <f aca="false">Participantes!AR13</f>
        <v>1</v>
      </c>
      <c r="BL14" s="82" t="str">
        <f aca="false">IF(BJ$2="","",IF(AND(BJ14=BJ$2,BK14=BK$2),3,IF(AND(BJ$2&gt;BK$2,BJ14&gt;BK14),1,IF(AND(BK$2&gt;BJ$2,BK14&gt;BJ14),1,IF(AND(BJ$2=BK$2,BJ14=BK14),1,0)))))</f>
        <v/>
      </c>
      <c r="BM14" s="1" t="n">
        <f aca="false">Participantes!AS13</f>
        <v>1</v>
      </c>
      <c r="BN14" s="1" t="n">
        <f aca="false">Participantes!AT13</f>
        <v>0</v>
      </c>
      <c r="BO14" s="82" t="str">
        <f aca="false">IF(BM$2="","",IF(AND(BM14=BM$2,BN14=BN$2),3,IF(AND(BM$2&gt;BN$2,BM14&gt;BN14),1,IF(AND(BN$2&gt;BM$2,BN14&gt;BM14),1,IF(AND(BM$2=BN$2,BM14=BN14),1,0)))))</f>
        <v/>
      </c>
      <c r="BP14" s="1" t="n">
        <f aca="false">Participantes!AU13</f>
        <v>2</v>
      </c>
      <c r="BQ14" s="1" t="n">
        <f aca="false">Participantes!AV13</f>
        <v>0</v>
      </c>
      <c r="BR14" s="82" t="str">
        <f aca="false">IF(BP$2="","",IF(AND(BP14=BP$2,BQ14=BQ$2),3,IF(AND(BP$2&gt;BQ$2,BP14&gt;BQ14),1,IF(AND(BQ$2&gt;BP$2,BQ14&gt;BP14),1,IF(AND(BP$2=BQ$2,BP14=BQ14),1,0)))))</f>
        <v/>
      </c>
      <c r="BS14" s="1" t="n">
        <f aca="false">Participantes!AW13</f>
        <v>1</v>
      </c>
      <c r="BT14" s="1" t="n">
        <f aca="false">Participantes!AX13</f>
        <v>2</v>
      </c>
      <c r="BU14" s="82" t="str">
        <f aca="false">IF(BS$2="","",IF(AND(BS14=BS$2,BT14=BT$2),3,IF(AND(BS$2&gt;BT$2,BS14&gt;BT14),1,IF(AND(BT$2&gt;BS$2,BT14&gt;BS14),1,IF(AND(BS$2=BT$2,BS14=BT14),1,0)))))</f>
        <v/>
      </c>
      <c r="BV14" s="1" t="n">
        <f aca="false">Participantes!AY13</f>
        <v>1</v>
      </c>
      <c r="BW14" s="1" t="n">
        <f aca="false">Participantes!AZ13</f>
        <v>1</v>
      </c>
      <c r="BX14" s="82" t="str">
        <f aca="false">IF(BV$2="","",IF(AND(BV14=BV$2,BW14=BW$2),3,IF(AND(BV$2&gt;BW$2,BV14&gt;BW14),1,IF(AND(BW$2&gt;BV$2,BW14&gt;BV14),1,IF(AND(BV$2=BW$2,BV14=BW14),1,0)))))</f>
        <v/>
      </c>
      <c r="BY14" s="1" t="n">
        <f aca="false">Participantes!BA13</f>
        <v>0</v>
      </c>
      <c r="BZ14" s="1" t="n">
        <f aca="false">Participantes!BB13</f>
        <v>1</v>
      </c>
      <c r="CA14" s="82" t="str">
        <f aca="false">IF(BY$2="","",IF(AND(BY14=BY$2,BZ14=BZ$2),3,IF(AND(BY$2&gt;BZ$2,BY14&gt;BZ14),1,IF(AND(BZ$2&gt;BY$2,BZ14&gt;BY14),1,IF(AND(BY$2=BZ$2,BY14=BZ14),1,0)))))</f>
        <v/>
      </c>
      <c r="CB14" s="1" t="n">
        <f aca="false">Participantes!BC13</f>
        <v>2</v>
      </c>
      <c r="CC14" s="1" t="n">
        <f aca="false">Participantes!BD13</f>
        <v>0</v>
      </c>
      <c r="CD14" s="82" t="str">
        <f aca="false">IF(CB$2="","",IF(AND(CB14=CB$2,CC14=CC$2),3,IF(AND(CB$2&gt;CC$2,CB14&gt;CC14),1,IF(AND(CC$2&gt;CB$2,CC14&gt;CB14),1,IF(AND(CB$2=CC$2,CB14=CC14),1,0)))))</f>
        <v/>
      </c>
      <c r="CE14" s="1" t="n">
        <f aca="false">Participantes!BE13</f>
        <v>2</v>
      </c>
      <c r="CF14" s="1" t="n">
        <f aca="false">Participantes!BF13</f>
        <v>0</v>
      </c>
      <c r="CG14" s="82" t="str">
        <f aca="false">IF(CE$2="","",IF(AND(CE14=CE$2,CF14=CF$2),3,IF(AND(CE$2&gt;CF$2,CE14&gt;CF14),1,IF(AND(CF$2&gt;CE$2,CF14&gt;CE14),1,IF(AND(CE$2=CF$2,CE14=CF14),1,0)))))</f>
        <v/>
      </c>
      <c r="CH14" s="1" t="n">
        <f aca="false">Participantes!BG13</f>
        <v>0</v>
      </c>
      <c r="CI14" s="1" t="n">
        <f aca="false">Participantes!BH13</f>
        <v>0</v>
      </c>
      <c r="CJ14" s="82" t="str">
        <f aca="false">IF(CH$2="","",IF(AND(CH14=CH$2,CI14=CI$2),3,IF(AND(CH$2&gt;CI$2,CH14&gt;CI14),1,IF(AND(CI$2&gt;CH$2,CI14&gt;CH14),1,IF(AND(CH$2=CI$2,CH14=CI14),1,0)))))</f>
        <v/>
      </c>
      <c r="CK14" s="1" t="n">
        <f aca="false">Participantes!BI13</f>
        <v>0</v>
      </c>
      <c r="CL14" s="1" t="n">
        <f aca="false">Participantes!BJ13</f>
        <v>0</v>
      </c>
      <c r="CM14" s="82" t="str">
        <f aca="false">IF(CK$2="","",IF(AND(CK14=CK$2,CL14=CL$2),3,IF(AND(CK$2&gt;CL$2,CK14&gt;CL14),1,IF(AND(CL$2&gt;CK$2,CL14&gt;CK14),1,IF(AND(CK$2=CL$2,CK14=CL14),1,0)))))</f>
        <v/>
      </c>
      <c r="CN14" s="1" t="n">
        <f aca="false">Participantes!BK13</f>
        <v>0</v>
      </c>
      <c r="CO14" s="1" t="n">
        <f aca="false">Participantes!BL13</f>
        <v>0</v>
      </c>
      <c r="CP14" s="82" t="str">
        <f aca="false">IF(CN$2="","",IF(AND(CN14=CN$2,CO14=CO$2),3,IF(AND(CN$2&gt;CO$2,CN14&gt;CO14),1,IF(AND(CO$2&gt;CN$2,CO14&gt;CN14),1,IF(AND(CN$2=CO$2,CN14=CO14),1,0)))))</f>
        <v/>
      </c>
      <c r="CQ14" s="1" t="n">
        <f aca="false">Participantes!BM13</f>
        <v>0</v>
      </c>
      <c r="CR14" s="1" t="n">
        <f aca="false">Participantes!BN13</f>
        <v>0</v>
      </c>
      <c r="CS14" s="82" t="str">
        <f aca="false">IF(CQ$2="","",IF(AND(CQ14=CQ$2,CR14=CR$2),3,IF(AND(CQ$2&gt;CR$2,CQ14&gt;CR14),1,IF(AND(CR$2&gt;CQ$2,CR14&gt;CQ14),1,IF(AND(CQ$2=CR$2,CQ14=CR14),1,0)))))</f>
        <v/>
      </c>
      <c r="CT14" s="1" t="n">
        <f aca="false">Participantes!BO13</f>
        <v>0</v>
      </c>
      <c r="CU14" s="1" t="n">
        <f aca="false">Participantes!BP13</f>
        <v>0</v>
      </c>
      <c r="CV14" s="82" t="str">
        <f aca="false">IF(CT$2="","",IF(AND(CT14=CT$2,CU14=CU$2),3,IF(AND(CT$2&gt;CU$2,CT14&gt;CU14),1,IF(AND(CU$2&gt;CT$2,CU14&gt;CT14),1,IF(AND(CT$2=CU$2,CT14=CU14),1,0)))))</f>
        <v/>
      </c>
      <c r="CW14" s="1" t="n">
        <f aca="false">Participantes!BQ13</f>
        <v>0</v>
      </c>
      <c r="CX14" s="1" t="n">
        <f aca="false">Participantes!BR13</f>
        <v>0</v>
      </c>
      <c r="CY14" s="82" t="str">
        <f aca="false">IF(CW$2="","",IF(AND(CW14=CW$2,CX14=CX$2),3,IF(AND(CW$2&gt;CX$2,CW14&gt;CX14),1,IF(AND(CX$2&gt;CW$2,CX14&gt;CW14),1,IF(AND(CW$2=CX$2,CW14=CX14),1,0)))))</f>
        <v/>
      </c>
      <c r="CZ14" s="1" t="n">
        <f aca="false">Participantes!BS13</f>
        <v>0</v>
      </c>
      <c r="DA14" s="1" t="n">
        <f aca="false">Participantes!BT13</f>
        <v>0</v>
      </c>
      <c r="DB14" s="82" t="str">
        <f aca="false">IF(CZ$2="","",IF(AND(CZ14=CZ$2,DA14=DA$2),3,IF(AND(CZ$2&gt;DA$2,CZ14&gt;DA14),1,IF(AND(DA$2&gt;CZ$2,DA14&gt;CZ14),1,IF(AND(CZ$2=DA$2,CZ14=DA14),1,0)))))</f>
        <v/>
      </c>
      <c r="DC14" s="1" t="n">
        <f aca="false">Participantes!BU13</f>
        <v>0</v>
      </c>
      <c r="DD14" s="1" t="n">
        <f aca="false">Participantes!BV13</f>
        <v>0</v>
      </c>
      <c r="DE14" s="82" t="str">
        <f aca="false">IF(DC$2="","",IF(AND(DC14=DC$2,DD14=DD$2),3,IF(AND(DC$2&gt;DD$2,DC14&gt;DD14),1,IF(AND(DD$2&gt;DC$2,DD14&gt;DC14),1,IF(AND(DC$2=DD$2,DC14=DD14),1,0)))))</f>
        <v/>
      </c>
      <c r="DF14" s="1" t="n">
        <f aca="false">Participantes!BW13</f>
        <v>0</v>
      </c>
      <c r="DG14" s="1" t="n">
        <f aca="false">Participantes!BX13</f>
        <v>0</v>
      </c>
      <c r="DH14" s="82" t="str">
        <f aca="false">IF(DF$2="","",IF(AND(DF14=DF$2,DG14=DG$2),3,IF(AND(DF$2&gt;DG$2,DF14&gt;DG14),1,IF(AND(DG$2&gt;DF$2,DG14&gt;DF14),1,IF(AND(DF$2=DG$2,DF14=DG14),1,0)))))</f>
        <v/>
      </c>
      <c r="DI14" s="1" t="n">
        <f aca="false">Participantes!BY13</f>
        <v>0</v>
      </c>
      <c r="DJ14" s="1" t="n">
        <f aca="false">Participantes!BZ13</f>
        <v>0</v>
      </c>
      <c r="DK14" s="82" t="str">
        <f aca="false">IF(DI$2="","",IF(AND(DI14=DI$2,DJ14=DJ$2),3,IF(AND(DI$2&gt;DJ$2,DI14&gt;DJ14),1,IF(AND(DJ$2&gt;DI$2,DJ14&gt;DI14),1,IF(AND(DI$2=DJ$2,DI14=DJ14),1,0)))))</f>
        <v/>
      </c>
      <c r="DL14" s="1" t="n">
        <f aca="false">Participantes!CA13</f>
        <v>0</v>
      </c>
      <c r="DM14" s="1" t="n">
        <f aca="false">Participantes!CB13</f>
        <v>0</v>
      </c>
      <c r="DN14" s="82" t="str">
        <f aca="false">IF(DL$2="","",IF(AND(DL14=DL$2,DM14=DM$2),3,IF(AND(DL$2&gt;DM$2,DL14&gt;DM14),1,IF(AND(DM$2&gt;DL$2,DM14&gt;DL14),1,IF(AND(DL$2=DM$2,DL14=DM14),1,0)))))</f>
        <v/>
      </c>
      <c r="DO14" s="1" t="n">
        <f aca="false">Participantes!CC13</f>
        <v>0</v>
      </c>
      <c r="DP14" s="1" t="n">
        <f aca="false">Participantes!CD13</f>
        <v>0</v>
      </c>
      <c r="DQ14" s="82" t="str">
        <f aca="false">IF(DO$2="","",IF(AND(DO14=DO$2,DP14=DP$2),3,IF(AND(DO$2&gt;DP$2,DO14&gt;DP14),1,IF(AND(DP$2&gt;DO$2,DP14&gt;DO14),1,IF(AND(DO$2=DP$2,DO14=DP14),1,0)))))</f>
        <v/>
      </c>
      <c r="DR14" s="1" t="n">
        <f aca="false">Participantes!CE13</f>
        <v>0</v>
      </c>
      <c r="DS14" s="1" t="n">
        <f aca="false">Participantes!CF13</f>
        <v>0</v>
      </c>
      <c r="DT14" s="82" t="str">
        <f aca="false">IF(DR$2="","",IF(AND(DR14=DR$2,DS14=DS$2),3,IF(AND(DR$2&gt;DS$2,DR14&gt;DS14),1,IF(AND(DS$2&gt;DR$2,DS14&gt;DR14),1,IF(AND(DR$2=DS$2,DR14=DS14),1,0)))))</f>
        <v/>
      </c>
      <c r="DU14" s="1" t="n">
        <f aca="false">Participantes!CG13</f>
        <v>0</v>
      </c>
      <c r="DV14" s="1" t="n">
        <f aca="false">Participantes!CH13</f>
        <v>0</v>
      </c>
      <c r="DW14" s="82" t="str">
        <f aca="false">IF(DU$2="","",IF(AND(DU14=DU$2,DV14=DV$2),3,IF(AND(DU$2&gt;DV$2,DU14&gt;DV14),1,IF(AND(DV$2&gt;DU$2,DV14&gt;DU14),1,IF(AND(DU$2=DV$2,DU14=DV14),1,0)))))</f>
        <v/>
      </c>
      <c r="DX14" s="1" t="n">
        <f aca="false">Participantes!CI13</f>
        <v>0</v>
      </c>
      <c r="DY14" s="1" t="n">
        <f aca="false">Participantes!CJ13</f>
        <v>0</v>
      </c>
      <c r="DZ14" s="82" t="str">
        <f aca="false">IF(DX$2="","",IF(AND(DX14=DX$2,DY14=DY$2),3,IF(AND(DX$2&gt;DY$2,DX14&gt;DY14),1,IF(AND(DY$2&gt;DX$2,DY14&gt;DX14),1,IF(AND(DX$2=DY$2,DX14=DY14),1,0)))))</f>
        <v/>
      </c>
      <c r="EA14" s="1" t="n">
        <f aca="false">Participantes!CK13</f>
        <v>0</v>
      </c>
      <c r="EB14" s="1" t="n">
        <f aca="false">Participantes!CL13</f>
        <v>0</v>
      </c>
      <c r="EC14" s="82" t="str">
        <f aca="false">IF(EA$2="","",IF(AND(EA14=EA$2,EB14=EB$2),3,IF(AND(EA$2&gt;EB$2,EA14&gt;EB14),1,IF(AND(EB$2&gt;EA$2,EB14&gt;EA14),1,IF(AND(EA$2=EB$2,EA14=EB14),1,0)))))</f>
        <v/>
      </c>
      <c r="ED14" s="1" t="n">
        <f aca="false">Participantes!CM13</f>
        <v>0</v>
      </c>
      <c r="EE14" s="1" t="n">
        <f aca="false">Participantes!CN13</f>
        <v>0</v>
      </c>
      <c r="EF14" s="82" t="str">
        <f aca="false">IF(ED$2="","",IF(AND(ED14=ED$2,EE14=EE$2),3,IF(AND(ED$2&gt;EE$2,ED14&gt;EE14),1,IF(AND(EE$2&gt;ED$2,EE14&gt;ED14),1,IF(AND(ED$2=EE$2,ED14=EE14),1,0)))))</f>
        <v/>
      </c>
      <c r="EG14" s="1" t="n">
        <f aca="false">Participantes!CO13</f>
        <v>0</v>
      </c>
      <c r="EH14" s="1" t="n">
        <f aca="false">Participantes!CP13</f>
        <v>0</v>
      </c>
      <c r="EI14" s="82" t="str">
        <f aca="false">IF(EG$2="","",IF(AND(EG14=EG$2,EH14=EH$2),3,IF(AND(EG$2&gt;EH$2,EG14&gt;EH14),1,IF(AND(EH$2&gt;EG$2,EH14&gt;EG14),1,IF(AND(EG$2=EH$2,EG14=EH14),1,0)))))</f>
        <v/>
      </c>
      <c r="EJ14" s="1" t="n">
        <f aca="false">Participantes!CQ13</f>
        <v>0</v>
      </c>
      <c r="EK14" s="1" t="n">
        <f aca="false">Participantes!CR13</f>
        <v>0</v>
      </c>
      <c r="EL14" s="82" t="str">
        <f aca="false">IF(EJ$2="","",IF(AND(EJ14=EJ$2,EK14=EK$2),3,IF(AND(EJ$2&gt;EK$2,EJ14&gt;EK14),1,IF(AND(EK$2&gt;EJ$2,EK14&gt;EJ14),1,IF(AND(EJ$2=EK$2,EJ14=EK14),1,0)))))</f>
        <v/>
      </c>
      <c r="EM14" s="1" t="n">
        <f aca="false">Participantes!CS13</f>
        <v>0</v>
      </c>
      <c r="EN14" s="1" t="n">
        <f aca="false">Participantes!CT13</f>
        <v>0</v>
      </c>
      <c r="EO14" s="82" t="str">
        <f aca="false">IF(EM$2="","",IF(AND(EM14=EM$2,EN14=EN$2),3,IF(AND(EM$2&gt;EN$2,EM14&gt;EN14),1,IF(AND(EN$2&gt;EM$2,EN14&gt;EM14),1,IF(AND(EM$2=EN$2,EM14=EN14),1,0)))))</f>
        <v/>
      </c>
      <c r="EP14" s="1" t="n">
        <f aca="false">Participantes!CU13</f>
        <v>0</v>
      </c>
      <c r="EQ14" s="1" t="n">
        <f aca="false">Participantes!CV13</f>
        <v>0</v>
      </c>
      <c r="ER14" s="82" t="str">
        <f aca="false">IF(EP$2="","",IF(AND(EP14=EP$2,EQ14=EQ$2),3,IF(AND(EP$2&gt;EQ$2,EP14&gt;EQ14),1,IF(AND(EQ$2&gt;EP$2,EQ14&gt;EP14),1,IF(AND(EP$2=EQ$2,EP14=EQ14),1,0)))))</f>
        <v/>
      </c>
      <c r="ES14" s="1" t="n">
        <f aca="false">Participantes!CW13</f>
        <v>0</v>
      </c>
      <c r="ET14" s="1" t="n">
        <f aca="false">Participantes!CX13</f>
        <v>0</v>
      </c>
      <c r="EU14" s="82" t="str">
        <f aca="false">IF(ES$2="","",IF(AND(ES14=ES$2,ET14=ET$2),3,IF(AND(ES$2&gt;ET$2,ES14&gt;ET14),1,IF(AND(ET$2&gt;ES$2,ET14&gt;ES14),1,IF(AND(ES$2=ET$2,ES14=ET14),1,0)))))</f>
        <v/>
      </c>
      <c r="EV14" s="1" t="n">
        <f aca="false">Participantes!CY13</f>
        <v>0</v>
      </c>
      <c r="EW14" s="1" t="n">
        <f aca="false">Participantes!CZ13</f>
        <v>0</v>
      </c>
      <c r="EX14" s="82" t="str">
        <f aca="false">IF(EV$2="","",IF(AND(EV14=EV$2,EW14=EW$2),3,IF(AND(EV$2&gt;EW$2,EV14&gt;EW14),1,IF(AND(EW$2&gt;EV$2,EW14&gt;EV14),1,IF(AND(EV$2=EW$2,EV14=EW14),1,0)))))</f>
        <v/>
      </c>
      <c r="EY14" s="1" t="n">
        <f aca="false">Participantes!DA13</f>
        <v>0</v>
      </c>
      <c r="EZ14" s="1" t="n">
        <f aca="false">Participantes!DB13</f>
        <v>0</v>
      </c>
      <c r="FA14" s="82" t="str">
        <f aca="false">IF(EY$2="","",IF(AND(EY14=EY$2,EZ14=EZ$2),3,IF(AND(EY$2&gt;EZ$2,EY14&gt;EZ14),1,IF(AND(EZ$2&gt;EY$2,EZ14&gt;EY14),1,IF(AND(EY$2=EZ$2,EY14=EZ14),1,0)))))</f>
        <v/>
      </c>
      <c r="FB14" s="1" t="n">
        <f aca="false">Participantes!DC13</f>
        <v>0</v>
      </c>
      <c r="FC14" s="1" t="n">
        <f aca="false">Participantes!DD13</f>
        <v>0</v>
      </c>
      <c r="FD14" s="82" t="str">
        <f aca="false">IF(FB$2="","",IF(AND(FB14=FB$2,FC14=FC$2),3,IF(AND(FB$2&gt;FC$2,FB14&gt;FC14),1,IF(AND(FC$2&gt;FB$2,FC14&gt;FB14),1,IF(AND(FB$2=FC$2,FB14=FC14),1,0)))))</f>
        <v/>
      </c>
      <c r="FE14" s="1" t="n">
        <f aca="false">Participantes!DE13</f>
        <v>0</v>
      </c>
      <c r="FF14" s="1" t="n">
        <f aca="false">Participantes!DF13</f>
        <v>0</v>
      </c>
      <c r="FG14" s="82" t="str">
        <f aca="false">IF(FE$2="","",IF(AND(FE14=FE$2,FF14=FF$2),3,IF(AND(FE$2&gt;FF$2,FE14&gt;FF14),1,IF(AND(FF$2&gt;FE$2,FF14&gt;FE14),1,IF(AND(FE$2=FF$2,FE14=FF14),1,0)))))</f>
        <v/>
      </c>
      <c r="FH14" s="1" t="n">
        <f aca="false">Participantes!DG13</f>
        <v>0</v>
      </c>
      <c r="FI14" s="1" t="n">
        <f aca="false">Participantes!DH13</f>
        <v>0</v>
      </c>
      <c r="FJ14" s="82" t="str">
        <f aca="false">IF(FH$2="","",IF(AND(FH14=FH$2,FI14=FI$2),3,IF(AND(FH$2&gt;FI$2,FH14&gt;FI14),1,IF(AND(FI$2&gt;FH$2,FI14&gt;FH14),1,IF(AND(FH$2=FI$2,FH14=FI14),1,0)))))</f>
        <v/>
      </c>
      <c r="FK14" s="1" t="n">
        <f aca="false">Participantes!DI13</f>
        <v>0</v>
      </c>
      <c r="FL14" s="1" t="n">
        <f aca="false">Participantes!DJ13</f>
        <v>0</v>
      </c>
      <c r="FM14" s="82" t="str">
        <f aca="false">IF(FK$2="","",IF(AND(FK14=FK$2,FL14=FL$2),3,IF(AND(FK$2&gt;FL$2,FK14&gt;FL14),1,IF(AND(FL$2&gt;FK$2,FL14&gt;FK14),1,IF(AND(FK$2=FL$2,FK14=FL14),1,0)))))</f>
        <v/>
      </c>
      <c r="FN14" s="1" t="n">
        <f aca="false">Participantes!DK13</f>
        <v>0</v>
      </c>
      <c r="FO14" s="1" t="n">
        <f aca="false">Participantes!DL13</f>
        <v>0</v>
      </c>
      <c r="FP14" s="82" t="str">
        <f aca="false">IF(FN$2="","",IF(AND(FN14=FN$2,FO14=FO$2),3,IF(AND(FN$2&gt;FO$2,FN14&gt;FO14),1,IF(AND(FO$2&gt;FN$2,FO14&gt;FN14),1,IF(AND(FN$2=FO$2,FN14=FO14),1,0)))))</f>
        <v/>
      </c>
      <c r="FQ14" s="1" t="n">
        <f aca="false">Participantes!DM13</f>
        <v>0</v>
      </c>
      <c r="FR14" s="1" t="n">
        <f aca="false">Participantes!DN13</f>
        <v>0</v>
      </c>
      <c r="FS14" s="82" t="str">
        <f aca="false">IF(FQ$2="","",IF(AND(FQ14=FQ$2,FR14=FR$2),3,IF(AND(FQ$2&gt;FR$2,FQ14&gt;FR14),1,IF(AND(FR$2&gt;FQ$2,FR14&gt;FQ14),1,IF(AND(FQ$2=FR$2,FQ14=FR14),1,0)))))</f>
        <v/>
      </c>
      <c r="FT14" s="1" t="n">
        <f aca="false">Participantes!DO13</f>
        <v>0</v>
      </c>
      <c r="FU14" s="1" t="n">
        <f aca="false">Participantes!DP13</f>
        <v>0</v>
      </c>
      <c r="FV14" s="82" t="str">
        <f aca="false">IF(FT$2="","",IF(AND(FT14=FT$2,FU14=FU$2),3,IF(AND(FT$2&gt;FU$2,FT14&gt;FU14),1,IF(AND(FU$2&gt;FT$2,FU14&gt;FT14),1,IF(AND(FT$2=FU$2,FT14=FU14),1,0)))))</f>
        <v/>
      </c>
      <c r="FW14" s="1" t="n">
        <f aca="false">Participantes!DQ13</f>
        <v>0</v>
      </c>
      <c r="FX14" s="1" t="n">
        <f aca="false">Participantes!DR13</f>
        <v>0</v>
      </c>
      <c r="FY14" s="82" t="str">
        <f aca="false">IF(FW$2="","",IF(AND(FW14=FW$2,FX14=FX$2),3,IF(AND(FW$2&gt;FX$2,FW14&gt;FX14),1,IF(AND(FX$2&gt;FW$2,FX14&gt;FW14),1,IF(AND(FW$2=FX$2,FW14=FX14),1,0)))))</f>
        <v/>
      </c>
      <c r="FZ14" s="1" t="n">
        <f aca="false">Participantes!DS13</f>
        <v>0</v>
      </c>
      <c r="GA14" s="1" t="n">
        <f aca="false">Participantes!DT13</f>
        <v>0</v>
      </c>
      <c r="GB14" s="82" t="str">
        <f aca="false">IF(FZ$2="","",IF(AND(FZ14=FZ$2,GA14=GA$2),3,IF(AND(FZ$2&gt;GA$2,FZ14&gt;GA14),1,IF(AND(GA$2&gt;FZ$2,GA14&gt;FZ14),1,IF(AND(FZ$2=GA$2,FZ14=GA14),1,0)))))</f>
        <v/>
      </c>
      <c r="GC14" s="1" t="n">
        <f aca="false">Participantes!DU13</f>
        <v>0</v>
      </c>
      <c r="GD14" s="1" t="n">
        <f aca="false">Participantes!DV13</f>
        <v>0</v>
      </c>
      <c r="GE14" s="82" t="str">
        <f aca="false">IF(GC$2="","",IF(AND(GC14=GC$2,GD14=GD$2),3,IF(AND(GC$2&gt;GD$2,GC14&gt;GD14),1,IF(AND(GD$2&gt;GC$2,GD14&gt;GC14),1,IF(AND(GC$2=GD$2,GC14=GD14),1,0)))))</f>
        <v/>
      </c>
      <c r="GF14" s="1" t="n">
        <f aca="false">Participantes!DW13</f>
        <v>0</v>
      </c>
      <c r="GG14" s="1" t="n">
        <f aca="false">Participantes!DX13</f>
        <v>0</v>
      </c>
      <c r="GH14" s="82" t="str">
        <f aca="false">IF(GF$2="","",IF(AND(GF14=GF$2,GG14=GG$2),3,IF(AND(GF$2&gt;GG$2,GF14&gt;GG14),1,IF(AND(GG$2&gt;GF$2,GG14&gt;GF14),1,IF(AND(GF$2=GG$2,GF14=GG14),1,0)))))</f>
        <v/>
      </c>
      <c r="GI14" s="1" t="n">
        <f aca="false">Participantes!DY13</f>
        <v>0</v>
      </c>
      <c r="GJ14" s="1" t="n">
        <f aca="false">Participantes!DZ13</f>
        <v>0</v>
      </c>
      <c r="GK14" s="82" t="str">
        <f aca="false">IF(GI$2="","",IF(AND(GI14=GI$2,GJ14=GJ$2),3,IF(AND(GI$2&gt;GJ$2,GI14&gt;GJ14),1,IF(AND(GJ$2&gt;GI$2,GJ14&gt;GI14),1,IF(AND(GI$2=GJ$2,GI14=GJ14),1,0)))))</f>
        <v/>
      </c>
      <c r="GL14" s="1" t="n">
        <f aca="false">Participantes!EA13</f>
        <v>0</v>
      </c>
      <c r="GM14" s="1" t="n">
        <f aca="false">Participantes!EB13</f>
        <v>0</v>
      </c>
      <c r="GN14" s="82" t="str">
        <f aca="false">IF(GL$2="","",IF(AND(GL14=GL$2,GM14=GM$2),3,IF(AND(GL$2&gt;GM$2,GL14&gt;GM14),1,IF(AND(GM$2&gt;GL$2,GM14&gt;GL14),1,IF(AND(GL$2=GM$2,GL14=GM14),1,0)))))</f>
        <v/>
      </c>
      <c r="GO14" s="1" t="n">
        <f aca="false">Participantes!EC13</f>
        <v>0</v>
      </c>
      <c r="GP14" s="1" t="n">
        <f aca="false">Participantes!ED13</f>
        <v>0</v>
      </c>
      <c r="GQ14" s="82" t="str">
        <f aca="false">IF(GO$2="","",IF(AND(GO14=GO$2,GP14=GP$2),3,IF(AND(GO$2&gt;GP$2,GO14&gt;GP14),1,IF(AND(GP$2&gt;GO$2,GP14&gt;GO14),1,IF(AND(GO$2=GP$2,GO14=GP14),1,0)))))</f>
        <v/>
      </c>
      <c r="GR14" s="1" t="n">
        <f aca="false">Participantes!EE13</f>
        <v>0</v>
      </c>
      <c r="GS14" s="1" t="n">
        <f aca="false">Participantes!EF13</f>
        <v>0</v>
      </c>
      <c r="GT14" s="82" t="str">
        <f aca="false">IF(GR$2="","",IF(AND(GR14=GR$2,GS14=GS$2),3,IF(AND(GR$2&gt;GS$2,GR14&gt;GS14),1,IF(AND(GS$2&gt;GR$2,GS14&gt;GR14),1,IF(AND(GR$2=GS$2,GR14=GS14),1,0)))))</f>
        <v/>
      </c>
      <c r="GU14" s="1" t="n">
        <f aca="false">Participantes!EG13</f>
        <v>0</v>
      </c>
      <c r="GV14" s="1" t="n">
        <f aca="false">Participantes!EH13</f>
        <v>0</v>
      </c>
      <c r="GW14" s="82" t="str">
        <f aca="false">IF(GU$2="","",IF(AND(GU14=GU$2,GV14=GV$2),3,IF(AND(GU$2&gt;GV$2,GU14&gt;GV14),1,IF(AND(GV$2&gt;GU$2,GV14&gt;GU14),1,IF(AND(GU$2=GV$2,GU14=GV14),1,0)))))</f>
        <v/>
      </c>
      <c r="GX14" s="1" t="n">
        <f aca="false">Participantes!EI13</f>
        <v>0</v>
      </c>
      <c r="GY14" s="1" t="n">
        <f aca="false">Participantes!EJ13</f>
        <v>0</v>
      </c>
      <c r="GZ14" s="82" t="str">
        <f aca="false">IF(GX$2="","",IF(AND(GX14=GX$2,GY14=GY$2),3,IF(AND(GX$2&gt;GY$2,GX14&gt;GY14),1,IF(AND(GY$2&gt;GX$2,GY14&gt;GX14),1,IF(AND(GX$2=GY$2,GX14=GY14),1,0)))))</f>
        <v/>
      </c>
      <c r="HA14" s="1" t="n">
        <f aca="false">Participantes!EK13</f>
        <v>0</v>
      </c>
      <c r="HB14" s="1" t="n">
        <f aca="false">Participantes!EL13</f>
        <v>0</v>
      </c>
      <c r="HC14" s="82" t="str">
        <f aca="false">IF(HA$2="","",IF(AND(HA14=HA$2,HB14=HB$2),3,IF(AND(HA$2&gt;HB$2,HA14&gt;HB14),1,IF(AND(HB$2&gt;HA$2,HB14&gt;HA14),1,IF(AND(HA$2=HB$2,HA14=HB14),1,0)))))</f>
        <v/>
      </c>
      <c r="HD14" s="1" t="n">
        <f aca="false">Participantes!EM13</f>
        <v>0</v>
      </c>
      <c r="HE14" s="1" t="n">
        <f aca="false">Participantes!EN13</f>
        <v>0</v>
      </c>
      <c r="HF14" s="82" t="str">
        <f aca="false">IF(HD$2="","",IF(AND(HD14=HD$2,HE14=HE$2),3,IF(AND(HD$2&gt;HE$2,HD14&gt;HE14),1,IF(AND(HE$2&gt;HD$2,HE14&gt;HD14),1,IF(AND(HD$2=HE$2,HD14=HE14),1,0)))))</f>
        <v/>
      </c>
      <c r="HG14" s="1" t="n">
        <f aca="false">Participantes!EO13</f>
        <v>0</v>
      </c>
      <c r="HH14" s="1" t="n">
        <f aca="false">Participantes!EP13</f>
        <v>0</v>
      </c>
      <c r="HI14" s="82" t="str">
        <f aca="false">IF(HG$2="","",IF(AND(HG14=HG$2,HH14=HH$2),3,IF(AND(HG$2&gt;HH$2,HG14&gt;HH14),1,IF(AND(HH$2&gt;HG$2,HH14&gt;HG14),1,IF(AND(HG$2=HH$2,HG14=HH14),1,0)))))</f>
        <v/>
      </c>
      <c r="HJ14" s="83" t="n">
        <f aca="false">SUM(D14,G14,J14,M14,P14,S14,V14,Y14,AB14,AE14,AH14,AK14,AN14,AQ14,AT14,AW14,AZ14,BC14,BF14,BI14,BL14,BO14,BR14,BU14,BX14,CA14,CD14,CG14,CJ14,CM14,CP14,CS14,CV14,CY14,DB14,DE14,DH14,DK14,DN14,DQ14,DT14,DW14,DZ14,EC14,EF14,EI14,EL14,EO14,ER14,EU14,EX14,FA14,FD14,FG14,FJ14,FM14,FP14,FS14,FV14,FY14,GB14,GE14,GH14,GK14,GN14,GQ14,GT14,GW14,GZ14,HC14,HF14,HI14)</f>
        <v>1</v>
      </c>
    </row>
    <row r="15" customFormat="false" ht="15" hidden="false" customHeight="true" outlineLevel="0" collapsed="false">
      <c r="A15" s="81" t="str">
        <f aca="false">Participantes!B14</f>
        <v>Freddy</v>
      </c>
      <c r="B15" s="1" t="n">
        <f aca="false">Participantes!C14</f>
        <v>3</v>
      </c>
      <c r="C15" s="1" t="n">
        <f aca="false">Participantes!D14</f>
        <v>1</v>
      </c>
      <c r="D15" s="82" t="n">
        <f aca="false">IF(B$2="","",IF(AND(B15=B$2,C15=C$2),3,IF(AND(B$2&gt;C$2,B15&gt;C15),1,IF(AND(C$2&gt;B$2,C15&gt;B15),1,IF(AND(B$2=C$2,B15=C15),1,0)))))</f>
        <v>1</v>
      </c>
      <c r="E15" s="1" t="n">
        <f aca="false">Participantes!E14</f>
        <v>1</v>
      </c>
      <c r="F15" s="1" t="n">
        <f aca="false">Participantes!F14</f>
        <v>1</v>
      </c>
      <c r="G15" s="82" t="str">
        <f aca="false">IF(E$2="","",IF(AND(E15=E$2,F15=F$2),3,IF(AND(E$2&gt;F$2,E15&gt;F15),1,IF(AND(F$2&gt;E$2,F15&gt;E15),1,IF(AND(E$2=F$2,E15=F15),1,0)))))</f>
        <v/>
      </c>
      <c r="H15" s="1" t="n">
        <f aca="false">Participantes!G14</f>
        <v>3</v>
      </c>
      <c r="I15" s="1" t="n">
        <f aca="false">Participantes!H14</f>
        <v>1</v>
      </c>
      <c r="J15" s="82" t="str">
        <f aca="false">IF(H$2="","",IF(AND(H15=H$2,I15=I$2),3,IF(AND(H$2&gt;I$2,H15&gt;I15),1,IF(AND(I$2&gt;H$2,I15&gt;H15),1,IF(AND(H$2=I$2,H15=I15),1,0)))))</f>
        <v/>
      </c>
      <c r="K15" s="1" t="n">
        <f aca="false">Participantes!I14</f>
        <v>2</v>
      </c>
      <c r="L15" s="1" t="n">
        <f aca="false">Participantes!J14</f>
        <v>0</v>
      </c>
      <c r="M15" s="82" t="str">
        <f aca="false">IF(K$2="","",IF(AND(K15=K$2,L15=L$2),3,IF(AND(K$2&gt;L$2,K15&gt;L15),1,IF(AND(L$2&gt;K$2,L15&gt;K15),1,IF(AND(K$2=L$2,K15=L15),1,0)))))</f>
        <v/>
      </c>
      <c r="N15" s="1" t="n">
        <f aca="false">Participantes!K14</f>
        <v>0</v>
      </c>
      <c r="O15" s="1" t="n">
        <f aca="false">Participantes!L14</f>
        <v>1</v>
      </c>
      <c r="P15" s="82" t="str">
        <f aca="false">IF(N$2="","",IF(AND(N15=N$2,O15=O$2),3,IF(AND(N$2&gt;O$2,N15&gt;O15),1,IF(AND(O$2&gt;N$2,O15&gt;N15),1,IF(AND(N$2=O$2,N15=O15),1,0)))))</f>
        <v/>
      </c>
      <c r="Q15" s="1" t="n">
        <f aca="false">Participantes!M14</f>
        <v>1</v>
      </c>
      <c r="R15" s="1" t="n">
        <f aca="false">Participantes!N14</f>
        <v>2</v>
      </c>
      <c r="S15" s="82" t="str">
        <f aca="false">IF(Q$2="","",IF(AND(Q15=Q$2,R15=R$2),3,IF(AND(Q$2&gt;R$2,Q15&gt;R15),1,IF(AND(R$2&gt;Q$2,R15&gt;Q15),1,IF(AND(Q$2=R$2,Q15=R15),1,0)))))</f>
        <v/>
      </c>
      <c r="T15" s="1" t="n">
        <f aca="false">Participantes!O14</f>
        <v>2</v>
      </c>
      <c r="U15" s="1" t="n">
        <f aca="false">Participantes!P14</f>
        <v>2</v>
      </c>
      <c r="V15" s="82" t="str">
        <f aca="false">IF(T$2="","",IF(AND(T15=T$2,U15=U$2),3,IF(AND(T$2&gt;U$2,T15&gt;U15),1,IF(AND(U$2&gt;T$2,U15&gt;T15),1,IF(AND(T$2=U$2,T15=U15),1,0)))))</f>
        <v/>
      </c>
      <c r="W15" s="1" t="n">
        <f aca="false">Participantes!Q14</f>
        <v>1</v>
      </c>
      <c r="X15" s="1" t="n">
        <f aca="false">Participantes!R14</f>
        <v>2</v>
      </c>
      <c r="Y15" s="82" t="str">
        <f aca="false">IF(W$2="","",IF(AND(W15=W$2,X15=X$2),3,IF(AND(W$2&gt;X$2,W15&gt;X15),1,IF(AND(X$2&gt;W$2,X15&gt;W15),1,IF(AND(W$2=X$2,W15=X15),1,0)))))</f>
        <v/>
      </c>
      <c r="Z15" s="1" t="n">
        <f aca="false">Participantes!S14</f>
        <v>0</v>
      </c>
      <c r="AA15" s="1" t="n">
        <f aca="false">Participantes!T14</f>
        <v>1</v>
      </c>
      <c r="AB15" s="82" t="str">
        <f aca="false">IF(Z$2="","",IF(AND(Z15=Z$2,AA15=AA$2),3,IF(AND(Z$2&gt;AA$2,Z15&gt;AA15),1,IF(AND(AA$2&gt;Z$2,AA15&gt;Z15),1,IF(AND(Z$2=AA$2,Z15=AA15),1,0)))))</f>
        <v/>
      </c>
      <c r="AC15" s="1" t="n">
        <f aca="false">Participantes!U14</f>
        <v>6</v>
      </c>
      <c r="AD15" s="1" t="n">
        <f aca="false">Participantes!V14</f>
        <v>0</v>
      </c>
      <c r="AE15" s="82" t="str">
        <f aca="false">IF(AC$2="","",IF(AND(AC15=AC$2,AD15=AD$2),3,IF(AND(AC$2&gt;AD$2,AC15&gt;AD15),1,IF(AND(AD$2&gt;AC$2,AD15&gt;AC15),1,IF(AND(AC$2=AD$2,AC15=AD15),1,0)))))</f>
        <v/>
      </c>
      <c r="AF15" s="1" t="n">
        <f aca="false">Participantes!W14</f>
        <v>1</v>
      </c>
      <c r="AG15" s="1" t="n">
        <f aca="false">Participantes!X14</f>
        <v>0</v>
      </c>
      <c r="AH15" s="82" t="str">
        <f aca="false">IF(AF$2="","",IF(AND(AF15=AF$2,AG15=AG$2),3,IF(AND(AF$2&gt;AG$2,AF15&gt;AG15),1,IF(AND(AG$2&gt;AF$2,AG15&gt;AF15),1,IF(AND(AF$2=AG$2,AF15=AG15),1,0)))))</f>
        <v/>
      </c>
      <c r="AI15" s="1" t="n">
        <f aca="false">Participantes!Y14</f>
        <v>3</v>
      </c>
      <c r="AJ15" s="1" t="n">
        <f aca="false">Participantes!Z14</f>
        <v>0</v>
      </c>
      <c r="AK15" s="82" t="str">
        <f aca="false">IF(AI$2="","",IF(AND(AI15=AI$2,AJ15=AJ$2),3,IF(AND(AI$2&gt;AJ$2,AI15&gt;AJ15),1,IF(AND(AJ$2&gt;AI$2,AJ15&gt;AI15),1,IF(AND(AI$2=AJ$2,AI15=AJ15),1,0)))))</f>
        <v/>
      </c>
      <c r="AL15" s="1" t="n">
        <f aca="false">Participantes!AA14</f>
        <v>0</v>
      </c>
      <c r="AM15" s="1" t="n">
        <f aca="false">Participantes!AB14</f>
        <v>2</v>
      </c>
      <c r="AN15" s="82" t="str">
        <f aca="false">IF(AL$2="","",IF(AND(AL15=AL$2,AM15=AM$2),3,IF(AND(AL$2&gt;AM$2,AL15&gt;AM15),1,IF(AND(AM$2&gt;AL$2,AM15&gt;AL15),1,IF(AND(AL$2=AM$2,AL15=AM15),1,0)))))</f>
        <v/>
      </c>
      <c r="AO15" s="1" t="n">
        <f aca="false">Participantes!AC14</f>
        <v>5</v>
      </c>
      <c r="AP15" s="1" t="n">
        <f aca="false">Participantes!AD14</f>
        <v>0</v>
      </c>
      <c r="AQ15" s="82" t="str">
        <f aca="false">IF(AO$2="","",IF(AND(AO15=AO$2,AP15=AP$2),3,IF(AND(AO$2&gt;AP$2,AO15&gt;AP15),1,IF(AND(AP$2&gt;AO$2,AP15&gt;AO15),1,IF(AND(AO$2=AP$2,AO15=AP15),1,0)))))</f>
        <v/>
      </c>
      <c r="AR15" s="1" t="n">
        <f aca="false">Participantes!AE14</f>
        <v>0</v>
      </c>
      <c r="AS15" s="1" t="n">
        <f aca="false">Participantes!AF14</f>
        <v>1</v>
      </c>
      <c r="AT15" s="82" t="str">
        <f aca="false">IF(AR$2="","",IF(AND(AR15=AR$2,AS15=AS$2),3,IF(AND(AR$2&gt;AS$2,AR15&gt;AS15),1,IF(AND(AS$2&gt;AR$2,AS15&gt;AR15),1,IF(AND(AR$2=AS$2,AR15=AS15),1,0)))))</f>
        <v/>
      </c>
      <c r="AU15" s="1" t="n">
        <f aca="false">Participantes!AG14</f>
        <v>4</v>
      </c>
      <c r="AV15" s="1" t="n">
        <f aca="false">Participantes!AH14</f>
        <v>1</v>
      </c>
      <c r="AW15" s="82" t="str">
        <f aca="false">IF(AU$2="","",IF(AND(AU15=AU$2,AV15=AV$2),3,IF(AND(AU$2&gt;AV$2,AU15&gt;AV15),1,IF(AND(AV$2&gt;AU$2,AV15&gt;AU15),1,IF(AND(AU$2=AV$2,AU15=AV15),1,0)))))</f>
        <v/>
      </c>
      <c r="AX15" s="1" t="n">
        <f aca="false">Participantes!AI14</f>
        <v>4</v>
      </c>
      <c r="AY15" s="1" t="n">
        <f aca="false">Participantes!AJ14</f>
        <v>0</v>
      </c>
      <c r="AZ15" s="82" t="str">
        <f aca="false">IF(AX$2="","",IF(AND(AX15=AX$2,AY15=AY$2),3,IF(AND(AX$2&gt;AY$2,AX15&gt;AY15),1,IF(AND(AY$2&gt;AX$2,AY15&gt;AX15),1,IF(AND(AX$2=AY$2,AX15=AY15),1,0)))))</f>
        <v/>
      </c>
      <c r="BA15" s="1" t="n">
        <f aca="false">Participantes!AK14</f>
        <v>0</v>
      </c>
      <c r="BB15" s="1" t="n">
        <f aca="false">Participantes!AL14</f>
        <v>3</v>
      </c>
      <c r="BC15" s="82" t="str">
        <f aca="false">IF(BA$2="","",IF(AND(BA15=BA$2,BB15=BB$2),3,IF(AND(BA$2&gt;BB$2,BA15&gt;BB15),1,IF(AND(BB$2&gt;BA$2,BB15&gt;BA15),1,IF(AND(BA$2=BB$2,BA15=BB15),1,0)))))</f>
        <v/>
      </c>
      <c r="BD15" s="1" t="n">
        <f aca="false">Participantes!AM14</f>
        <v>4</v>
      </c>
      <c r="BE15" s="1" t="n">
        <f aca="false">Participantes!AN14</f>
        <v>1</v>
      </c>
      <c r="BF15" s="82" t="str">
        <f aca="false">IF(BD$2="","",IF(AND(BD15=BD$2,BE15=BE$2),3,IF(AND(BD$2&gt;BE$2,BD15&gt;BE15),1,IF(AND(BE$2&gt;BD$2,BE15&gt;BD15),1,IF(AND(BD$2=BE$2,BD15=BE15),1,0)))))</f>
        <v/>
      </c>
      <c r="BG15" s="1" t="n">
        <f aca="false">Participantes!AO14</f>
        <v>3</v>
      </c>
      <c r="BH15" s="1" t="n">
        <f aca="false">Participantes!AP14</f>
        <v>0</v>
      </c>
      <c r="BI15" s="82" t="str">
        <f aca="false">IF(BG$2="","",IF(AND(BG15=BG$2,BH15=BH$2),3,IF(AND(BG$2&gt;BH$2,BG15&gt;BH15),1,IF(AND(BH$2&gt;BG$2,BH15&gt;BG15),1,IF(AND(BG$2=BH$2,BG15=BH15),1,0)))))</f>
        <v/>
      </c>
      <c r="BJ15" s="1" t="n">
        <f aca="false">Participantes!AQ14</f>
        <v>1</v>
      </c>
      <c r="BK15" s="1" t="n">
        <f aca="false">Participantes!AR14</f>
        <v>1</v>
      </c>
      <c r="BL15" s="82" t="str">
        <f aca="false">IF(BJ$2="","",IF(AND(BJ15=BJ$2,BK15=BK$2),3,IF(AND(BJ$2&gt;BK$2,BJ15&gt;BK15),1,IF(AND(BK$2&gt;BJ$2,BK15&gt;BJ15),1,IF(AND(BJ$2=BK$2,BJ15=BK15),1,0)))))</f>
        <v/>
      </c>
      <c r="BM15" s="1" t="n">
        <f aca="false">Participantes!AS14</f>
        <v>2</v>
      </c>
      <c r="BN15" s="1" t="n">
        <f aca="false">Participantes!AT14</f>
        <v>1</v>
      </c>
      <c r="BO15" s="82" t="str">
        <f aca="false">IF(BM$2="","",IF(AND(BM15=BM$2,BN15=BN$2),3,IF(AND(BM$2&gt;BN$2,BM15&gt;BN15),1,IF(AND(BN$2&gt;BM$2,BN15&gt;BM15),1,IF(AND(BM$2=BN$2,BM15=BN15),1,0)))))</f>
        <v/>
      </c>
      <c r="BP15" s="1" t="n">
        <f aca="false">Participantes!AU14</f>
        <v>5</v>
      </c>
      <c r="BQ15" s="1" t="n">
        <f aca="false">Participantes!AV14</f>
        <v>0</v>
      </c>
      <c r="BR15" s="82" t="str">
        <f aca="false">IF(BP$2="","",IF(AND(BP15=BP$2,BQ15=BQ$2),3,IF(AND(BP$2&gt;BQ$2,BP15&gt;BQ15),1,IF(AND(BQ$2&gt;BP$2,BQ15&gt;BP15),1,IF(AND(BP$2=BQ$2,BP15=BQ15),1,0)))))</f>
        <v/>
      </c>
      <c r="BS15" s="1" t="n">
        <f aca="false">Participantes!AW14</f>
        <v>1</v>
      </c>
      <c r="BT15" s="1" t="n">
        <f aca="false">Participantes!AX14</f>
        <v>2</v>
      </c>
      <c r="BU15" s="82" t="str">
        <f aca="false">IF(BS$2="","",IF(AND(BS15=BS$2,BT15=BT$2),3,IF(AND(BS$2&gt;BT$2,BS15&gt;BT15),1,IF(AND(BT$2&gt;BS$2,BT15&gt;BS15),1,IF(AND(BS$2=BT$2,BS15=BT15),1,0)))))</f>
        <v/>
      </c>
      <c r="BV15" s="1" t="n">
        <f aca="false">Participantes!AY14</f>
        <v>0</v>
      </c>
      <c r="BW15" s="1" t="n">
        <f aca="false">Participantes!AZ14</f>
        <v>0</v>
      </c>
      <c r="BX15" s="82" t="str">
        <f aca="false">IF(BV$2="","",IF(AND(BV15=BV$2,BW15=BW$2),3,IF(AND(BV$2&gt;BW$2,BV15&gt;BW15),1,IF(AND(BW$2&gt;BV$2,BW15&gt;BV15),1,IF(AND(BV$2=BW$2,BV15=BW15),1,0)))))</f>
        <v/>
      </c>
      <c r="BY15" s="1" t="n">
        <f aca="false">Participantes!BA14</f>
        <v>1</v>
      </c>
      <c r="BZ15" s="1" t="n">
        <f aca="false">Participantes!BB14</f>
        <v>0</v>
      </c>
      <c r="CA15" s="82" t="str">
        <f aca="false">IF(BY$2="","",IF(AND(BY15=BY$2,BZ15=BZ$2),3,IF(AND(BY$2&gt;BZ$2,BY15&gt;BZ15),1,IF(AND(BZ$2&gt;BY$2,BZ15&gt;BY15),1,IF(AND(BY$2=BZ$2,BY15=BZ15),1,0)))))</f>
        <v/>
      </c>
      <c r="CB15" s="1" t="n">
        <f aca="false">Participantes!BC14</f>
        <v>2</v>
      </c>
      <c r="CC15" s="1" t="n">
        <f aca="false">Participantes!BD14</f>
        <v>0</v>
      </c>
      <c r="CD15" s="82" t="str">
        <f aca="false">IF(CB$2="","",IF(AND(CB15=CB$2,CC15=CC$2),3,IF(AND(CB$2&gt;CC$2,CB15&gt;CC15),1,IF(AND(CC$2&gt;CB$2,CC15&gt;CB15),1,IF(AND(CB$2=CC$2,CB15=CC15),1,0)))))</f>
        <v/>
      </c>
      <c r="CE15" s="1" t="n">
        <f aca="false">Participantes!BE14</f>
        <v>1</v>
      </c>
      <c r="CF15" s="1" t="n">
        <f aca="false">Participantes!BF14</f>
        <v>1</v>
      </c>
      <c r="CG15" s="82" t="str">
        <f aca="false">IF(CE$2="","",IF(AND(CE15=CE$2,CF15=CF$2),3,IF(AND(CE$2&gt;CF$2,CE15&gt;CF15),1,IF(AND(CF$2&gt;CE$2,CF15&gt;CE15),1,IF(AND(CE$2=CF$2,CE15=CF15),1,0)))))</f>
        <v/>
      </c>
      <c r="CH15" s="1" t="n">
        <f aca="false">Participantes!BG14</f>
        <v>0</v>
      </c>
      <c r="CI15" s="1" t="n">
        <f aca="false">Participantes!BH14</f>
        <v>0</v>
      </c>
      <c r="CJ15" s="82" t="str">
        <f aca="false">IF(CH$2="","",IF(AND(CH15=CH$2,CI15=CI$2),3,IF(AND(CH$2&gt;CI$2,CH15&gt;CI15),1,IF(AND(CI$2&gt;CH$2,CI15&gt;CH15),1,IF(AND(CH$2=CI$2,CH15=CI15),1,0)))))</f>
        <v/>
      </c>
      <c r="CK15" s="1" t="n">
        <f aca="false">Participantes!BI14</f>
        <v>0</v>
      </c>
      <c r="CL15" s="1" t="n">
        <f aca="false">Participantes!BJ14</f>
        <v>0</v>
      </c>
      <c r="CM15" s="82" t="str">
        <f aca="false">IF(CK$2="","",IF(AND(CK15=CK$2,CL15=CL$2),3,IF(AND(CK$2&gt;CL$2,CK15&gt;CL15),1,IF(AND(CL$2&gt;CK$2,CL15&gt;CK15),1,IF(AND(CK$2=CL$2,CK15=CL15),1,0)))))</f>
        <v/>
      </c>
      <c r="CN15" s="1" t="n">
        <f aca="false">Participantes!BK14</f>
        <v>0</v>
      </c>
      <c r="CO15" s="1" t="n">
        <f aca="false">Participantes!BL14</f>
        <v>0</v>
      </c>
      <c r="CP15" s="82" t="str">
        <f aca="false">IF(CN$2="","",IF(AND(CN15=CN$2,CO15=CO$2),3,IF(AND(CN$2&gt;CO$2,CN15&gt;CO15),1,IF(AND(CO$2&gt;CN$2,CO15&gt;CN15),1,IF(AND(CN$2=CO$2,CN15=CO15),1,0)))))</f>
        <v/>
      </c>
      <c r="CQ15" s="1" t="n">
        <f aca="false">Participantes!BM14</f>
        <v>0</v>
      </c>
      <c r="CR15" s="1" t="n">
        <f aca="false">Participantes!BN14</f>
        <v>0</v>
      </c>
      <c r="CS15" s="82" t="str">
        <f aca="false">IF(CQ$2="","",IF(AND(CQ15=CQ$2,CR15=CR$2),3,IF(AND(CQ$2&gt;CR$2,CQ15&gt;CR15),1,IF(AND(CR$2&gt;CQ$2,CR15&gt;CQ15),1,IF(AND(CQ$2=CR$2,CQ15=CR15),1,0)))))</f>
        <v/>
      </c>
      <c r="CT15" s="1" t="n">
        <f aca="false">Participantes!BO14</f>
        <v>0</v>
      </c>
      <c r="CU15" s="1" t="n">
        <f aca="false">Participantes!BP14</f>
        <v>0</v>
      </c>
      <c r="CV15" s="82" t="str">
        <f aca="false">IF(CT$2="","",IF(AND(CT15=CT$2,CU15=CU$2),3,IF(AND(CT$2&gt;CU$2,CT15&gt;CU15),1,IF(AND(CU$2&gt;CT$2,CU15&gt;CT15),1,IF(AND(CT$2=CU$2,CT15=CU15),1,0)))))</f>
        <v/>
      </c>
      <c r="CW15" s="1" t="n">
        <f aca="false">Participantes!BQ14</f>
        <v>0</v>
      </c>
      <c r="CX15" s="1" t="n">
        <f aca="false">Participantes!BR14</f>
        <v>0</v>
      </c>
      <c r="CY15" s="82" t="str">
        <f aca="false">IF(CW$2="","",IF(AND(CW15=CW$2,CX15=CX$2),3,IF(AND(CW$2&gt;CX$2,CW15&gt;CX15),1,IF(AND(CX$2&gt;CW$2,CX15&gt;CW15),1,IF(AND(CW$2=CX$2,CW15=CX15),1,0)))))</f>
        <v/>
      </c>
      <c r="CZ15" s="1" t="n">
        <f aca="false">Participantes!BS14</f>
        <v>0</v>
      </c>
      <c r="DA15" s="1" t="n">
        <f aca="false">Participantes!BT14</f>
        <v>0</v>
      </c>
      <c r="DB15" s="82" t="str">
        <f aca="false">IF(CZ$2="","",IF(AND(CZ15=CZ$2,DA15=DA$2),3,IF(AND(CZ$2&gt;DA$2,CZ15&gt;DA15),1,IF(AND(DA$2&gt;CZ$2,DA15&gt;CZ15),1,IF(AND(CZ$2=DA$2,CZ15=DA15),1,0)))))</f>
        <v/>
      </c>
      <c r="DC15" s="1" t="n">
        <f aca="false">Participantes!BU14</f>
        <v>0</v>
      </c>
      <c r="DD15" s="1" t="n">
        <f aca="false">Participantes!BV14</f>
        <v>0</v>
      </c>
      <c r="DE15" s="82" t="str">
        <f aca="false">IF(DC$2="","",IF(AND(DC15=DC$2,DD15=DD$2),3,IF(AND(DC$2&gt;DD$2,DC15&gt;DD15),1,IF(AND(DD$2&gt;DC$2,DD15&gt;DC15),1,IF(AND(DC$2=DD$2,DC15=DD15),1,0)))))</f>
        <v/>
      </c>
      <c r="DF15" s="1" t="n">
        <f aca="false">Participantes!BW14</f>
        <v>0</v>
      </c>
      <c r="DG15" s="1" t="n">
        <f aca="false">Participantes!BX14</f>
        <v>0</v>
      </c>
      <c r="DH15" s="82" t="str">
        <f aca="false">IF(DF$2="","",IF(AND(DF15=DF$2,DG15=DG$2),3,IF(AND(DF$2&gt;DG$2,DF15&gt;DG15),1,IF(AND(DG$2&gt;DF$2,DG15&gt;DF15),1,IF(AND(DF$2=DG$2,DF15=DG15),1,0)))))</f>
        <v/>
      </c>
      <c r="DI15" s="1" t="n">
        <f aca="false">Participantes!BY14</f>
        <v>0</v>
      </c>
      <c r="DJ15" s="1" t="n">
        <f aca="false">Participantes!BZ14</f>
        <v>0</v>
      </c>
      <c r="DK15" s="82" t="str">
        <f aca="false">IF(DI$2="","",IF(AND(DI15=DI$2,DJ15=DJ$2),3,IF(AND(DI$2&gt;DJ$2,DI15&gt;DJ15),1,IF(AND(DJ$2&gt;DI$2,DJ15&gt;DI15),1,IF(AND(DI$2=DJ$2,DI15=DJ15),1,0)))))</f>
        <v/>
      </c>
      <c r="DL15" s="1" t="n">
        <f aca="false">Participantes!CA14</f>
        <v>0</v>
      </c>
      <c r="DM15" s="1" t="n">
        <f aca="false">Participantes!CB14</f>
        <v>0</v>
      </c>
      <c r="DN15" s="82" t="str">
        <f aca="false">IF(DL$2="","",IF(AND(DL15=DL$2,DM15=DM$2),3,IF(AND(DL$2&gt;DM$2,DL15&gt;DM15),1,IF(AND(DM$2&gt;DL$2,DM15&gt;DL15),1,IF(AND(DL$2=DM$2,DL15=DM15),1,0)))))</f>
        <v/>
      </c>
      <c r="DO15" s="1" t="n">
        <f aca="false">Participantes!CC14</f>
        <v>0</v>
      </c>
      <c r="DP15" s="1" t="n">
        <f aca="false">Participantes!CD14</f>
        <v>0</v>
      </c>
      <c r="DQ15" s="82" t="str">
        <f aca="false">IF(DO$2="","",IF(AND(DO15=DO$2,DP15=DP$2),3,IF(AND(DO$2&gt;DP$2,DO15&gt;DP15),1,IF(AND(DP$2&gt;DO$2,DP15&gt;DO15),1,IF(AND(DO$2=DP$2,DO15=DP15),1,0)))))</f>
        <v/>
      </c>
      <c r="DR15" s="1" t="n">
        <f aca="false">Participantes!CE14</f>
        <v>0</v>
      </c>
      <c r="DS15" s="1" t="n">
        <f aca="false">Participantes!CF14</f>
        <v>0</v>
      </c>
      <c r="DT15" s="82" t="str">
        <f aca="false">IF(DR$2="","",IF(AND(DR15=DR$2,DS15=DS$2),3,IF(AND(DR$2&gt;DS$2,DR15&gt;DS15),1,IF(AND(DS$2&gt;DR$2,DS15&gt;DR15),1,IF(AND(DR$2=DS$2,DR15=DS15),1,0)))))</f>
        <v/>
      </c>
      <c r="DU15" s="1" t="n">
        <f aca="false">Participantes!CG14</f>
        <v>0</v>
      </c>
      <c r="DV15" s="1" t="n">
        <f aca="false">Participantes!CH14</f>
        <v>0</v>
      </c>
      <c r="DW15" s="82" t="str">
        <f aca="false">IF(DU$2="","",IF(AND(DU15=DU$2,DV15=DV$2),3,IF(AND(DU$2&gt;DV$2,DU15&gt;DV15),1,IF(AND(DV$2&gt;DU$2,DV15&gt;DU15),1,IF(AND(DU$2=DV$2,DU15=DV15),1,0)))))</f>
        <v/>
      </c>
      <c r="DX15" s="1" t="n">
        <f aca="false">Participantes!CI14</f>
        <v>0</v>
      </c>
      <c r="DY15" s="1" t="n">
        <f aca="false">Participantes!CJ14</f>
        <v>0</v>
      </c>
      <c r="DZ15" s="82" t="str">
        <f aca="false">IF(DX$2="","",IF(AND(DX15=DX$2,DY15=DY$2),3,IF(AND(DX$2&gt;DY$2,DX15&gt;DY15),1,IF(AND(DY$2&gt;DX$2,DY15&gt;DX15),1,IF(AND(DX$2=DY$2,DX15=DY15),1,0)))))</f>
        <v/>
      </c>
      <c r="EA15" s="1" t="n">
        <f aca="false">Participantes!CK14</f>
        <v>0</v>
      </c>
      <c r="EB15" s="1" t="n">
        <f aca="false">Participantes!CL14</f>
        <v>0</v>
      </c>
      <c r="EC15" s="82" t="str">
        <f aca="false">IF(EA$2="","",IF(AND(EA15=EA$2,EB15=EB$2),3,IF(AND(EA$2&gt;EB$2,EA15&gt;EB15),1,IF(AND(EB$2&gt;EA$2,EB15&gt;EA15),1,IF(AND(EA$2=EB$2,EA15=EB15),1,0)))))</f>
        <v/>
      </c>
      <c r="ED15" s="1" t="n">
        <f aca="false">Participantes!CM14</f>
        <v>0</v>
      </c>
      <c r="EE15" s="1" t="n">
        <f aca="false">Participantes!CN14</f>
        <v>0</v>
      </c>
      <c r="EF15" s="82" t="str">
        <f aca="false">IF(ED$2="","",IF(AND(ED15=ED$2,EE15=EE$2),3,IF(AND(ED$2&gt;EE$2,ED15&gt;EE15),1,IF(AND(EE$2&gt;ED$2,EE15&gt;ED15),1,IF(AND(ED$2=EE$2,ED15=EE15),1,0)))))</f>
        <v/>
      </c>
      <c r="EG15" s="1" t="n">
        <f aca="false">Participantes!CO14</f>
        <v>0</v>
      </c>
      <c r="EH15" s="1" t="n">
        <f aca="false">Participantes!CP14</f>
        <v>0</v>
      </c>
      <c r="EI15" s="82" t="str">
        <f aca="false">IF(EG$2="","",IF(AND(EG15=EG$2,EH15=EH$2),3,IF(AND(EG$2&gt;EH$2,EG15&gt;EH15),1,IF(AND(EH$2&gt;EG$2,EH15&gt;EG15),1,IF(AND(EG$2=EH$2,EG15=EH15),1,0)))))</f>
        <v/>
      </c>
      <c r="EJ15" s="1" t="n">
        <f aca="false">Participantes!CQ14</f>
        <v>0</v>
      </c>
      <c r="EK15" s="1" t="n">
        <f aca="false">Participantes!CR14</f>
        <v>0</v>
      </c>
      <c r="EL15" s="82" t="str">
        <f aca="false">IF(EJ$2="","",IF(AND(EJ15=EJ$2,EK15=EK$2),3,IF(AND(EJ$2&gt;EK$2,EJ15&gt;EK15),1,IF(AND(EK$2&gt;EJ$2,EK15&gt;EJ15),1,IF(AND(EJ$2=EK$2,EJ15=EK15),1,0)))))</f>
        <v/>
      </c>
      <c r="EM15" s="1" t="n">
        <f aca="false">Participantes!CS14</f>
        <v>0</v>
      </c>
      <c r="EN15" s="1" t="n">
        <f aca="false">Participantes!CT14</f>
        <v>0</v>
      </c>
      <c r="EO15" s="82" t="str">
        <f aca="false">IF(EM$2="","",IF(AND(EM15=EM$2,EN15=EN$2),3,IF(AND(EM$2&gt;EN$2,EM15&gt;EN15),1,IF(AND(EN$2&gt;EM$2,EN15&gt;EM15),1,IF(AND(EM$2=EN$2,EM15=EN15),1,0)))))</f>
        <v/>
      </c>
      <c r="EP15" s="1" t="n">
        <f aca="false">Participantes!CU14</f>
        <v>0</v>
      </c>
      <c r="EQ15" s="1" t="n">
        <f aca="false">Participantes!CV14</f>
        <v>0</v>
      </c>
      <c r="ER15" s="82" t="str">
        <f aca="false">IF(EP$2="","",IF(AND(EP15=EP$2,EQ15=EQ$2),3,IF(AND(EP$2&gt;EQ$2,EP15&gt;EQ15),1,IF(AND(EQ$2&gt;EP$2,EQ15&gt;EP15),1,IF(AND(EP$2=EQ$2,EP15=EQ15),1,0)))))</f>
        <v/>
      </c>
      <c r="ES15" s="1" t="n">
        <f aca="false">Participantes!CW14</f>
        <v>0</v>
      </c>
      <c r="ET15" s="1" t="n">
        <f aca="false">Participantes!CX14</f>
        <v>0</v>
      </c>
      <c r="EU15" s="82" t="str">
        <f aca="false">IF(ES$2="","",IF(AND(ES15=ES$2,ET15=ET$2),3,IF(AND(ES$2&gt;ET$2,ES15&gt;ET15),1,IF(AND(ET$2&gt;ES$2,ET15&gt;ES15),1,IF(AND(ES$2=ET$2,ES15=ET15),1,0)))))</f>
        <v/>
      </c>
      <c r="EV15" s="1" t="n">
        <f aca="false">Participantes!CY14</f>
        <v>0</v>
      </c>
      <c r="EW15" s="1" t="n">
        <f aca="false">Participantes!CZ14</f>
        <v>0</v>
      </c>
      <c r="EX15" s="82" t="str">
        <f aca="false">IF(EV$2="","",IF(AND(EV15=EV$2,EW15=EW$2),3,IF(AND(EV$2&gt;EW$2,EV15&gt;EW15),1,IF(AND(EW$2&gt;EV$2,EW15&gt;EV15),1,IF(AND(EV$2=EW$2,EV15=EW15),1,0)))))</f>
        <v/>
      </c>
      <c r="EY15" s="1" t="n">
        <f aca="false">Participantes!DA14</f>
        <v>0</v>
      </c>
      <c r="EZ15" s="1" t="n">
        <f aca="false">Participantes!DB14</f>
        <v>0</v>
      </c>
      <c r="FA15" s="82" t="str">
        <f aca="false">IF(EY$2="","",IF(AND(EY15=EY$2,EZ15=EZ$2),3,IF(AND(EY$2&gt;EZ$2,EY15&gt;EZ15),1,IF(AND(EZ$2&gt;EY$2,EZ15&gt;EY15),1,IF(AND(EY$2=EZ$2,EY15=EZ15),1,0)))))</f>
        <v/>
      </c>
      <c r="FB15" s="1" t="n">
        <f aca="false">Participantes!DC14</f>
        <v>0</v>
      </c>
      <c r="FC15" s="1" t="n">
        <f aca="false">Participantes!DD14</f>
        <v>0</v>
      </c>
      <c r="FD15" s="82" t="str">
        <f aca="false">IF(FB$2="","",IF(AND(FB15=FB$2,FC15=FC$2),3,IF(AND(FB$2&gt;FC$2,FB15&gt;FC15),1,IF(AND(FC$2&gt;FB$2,FC15&gt;FB15),1,IF(AND(FB$2=FC$2,FB15=FC15),1,0)))))</f>
        <v/>
      </c>
      <c r="FE15" s="1" t="n">
        <f aca="false">Participantes!DE14</f>
        <v>0</v>
      </c>
      <c r="FF15" s="1" t="n">
        <f aca="false">Participantes!DF14</f>
        <v>0</v>
      </c>
      <c r="FG15" s="82" t="str">
        <f aca="false">IF(FE$2="","",IF(AND(FE15=FE$2,FF15=FF$2),3,IF(AND(FE$2&gt;FF$2,FE15&gt;FF15),1,IF(AND(FF$2&gt;FE$2,FF15&gt;FE15),1,IF(AND(FE$2=FF$2,FE15=FF15),1,0)))))</f>
        <v/>
      </c>
      <c r="FH15" s="1" t="n">
        <f aca="false">Participantes!DG14</f>
        <v>0</v>
      </c>
      <c r="FI15" s="1" t="n">
        <f aca="false">Participantes!DH14</f>
        <v>0</v>
      </c>
      <c r="FJ15" s="82" t="str">
        <f aca="false">IF(FH$2="","",IF(AND(FH15=FH$2,FI15=FI$2),3,IF(AND(FH$2&gt;FI$2,FH15&gt;FI15),1,IF(AND(FI$2&gt;FH$2,FI15&gt;FH15),1,IF(AND(FH$2=FI$2,FH15=FI15),1,0)))))</f>
        <v/>
      </c>
      <c r="FK15" s="1" t="n">
        <f aca="false">Participantes!DI14</f>
        <v>0</v>
      </c>
      <c r="FL15" s="1" t="n">
        <f aca="false">Participantes!DJ14</f>
        <v>0</v>
      </c>
      <c r="FM15" s="82" t="str">
        <f aca="false">IF(FK$2="","",IF(AND(FK15=FK$2,FL15=FL$2),3,IF(AND(FK$2&gt;FL$2,FK15&gt;FL15),1,IF(AND(FL$2&gt;FK$2,FL15&gt;FK15),1,IF(AND(FK$2=FL$2,FK15=FL15),1,0)))))</f>
        <v/>
      </c>
      <c r="FN15" s="1" t="n">
        <f aca="false">Participantes!DK14</f>
        <v>0</v>
      </c>
      <c r="FO15" s="1" t="n">
        <f aca="false">Participantes!DL14</f>
        <v>0</v>
      </c>
      <c r="FP15" s="82" t="str">
        <f aca="false">IF(FN$2="","",IF(AND(FN15=FN$2,FO15=FO$2),3,IF(AND(FN$2&gt;FO$2,FN15&gt;FO15),1,IF(AND(FO$2&gt;FN$2,FO15&gt;FN15),1,IF(AND(FN$2=FO$2,FN15=FO15),1,0)))))</f>
        <v/>
      </c>
      <c r="FQ15" s="1" t="n">
        <f aca="false">Participantes!DM14</f>
        <v>0</v>
      </c>
      <c r="FR15" s="1" t="n">
        <f aca="false">Participantes!DN14</f>
        <v>0</v>
      </c>
      <c r="FS15" s="82" t="str">
        <f aca="false">IF(FQ$2="","",IF(AND(FQ15=FQ$2,FR15=FR$2),3,IF(AND(FQ$2&gt;FR$2,FQ15&gt;FR15),1,IF(AND(FR$2&gt;FQ$2,FR15&gt;FQ15),1,IF(AND(FQ$2=FR$2,FQ15=FR15),1,0)))))</f>
        <v/>
      </c>
      <c r="FT15" s="1" t="n">
        <f aca="false">Participantes!DO14</f>
        <v>0</v>
      </c>
      <c r="FU15" s="1" t="n">
        <f aca="false">Participantes!DP14</f>
        <v>0</v>
      </c>
      <c r="FV15" s="82" t="str">
        <f aca="false">IF(FT$2="","",IF(AND(FT15=FT$2,FU15=FU$2),3,IF(AND(FT$2&gt;FU$2,FT15&gt;FU15),1,IF(AND(FU$2&gt;FT$2,FU15&gt;FT15),1,IF(AND(FT$2=FU$2,FT15=FU15),1,0)))))</f>
        <v/>
      </c>
      <c r="FW15" s="1" t="n">
        <f aca="false">Participantes!DQ14</f>
        <v>0</v>
      </c>
      <c r="FX15" s="1" t="n">
        <f aca="false">Participantes!DR14</f>
        <v>0</v>
      </c>
      <c r="FY15" s="82" t="str">
        <f aca="false">IF(FW$2="","",IF(AND(FW15=FW$2,FX15=FX$2),3,IF(AND(FW$2&gt;FX$2,FW15&gt;FX15),1,IF(AND(FX$2&gt;FW$2,FX15&gt;FW15),1,IF(AND(FW$2=FX$2,FW15=FX15),1,0)))))</f>
        <v/>
      </c>
      <c r="FZ15" s="1" t="n">
        <f aca="false">Participantes!DS14</f>
        <v>0</v>
      </c>
      <c r="GA15" s="1" t="n">
        <f aca="false">Participantes!DT14</f>
        <v>0</v>
      </c>
      <c r="GB15" s="82" t="str">
        <f aca="false">IF(FZ$2="","",IF(AND(FZ15=FZ$2,GA15=GA$2),3,IF(AND(FZ$2&gt;GA$2,FZ15&gt;GA15),1,IF(AND(GA$2&gt;FZ$2,GA15&gt;FZ15),1,IF(AND(FZ$2=GA$2,FZ15=GA15),1,0)))))</f>
        <v/>
      </c>
      <c r="GC15" s="1" t="n">
        <f aca="false">Participantes!DU14</f>
        <v>0</v>
      </c>
      <c r="GD15" s="1" t="n">
        <f aca="false">Participantes!DV14</f>
        <v>0</v>
      </c>
      <c r="GE15" s="82" t="str">
        <f aca="false">IF(GC$2="","",IF(AND(GC15=GC$2,GD15=GD$2),3,IF(AND(GC$2&gt;GD$2,GC15&gt;GD15),1,IF(AND(GD$2&gt;GC$2,GD15&gt;GC15),1,IF(AND(GC$2=GD$2,GC15=GD15),1,0)))))</f>
        <v/>
      </c>
      <c r="GF15" s="1" t="n">
        <f aca="false">Participantes!DW14</f>
        <v>0</v>
      </c>
      <c r="GG15" s="1" t="n">
        <f aca="false">Participantes!DX14</f>
        <v>0</v>
      </c>
      <c r="GH15" s="82" t="str">
        <f aca="false">IF(GF$2="","",IF(AND(GF15=GF$2,GG15=GG$2),3,IF(AND(GF$2&gt;GG$2,GF15&gt;GG15),1,IF(AND(GG$2&gt;GF$2,GG15&gt;GF15),1,IF(AND(GF$2=GG$2,GF15=GG15),1,0)))))</f>
        <v/>
      </c>
      <c r="GI15" s="1" t="n">
        <f aca="false">Participantes!DY14</f>
        <v>0</v>
      </c>
      <c r="GJ15" s="1" t="n">
        <f aca="false">Participantes!DZ14</f>
        <v>0</v>
      </c>
      <c r="GK15" s="82" t="str">
        <f aca="false">IF(GI$2="","",IF(AND(GI15=GI$2,GJ15=GJ$2),3,IF(AND(GI$2&gt;GJ$2,GI15&gt;GJ15),1,IF(AND(GJ$2&gt;GI$2,GJ15&gt;GI15),1,IF(AND(GI$2=GJ$2,GI15=GJ15),1,0)))))</f>
        <v/>
      </c>
      <c r="GL15" s="1" t="n">
        <f aca="false">Participantes!EA14</f>
        <v>0</v>
      </c>
      <c r="GM15" s="1" t="n">
        <f aca="false">Participantes!EB14</f>
        <v>0</v>
      </c>
      <c r="GN15" s="82" t="str">
        <f aca="false">IF(GL$2="","",IF(AND(GL15=GL$2,GM15=GM$2),3,IF(AND(GL$2&gt;GM$2,GL15&gt;GM15),1,IF(AND(GM$2&gt;GL$2,GM15&gt;GL15),1,IF(AND(GL$2=GM$2,GL15=GM15),1,0)))))</f>
        <v/>
      </c>
      <c r="GO15" s="1" t="n">
        <f aca="false">Participantes!EC14</f>
        <v>0</v>
      </c>
      <c r="GP15" s="1" t="n">
        <f aca="false">Participantes!ED14</f>
        <v>0</v>
      </c>
      <c r="GQ15" s="82" t="str">
        <f aca="false">IF(GO$2="","",IF(AND(GO15=GO$2,GP15=GP$2),3,IF(AND(GO$2&gt;GP$2,GO15&gt;GP15),1,IF(AND(GP$2&gt;GO$2,GP15&gt;GO15),1,IF(AND(GO$2=GP$2,GO15=GP15),1,0)))))</f>
        <v/>
      </c>
      <c r="GR15" s="1" t="n">
        <f aca="false">Participantes!EE14</f>
        <v>0</v>
      </c>
      <c r="GS15" s="1" t="n">
        <f aca="false">Participantes!EF14</f>
        <v>0</v>
      </c>
      <c r="GT15" s="82" t="str">
        <f aca="false">IF(GR$2="","",IF(AND(GR15=GR$2,GS15=GS$2),3,IF(AND(GR$2&gt;GS$2,GR15&gt;GS15),1,IF(AND(GS$2&gt;GR$2,GS15&gt;GR15),1,IF(AND(GR$2=GS$2,GR15=GS15),1,0)))))</f>
        <v/>
      </c>
      <c r="GU15" s="1" t="n">
        <f aca="false">Participantes!EG14</f>
        <v>0</v>
      </c>
      <c r="GV15" s="1" t="n">
        <f aca="false">Participantes!EH14</f>
        <v>0</v>
      </c>
      <c r="GW15" s="82" t="str">
        <f aca="false">IF(GU$2="","",IF(AND(GU15=GU$2,GV15=GV$2),3,IF(AND(GU$2&gt;GV$2,GU15&gt;GV15),1,IF(AND(GV$2&gt;GU$2,GV15&gt;GU15),1,IF(AND(GU$2=GV$2,GU15=GV15),1,0)))))</f>
        <v/>
      </c>
      <c r="GX15" s="1" t="n">
        <f aca="false">Participantes!EI14</f>
        <v>0</v>
      </c>
      <c r="GY15" s="1" t="n">
        <f aca="false">Participantes!EJ14</f>
        <v>0</v>
      </c>
      <c r="GZ15" s="82" t="str">
        <f aca="false">IF(GX$2="","",IF(AND(GX15=GX$2,GY15=GY$2),3,IF(AND(GX$2&gt;GY$2,GX15&gt;GY15),1,IF(AND(GY$2&gt;GX$2,GY15&gt;GX15),1,IF(AND(GX$2=GY$2,GX15=GY15),1,0)))))</f>
        <v/>
      </c>
      <c r="HA15" s="1" t="n">
        <f aca="false">Participantes!EK14</f>
        <v>0</v>
      </c>
      <c r="HB15" s="1" t="n">
        <f aca="false">Participantes!EL14</f>
        <v>0</v>
      </c>
      <c r="HC15" s="82" t="str">
        <f aca="false">IF(HA$2="","",IF(AND(HA15=HA$2,HB15=HB$2),3,IF(AND(HA$2&gt;HB$2,HA15&gt;HB15),1,IF(AND(HB$2&gt;HA$2,HB15&gt;HA15),1,IF(AND(HA$2=HB$2,HA15=HB15),1,0)))))</f>
        <v/>
      </c>
      <c r="HD15" s="1" t="n">
        <f aca="false">Participantes!EM14</f>
        <v>0</v>
      </c>
      <c r="HE15" s="1" t="n">
        <f aca="false">Participantes!EN14</f>
        <v>0</v>
      </c>
      <c r="HF15" s="82" t="str">
        <f aca="false">IF(HD$2="","",IF(AND(HD15=HD$2,HE15=HE$2),3,IF(AND(HD$2&gt;HE$2,HD15&gt;HE15),1,IF(AND(HE$2&gt;HD$2,HE15&gt;HD15),1,IF(AND(HD$2=HE$2,HD15=HE15),1,0)))))</f>
        <v/>
      </c>
      <c r="HG15" s="1" t="n">
        <f aca="false">Participantes!EO14</f>
        <v>0</v>
      </c>
      <c r="HH15" s="1" t="n">
        <f aca="false">Participantes!EP14</f>
        <v>0</v>
      </c>
      <c r="HI15" s="82" t="str">
        <f aca="false">IF(HG$2="","",IF(AND(HG15=HG$2,HH15=HH$2),3,IF(AND(HG$2&gt;HH$2,HG15&gt;HH15),1,IF(AND(HH$2&gt;HG$2,HH15&gt;HG15),1,IF(AND(HG$2=HH$2,HG15=HH15),1,0)))))</f>
        <v/>
      </c>
      <c r="HJ15" s="83" t="n">
        <f aca="false">SUM(D15,G15,J15,M15,P15,S15,V15,Y15,AB15,AE15,AH15,AK15,AN15,AQ15,AT15,AW15,AZ15,BC15,BF15,BI15,BL15,BO15,BR15,BU15,BX15,CA15,CD15,CG15,CJ15,CM15,CP15,CS15,CV15,CY15,DB15,DE15,DH15,DK15,DN15,DQ15,DT15,DW15,DZ15,EC15,EF15,EI15,EL15,EO15,ER15,EU15,EX15,FA15,FD15,FG15,FJ15,FM15,FP15,FS15,FV15,FY15,GB15,GE15,GH15,GK15,GN15,GQ15,GT15,GW15,GZ15,HC15,HF15,HI15)</f>
        <v>1</v>
      </c>
    </row>
    <row r="16" customFormat="false" ht="15" hidden="false" customHeight="true" outlineLevel="0" collapsed="false">
      <c r="A16" s="81" t="str">
        <f aca="false">Participantes!B15</f>
        <v>Isabel 1</v>
      </c>
      <c r="B16" s="1" t="n">
        <f aca="false">Participantes!C15</f>
        <v>3</v>
      </c>
      <c r="C16" s="1" t="n">
        <f aca="false">Participantes!D15</f>
        <v>1</v>
      </c>
      <c r="D16" s="82" t="n">
        <f aca="false">IF(B$2="","",IF(AND(B16=B$2,C16=C$2),3,IF(AND(B$2&gt;C$2,B16&gt;C16),1,IF(AND(C$2&gt;B$2,C16&gt;B16),1,IF(AND(B$2=C$2,B16=C16),1,0)))))</f>
        <v>1</v>
      </c>
      <c r="E16" s="1" t="n">
        <f aca="false">Participantes!E15</f>
        <v>1</v>
      </c>
      <c r="F16" s="1" t="n">
        <f aca="false">Participantes!F15</f>
        <v>1</v>
      </c>
      <c r="G16" s="82" t="str">
        <f aca="false">IF(E$2="","",IF(AND(E16=E$2,F16=F$2),3,IF(AND(E$2&gt;F$2,E16&gt;F16),1,IF(AND(F$2&gt;E$2,F16&gt;E16),1,IF(AND(E$2=F$2,E16=F16),1,0)))))</f>
        <v/>
      </c>
      <c r="H16" s="1" t="n">
        <f aca="false">Participantes!G15</f>
        <v>2</v>
      </c>
      <c r="I16" s="1" t="n">
        <f aca="false">Participantes!H15</f>
        <v>1</v>
      </c>
      <c r="J16" s="82" t="str">
        <f aca="false">IF(H$2="","",IF(AND(H16=H$2,I16=I$2),3,IF(AND(H$2&gt;I$2,H16&gt;I16),1,IF(AND(I$2&gt;H$2,I16&gt;H16),1,IF(AND(H$2=I$2,H16=I16),1,0)))))</f>
        <v/>
      </c>
      <c r="K16" s="1" t="n">
        <f aca="false">Participantes!I15</f>
        <v>2</v>
      </c>
      <c r="L16" s="1" t="n">
        <f aca="false">Participantes!J15</f>
        <v>2</v>
      </c>
      <c r="M16" s="82" t="str">
        <f aca="false">IF(K$2="","",IF(AND(K16=K$2,L16=L$2),3,IF(AND(K$2&gt;L$2,K16&gt;L16),1,IF(AND(L$2&gt;K$2,L16&gt;K16),1,IF(AND(K$2=L$2,K16=L16),1,0)))))</f>
        <v/>
      </c>
      <c r="N16" s="1" t="n">
        <f aca="false">Participantes!K15</f>
        <v>1</v>
      </c>
      <c r="O16" s="1" t="n">
        <f aca="false">Participantes!L15</f>
        <v>3</v>
      </c>
      <c r="P16" s="82" t="str">
        <f aca="false">IF(N$2="","",IF(AND(N16=N$2,O16=O$2),3,IF(AND(N$2&gt;O$2,N16&gt;O16),1,IF(AND(O$2&gt;N$2,O16&gt;N16),1,IF(AND(N$2=O$2,N16=O16),1,0)))))</f>
        <v/>
      </c>
      <c r="Q16" s="1" t="n">
        <f aca="false">Participantes!M15</f>
        <v>1</v>
      </c>
      <c r="R16" s="1" t="n">
        <f aca="false">Participantes!N15</f>
        <v>2</v>
      </c>
      <c r="S16" s="82" t="str">
        <f aca="false">IF(Q$2="","",IF(AND(Q16=Q$2,R16=R$2),3,IF(AND(Q$2&gt;R$2,Q16&gt;R16),1,IF(AND(R$2&gt;Q$2,R16&gt;Q16),1,IF(AND(Q$2=R$2,Q16=R16),1,0)))))</f>
        <v/>
      </c>
      <c r="T16" s="1" t="n">
        <f aca="false">Participantes!O15</f>
        <v>3</v>
      </c>
      <c r="U16" s="1" t="n">
        <f aca="false">Participantes!P15</f>
        <v>2</v>
      </c>
      <c r="V16" s="82" t="str">
        <f aca="false">IF(T$2="","",IF(AND(T16=T$2,U16=U$2),3,IF(AND(T$2&gt;U$2,T16&gt;U16),1,IF(AND(U$2&gt;T$2,U16&gt;T16),1,IF(AND(T$2=U$2,T16=U16),1,0)))))</f>
        <v/>
      </c>
      <c r="W16" s="1" t="n">
        <f aca="false">Participantes!Q15</f>
        <v>0</v>
      </c>
      <c r="X16" s="1" t="n">
        <f aca="false">Participantes!R15</f>
        <v>2</v>
      </c>
      <c r="Y16" s="82" t="str">
        <f aca="false">IF(W$2="","",IF(AND(W16=W$2,X16=X$2),3,IF(AND(W$2&gt;X$2,W16&gt;X16),1,IF(AND(X$2&gt;W$2,X16&gt;W16),1,IF(AND(W$2=X$2,W16=X16),1,0)))))</f>
        <v/>
      </c>
      <c r="Z16" s="1" t="n">
        <f aca="false">Participantes!S15</f>
        <v>1</v>
      </c>
      <c r="AA16" s="1" t="n">
        <f aca="false">Participantes!T15</f>
        <v>2</v>
      </c>
      <c r="AB16" s="82" t="str">
        <f aca="false">IF(Z$2="","",IF(AND(Z16=Z$2,AA16=AA$2),3,IF(AND(Z$2&gt;AA$2,Z16&gt;AA16),1,IF(AND(AA$2&gt;Z$2,AA16&gt;Z16),1,IF(AND(Z$2=AA$2,Z16=AA16),1,0)))))</f>
        <v/>
      </c>
      <c r="AC16" s="1" t="n">
        <f aca="false">Participantes!U15</f>
        <v>5</v>
      </c>
      <c r="AD16" s="1" t="n">
        <f aca="false">Participantes!V15</f>
        <v>1</v>
      </c>
      <c r="AE16" s="82" t="str">
        <f aca="false">IF(AC$2="","",IF(AND(AC16=AC$2,AD16=AD$2),3,IF(AND(AC$2&gt;AD$2,AC16&gt;AD16),1,IF(AND(AD$2&gt;AC$2,AD16&gt;AC16),1,IF(AND(AC$2=AD$2,AC16=AD16),1,0)))))</f>
        <v/>
      </c>
      <c r="AF16" s="1" t="n">
        <f aca="false">Participantes!W15</f>
        <v>2</v>
      </c>
      <c r="AG16" s="1" t="n">
        <f aca="false">Participantes!X15</f>
        <v>2</v>
      </c>
      <c r="AH16" s="82" t="str">
        <f aca="false">IF(AF$2="","",IF(AND(AF16=AF$2,AG16=AG$2),3,IF(AND(AF$2&gt;AG$2,AF16&gt;AG16),1,IF(AND(AG$2&gt;AF$2,AG16&gt;AF16),1,IF(AND(AF$2=AG$2,AF16=AG16),1,0)))))</f>
        <v/>
      </c>
      <c r="AI16" s="1" t="n">
        <f aca="false">Participantes!Y15</f>
        <v>1</v>
      </c>
      <c r="AJ16" s="1" t="n">
        <f aca="false">Participantes!Z15</f>
        <v>1</v>
      </c>
      <c r="AK16" s="82" t="str">
        <f aca="false">IF(AI$2="","",IF(AND(AI16=AI$2,AJ16=AJ$2),3,IF(AND(AI$2&gt;AJ$2,AI16&gt;AJ16),1,IF(AND(AJ$2&gt;AI$2,AJ16&gt;AI16),1,IF(AND(AI$2=AJ$2,AI16=AJ16),1,0)))))</f>
        <v/>
      </c>
      <c r="AL16" s="1" t="n">
        <f aca="false">Participantes!AA15</f>
        <v>1</v>
      </c>
      <c r="AM16" s="1" t="n">
        <f aca="false">Participantes!AB15</f>
        <v>2</v>
      </c>
      <c r="AN16" s="82" t="str">
        <f aca="false">IF(AL$2="","",IF(AND(AL16=AL$2,AM16=AM$2),3,IF(AND(AL$2&gt;AM$2,AL16&gt;AM16),1,IF(AND(AM$2&gt;AL$2,AM16&gt;AL16),1,IF(AND(AL$2=AM$2,AL16=AM16),1,0)))))</f>
        <v/>
      </c>
      <c r="AO16" s="1" t="n">
        <f aca="false">Participantes!AC15</f>
        <v>4</v>
      </c>
      <c r="AP16" s="1" t="n">
        <f aca="false">Participantes!AD15</f>
        <v>0</v>
      </c>
      <c r="AQ16" s="82" t="str">
        <f aca="false">IF(AO$2="","",IF(AND(AO16=AO$2,AP16=AP$2),3,IF(AND(AO$2&gt;AP$2,AO16&gt;AP16),1,IF(AND(AP$2&gt;AO$2,AP16&gt;AO16),1,IF(AND(AO$2=AP$2,AO16=AP16),1,0)))))</f>
        <v/>
      </c>
      <c r="AR16" s="1" t="n">
        <f aca="false">Participantes!AE15</f>
        <v>2</v>
      </c>
      <c r="AS16" s="1" t="n">
        <f aca="false">Participantes!AF15</f>
        <v>0</v>
      </c>
      <c r="AT16" s="82" t="str">
        <f aca="false">IF(AR$2="","",IF(AND(AR16=AR$2,AS16=AS$2),3,IF(AND(AR$2&gt;AS$2,AR16&gt;AS16),1,IF(AND(AS$2&gt;AR$2,AS16&gt;AR16),1,IF(AND(AR$2=AS$2,AR16=AS16),1,0)))))</f>
        <v/>
      </c>
      <c r="AU16" s="1" t="n">
        <f aca="false">Participantes!AG15</f>
        <v>2</v>
      </c>
      <c r="AV16" s="1" t="n">
        <f aca="false">Participantes!AH15</f>
        <v>2</v>
      </c>
      <c r="AW16" s="82" t="str">
        <f aca="false">IF(AU$2="","",IF(AND(AU16=AU$2,AV16=AV$2),3,IF(AND(AU$2&gt;AV$2,AU16&gt;AV16),1,IF(AND(AV$2&gt;AU$2,AV16&gt;AU16),1,IF(AND(AU$2=AV$2,AU16=AV16),1,0)))))</f>
        <v/>
      </c>
      <c r="AX16" s="1" t="n">
        <f aca="false">Participantes!AI15</f>
        <v>3</v>
      </c>
      <c r="AY16" s="1" t="n">
        <f aca="false">Participantes!AJ15</f>
        <v>1</v>
      </c>
      <c r="AZ16" s="82" t="str">
        <f aca="false">IF(AX$2="","",IF(AND(AX16=AX$2,AY16=AY$2),3,IF(AND(AX$2&gt;AY$2,AX16&gt;AY16),1,IF(AND(AY$2&gt;AX$2,AY16&gt;AX16),1,IF(AND(AX$2=AY$2,AX16=AY16),1,0)))))</f>
        <v/>
      </c>
      <c r="BA16" s="1" t="n">
        <f aca="false">Participantes!AK15</f>
        <v>0</v>
      </c>
      <c r="BB16" s="1" t="n">
        <f aca="false">Participantes!AL15</f>
        <v>2</v>
      </c>
      <c r="BC16" s="82" t="str">
        <f aca="false">IF(BA$2="","",IF(AND(BA16=BA$2,BB16=BB$2),3,IF(AND(BA$2&gt;BB$2,BA16&gt;BB16),1,IF(AND(BB$2&gt;BA$2,BB16&gt;BA16),1,IF(AND(BA$2=BB$2,BA16=BB16),1,0)))))</f>
        <v/>
      </c>
      <c r="BD16" s="1" t="n">
        <f aca="false">Participantes!AM15</f>
        <v>3</v>
      </c>
      <c r="BE16" s="1" t="n">
        <f aca="false">Participantes!AN15</f>
        <v>1</v>
      </c>
      <c r="BF16" s="82" t="str">
        <f aca="false">IF(BD$2="","",IF(AND(BD16=BD$2,BE16=BE$2),3,IF(AND(BD$2&gt;BE$2,BD16&gt;BE16),1,IF(AND(BE$2&gt;BD$2,BE16&gt;BD16),1,IF(AND(BD$2=BE$2,BD16=BE16),1,0)))))</f>
        <v/>
      </c>
      <c r="BG16" s="1" t="n">
        <f aca="false">Participantes!AO15</f>
        <v>2</v>
      </c>
      <c r="BH16" s="1" t="n">
        <f aca="false">Participantes!AP15</f>
        <v>0</v>
      </c>
      <c r="BI16" s="82" t="str">
        <f aca="false">IF(BG$2="","",IF(AND(BG16=BG$2,BH16=BH$2),3,IF(AND(BG$2&gt;BH$2,BG16&gt;BH16),1,IF(AND(BH$2&gt;BG$2,BH16&gt;BG16),1,IF(AND(BG$2=BH$2,BG16=BH16),1,0)))))</f>
        <v/>
      </c>
      <c r="BJ16" s="1" t="n">
        <f aca="false">Participantes!AQ15</f>
        <v>1</v>
      </c>
      <c r="BK16" s="1" t="n">
        <f aca="false">Participantes!AR15</f>
        <v>1</v>
      </c>
      <c r="BL16" s="82" t="str">
        <f aca="false">IF(BJ$2="","",IF(AND(BJ16=BJ$2,BK16=BK$2),3,IF(AND(BJ$2&gt;BK$2,BJ16&gt;BK16),1,IF(AND(BK$2&gt;BJ$2,BK16&gt;BJ16),1,IF(AND(BJ$2=BK$2,BJ16=BK16),1,0)))))</f>
        <v/>
      </c>
      <c r="BM16" s="1" t="n">
        <f aca="false">Participantes!AS15</f>
        <v>1</v>
      </c>
      <c r="BN16" s="1" t="n">
        <f aca="false">Participantes!AT15</f>
        <v>2</v>
      </c>
      <c r="BO16" s="82" t="str">
        <f aca="false">IF(BM$2="","",IF(AND(BM16=BM$2,BN16=BN$2),3,IF(AND(BM$2&gt;BN$2,BM16&gt;BN16),1,IF(AND(BN$2&gt;BM$2,BN16&gt;BM16),1,IF(AND(BM$2=BN$2,BM16=BN16),1,0)))))</f>
        <v/>
      </c>
      <c r="BP16" s="1" t="n">
        <f aca="false">Participantes!AU15</f>
        <v>3</v>
      </c>
      <c r="BQ16" s="1" t="n">
        <f aca="false">Participantes!AV15</f>
        <v>1</v>
      </c>
      <c r="BR16" s="82" t="str">
        <f aca="false">IF(BP$2="","",IF(AND(BP16=BP$2,BQ16=BQ$2),3,IF(AND(BP$2&gt;BQ$2,BP16&gt;BQ16),1,IF(AND(BQ$2&gt;BP$2,BQ16&gt;BP16),1,IF(AND(BP$2=BQ$2,BP16=BQ16),1,0)))))</f>
        <v/>
      </c>
      <c r="BS16" s="1" t="n">
        <f aca="false">Participantes!AW15</f>
        <v>1</v>
      </c>
      <c r="BT16" s="1" t="n">
        <f aca="false">Participantes!AX15</f>
        <v>2</v>
      </c>
      <c r="BU16" s="82" t="str">
        <f aca="false">IF(BS$2="","",IF(AND(BS16=BS$2,BT16=BT$2),3,IF(AND(BS$2&gt;BT$2,BS16&gt;BT16),1,IF(AND(BT$2&gt;BS$2,BT16&gt;BS16),1,IF(AND(BS$2=BT$2,BS16=BT16),1,0)))))</f>
        <v/>
      </c>
      <c r="BV16" s="1" t="n">
        <f aca="false">Participantes!AY15</f>
        <v>1</v>
      </c>
      <c r="BW16" s="1" t="n">
        <f aca="false">Participantes!AZ15</f>
        <v>1</v>
      </c>
      <c r="BX16" s="82" t="str">
        <f aca="false">IF(BV$2="","",IF(AND(BV16=BV$2,BW16=BW$2),3,IF(AND(BV$2&gt;BW$2,BV16&gt;BW16),1,IF(AND(BW$2&gt;BV$2,BW16&gt;BV16),1,IF(AND(BV$2=BW$2,BV16=BW16),1,0)))))</f>
        <v/>
      </c>
      <c r="BY16" s="1" t="n">
        <f aca="false">Participantes!BA15</f>
        <v>2</v>
      </c>
      <c r="BZ16" s="1" t="n">
        <f aca="false">Participantes!BB15</f>
        <v>1</v>
      </c>
      <c r="CA16" s="82" t="str">
        <f aca="false">IF(BY$2="","",IF(AND(BY16=BY$2,BZ16=BZ$2),3,IF(AND(BY$2&gt;BZ$2,BY16&gt;BZ16),1,IF(AND(BZ$2&gt;BY$2,BZ16&gt;BY16),1,IF(AND(BY$2=BZ$2,BY16=BZ16),1,0)))))</f>
        <v/>
      </c>
      <c r="CB16" s="1" t="n">
        <f aca="false">Participantes!BC15</f>
        <v>2</v>
      </c>
      <c r="CC16" s="1" t="n">
        <f aca="false">Participantes!BD15</f>
        <v>1</v>
      </c>
      <c r="CD16" s="82" t="str">
        <f aca="false">IF(CB$2="","",IF(AND(CB16=CB$2,CC16=CC$2),3,IF(AND(CB$2&gt;CC$2,CB16&gt;CC16),1,IF(AND(CC$2&gt;CB$2,CC16&gt;CB16),1,IF(AND(CB$2=CC$2,CB16=CC16),1,0)))))</f>
        <v/>
      </c>
      <c r="CE16" s="1" t="n">
        <f aca="false">Participantes!BE15</f>
        <v>2</v>
      </c>
      <c r="CF16" s="1" t="n">
        <f aca="false">Participantes!BF15</f>
        <v>2</v>
      </c>
      <c r="CG16" s="82" t="str">
        <f aca="false">IF(CE$2="","",IF(AND(CE16=CE$2,CF16=CF$2),3,IF(AND(CE$2&gt;CF$2,CE16&gt;CF16),1,IF(AND(CF$2&gt;CE$2,CF16&gt;CE16),1,IF(AND(CE$2=CF$2,CE16=CF16),1,0)))))</f>
        <v/>
      </c>
      <c r="CH16" s="1" t="n">
        <f aca="false">Participantes!BG15</f>
        <v>0</v>
      </c>
      <c r="CI16" s="1" t="n">
        <f aca="false">Participantes!BH15</f>
        <v>0</v>
      </c>
      <c r="CJ16" s="82" t="str">
        <f aca="false">IF(CH$2="","",IF(AND(CH16=CH$2,CI16=CI$2),3,IF(AND(CH$2&gt;CI$2,CH16&gt;CI16),1,IF(AND(CI$2&gt;CH$2,CI16&gt;CH16),1,IF(AND(CH$2=CI$2,CH16=CI16),1,0)))))</f>
        <v/>
      </c>
      <c r="CK16" s="1" t="n">
        <f aca="false">Participantes!BI15</f>
        <v>0</v>
      </c>
      <c r="CL16" s="1" t="n">
        <f aca="false">Participantes!BJ15</f>
        <v>0</v>
      </c>
      <c r="CM16" s="82" t="str">
        <f aca="false">IF(CK$2="","",IF(AND(CK16=CK$2,CL16=CL$2),3,IF(AND(CK$2&gt;CL$2,CK16&gt;CL16),1,IF(AND(CL$2&gt;CK$2,CL16&gt;CK16),1,IF(AND(CK$2=CL$2,CK16=CL16),1,0)))))</f>
        <v/>
      </c>
      <c r="CN16" s="1" t="n">
        <f aca="false">Participantes!BK15</f>
        <v>0</v>
      </c>
      <c r="CO16" s="1" t="n">
        <f aca="false">Participantes!BL15</f>
        <v>0</v>
      </c>
      <c r="CP16" s="82" t="str">
        <f aca="false">IF(CN$2="","",IF(AND(CN16=CN$2,CO16=CO$2),3,IF(AND(CN$2&gt;CO$2,CN16&gt;CO16),1,IF(AND(CO$2&gt;CN$2,CO16&gt;CN16),1,IF(AND(CN$2=CO$2,CN16=CO16),1,0)))))</f>
        <v/>
      </c>
      <c r="CQ16" s="1" t="n">
        <f aca="false">Participantes!BM15</f>
        <v>0</v>
      </c>
      <c r="CR16" s="1" t="n">
        <f aca="false">Participantes!BN15</f>
        <v>0</v>
      </c>
      <c r="CS16" s="82" t="str">
        <f aca="false">IF(CQ$2="","",IF(AND(CQ16=CQ$2,CR16=CR$2),3,IF(AND(CQ$2&gt;CR$2,CQ16&gt;CR16),1,IF(AND(CR$2&gt;CQ$2,CR16&gt;CQ16),1,IF(AND(CQ$2=CR$2,CQ16=CR16),1,0)))))</f>
        <v/>
      </c>
      <c r="CT16" s="1" t="n">
        <f aca="false">Participantes!BO15</f>
        <v>0</v>
      </c>
      <c r="CU16" s="1" t="n">
        <f aca="false">Participantes!BP15</f>
        <v>0</v>
      </c>
      <c r="CV16" s="82" t="str">
        <f aca="false">IF(CT$2="","",IF(AND(CT16=CT$2,CU16=CU$2),3,IF(AND(CT$2&gt;CU$2,CT16&gt;CU16),1,IF(AND(CU$2&gt;CT$2,CU16&gt;CT16),1,IF(AND(CT$2=CU$2,CT16=CU16),1,0)))))</f>
        <v/>
      </c>
      <c r="CW16" s="1" t="n">
        <f aca="false">Participantes!BQ15</f>
        <v>0</v>
      </c>
      <c r="CX16" s="1" t="n">
        <f aca="false">Participantes!BR15</f>
        <v>0</v>
      </c>
      <c r="CY16" s="82" t="str">
        <f aca="false">IF(CW$2="","",IF(AND(CW16=CW$2,CX16=CX$2),3,IF(AND(CW$2&gt;CX$2,CW16&gt;CX16),1,IF(AND(CX$2&gt;CW$2,CX16&gt;CW16),1,IF(AND(CW$2=CX$2,CW16=CX16),1,0)))))</f>
        <v/>
      </c>
      <c r="CZ16" s="1" t="n">
        <f aca="false">Participantes!BS15</f>
        <v>0</v>
      </c>
      <c r="DA16" s="1" t="n">
        <f aca="false">Participantes!BT15</f>
        <v>0</v>
      </c>
      <c r="DB16" s="82" t="str">
        <f aca="false">IF(CZ$2="","",IF(AND(CZ16=CZ$2,DA16=DA$2),3,IF(AND(CZ$2&gt;DA$2,CZ16&gt;DA16),1,IF(AND(DA$2&gt;CZ$2,DA16&gt;CZ16),1,IF(AND(CZ$2=DA$2,CZ16=DA16),1,0)))))</f>
        <v/>
      </c>
      <c r="DC16" s="1" t="n">
        <f aca="false">Participantes!BU15</f>
        <v>0</v>
      </c>
      <c r="DD16" s="1" t="n">
        <f aca="false">Participantes!BV15</f>
        <v>0</v>
      </c>
      <c r="DE16" s="82" t="str">
        <f aca="false">IF(DC$2="","",IF(AND(DC16=DC$2,DD16=DD$2),3,IF(AND(DC$2&gt;DD$2,DC16&gt;DD16),1,IF(AND(DD$2&gt;DC$2,DD16&gt;DC16),1,IF(AND(DC$2=DD$2,DC16=DD16),1,0)))))</f>
        <v/>
      </c>
      <c r="DF16" s="1" t="n">
        <f aca="false">Participantes!BW15</f>
        <v>0</v>
      </c>
      <c r="DG16" s="1" t="n">
        <f aca="false">Participantes!BX15</f>
        <v>0</v>
      </c>
      <c r="DH16" s="82" t="str">
        <f aca="false">IF(DF$2="","",IF(AND(DF16=DF$2,DG16=DG$2),3,IF(AND(DF$2&gt;DG$2,DF16&gt;DG16),1,IF(AND(DG$2&gt;DF$2,DG16&gt;DF16),1,IF(AND(DF$2=DG$2,DF16=DG16),1,0)))))</f>
        <v/>
      </c>
      <c r="DI16" s="1" t="n">
        <f aca="false">Participantes!BY15</f>
        <v>0</v>
      </c>
      <c r="DJ16" s="1" t="n">
        <f aca="false">Participantes!BZ15</f>
        <v>0</v>
      </c>
      <c r="DK16" s="82" t="str">
        <f aca="false">IF(DI$2="","",IF(AND(DI16=DI$2,DJ16=DJ$2),3,IF(AND(DI$2&gt;DJ$2,DI16&gt;DJ16),1,IF(AND(DJ$2&gt;DI$2,DJ16&gt;DI16),1,IF(AND(DI$2=DJ$2,DI16=DJ16),1,0)))))</f>
        <v/>
      </c>
      <c r="DL16" s="1" t="n">
        <f aca="false">Participantes!CA15</f>
        <v>0</v>
      </c>
      <c r="DM16" s="1" t="n">
        <f aca="false">Participantes!CB15</f>
        <v>0</v>
      </c>
      <c r="DN16" s="82" t="str">
        <f aca="false">IF(DL$2="","",IF(AND(DL16=DL$2,DM16=DM$2),3,IF(AND(DL$2&gt;DM$2,DL16&gt;DM16),1,IF(AND(DM$2&gt;DL$2,DM16&gt;DL16),1,IF(AND(DL$2=DM$2,DL16=DM16),1,0)))))</f>
        <v/>
      </c>
      <c r="DO16" s="1" t="n">
        <f aca="false">Participantes!CC15</f>
        <v>0</v>
      </c>
      <c r="DP16" s="1" t="n">
        <f aca="false">Participantes!CD15</f>
        <v>0</v>
      </c>
      <c r="DQ16" s="82" t="str">
        <f aca="false">IF(DO$2="","",IF(AND(DO16=DO$2,DP16=DP$2),3,IF(AND(DO$2&gt;DP$2,DO16&gt;DP16),1,IF(AND(DP$2&gt;DO$2,DP16&gt;DO16),1,IF(AND(DO$2=DP$2,DO16=DP16),1,0)))))</f>
        <v/>
      </c>
      <c r="DR16" s="1" t="n">
        <f aca="false">Participantes!CE15</f>
        <v>0</v>
      </c>
      <c r="DS16" s="1" t="n">
        <f aca="false">Participantes!CF15</f>
        <v>0</v>
      </c>
      <c r="DT16" s="82" t="str">
        <f aca="false">IF(DR$2="","",IF(AND(DR16=DR$2,DS16=DS$2),3,IF(AND(DR$2&gt;DS$2,DR16&gt;DS16),1,IF(AND(DS$2&gt;DR$2,DS16&gt;DR16),1,IF(AND(DR$2=DS$2,DR16=DS16),1,0)))))</f>
        <v/>
      </c>
      <c r="DU16" s="1" t="n">
        <f aca="false">Participantes!CG15</f>
        <v>0</v>
      </c>
      <c r="DV16" s="1" t="n">
        <f aca="false">Participantes!CH15</f>
        <v>0</v>
      </c>
      <c r="DW16" s="82" t="str">
        <f aca="false">IF(DU$2="","",IF(AND(DU16=DU$2,DV16=DV$2),3,IF(AND(DU$2&gt;DV$2,DU16&gt;DV16),1,IF(AND(DV$2&gt;DU$2,DV16&gt;DU16),1,IF(AND(DU$2=DV$2,DU16=DV16),1,0)))))</f>
        <v/>
      </c>
      <c r="DX16" s="1" t="n">
        <f aca="false">Participantes!CI15</f>
        <v>0</v>
      </c>
      <c r="DY16" s="1" t="n">
        <f aca="false">Participantes!CJ15</f>
        <v>0</v>
      </c>
      <c r="DZ16" s="82" t="str">
        <f aca="false">IF(DX$2="","",IF(AND(DX16=DX$2,DY16=DY$2),3,IF(AND(DX$2&gt;DY$2,DX16&gt;DY16),1,IF(AND(DY$2&gt;DX$2,DY16&gt;DX16),1,IF(AND(DX$2=DY$2,DX16=DY16),1,0)))))</f>
        <v/>
      </c>
      <c r="EA16" s="1" t="n">
        <f aca="false">Participantes!CK15</f>
        <v>0</v>
      </c>
      <c r="EB16" s="1" t="n">
        <f aca="false">Participantes!CL15</f>
        <v>0</v>
      </c>
      <c r="EC16" s="82" t="str">
        <f aca="false">IF(EA$2="","",IF(AND(EA16=EA$2,EB16=EB$2),3,IF(AND(EA$2&gt;EB$2,EA16&gt;EB16),1,IF(AND(EB$2&gt;EA$2,EB16&gt;EA16),1,IF(AND(EA$2=EB$2,EA16=EB16),1,0)))))</f>
        <v/>
      </c>
      <c r="ED16" s="1" t="n">
        <f aca="false">Participantes!CM15</f>
        <v>0</v>
      </c>
      <c r="EE16" s="1" t="n">
        <f aca="false">Participantes!CN15</f>
        <v>0</v>
      </c>
      <c r="EF16" s="82" t="str">
        <f aca="false">IF(ED$2="","",IF(AND(ED16=ED$2,EE16=EE$2),3,IF(AND(ED$2&gt;EE$2,ED16&gt;EE16),1,IF(AND(EE$2&gt;ED$2,EE16&gt;ED16),1,IF(AND(ED$2=EE$2,ED16=EE16),1,0)))))</f>
        <v/>
      </c>
      <c r="EG16" s="1" t="n">
        <f aca="false">Participantes!CO15</f>
        <v>0</v>
      </c>
      <c r="EH16" s="1" t="n">
        <f aca="false">Participantes!CP15</f>
        <v>0</v>
      </c>
      <c r="EI16" s="82" t="str">
        <f aca="false">IF(EG$2="","",IF(AND(EG16=EG$2,EH16=EH$2),3,IF(AND(EG$2&gt;EH$2,EG16&gt;EH16),1,IF(AND(EH$2&gt;EG$2,EH16&gt;EG16),1,IF(AND(EG$2=EH$2,EG16=EH16),1,0)))))</f>
        <v/>
      </c>
      <c r="EJ16" s="1" t="n">
        <f aca="false">Participantes!CQ15</f>
        <v>0</v>
      </c>
      <c r="EK16" s="1" t="n">
        <f aca="false">Participantes!CR15</f>
        <v>0</v>
      </c>
      <c r="EL16" s="82" t="str">
        <f aca="false">IF(EJ$2="","",IF(AND(EJ16=EJ$2,EK16=EK$2),3,IF(AND(EJ$2&gt;EK$2,EJ16&gt;EK16),1,IF(AND(EK$2&gt;EJ$2,EK16&gt;EJ16),1,IF(AND(EJ$2=EK$2,EJ16=EK16),1,0)))))</f>
        <v/>
      </c>
      <c r="EM16" s="1" t="n">
        <f aca="false">Participantes!CS15</f>
        <v>0</v>
      </c>
      <c r="EN16" s="1" t="n">
        <f aca="false">Participantes!CT15</f>
        <v>0</v>
      </c>
      <c r="EO16" s="82" t="str">
        <f aca="false">IF(EM$2="","",IF(AND(EM16=EM$2,EN16=EN$2),3,IF(AND(EM$2&gt;EN$2,EM16&gt;EN16),1,IF(AND(EN$2&gt;EM$2,EN16&gt;EM16),1,IF(AND(EM$2=EN$2,EM16=EN16),1,0)))))</f>
        <v/>
      </c>
      <c r="EP16" s="1" t="n">
        <f aca="false">Participantes!CU15</f>
        <v>0</v>
      </c>
      <c r="EQ16" s="1" t="n">
        <f aca="false">Participantes!CV15</f>
        <v>0</v>
      </c>
      <c r="ER16" s="82" t="str">
        <f aca="false">IF(EP$2="","",IF(AND(EP16=EP$2,EQ16=EQ$2),3,IF(AND(EP$2&gt;EQ$2,EP16&gt;EQ16),1,IF(AND(EQ$2&gt;EP$2,EQ16&gt;EP16),1,IF(AND(EP$2=EQ$2,EP16=EQ16),1,0)))))</f>
        <v/>
      </c>
      <c r="ES16" s="1" t="n">
        <f aca="false">Participantes!CW15</f>
        <v>0</v>
      </c>
      <c r="ET16" s="1" t="n">
        <f aca="false">Participantes!CX15</f>
        <v>0</v>
      </c>
      <c r="EU16" s="82" t="str">
        <f aca="false">IF(ES$2="","",IF(AND(ES16=ES$2,ET16=ET$2),3,IF(AND(ES$2&gt;ET$2,ES16&gt;ET16),1,IF(AND(ET$2&gt;ES$2,ET16&gt;ES16),1,IF(AND(ES$2=ET$2,ES16=ET16),1,0)))))</f>
        <v/>
      </c>
      <c r="EV16" s="1" t="n">
        <f aca="false">Participantes!CY15</f>
        <v>0</v>
      </c>
      <c r="EW16" s="1" t="n">
        <f aca="false">Participantes!CZ15</f>
        <v>0</v>
      </c>
      <c r="EX16" s="82" t="str">
        <f aca="false">IF(EV$2="","",IF(AND(EV16=EV$2,EW16=EW$2),3,IF(AND(EV$2&gt;EW$2,EV16&gt;EW16),1,IF(AND(EW$2&gt;EV$2,EW16&gt;EV16),1,IF(AND(EV$2=EW$2,EV16=EW16),1,0)))))</f>
        <v/>
      </c>
      <c r="EY16" s="1" t="n">
        <f aca="false">Participantes!DA15</f>
        <v>0</v>
      </c>
      <c r="EZ16" s="1" t="n">
        <f aca="false">Participantes!DB15</f>
        <v>0</v>
      </c>
      <c r="FA16" s="82" t="str">
        <f aca="false">IF(EY$2="","",IF(AND(EY16=EY$2,EZ16=EZ$2),3,IF(AND(EY$2&gt;EZ$2,EY16&gt;EZ16),1,IF(AND(EZ$2&gt;EY$2,EZ16&gt;EY16),1,IF(AND(EY$2=EZ$2,EY16=EZ16),1,0)))))</f>
        <v/>
      </c>
      <c r="FB16" s="1" t="n">
        <f aca="false">Participantes!DC15</f>
        <v>0</v>
      </c>
      <c r="FC16" s="1" t="n">
        <f aca="false">Participantes!DD15</f>
        <v>0</v>
      </c>
      <c r="FD16" s="82" t="str">
        <f aca="false">IF(FB$2="","",IF(AND(FB16=FB$2,FC16=FC$2),3,IF(AND(FB$2&gt;FC$2,FB16&gt;FC16),1,IF(AND(FC$2&gt;FB$2,FC16&gt;FB16),1,IF(AND(FB$2=FC$2,FB16=FC16),1,0)))))</f>
        <v/>
      </c>
      <c r="FE16" s="1" t="n">
        <f aca="false">Participantes!DE15</f>
        <v>0</v>
      </c>
      <c r="FF16" s="1" t="n">
        <f aca="false">Participantes!DF15</f>
        <v>0</v>
      </c>
      <c r="FG16" s="82" t="str">
        <f aca="false">IF(FE$2="","",IF(AND(FE16=FE$2,FF16=FF$2),3,IF(AND(FE$2&gt;FF$2,FE16&gt;FF16),1,IF(AND(FF$2&gt;FE$2,FF16&gt;FE16),1,IF(AND(FE$2=FF$2,FE16=FF16),1,0)))))</f>
        <v/>
      </c>
      <c r="FH16" s="1" t="n">
        <f aca="false">Participantes!DG15</f>
        <v>0</v>
      </c>
      <c r="FI16" s="1" t="n">
        <f aca="false">Participantes!DH15</f>
        <v>0</v>
      </c>
      <c r="FJ16" s="82" t="str">
        <f aca="false">IF(FH$2="","",IF(AND(FH16=FH$2,FI16=FI$2),3,IF(AND(FH$2&gt;FI$2,FH16&gt;FI16),1,IF(AND(FI$2&gt;FH$2,FI16&gt;FH16),1,IF(AND(FH$2=FI$2,FH16=FI16),1,0)))))</f>
        <v/>
      </c>
      <c r="FK16" s="1" t="n">
        <f aca="false">Participantes!DI15</f>
        <v>0</v>
      </c>
      <c r="FL16" s="1" t="n">
        <f aca="false">Participantes!DJ15</f>
        <v>0</v>
      </c>
      <c r="FM16" s="82" t="str">
        <f aca="false">IF(FK$2="","",IF(AND(FK16=FK$2,FL16=FL$2),3,IF(AND(FK$2&gt;FL$2,FK16&gt;FL16),1,IF(AND(FL$2&gt;FK$2,FL16&gt;FK16),1,IF(AND(FK$2=FL$2,FK16=FL16),1,0)))))</f>
        <v/>
      </c>
      <c r="FN16" s="1" t="n">
        <f aca="false">Participantes!DK15</f>
        <v>0</v>
      </c>
      <c r="FO16" s="1" t="n">
        <f aca="false">Participantes!DL15</f>
        <v>0</v>
      </c>
      <c r="FP16" s="82" t="str">
        <f aca="false">IF(FN$2="","",IF(AND(FN16=FN$2,FO16=FO$2),3,IF(AND(FN$2&gt;FO$2,FN16&gt;FO16),1,IF(AND(FO$2&gt;FN$2,FO16&gt;FN16),1,IF(AND(FN$2=FO$2,FN16=FO16),1,0)))))</f>
        <v/>
      </c>
      <c r="FQ16" s="1" t="n">
        <f aca="false">Participantes!DM15</f>
        <v>0</v>
      </c>
      <c r="FR16" s="1" t="n">
        <f aca="false">Participantes!DN15</f>
        <v>0</v>
      </c>
      <c r="FS16" s="82" t="str">
        <f aca="false">IF(FQ$2="","",IF(AND(FQ16=FQ$2,FR16=FR$2),3,IF(AND(FQ$2&gt;FR$2,FQ16&gt;FR16),1,IF(AND(FR$2&gt;FQ$2,FR16&gt;FQ16),1,IF(AND(FQ$2=FR$2,FQ16=FR16),1,0)))))</f>
        <v/>
      </c>
      <c r="FT16" s="1" t="n">
        <f aca="false">Participantes!DO15</f>
        <v>0</v>
      </c>
      <c r="FU16" s="1" t="n">
        <f aca="false">Participantes!DP15</f>
        <v>0</v>
      </c>
      <c r="FV16" s="82" t="str">
        <f aca="false">IF(FT$2="","",IF(AND(FT16=FT$2,FU16=FU$2),3,IF(AND(FT$2&gt;FU$2,FT16&gt;FU16),1,IF(AND(FU$2&gt;FT$2,FU16&gt;FT16),1,IF(AND(FT$2=FU$2,FT16=FU16),1,0)))))</f>
        <v/>
      </c>
      <c r="FW16" s="1" t="n">
        <f aca="false">Participantes!DQ15</f>
        <v>0</v>
      </c>
      <c r="FX16" s="1" t="n">
        <f aca="false">Participantes!DR15</f>
        <v>0</v>
      </c>
      <c r="FY16" s="82" t="str">
        <f aca="false">IF(FW$2="","",IF(AND(FW16=FW$2,FX16=FX$2),3,IF(AND(FW$2&gt;FX$2,FW16&gt;FX16),1,IF(AND(FX$2&gt;FW$2,FX16&gt;FW16),1,IF(AND(FW$2=FX$2,FW16=FX16),1,0)))))</f>
        <v/>
      </c>
      <c r="FZ16" s="1" t="n">
        <f aca="false">Participantes!DS15</f>
        <v>0</v>
      </c>
      <c r="GA16" s="1" t="n">
        <f aca="false">Participantes!DT15</f>
        <v>0</v>
      </c>
      <c r="GB16" s="82" t="str">
        <f aca="false">IF(FZ$2="","",IF(AND(FZ16=FZ$2,GA16=GA$2),3,IF(AND(FZ$2&gt;GA$2,FZ16&gt;GA16),1,IF(AND(GA$2&gt;FZ$2,GA16&gt;FZ16),1,IF(AND(FZ$2=GA$2,FZ16=GA16),1,0)))))</f>
        <v/>
      </c>
      <c r="GC16" s="1" t="n">
        <f aca="false">Participantes!DU15</f>
        <v>0</v>
      </c>
      <c r="GD16" s="1" t="n">
        <f aca="false">Participantes!DV15</f>
        <v>0</v>
      </c>
      <c r="GE16" s="82" t="str">
        <f aca="false">IF(GC$2="","",IF(AND(GC16=GC$2,GD16=GD$2),3,IF(AND(GC$2&gt;GD$2,GC16&gt;GD16),1,IF(AND(GD$2&gt;GC$2,GD16&gt;GC16),1,IF(AND(GC$2=GD$2,GC16=GD16),1,0)))))</f>
        <v/>
      </c>
      <c r="GF16" s="1" t="n">
        <f aca="false">Participantes!DW15</f>
        <v>0</v>
      </c>
      <c r="GG16" s="1" t="n">
        <f aca="false">Participantes!DX15</f>
        <v>0</v>
      </c>
      <c r="GH16" s="82" t="str">
        <f aca="false">IF(GF$2="","",IF(AND(GF16=GF$2,GG16=GG$2),3,IF(AND(GF$2&gt;GG$2,GF16&gt;GG16),1,IF(AND(GG$2&gt;GF$2,GG16&gt;GF16),1,IF(AND(GF$2=GG$2,GF16=GG16),1,0)))))</f>
        <v/>
      </c>
      <c r="GI16" s="1" t="n">
        <f aca="false">Participantes!DY15</f>
        <v>0</v>
      </c>
      <c r="GJ16" s="1" t="n">
        <f aca="false">Participantes!DZ15</f>
        <v>0</v>
      </c>
      <c r="GK16" s="82" t="str">
        <f aca="false">IF(GI$2="","",IF(AND(GI16=GI$2,GJ16=GJ$2),3,IF(AND(GI$2&gt;GJ$2,GI16&gt;GJ16),1,IF(AND(GJ$2&gt;GI$2,GJ16&gt;GI16),1,IF(AND(GI$2=GJ$2,GI16=GJ16),1,0)))))</f>
        <v/>
      </c>
      <c r="GL16" s="1" t="n">
        <f aca="false">Participantes!EA15</f>
        <v>0</v>
      </c>
      <c r="GM16" s="1" t="n">
        <f aca="false">Participantes!EB15</f>
        <v>0</v>
      </c>
      <c r="GN16" s="82" t="str">
        <f aca="false">IF(GL$2="","",IF(AND(GL16=GL$2,GM16=GM$2),3,IF(AND(GL$2&gt;GM$2,GL16&gt;GM16),1,IF(AND(GM$2&gt;GL$2,GM16&gt;GL16),1,IF(AND(GL$2=GM$2,GL16=GM16),1,0)))))</f>
        <v/>
      </c>
      <c r="GO16" s="1" t="n">
        <f aca="false">Participantes!EC15</f>
        <v>0</v>
      </c>
      <c r="GP16" s="1" t="n">
        <f aca="false">Participantes!ED15</f>
        <v>0</v>
      </c>
      <c r="GQ16" s="82" t="str">
        <f aca="false">IF(GO$2="","",IF(AND(GO16=GO$2,GP16=GP$2),3,IF(AND(GO$2&gt;GP$2,GO16&gt;GP16),1,IF(AND(GP$2&gt;GO$2,GP16&gt;GO16),1,IF(AND(GO$2=GP$2,GO16=GP16),1,0)))))</f>
        <v/>
      </c>
      <c r="GR16" s="1" t="n">
        <f aca="false">Participantes!EE15</f>
        <v>0</v>
      </c>
      <c r="GS16" s="1" t="n">
        <f aca="false">Participantes!EF15</f>
        <v>0</v>
      </c>
      <c r="GT16" s="82" t="str">
        <f aca="false">IF(GR$2="","",IF(AND(GR16=GR$2,GS16=GS$2),3,IF(AND(GR$2&gt;GS$2,GR16&gt;GS16),1,IF(AND(GS$2&gt;GR$2,GS16&gt;GR16),1,IF(AND(GR$2=GS$2,GR16=GS16),1,0)))))</f>
        <v/>
      </c>
      <c r="GU16" s="1" t="n">
        <f aca="false">Participantes!EG15</f>
        <v>0</v>
      </c>
      <c r="GV16" s="1" t="n">
        <f aca="false">Participantes!EH15</f>
        <v>0</v>
      </c>
      <c r="GW16" s="82" t="str">
        <f aca="false">IF(GU$2="","",IF(AND(GU16=GU$2,GV16=GV$2),3,IF(AND(GU$2&gt;GV$2,GU16&gt;GV16),1,IF(AND(GV$2&gt;GU$2,GV16&gt;GU16),1,IF(AND(GU$2=GV$2,GU16=GV16),1,0)))))</f>
        <v/>
      </c>
      <c r="GX16" s="1" t="n">
        <f aca="false">Participantes!EI15</f>
        <v>0</v>
      </c>
      <c r="GY16" s="1" t="n">
        <f aca="false">Participantes!EJ15</f>
        <v>0</v>
      </c>
      <c r="GZ16" s="82" t="str">
        <f aca="false">IF(GX$2="","",IF(AND(GX16=GX$2,GY16=GY$2),3,IF(AND(GX$2&gt;GY$2,GX16&gt;GY16),1,IF(AND(GY$2&gt;GX$2,GY16&gt;GX16),1,IF(AND(GX$2=GY$2,GX16=GY16),1,0)))))</f>
        <v/>
      </c>
      <c r="HA16" s="1" t="n">
        <f aca="false">Participantes!EK15</f>
        <v>0</v>
      </c>
      <c r="HB16" s="1" t="n">
        <f aca="false">Participantes!EL15</f>
        <v>0</v>
      </c>
      <c r="HC16" s="82" t="str">
        <f aca="false">IF(HA$2="","",IF(AND(HA16=HA$2,HB16=HB$2),3,IF(AND(HA$2&gt;HB$2,HA16&gt;HB16),1,IF(AND(HB$2&gt;HA$2,HB16&gt;HA16),1,IF(AND(HA$2=HB$2,HA16=HB16),1,0)))))</f>
        <v/>
      </c>
      <c r="HD16" s="1" t="n">
        <f aca="false">Participantes!EM15</f>
        <v>0</v>
      </c>
      <c r="HE16" s="1" t="n">
        <f aca="false">Participantes!EN15</f>
        <v>0</v>
      </c>
      <c r="HF16" s="82" t="str">
        <f aca="false">IF(HD$2="","",IF(AND(HD16=HD$2,HE16=HE$2),3,IF(AND(HD$2&gt;HE$2,HD16&gt;HE16),1,IF(AND(HE$2&gt;HD$2,HE16&gt;HD16),1,IF(AND(HD$2=HE$2,HD16=HE16),1,0)))))</f>
        <v/>
      </c>
      <c r="HG16" s="1" t="n">
        <f aca="false">Participantes!EO15</f>
        <v>0</v>
      </c>
      <c r="HH16" s="1" t="n">
        <f aca="false">Participantes!EP15</f>
        <v>0</v>
      </c>
      <c r="HI16" s="82" t="str">
        <f aca="false">IF(HG$2="","",IF(AND(HG16=HG$2,HH16=HH$2),3,IF(AND(HG$2&gt;HH$2,HG16&gt;HH16),1,IF(AND(HH$2&gt;HG$2,HH16&gt;HG16),1,IF(AND(HG$2=HH$2,HG16=HH16),1,0)))))</f>
        <v/>
      </c>
      <c r="HJ16" s="83" t="n">
        <f aca="false">SUM(D16,G16,J16,M16,P16,S16,V16,Y16,AB16,AE16,AH16,AK16,AN16,AQ16,AT16,AW16,AZ16,BC16,BF16,BI16,BL16,BO16,BR16,BU16,BX16,CA16,CD16,CG16,CJ16,CM16,CP16,CS16,CV16,CY16,DB16,DE16,DH16,DK16,DN16,DQ16,DT16,DW16,DZ16,EC16,EF16,EI16,EL16,EO16,ER16,EU16,EX16,FA16,FD16,FG16,FJ16,FM16,FP16,FS16,FV16,FY16,GB16,GE16,GH16,GK16,GN16,GQ16,GT16,GW16,GZ16,HC16,HF16,HI16)</f>
        <v>1</v>
      </c>
    </row>
    <row r="17" customFormat="false" ht="15" hidden="false" customHeight="true" outlineLevel="0" collapsed="false">
      <c r="A17" s="81" t="str">
        <f aca="false">Participantes!B16</f>
        <v>Isabel 2</v>
      </c>
      <c r="B17" s="1" t="n">
        <f aca="false">Participantes!C16</f>
        <v>1</v>
      </c>
      <c r="C17" s="1" t="n">
        <f aca="false">Participantes!D16</f>
        <v>0</v>
      </c>
      <c r="D17" s="82" t="n">
        <f aca="false">IF(B$2="","",IF(AND(B17=B$2,C17=C$2),3,IF(AND(B$2&gt;C$2,B17&gt;C17),1,IF(AND(C$2&gt;B$2,C17&gt;B17),1,IF(AND(B$2=C$2,B17=C17),1,0)))))</f>
        <v>1</v>
      </c>
      <c r="E17" s="1" t="n">
        <f aca="false">Participantes!E16</f>
        <v>2</v>
      </c>
      <c r="F17" s="1" t="n">
        <f aca="false">Participantes!F16</f>
        <v>0</v>
      </c>
      <c r="G17" s="82" t="str">
        <f aca="false">IF(E$2="","",IF(AND(E17=E$2,F17=F$2),3,IF(AND(E$2&gt;F$2,E17&gt;F17),1,IF(AND(F$2&gt;E$2,F17&gt;E17),1,IF(AND(E$2=F$2,E17=F17),1,0)))))</f>
        <v/>
      </c>
      <c r="H17" s="1" t="n">
        <f aca="false">Participantes!G16</f>
        <v>2</v>
      </c>
      <c r="I17" s="1" t="n">
        <f aca="false">Participantes!H16</f>
        <v>1</v>
      </c>
      <c r="J17" s="82" t="str">
        <f aca="false">IF(H$2="","",IF(AND(H17=H$2,I17=I$2),3,IF(AND(H$2&gt;I$2,H17&gt;I17),1,IF(AND(I$2&gt;H$2,I17&gt;H17),1,IF(AND(H$2=I$2,H17=I17),1,0)))))</f>
        <v/>
      </c>
      <c r="K17" s="1" t="n">
        <f aca="false">Participantes!I16</f>
        <v>3</v>
      </c>
      <c r="L17" s="1" t="n">
        <f aca="false">Participantes!J16</f>
        <v>1</v>
      </c>
      <c r="M17" s="82" t="str">
        <f aca="false">IF(K$2="","",IF(AND(K17=K$2,L17=L$2),3,IF(AND(K$2&gt;L$2,K17&gt;L17),1,IF(AND(L$2&gt;K$2,L17&gt;K17),1,IF(AND(K$2=L$2,K17=L17),1,0)))))</f>
        <v/>
      </c>
      <c r="N17" s="1" t="n">
        <f aca="false">Participantes!K16</f>
        <v>0</v>
      </c>
      <c r="O17" s="1" t="n">
        <f aca="false">Participantes!L16</f>
        <v>2</v>
      </c>
      <c r="P17" s="82" t="str">
        <f aca="false">IF(N$2="","",IF(AND(N17=N$2,O17=O$2),3,IF(AND(N$2&gt;O$2,N17&gt;O17),1,IF(AND(O$2&gt;N$2,O17&gt;N17),1,IF(AND(N$2=O$2,N17=O17),1,0)))))</f>
        <v/>
      </c>
      <c r="Q17" s="1" t="n">
        <f aca="false">Participantes!M16</f>
        <v>0</v>
      </c>
      <c r="R17" s="1" t="n">
        <f aca="false">Participantes!N16</f>
        <v>3</v>
      </c>
      <c r="S17" s="82" t="str">
        <f aca="false">IF(Q$2="","",IF(AND(Q17=Q$2,R17=R$2),3,IF(AND(Q$2&gt;R$2,Q17&gt;R17),1,IF(AND(R$2&gt;Q$2,R17&gt;Q17),1,IF(AND(Q$2=R$2,Q17=R17),1,0)))))</f>
        <v/>
      </c>
      <c r="T17" s="1" t="n">
        <f aca="false">Participantes!O16</f>
        <v>4</v>
      </c>
      <c r="U17" s="1" t="n">
        <f aca="false">Participantes!P16</f>
        <v>1</v>
      </c>
      <c r="V17" s="82" t="str">
        <f aca="false">IF(T$2="","",IF(AND(T17=T$2,U17=U$2),3,IF(AND(T$2&gt;U$2,T17&gt;U17),1,IF(AND(U$2&gt;T$2,U17&gt;T17),1,IF(AND(T$2=U$2,T17=U17),1,0)))))</f>
        <v/>
      </c>
      <c r="W17" s="1" t="n">
        <f aca="false">Participantes!Q16</f>
        <v>0</v>
      </c>
      <c r="X17" s="1" t="n">
        <f aca="false">Participantes!R16</f>
        <v>1</v>
      </c>
      <c r="Y17" s="82" t="str">
        <f aca="false">IF(W$2="","",IF(AND(W17=W$2,X17=X$2),3,IF(AND(W$2&gt;X$2,W17&gt;X17),1,IF(AND(X$2&gt;W$2,X17&gt;W17),1,IF(AND(W$2=X$2,W17=X17),1,0)))))</f>
        <v/>
      </c>
      <c r="Z17" s="1" t="n">
        <f aca="false">Participantes!S16</f>
        <v>1</v>
      </c>
      <c r="AA17" s="1" t="n">
        <f aca="false">Participantes!T16</f>
        <v>1</v>
      </c>
      <c r="AB17" s="82" t="str">
        <f aca="false">IF(Z$2="","",IF(AND(Z17=Z$2,AA17=AA$2),3,IF(AND(Z$2&gt;AA$2,Z17&gt;AA17),1,IF(AND(AA$2&gt;Z$2,AA17&gt;Z17),1,IF(AND(Z$2=AA$2,Z17=AA17),1,0)))))</f>
        <v/>
      </c>
      <c r="AC17" s="1" t="n">
        <f aca="false">Participantes!U16</f>
        <v>4</v>
      </c>
      <c r="AD17" s="1" t="n">
        <f aca="false">Participantes!V16</f>
        <v>0</v>
      </c>
      <c r="AE17" s="82" t="str">
        <f aca="false">IF(AC$2="","",IF(AND(AC17=AC$2,AD17=AD$2),3,IF(AND(AC$2&gt;AD$2,AC17&gt;AD17),1,IF(AND(AD$2&gt;AC$2,AD17&gt;AC17),1,IF(AND(AC$2=AD$2,AC17=AD17),1,0)))))</f>
        <v/>
      </c>
      <c r="AF17" s="1" t="n">
        <f aca="false">Participantes!W16</f>
        <v>2</v>
      </c>
      <c r="AG17" s="1" t="n">
        <f aca="false">Participantes!X16</f>
        <v>1</v>
      </c>
      <c r="AH17" s="82" t="str">
        <f aca="false">IF(AF$2="","",IF(AND(AF17=AF$2,AG17=AG$2),3,IF(AND(AF$2&gt;AG$2,AF17&gt;AG17),1,IF(AND(AG$2&gt;AF$2,AG17&gt;AF17),1,IF(AND(AF$2=AG$2,AF17=AG17),1,0)))))</f>
        <v/>
      </c>
      <c r="AI17" s="1" t="n">
        <f aca="false">Participantes!Y16</f>
        <v>3</v>
      </c>
      <c r="AJ17" s="1" t="n">
        <f aca="false">Participantes!Z16</f>
        <v>0</v>
      </c>
      <c r="AK17" s="82" t="str">
        <f aca="false">IF(AI$2="","",IF(AND(AI17=AI$2,AJ17=AJ$2),3,IF(AND(AI$2&gt;AJ$2,AI17&gt;AJ17),1,IF(AND(AJ$2&gt;AI$2,AJ17&gt;AI17),1,IF(AND(AI$2=AJ$2,AI17=AJ17),1,0)))))</f>
        <v/>
      </c>
      <c r="AL17" s="1" t="n">
        <f aca="false">Participantes!AA16</f>
        <v>0</v>
      </c>
      <c r="AM17" s="1" t="n">
        <f aca="false">Participantes!AB16</f>
        <v>1</v>
      </c>
      <c r="AN17" s="82" t="str">
        <f aca="false">IF(AL$2="","",IF(AND(AL17=AL$2,AM17=AM$2),3,IF(AND(AL$2&gt;AM$2,AL17&gt;AM17),1,IF(AND(AM$2&gt;AL$2,AM17&gt;AL17),1,IF(AND(AL$2=AM$2,AL17=AM17),1,0)))))</f>
        <v/>
      </c>
      <c r="AO17" s="1" t="n">
        <f aca="false">Participantes!AC16</f>
        <v>5</v>
      </c>
      <c r="AP17" s="1" t="n">
        <f aca="false">Participantes!AD16</f>
        <v>0</v>
      </c>
      <c r="AQ17" s="82" t="str">
        <f aca="false">IF(AO$2="","",IF(AND(AO17=AO$2,AP17=AP$2),3,IF(AND(AO$2&gt;AP$2,AO17&gt;AP17),1,IF(AND(AP$2&gt;AO$2,AP17&gt;AO17),1,IF(AND(AO$2=AP$2,AO17=AP17),1,0)))))</f>
        <v/>
      </c>
      <c r="AR17" s="1" t="n">
        <f aca="false">Participantes!AE16</f>
        <v>1</v>
      </c>
      <c r="AS17" s="1" t="n">
        <f aca="false">Participantes!AF16</f>
        <v>0</v>
      </c>
      <c r="AT17" s="82" t="str">
        <f aca="false">IF(AR$2="","",IF(AND(AR17=AR$2,AS17=AS$2),3,IF(AND(AR$2&gt;AS$2,AR17&gt;AS17),1,IF(AND(AS$2&gt;AR$2,AS17&gt;AR17),1,IF(AND(AR$2=AS$2,AR17=AS17),1,0)))))</f>
        <v/>
      </c>
      <c r="AU17" s="1" t="n">
        <f aca="false">Participantes!AG16</f>
        <v>2</v>
      </c>
      <c r="AV17" s="1" t="n">
        <f aca="false">Participantes!AH16</f>
        <v>0</v>
      </c>
      <c r="AW17" s="82" t="str">
        <f aca="false">IF(AU$2="","",IF(AND(AU17=AU$2,AV17=AV$2),3,IF(AND(AU$2&gt;AV$2,AU17&gt;AV17),1,IF(AND(AV$2&gt;AU$2,AV17&gt;AU17),1,IF(AND(AU$2=AV$2,AU17=AV17),1,0)))))</f>
        <v/>
      </c>
      <c r="AX17" s="1" t="n">
        <f aca="false">Participantes!AI16</f>
        <v>3</v>
      </c>
      <c r="AY17" s="1" t="n">
        <f aca="false">Participantes!AJ16</f>
        <v>1</v>
      </c>
      <c r="AZ17" s="82" t="str">
        <f aca="false">IF(AX$2="","",IF(AND(AX17=AX$2,AY17=AY$2),3,IF(AND(AX$2&gt;AY$2,AX17&gt;AY17),1,IF(AND(AY$2&gt;AX$2,AY17&gt;AX17),1,IF(AND(AX$2=AY$2,AX17=AY17),1,0)))))</f>
        <v/>
      </c>
      <c r="BA17" s="1" t="n">
        <f aca="false">Participantes!AK16</f>
        <v>0</v>
      </c>
      <c r="BB17" s="1" t="n">
        <f aca="false">Participantes!AL16</f>
        <v>2</v>
      </c>
      <c r="BC17" s="82" t="str">
        <f aca="false">IF(BA$2="","",IF(AND(BA17=BA$2,BB17=BB$2),3,IF(AND(BA$2&gt;BB$2,BA17&gt;BB17),1,IF(AND(BB$2&gt;BA$2,BB17&gt;BA17),1,IF(AND(BA$2=BB$2,BA17=BB17),1,0)))))</f>
        <v/>
      </c>
      <c r="BD17" s="1" t="n">
        <f aca="false">Participantes!AM16</f>
        <v>2</v>
      </c>
      <c r="BE17" s="1" t="n">
        <f aca="false">Participantes!AN16</f>
        <v>0</v>
      </c>
      <c r="BF17" s="82" t="str">
        <f aca="false">IF(BD$2="","",IF(AND(BD17=BD$2,BE17=BE$2),3,IF(AND(BD$2&gt;BE$2,BD17&gt;BE17),1,IF(AND(BE$2&gt;BD$2,BE17&gt;BD17),1,IF(AND(BD$2=BE$2,BD17=BE17),1,0)))))</f>
        <v/>
      </c>
      <c r="BG17" s="1" t="n">
        <f aca="false">Participantes!AO16</f>
        <v>1</v>
      </c>
      <c r="BH17" s="1" t="n">
        <f aca="false">Participantes!AP16</f>
        <v>0</v>
      </c>
      <c r="BI17" s="82" t="str">
        <f aca="false">IF(BG$2="","",IF(AND(BG17=BG$2,BH17=BH$2),3,IF(AND(BG$2&gt;BH$2,BG17&gt;BH17),1,IF(AND(BH$2&gt;BG$2,BH17&gt;BG17),1,IF(AND(BG$2=BH$2,BG17=BH17),1,0)))))</f>
        <v/>
      </c>
      <c r="BJ17" s="1" t="n">
        <f aca="false">Participantes!AQ16</f>
        <v>1</v>
      </c>
      <c r="BK17" s="1" t="n">
        <f aca="false">Participantes!AR16</f>
        <v>2</v>
      </c>
      <c r="BL17" s="82" t="str">
        <f aca="false">IF(BJ$2="","",IF(AND(BJ17=BJ$2,BK17=BK$2),3,IF(AND(BJ$2&gt;BK$2,BJ17&gt;BK17),1,IF(AND(BK$2&gt;BJ$2,BK17&gt;BJ17),1,IF(AND(BJ$2=BK$2,BJ17=BK17),1,0)))))</f>
        <v/>
      </c>
      <c r="BM17" s="1" t="n">
        <f aca="false">Participantes!AS16</f>
        <v>3</v>
      </c>
      <c r="BN17" s="1" t="n">
        <f aca="false">Participantes!AT16</f>
        <v>2</v>
      </c>
      <c r="BO17" s="82" t="str">
        <f aca="false">IF(BM$2="","",IF(AND(BM17=BM$2,BN17=BN$2),3,IF(AND(BM$2&gt;BN$2,BM17&gt;BN17),1,IF(AND(BN$2&gt;BM$2,BN17&gt;BM17),1,IF(AND(BM$2=BN$2,BM17=BN17),1,0)))))</f>
        <v/>
      </c>
      <c r="BP17" s="1" t="n">
        <f aca="false">Participantes!AU16</f>
        <v>3</v>
      </c>
      <c r="BQ17" s="1" t="n">
        <f aca="false">Participantes!AV16</f>
        <v>0</v>
      </c>
      <c r="BR17" s="82" t="str">
        <f aca="false">IF(BP$2="","",IF(AND(BP17=BP$2,BQ17=BQ$2),3,IF(AND(BP$2&gt;BQ$2,BP17&gt;BQ17),1,IF(AND(BQ$2&gt;BP$2,BQ17&gt;BP17),1,IF(AND(BP$2=BQ$2,BP17=BQ17),1,0)))))</f>
        <v/>
      </c>
      <c r="BS17" s="1" t="n">
        <f aca="false">Participantes!AW16</f>
        <v>0</v>
      </c>
      <c r="BT17" s="1" t="n">
        <f aca="false">Participantes!AX16</f>
        <v>4</v>
      </c>
      <c r="BU17" s="82" t="str">
        <f aca="false">IF(BS$2="","",IF(AND(BS17=BS$2,BT17=BT$2),3,IF(AND(BS$2&gt;BT$2,BS17&gt;BT17),1,IF(AND(BT$2&gt;BS$2,BT17&gt;BS17),1,IF(AND(BS$2=BT$2,BS17=BT17),1,0)))))</f>
        <v/>
      </c>
      <c r="BV17" s="1" t="n">
        <f aca="false">Participantes!AY16</f>
        <v>1</v>
      </c>
      <c r="BW17" s="1" t="n">
        <f aca="false">Participantes!AZ16</f>
        <v>1</v>
      </c>
      <c r="BX17" s="82" t="str">
        <f aca="false">IF(BV$2="","",IF(AND(BV17=BV$2,BW17=BW$2),3,IF(AND(BV$2&gt;BW$2,BV17&gt;BW17),1,IF(AND(BW$2&gt;BV$2,BW17&gt;BV17),1,IF(AND(BV$2=BW$2,BV17=BW17),1,0)))))</f>
        <v/>
      </c>
      <c r="BY17" s="1" t="n">
        <f aca="false">Participantes!BA16</f>
        <v>2</v>
      </c>
      <c r="BZ17" s="1" t="n">
        <f aca="false">Participantes!BB16</f>
        <v>1</v>
      </c>
      <c r="CA17" s="82" t="str">
        <f aca="false">IF(BY$2="","",IF(AND(BY17=BY$2,BZ17=BZ$2),3,IF(AND(BY$2&gt;BZ$2,BY17&gt;BZ17),1,IF(AND(BZ$2&gt;BY$2,BZ17&gt;BY17),1,IF(AND(BY$2=BZ$2,BY17=BZ17),1,0)))))</f>
        <v/>
      </c>
      <c r="CB17" s="1" t="n">
        <f aca="false">Participantes!BC16</f>
        <v>2</v>
      </c>
      <c r="CC17" s="1" t="n">
        <f aca="false">Participantes!BD16</f>
        <v>1</v>
      </c>
      <c r="CD17" s="82" t="str">
        <f aca="false">IF(CB$2="","",IF(AND(CB17=CB$2,CC17=CC$2),3,IF(AND(CB$2&gt;CC$2,CB17&gt;CC17),1,IF(AND(CC$2&gt;CB$2,CC17&gt;CB17),1,IF(AND(CB$2=CC$2,CB17=CC17),1,0)))))</f>
        <v/>
      </c>
      <c r="CE17" s="1" t="n">
        <f aca="false">Participantes!BE16</f>
        <v>1</v>
      </c>
      <c r="CF17" s="1" t="n">
        <f aca="false">Participantes!BF16</f>
        <v>1</v>
      </c>
      <c r="CG17" s="82" t="str">
        <f aca="false">IF(CE$2="","",IF(AND(CE17=CE$2,CF17=CF$2),3,IF(AND(CE$2&gt;CF$2,CE17&gt;CF17),1,IF(AND(CF$2&gt;CE$2,CF17&gt;CE17),1,IF(AND(CE$2=CF$2,CE17=CF17),1,0)))))</f>
        <v/>
      </c>
      <c r="CH17" s="1" t="n">
        <f aca="false">Participantes!BG16</f>
        <v>0</v>
      </c>
      <c r="CI17" s="1" t="n">
        <f aca="false">Participantes!BH16</f>
        <v>0</v>
      </c>
      <c r="CJ17" s="82" t="str">
        <f aca="false">IF(CH$2="","",IF(AND(CH17=CH$2,CI17=CI$2),3,IF(AND(CH$2&gt;CI$2,CH17&gt;CI17),1,IF(AND(CI$2&gt;CH$2,CI17&gt;CH17),1,IF(AND(CH$2=CI$2,CH17=CI17),1,0)))))</f>
        <v/>
      </c>
      <c r="CK17" s="1" t="n">
        <f aca="false">Participantes!BI16</f>
        <v>0</v>
      </c>
      <c r="CL17" s="1" t="n">
        <f aca="false">Participantes!BJ16</f>
        <v>0</v>
      </c>
      <c r="CM17" s="82" t="str">
        <f aca="false">IF(CK$2="","",IF(AND(CK17=CK$2,CL17=CL$2),3,IF(AND(CK$2&gt;CL$2,CK17&gt;CL17),1,IF(AND(CL$2&gt;CK$2,CL17&gt;CK17),1,IF(AND(CK$2=CL$2,CK17=CL17),1,0)))))</f>
        <v/>
      </c>
      <c r="CN17" s="1" t="n">
        <f aca="false">Participantes!BK16</f>
        <v>0</v>
      </c>
      <c r="CO17" s="1" t="n">
        <f aca="false">Participantes!BL16</f>
        <v>0</v>
      </c>
      <c r="CP17" s="82" t="str">
        <f aca="false">IF(CN$2="","",IF(AND(CN17=CN$2,CO17=CO$2),3,IF(AND(CN$2&gt;CO$2,CN17&gt;CO17),1,IF(AND(CO$2&gt;CN$2,CO17&gt;CN17),1,IF(AND(CN$2=CO$2,CN17=CO17),1,0)))))</f>
        <v/>
      </c>
      <c r="CQ17" s="1" t="n">
        <f aca="false">Participantes!BM16</f>
        <v>0</v>
      </c>
      <c r="CR17" s="1" t="n">
        <f aca="false">Participantes!BN16</f>
        <v>0</v>
      </c>
      <c r="CS17" s="82" t="str">
        <f aca="false">IF(CQ$2="","",IF(AND(CQ17=CQ$2,CR17=CR$2),3,IF(AND(CQ$2&gt;CR$2,CQ17&gt;CR17),1,IF(AND(CR$2&gt;CQ$2,CR17&gt;CQ17),1,IF(AND(CQ$2=CR$2,CQ17=CR17),1,0)))))</f>
        <v/>
      </c>
      <c r="CT17" s="1" t="n">
        <f aca="false">Participantes!BO16</f>
        <v>0</v>
      </c>
      <c r="CU17" s="1" t="n">
        <f aca="false">Participantes!BP16</f>
        <v>0</v>
      </c>
      <c r="CV17" s="82" t="str">
        <f aca="false">IF(CT$2="","",IF(AND(CT17=CT$2,CU17=CU$2),3,IF(AND(CT$2&gt;CU$2,CT17&gt;CU17),1,IF(AND(CU$2&gt;CT$2,CU17&gt;CT17),1,IF(AND(CT$2=CU$2,CT17=CU17),1,0)))))</f>
        <v/>
      </c>
      <c r="CW17" s="1" t="n">
        <f aca="false">Participantes!BQ16</f>
        <v>0</v>
      </c>
      <c r="CX17" s="1" t="n">
        <f aca="false">Participantes!BR16</f>
        <v>0</v>
      </c>
      <c r="CY17" s="82" t="str">
        <f aca="false">IF(CW$2="","",IF(AND(CW17=CW$2,CX17=CX$2),3,IF(AND(CW$2&gt;CX$2,CW17&gt;CX17),1,IF(AND(CX$2&gt;CW$2,CX17&gt;CW17),1,IF(AND(CW$2=CX$2,CW17=CX17),1,0)))))</f>
        <v/>
      </c>
      <c r="CZ17" s="1" t="n">
        <f aca="false">Participantes!BS16</f>
        <v>0</v>
      </c>
      <c r="DA17" s="1" t="n">
        <f aca="false">Participantes!BT16</f>
        <v>0</v>
      </c>
      <c r="DB17" s="82" t="str">
        <f aca="false">IF(CZ$2="","",IF(AND(CZ17=CZ$2,DA17=DA$2),3,IF(AND(CZ$2&gt;DA$2,CZ17&gt;DA17),1,IF(AND(DA$2&gt;CZ$2,DA17&gt;CZ17),1,IF(AND(CZ$2=DA$2,CZ17=DA17),1,0)))))</f>
        <v/>
      </c>
      <c r="DC17" s="1" t="n">
        <f aca="false">Participantes!BU16</f>
        <v>0</v>
      </c>
      <c r="DD17" s="1" t="n">
        <f aca="false">Participantes!BV16</f>
        <v>0</v>
      </c>
      <c r="DE17" s="82" t="str">
        <f aca="false">IF(DC$2="","",IF(AND(DC17=DC$2,DD17=DD$2),3,IF(AND(DC$2&gt;DD$2,DC17&gt;DD17),1,IF(AND(DD$2&gt;DC$2,DD17&gt;DC17),1,IF(AND(DC$2=DD$2,DC17=DD17),1,0)))))</f>
        <v/>
      </c>
      <c r="DF17" s="1" t="n">
        <f aca="false">Participantes!BW16</f>
        <v>0</v>
      </c>
      <c r="DG17" s="1" t="n">
        <f aca="false">Participantes!BX16</f>
        <v>0</v>
      </c>
      <c r="DH17" s="82" t="str">
        <f aca="false">IF(DF$2="","",IF(AND(DF17=DF$2,DG17=DG$2),3,IF(AND(DF$2&gt;DG$2,DF17&gt;DG17),1,IF(AND(DG$2&gt;DF$2,DG17&gt;DF17),1,IF(AND(DF$2=DG$2,DF17=DG17),1,0)))))</f>
        <v/>
      </c>
      <c r="DI17" s="1" t="n">
        <f aca="false">Participantes!BY16</f>
        <v>0</v>
      </c>
      <c r="DJ17" s="1" t="n">
        <f aca="false">Participantes!BZ16</f>
        <v>0</v>
      </c>
      <c r="DK17" s="82" t="str">
        <f aca="false">IF(DI$2="","",IF(AND(DI17=DI$2,DJ17=DJ$2),3,IF(AND(DI$2&gt;DJ$2,DI17&gt;DJ17),1,IF(AND(DJ$2&gt;DI$2,DJ17&gt;DI17),1,IF(AND(DI$2=DJ$2,DI17=DJ17),1,0)))))</f>
        <v/>
      </c>
      <c r="DL17" s="1" t="n">
        <f aca="false">Participantes!CA16</f>
        <v>0</v>
      </c>
      <c r="DM17" s="1" t="n">
        <f aca="false">Participantes!CB16</f>
        <v>0</v>
      </c>
      <c r="DN17" s="82" t="str">
        <f aca="false">IF(DL$2="","",IF(AND(DL17=DL$2,DM17=DM$2),3,IF(AND(DL$2&gt;DM$2,DL17&gt;DM17),1,IF(AND(DM$2&gt;DL$2,DM17&gt;DL17),1,IF(AND(DL$2=DM$2,DL17=DM17),1,0)))))</f>
        <v/>
      </c>
      <c r="DO17" s="1" t="n">
        <f aca="false">Participantes!CC16</f>
        <v>0</v>
      </c>
      <c r="DP17" s="1" t="n">
        <f aca="false">Participantes!CD16</f>
        <v>0</v>
      </c>
      <c r="DQ17" s="82" t="str">
        <f aca="false">IF(DO$2="","",IF(AND(DO17=DO$2,DP17=DP$2),3,IF(AND(DO$2&gt;DP$2,DO17&gt;DP17),1,IF(AND(DP$2&gt;DO$2,DP17&gt;DO17),1,IF(AND(DO$2=DP$2,DO17=DP17),1,0)))))</f>
        <v/>
      </c>
      <c r="DR17" s="1" t="n">
        <f aca="false">Participantes!CE16</f>
        <v>0</v>
      </c>
      <c r="DS17" s="1" t="n">
        <f aca="false">Participantes!CF16</f>
        <v>0</v>
      </c>
      <c r="DT17" s="82" t="str">
        <f aca="false">IF(DR$2="","",IF(AND(DR17=DR$2,DS17=DS$2),3,IF(AND(DR$2&gt;DS$2,DR17&gt;DS17),1,IF(AND(DS$2&gt;DR$2,DS17&gt;DR17),1,IF(AND(DR$2=DS$2,DR17=DS17),1,0)))))</f>
        <v/>
      </c>
      <c r="DU17" s="1" t="n">
        <f aca="false">Participantes!CG16</f>
        <v>0</v>
      </c>
      <c r="DV17" s="1" t="n">
        <f aca="false">Participantes!CH16</f>
        <v>0</v>
      </c>
      <c r="DW17" s="82" t="str">
        <f aca="false">IF(DU$2="","",IF(AND(DU17=DU$2,DV17=DV$2),3,IF(AND(DU$2&gt;DV$2,DU17&gt;DV17),1,IF(AND(DV$2&gt;DU$2,DV17&gt;DU17),1,IF(AND(DU$2=DV$2,DU17=DV17),1,0)))))</f>
        <v/>
      </c>
      <c r="DX17" s="1" t="n">
        <f aca="false">Participantes!CI16</f>
        <v>0</v>
      </c>
      <c r="DY17" s="1" t="n">
        <f aca="false">Participantes!CJ16</f>
        <v>0</v>
      </c>
      <c r="DZ17" s="82" t="str">
        <f aca="false">IF(DX$2="","",IF(AND(DX17=DX$2,DY17=DY$2),3,IF(AND(DX$2&gt;DY$2,DX17&gt;DY17),1,IF(AND(DY$2&gt;DX$2,DY17&gt;DX17),1,IF(AND(DX$2=DY$2,DX17=DY17),1,0)))))</f>
        <v/>
      </c>
      <c r="EA17" s="1" t="n">
        <f aca="false">Participantes!CK16</f>
        <v>0</v>
      </c>
      <c r="EB17" s="1" t="n">
        <f aca="false">Participantes!CL16</f>
        <v>0</v>
      </c>
      <c r="EC17" s="82" t="str">
        <f aca="false">IF(EA$2="","",IF(AND(EA17=EA$2,EB17=EB$2),3,IF(AND(EA$2&gt;EB$2,EA17&gt;EB17),1,IF(AND(EB$2&gt;EA$2,EB17&gt;EA17),1,IF(AND(EA$2=EB$2,EA17=EB17),1,0)))))</f>
        <v/>
      </c>
      <c r="ED17" s="1" t="n">
        <f aca="false">Participantes!CM16</f>
        <v>0</v>
      </c>
      <c r="EE17" s="1" t="n">
        <f aca="false">Participantes!CN16</f>
        <v>0</v>
      </c>
      <c r="EF17" s="82" t="str">
        <f aca="false">IF(ED$2="","",IF(AND(ED17=ED$2,EE17=EE$2),3,IF(AND(ED$2&gt;EE$2,ED17&gt;EE17),1,IF(AND(EE$2&gt;ED$2,EE17&gt;ED17),1,IF(AND(ED$2=EE$2,ED17=EE17),1,0)))))</f>
        <v/>
      </c>
      <c r="EG17" s="1" t="n">
        <f aca="false">Participantes!CO16</f>
        <v>0</v>
      </c>
      <c r="EH17" s="1" t="n">
        <f aca="false">Participantes!CP16</f>
        <v>0</v>
      </c>
      <c r="EI17" s="82" t="str">
        <f aca="false">IF(EG$2="","",IF(AND(EG17=EG$2,EH17=EH$2),3,IF(AND(EG$2&gt;EH$2,EG17&gt;EH17),1,IF(AND(EH$2&gt;EG$2,EH17&gt;EG17),1,IF(AND(EG$2=EH$2,EG17=EH17),1,0)))))</f>
        <v/>
      </c>
      <c r="EJ17" s="1" t="n">
        <f aca="false">Participantes!CQ16</f>
        <v>0</v>
      </c>
      <c r="EK17" s="1" t="n">
        <f aca="false">Participantes!CR16</f>
        <v>0</v>
      </c>
      <c r="EL17" s="82" t="str">
        <f aca="false">IF(EJ$2="","",IF(AND(EJ17=EJ$2,EK17=EK$2),3,IF(AND(EJ$2&gt;EK$2,EJ17&gt;EK17),1,IF(AND(EK$2&gt;EJ$2,EK17&gt;EJ17),1,IF(AND(EJ$2=EK$2,EJ17=EK17),1,0)))))</f>
        <v/>
      </c>
      <c r="EM17" s="1" t="n">
        <f aca="false">Participantes!CS16</f>
        <v>0</v>
      </c>
      <c r="EN17" s="1" t="n">
        <f aca="false">Participantes!CT16</f>
        <v>0</v>
      </c>
      <c r="EO17" s="82" t="str">
        <f aca="false">IF(EM$2="","",IF(AND(EM17=EM$2,EN17=EN$2),3,IF(AND(EM$2&gt;EN$2,EM17&gt;EN17),1,IF(AND(EN$2&gt;EM$2,EN17&gt;EM17),1,IF(AND(EM$2=EN$2,EM17=EN17),1,0)))))</f>
        <v/>
      </c>
      <c r="EP17" s="1" t="n">
        <f aca="false">Participantes!CU16</f>
        <v>0</v>
      </c>
      <c r="EQ17" s="1" t="n">
        <f aca="false">Participantes!CV16</f>
        <v>0</v>
      </c>
      <c r="ER17" s="82" t="str">
        <f aca="false">IF(EP$2="","",IF(AND(EP17=EP$2,EQ17=EQ$2),3,IF(AND(EP$2&gt;EQ$2,EP17&gt;EQ17),1,IF(AND(EQ$2&gt;EP$2,EQ17&gt;EP17),1,IF(AND(EP$2=EQ$2,EP17=EQ17),1,0)))))</f>
        <v/>
      </c>
      <c r="ES17" s="1" t="n">
        <f aca="false">Participantes!CW16</f>
        <v>0</v>
      </c>
      <c r="ET17" s="1" t="n">
        <f aca="false">Participantes!CX16</f>
        <v>0</v>
      </c>
      <c r="EU17" s="82" t="str">
        <f aca="false">IF(ES$2="","",IF(AND(ES17=ES$2,ET17=ET$2),3,IF(AND(ES$2&gt;ET$2,ES17&gt;ET17),1,IF(AND(ET$2&gt;ES$2,ET17&gt;ES17),1,IF(AND(ES$2=ET$2,ES17=ET17),1,0)))))</f>
        <v/>
      </c>
      <c r="EV17" s="1" t="n">
        <f aca="false">Participantes!CY16</f>
        <v>0</v>
      </c>
      <c r="EW17" s="1" t="n">
        <f aca="false">Participantes!CZ16</f>
        <v>0</v>
      </c>
      <c r="EX17" s="82" t="str">
        <f aca="false">IF(EV$2="","",IF(AND(EV17=EV$2,EW17=EW$2),3,IF(AND(EV$2&gt;EW$2,EV17&gt;EW17),1,IF(AND(EW$2&gt;EV$2,EW17&gt;EV17),1,IF(AND(EV$2=EW$2,EV17=EW17),1,0)))))</f>
        <v/>
      </c>
      <c r="EY17" s="1" t="n">
        <f aca="false">Participantes!DA16</f>
        <v>0</v>
      </c>
      <c r="EZ17" s="1" t="n">
        <f aca="false">Participantes!DB16</f>
        <v>0</v>
      </c>
      <c r="FA17" s="82" t="str">
        <f aca="false">IF(EY$2="","",IF(AND(EY17=EY$2,EZ17=EZ$2),3,IF(AND(EY$2&gt;EZ$2,EY17&gt;EZ17),1,IF(AND(EZ$2&gt;EY$2,EZ17&gt;EY17),1,IF(AND(EY$2=EZ$2,EY17=EZ17),1,0)))))</f>
        <v/>
      </c>
      <c r="FB17" s="1" t="n">
        <f aca="false">Participantes!DC16</f>
        <v>0</v>
      </c>
      <c r="FC17" s="1" t="n">
        <f aca="false">Participantes!DD16</f>
        <v>0</v>
      </c>
      <c r="FD17" s="82" t="str">
        <f aca="false">IF(FB$2="","",IF(AND(FB17=FB$2,FC17=FC$2),3,IF(AND(FB$2&gt;FC$2,FB17&gt;FC17),1,IF(AND(FC$2&gt;FB$2,FC17&gt;FB17),1,IF(AND(FB$2=FC$2,FB17=FC17),1,0)))))</f>
        <v/>
      </c>
      <c r="FE17" s="1" t="n">
        <f aca="false">Participantes!DE16</f>
        <v>0</v>
      </c>
      <c r="FF17" s="1" t="n">
        <f aca="false">Participantes!DF16</f>
        <v>0</v>
      </c>
      <c r="FG17" s="82" t="str">
        <f aca="false">IF(FE$2="","",IF(AND(FE17=FE$2,FF17=FF$2),3,IF(AND(FE$2&gt;FF$2,FE17&gt;FF17),1,IF(AND(FF$2&gt;FE$2,FF17&gt;FE17),1,IF(AND(FE$2=FF$2,FE17=FF17),1,0)))))</f>
        <v/>
      </c>
      <c r="FH17" s="1" t="n">
        <f aca="false">Participantes!DG16</f>
        <v>0</v>
      </c>
      <c r="FI17" s="1" t="n">
        <f aca="false">Participantes!DH16</f>
        <v>0</v>
      </c>
      <c r="FJ17" s="82" t="str">
        <f aca="false">IF(FH$2="","",IF(AND(FH17=FH$2,FI17=FI$2),3,IF(AND(FH$2&gt;FI$2,FH17&gt;FI17),1,IF(AND(FI$2&gt;FH$2,FI17&gt;FH17),1,IF(AND(FH$2=FI$2,FH17=FI17),1,0)))))</f>
        <v/>
      </c>
      <c r="FK17" s="1" t="n">
        <f aca="false">Participantes!DI16</f>
        <v>0</v>
      </c>
      <c r="FL17" s="1" t="n">
        <f aca="false">Participantes!DJ16</f>
        <v>0</v>
      </c>
      <c r="FM17" s="82" t="str">
        <f aca="false">IF(FK$2="","",IF(AND(FK17=FK$2,FL17=FL$2),3,IF(AND(FK$2&gt;FL$2,FK17&gt;FL17),1,IF(AND(FL$2&gt;FK$2,FL17&gt;FK17),1,IF(AND(FK$2=FL$2,FK17=FL17),1,0)))))</f>
        <v/>
      </c>
      <c r="FN17" s="1" t="n">
        <f aca="false">Participantes!DK16</f>
        <v>0</v>
      </c>
      <c r="FO17" s="1" t="n">
        <f aca="false">Participantes!DL16</f>
        <v>0</v>
      </c>
      <c r="FP17" s="82" t="str">
        <f aca="false">IF(FN$2="","",IF(AND(FN17=FN$2,FO17=FO$2),3,IF(AND(FN$2&gt;FO$2,FN17&gt;FO17),1,IF(AND(FO$2&gt;FN$2,FO17&gt;FN17),1,IF(AND(FN$2=FO$2,FN17=FO17),1,0)))))</f>
        <v/>
      </c>
      <c r="FQ17" s="1" t="n">
        <f aca="false">Participantes!DM16</f>
        <v>0</v>
      </c>
      <c r="FR17" s="1" t="n">
        <f aca="false">Participantes!DN16</f>
        <v>0</v>
      </c>
      <c r="FS17" s="82" t="str">
        <f aca="false">IF(FQ$2="","",IF(AND(FQ17=FQ$2,FR17=FR$2),3,IF(AND(FQ$2&gt;FR$2,FQ17&gt;FR17),1,IF(AND(FR$2&gt;FQ$2,FR17&gt;FQ17),1,IF(AND(FQ$2=FR$2,FQ17=FR17),1,0)))))</f>
        <v/>
      </c>
      <c r="FT17" s="1" t="n">
        <f aca="false">Participantes!DO16</f>
        <v>0</v>
      </c>
      <c r="FU17" s="1" t="n">
        <f aca="false">Participantes!DP16</f>
        <v>0</v>
      </c>
      <c r="FV17" s="82" t="str">
        <f aca="false">IF(FT$2="","",IF(AND(FT17=FT$2,FU17=FU$2),3,IF(AND(FT$2&gt;FU$2,FT17&gt;FU17),1,IF(AND(FU$2&gt;FT$2,FU17&gt;FT17),1,IF(AND(FT$2=FU$2,FT17=FU17),1,0)))))</f>
        <v/>
      </c>
      <c r="FW17" s="1" t="n">
        <f aca="false">Participantes!DQ16</f>
        <v>0</v>
      </c>
      <c r="FX17" s="1" t="n">
        <f aca="false">Participantes!DR16</f>
        <v>0</v>
      </c>
      <c r="FY17" s="82" t="str">
        <f aca="false">IF(FW$2="","",IF(AND(FW17=FW$2,FX17=FX$2),3,IF(AND(FW$2&gt;FX$2,FW17&gt;FX17),1,IF(AND(FX$2&gt;FW$2,FX17&gt;FW17),1,IF(AND(FW$2=FX$2,FW17=FX17),1,0)))))</f>
        <v/>
      </c>
      <c r="FZ17" s="1" t="n">
        <f aca="false">Participantes!DS16</f>
        <v>0</v>
      </c>
      <c r="GA17" s="1" t="n">
        <f aca="false">Participantes!DT16</f>
        <v>0</v>
      </c>
      <c r="GB17" s="82" t="str">
        <f aca="false">IF(FZ$2="","",IF(AND(FZ17=FZ$2,GA17=GA$2),3,IF(AND(FZ$2&gt;GA$2,FZ17&gt;GA17),1,IF(AND(GA$2&gt;FZ$2,GA17&gt;FZ17),1,IF(AND(FZ$2=GA$2,FZ17=GA17),1,0)))))</f>
        <v/>
      </c>
      <c r="GC17" s="1" t="n">
        <f aca="false">Participantes!DU16</f>
        <v>0</v>
      </c>
      <c r="GD17" s="1" t="n">
        <f aca="false">Participantes!DV16</f>
        <v>0</v>
      </c>
      <c r="GE17" s="82" t="str">
        <f aca="false">IF(GC$2="","",IF(AND(GC17=GC$2,GD17=GD$2),3,IF(AND(GC$2&gt;GD$2,GC17&gt;GD17),1,IF(AND(GD$2&gt;GC$2,GD17&gt;GC17),1,IF(AND(GC$2=GD$2,GC17=GD17),1,0)))))</f>
        <v/>
      </c>
      <c r="GF17" s="1" t="n">
        <f aca="false">Participantes!DW16</f>
        <v>0</v>
      </c>
      <c r="GG17" s="1" t="n">
        <f aca="false">Participantes!DX16</f>
        <v>0</v>
      </c>
      <c r="GH17" s="82" t="str">
        <f aca="false">IF(GF$2="","",IF(AND(GF17=GF$2,GG17=GG$2),3,IF(AND(GF$2&gt;GG$2,GF17&gt;GG17),1,IF(AND(GG$2&gt;GF$2,GG17&gt;GF17),1,IF(AND(GF$2=GG$2,GF17=GG17),1,0)))))</f>
        <v/>
      </c>
      <c r="GI17" s="1" t="n">
        <f aca="false">Participantes!DY16</f>
        <v>0</v>
      </c>
      <c r="GJ17" s="1" t="n">
        <f aca="false">Participantes!DZ16</f>
        <v>0</v>
      </c>
      <c r="GK17" s="82" t="str">
        <f aca="false">IF(GI$2="","",IF(AND(GI17=GI$2,GJ17=GJ$2),3,IF(AND(GI$2&gt;GJ$2,GI17&gt;GJ17),1,IF(AND(GJ$2&gt;GI$2,GJ17&gt;GI17),1,IF(AND(GI$2=GJ$2,GI17=GJ17),1,0)))))</f>
        <v/>
      </c>
      <c r="GL17" s="1" t="n">
        <f aca="false">Participantes!EA16</f>
        <v>0</v>
      </c>
      <c r="GM17" s="1" t="n">
        <f aca="false">Participantes!EB16</f>
        <v>0</v>
      </c>
      <c r="GN17" s="82" t="str">
        <f aca="false">IF(GL$2="","",IF(AND(GL17=GL$2,GM17=GM$2),3,IF(AND(GL$2&gt;GM$2,GL17&gt;GM17),1,IF(AND(GM$2&gt;GL$2,GM17&gt;GL17),1,IF(AND(GL$2=GM$2,GL17=GM17),1,0)))))</f>
        <v/>
      </c>
      <c r="GO17" s="1" t="n">
        <f aca="false">Participantes!EC16</f>
        <v>0</v>
      </c>
      <c r="GP17" s="1" t="n">
        <f aca="false">Participantes!ED16</f>
        <v>0</v>
      </c>
      <c r="GQ17" s="82" t="str">
        <f aca="false">IF(GO$2="","",IF(AND(GO17=GO$2,GP17=GP$2),3,IF(AND(GO$2&gt;GP$2,GO17&gt;GP17),1,IF(AND(GP$2&gt;GO$2,GP17&gt;GO17),1,IF(AND(GO$2=GP$2,GO17=GP17),1,0)))))</f>
        <v/>
      </c>
      <c r="GR17" s="1" t="n">
        <f aca="false">Participantes!EE16</f>
        <v>0</v>
      </c>
      <c r="GS17" s="1" t="n">
        <f aca="false">Participantes!EF16</f>
        <v>0</v>
      </c>
      <c r="GT17" s="82" t="str">
        <f aca="false">IF(GR$2="","",IF(AND(GR17=GR$2,GS17=GS$2),3,IF(AND(GR$2&gt;GS$2,GR17&gt;GS17),1,IF(AND(GS$2&gt;GR$2,GS17&gt;GR17),1,IF(AND(GR$2=GS$2,GR17=GS17),1,0)))))</f>
        <v/>
      </c>
      <c r="GU17" s="1" t="n">
        <f aca="false">Participantes!EG16</f>
        <v>0</v>
      </c>
      <c r="GV17" s="1" t="n">
        <f aca="false">Participantes!EH16</f>
        <v>0</v>
      </c>
      <c r="GW17" s="82" t="str">
        <f aca="false">IF(GU$2="","",IF(AND(GU17=GU$2,GV17=GV$2),3,IF(AND(GU$2&gt;GV$2,GU17&gt;GV17),1,IF(AND(GV$2&gt;GU$2,GV17&gt;GU17),1,IF(AND(GU$2=GV$2,GU17=GV17),1,0)))))</f>
        <v/>
      </c>
      <c r="GX17" s="1" t="n">
        <f aca="false">Participantes!EI16</f>
        <v>0</v>
      </c>
      <c r="GY17" s="1" t="n">
        <f aca="false">Participantes!EJ16</f>
        <v>0</v>
      </c>
      <c r="GZ17" s="82" t="str">
        <f aca="false">IF(GX$2="","",IF(AND(GX17=GX$2,GY17=GY$2),3,IF(AND(GX$2&gt;GY$2,GX17&gt;GY17),1,IF(AND(GY$2&gt;GX$2,GY17&gt;GX17),1,IF(AND(GX$2=GY$2,GX17=GY17),1,0)))))</f>
        <v/>
      </c>
      <c r="HA17" s="1" t="n">
        <f aca="false">Participantes!EK16</f>
        <v>0</v>
      </c>
      <c r="HB17" s="1" t="n">
        <f aca="false">Participantes!EL16</f>
        <v>0</v>
      </c>
      <c r="HC17" s="82" t="str">
        <f aca="false">IF(HA$2="","",IF(AND(HA17=HA$2,HB17=HB$2),3,IF(AND(HA$2&gt;HB$2,HA17&gt;HB17),1,IF(AND(HB$2&gt;HA$2,HB17&gt;HA17),1,IF(AND(HA$2=HB$2,HA17=HB17),1,0)))))</f>
        <v/>
      </c>
      <c r="HD17" s="1" t="n">
        <f aca="false">Participantes!EM16</f>
        <v>0</v>
      </c>
      <c r="HE17" s="1" t="n">
        <f aca="false">Participantes!EN16</f>
        <v>0</v>
      </c>
      <c r="HF17" s="82" t="str">
        <f aca="false">IF(HD$2="","",IF(AND(HD17=HD$2,HE17=HE$2),3,IF(AND(HD$2&gt;HE$2,HD17&gt;HE17),1,IF(AND(HE$2&gt;HD$2,HE17&gt;HD17),1,IF(AND(HD$2=HE$2,HD17=HE17),1,0)))))</f>
        <v/>
      </c>
      <c r="HG17" s="1" t="n">
        <f aca="false">Participantes!EO16</f>
        <v>0</v>
      </c>
      <c r="HH17" s="1" t="n">
        <f aca="false">Participantes!EP16</f>
        <v>0</v>
      </c>
      <c r="HI17" s="82" t="str">
        <f aca="false">IF(HG$2="","",IF(AND(HG17=HG$2,HH17=HH$2),3,IF(AND(HG$2&gt;HH$2,HG17&gt;HH17),1,IF(AND(HH$2&gt;HG$2,HH17&gt;HG17),1,IF(AND(HG$2=HH$2,HG17=HH17),1,0)))))</f>
        <v/>
      </c>
      <c r="HJ17" s="83" t="n">
        <f aca="false">SUM(D17,G17,J17,M17,P17,S17,V17,Y17,AB17,AE17,AH17,AK17,AN17,AQ17,AT17,AW17,AZ17,BC17,BF17,BI17,BL17,BO17,BR17,BU17,BX17,CA17,CD17,CG17,CJ17,CM17,CP17,CS17,CV17,CY17,DB17,DE17,DH17,DK17,DN17,DQ17,DT17,DW17,DZ17,EC17,EF17,EI17,EL17,EO17,ER17,EU17,EX17,FA17,FD17,FG17,FJ17,FM17,FP17,FS17,FV17,FY17,GB17,GE17,GH17,GK17,GN17,GQ17,GT17,GW17,GZ17,HC17,HF17,HI17)</f>
        <v>1</v>
      </c>
    </row>
    <row r="18" customFormat="false" ht="15" hidden="false" customHeight="true" outlineLevel="0" collapsed="false">
      <c r="A18" s="81" t="str">
        <f aca="false">Participantes!B17</f>
        <v>Javier</v>
      </c>
      <c r="B18" s="1" t="n">
        <f aca="false">Participantes!C17</f>
        <v>2</v>
      </c>
      <c r="C18" s="1" t="n">
        <f aca="false">Participantes!D17</f>
        <v>0</v>
      </c>
      <c r="D18" s="82" t="n">
        <f aca="false">IF(B$2="","",IF(AND(B18=B$2,C18=C$2),3,IF(AND(B$2&gt;C$2,B18&gt;C18),1,IF(AND(C$2&gt;B$2,C18&gt;B18),1,IF(AND(B$2=C$2,B18=C18),1,0)))))</f>
        <v>3</v>
      </c>
      <c r="E18" s="1" t="n">
        <f aca="false">Participantes!E17</f>
        <v>3</v>
      </c>
      <c r="F18" s="1" t="n">
        <f aca="false">Participantes!F17</f>
        <v>1</v>
      </c>
      <c r="G18" s="82" t="str">
        <f aca="false">IF(E$2="","",IF(AND(E18=E$2,F18=F$2),3,IF(AND(E$2&gt;F$2,E18&gt;F18),1,IF(AND(F$2&gt;E$2,F18&gt;E18),1,IF(AND(E$2=F$2,E18=F18),1,0)))))</f>
        <v/>
      </c>
      <c r="H18" s="1" t="n">
        <f aca="false">Participantes!G17</f>
        <v>2</v>
      </c>
      <c r="I18" s="1" t="n">
        <f aca="false">Participantes!H17</f>
        <v>1</v>
      </c>
      <c r="J18" s="82" t="str">
        <f aca="false">IF(H$2="","",IF(AND(H18=H$2,I18=I$2),3,IF(AND(H$2&gt;I$2,H18&gt;I18),1,IF(AND(I$2&gt;H$2,I18&gt;H18),1,IF(AND(H$2=I$2,H18=I18),1,0)))))</f>
        <v/>
      </c>
      <c r="K18" s="1" t="n">
        <f aca="false">Participantes!I17</f>
        <v>2</v>
      </c>
      <c r="L18" s="1" t="n">
        <f aca="false">Participantes!J17</f>
        <v>1</v>
      </c>
      <c r="M18" s="82" t="str">
        <f aca="false">IF(K$2="","",IF(AND(K18=K$2,L18=L$2),3,IF(AND(K$2&gt;L$2,K18&gt;L18),1,IF(AND(L$2&gt;K$2,L18&gt;K18),1,IF(AND(K$2=L$2,K18=L18),1,0)))))</f>
        <v/>
      </c>
      <c r="N18" s="1" t="n">
        <f aca="false">Participantes!K17</f>
        <v>1</v>
      </c>
      <c r="O18" s="1" t="n">
        <f aca="false">Participantes!L17</f>
        <v>1</v>
      </c>
      <c r="P18" s="82" t="str">
        <f aca="false">IF(N$2="","",IF(AND(N18=N$2,O18=O$2),3,IF(AND(N$2&gt;O$2,N18&gt;O18),1,IF(AND(O$2&gt;N$2,O18&gt;N18),1,IF(AND(N$2=O$2,N18=O18),1,0)))))</f>
        <v/>
      </c>
      <c r="Q18" s="1" t="n">
        <f aca="false">Participantes!M17</f>
        <v>1</v>
      </c>
      <c r="R18" s="1" t="n">
        <f aca="false">Participantes!N17</f>
        <v>2</v>
      </c>
      <c r="S18" s="82" t="str">
        <f aca="false">IF(Q$2="","",IF(AND(Q18=Q$2,R18=R$2),3,IF(AND(Q$2&gt;R$2,Q18&gt;R18),1,IF(AND(R$2&gt;Q$2,R18&gt;Q18),1,IF(AND(Q$2=R$2,Q18=R18),1,0)))))</f>
        <v/>
      </c>
      <c r="T18" s="1" t="n">
        <f aca="false">Participantes!O17</f>
        <v>2</v>
      </c>
      <c r="U18" s="1" t="n">
        <f aca="false">Participantes!P17</f>
        <v>1</v>
      </c>
      <c r="V18" s="82" t="str">
        <f aca="false">IF(T$2="","",IF(AND(T18=T$2,U18=U$2),3,IF(AND(T$2&gt;U$2,T18&gt;U18),1,IF(AND(U$2&gt;T$2,U18&gt;T18),1,IF(AND(T$2=U$2,T18=U18),1,0)))))</f>
        <v/>
      </c>
      <c r="W18" s="1" t="n">
        <f aca="false">Participantes!Q17</f>
        <v>1</v>
      </c>
      <c r="X18" s="1" t="n">
        <f aca="false">Participantes!R17</f>
        <v>1</v>
      </c>
      <c r="Y18" s="82" t="str">
        <f aca="false">IF(W$2="","",IF(AND(W18=W$2,X18=X$2),3,IF(AND(W$2&gt;X$2,W18&gt;X18),1,IF(AND(X$2&gt;W$2,X18&gt;W18),1,IF(AND(W$2=X$2,W18=X18),1,0)))))</f>
        <v/>
      </c>
      <c r="Z18" s="1" t="n">
        <f aca="false">Participantes!S17</f>
        <v>1</v>
      </c>
      <c r="AA18" s="1" t="n">
        <f aca="false">Participantes!T17</f>
        <v>1</v>
      </c>
      <c r="AB18" s="82" t="str">
        <f aca="false">IF(Z$2="","",IF(AND(Z18=Z$2,AA18=AA$2),3,IF(AND(Z$2&gt;AA$2,Z18&gt;AA18),1,IF(AND(AA$2&gt;Z$2,AA18&gt;Z18),1,IF(AND(Z$2=AA$2,Z18=AA18),1,0)))))</f>
        <v/>
      </c>
      <c r="AC18" s="1" t="n">
        <f aca="false">Participantes!U17</f>
        <v>3</v>
      </c>
      <c r="AD18" s="1" t="n">
        <f aca="false">Participantes!V17</f>
        <v>1</v>
      </c>
      <c r="AE18" s="82" t="str">
        <f aca="false">IF(AC$2="","",IF(AND(AC18=AC$2,AD18=AD$2),3,IF(AND(AC$2&gt;AD$2,AC18&gt;AD18),1,IF(AND(AD$2&gt;AC$2,AD18&gt;AC18),1,IF(AND(AC$2=AD$2,AC18=AD18),1,0)))))</f>
        <v/>
      </c>
      <c r="AF18" s="1" t="n">
        <f aca="false">Participantes!W17</f>
        <v>2</v>
      </c>
      <c r="AG18" s="1" t="n">
        <f aca="false">Participantes!X17</f>
        <v>1</v>
      </c>
      <c r="AH18" s="82" t="str">
        <f aca="false">IF(AF$2="","",IF(AND(AF18=AF$2,AG18=AG$2),3,IF(AND(AF$2&gt;AG$2,AF18&gt;AG18),1,IF(AND(AG$2&gt;AF$2,AG18&gt;AF18),1,IF(AND(AF$2=AG$2,AF18=AG18),1,0)))))</f>
        <v/>
      </c>
      <c r="AI18" s="1" t="n">
        <f aca="false">Participantes!Y17</f>
        <v>1</v>
      </c>
      <c r="AJ18" s="1" t="n">
        <f aca="false">Participantes!Z17</f>
        <v>1</v>
      </c>
      <c r="AK18" s="82" t="str">
        <f aca="false">IF(AI$2="","",IF(AND(AI18=AI$2,AJ18=AJ$2),3,IF(AND(AI$2&gt;AJ$2,AI18&gt;AJ18),1,IF(AND(AJ$2&gt;AI$2,AJ18&gt;AI18),1,IF(AND(AI$2=AJ$2,AI18=AJ18),1,0)))))</f>
        <v/>
      </c>
      <c r="AL18" s="1" t="n">
        <f aca="false">Participantes!AA17</f>
        <v>5</v>
      </c>
      <c r="AM18" s="1" t="n">
        <f aca="false">Participantes!AB17</f>
        <v>2</v>
      </c>
      <c r="AN18" s="82" t="str">
        <f aca="false">IF(AL$2="","",IF(AND(AL18=AL$2,AM18=AM$2),3,IF(AND(AL$2&gt;AM$2,AL18&gt;AM18),1,IF(AND(AM$2&gt;AL$2,AM18&gt;AL18),1,IF(AND(AL$2=AM$2,AL18=AM18),1,0)))))</f>
        <v/>
      </c>
      <c r="AO18" s="1" t="n">
        <f aca="false">Participantes!AC17</f>
        <v>3</v>
      </c>
      <c r="AP18" s="1" t="n">
        <f aca="false">Participantes!AD17</f>
        <v>0</v>
      </c>
      <c r="AQ18" s="82" t="str">
        <f aca="false">IF(AO$2="","",IF(AND(AO18=AO$2,AP18=AP$2),3,IF(AND(AO$2&gt;AP$2,AO18&gt;AP18),1,IF(AND(AP$2&gt;AO$2,AP18&gt;AO18),1,IF(AND(AO$2=AP$2,AO18=AP18),1,0)))))</f>
        <v/>
      </c>
      <c r="AR18" s="1" t="n">
        <f aca="false">Participantes!AE17</f>
        <v>1</v>
      </c>
      <c r="AS18" s="1" t="n">
        <f aca="false">Participantes!AF17</f>
        <v>2</v>
      </c>
      <c r="AT18" s="82" t="str">
        <f aca="false">IF(AR$2="","",IF(AND(AR18=AR$2,AS18=AS$2),3,IF(AND(AR$2&gt;AS$2,AR18&gt;AS18),1,IF(AND(AS$2&gt;AR$2,AS18&gt;AR18),1,IF(AND(AR$2=AS$2,AR18=AS18),1,0)))))</f>
        <v/>
      </c>
      <c r="AU18" s="1" t="n">
        <f aca="false">Participantes!AG17</f>
        <v>2</v>
      </c>
      <c r="AV18" s="1" t="n">
        <f aca="false">Participantes!AH17</f>
        <v>1</v>
      </c>
      <c r="AW18" s="82" t="str">
        <f aca="false">IF(AU$2="","",IF(AND(AU18=AU$2,AV18=AV$2),3,IF(AND(AU$2&gt;AV$2,AU18&gt;AV18),1,IF(AND(AV$2&gt;AU$2,AV18&gt;AU18),1,IF(AND(AU$2=AV$2,AU18=AV18),1,0)))))</f>
        <v/>
      </c>
      <c r="AX18" s="1" t="n">
        <f aca="false">Participantes!AI17</f>
        <v>2</v>
      </c>
      <c r="AY18" s="1" t="n">
        <f aca="false">Participantes!AJ17</f>
        <v>1</v>
      </c>
      <c r="AZ18" s="82" t="str">
        <f aca="false">IF(AX$2="","",IF(AND(AX18=AX$2,AY18=AY$2),3,IF(AND(AX$2&gt;AY$2,AX18&gt;AY18),1,IF(AND(AY$2&gt;AX$2,AY18&gt;AX18),1,IF(AND(AX$2=AY$2,AX18=AY18),1,0)))))</f>
        <v/>
      </c>
      <c r="BA18" s="1" t="n">
        <f aca="false">Participantes!AK17</f>
        <v>3</v>
      </c>
      <c r="BB18" s="1" t="n">
        <f aca="false">Participantes!AL17</f>
        <v>2</v>
      </c>
      <c r="BC18" s="82" t="str">
        <f aca="false">IF(BA$2="","",IF(AND(BA18=BA$2,BB18=BB$2),3,IF(AND(BA$2&gt;BB$2,BA18&gt;BB18),1,IF(AND(BB$2&gt;BA$2,BB18&gt;BA18),1,IF(AND(BA$2=BB$2,BA18=BB18),1,0)))))</f>
        <v/>
      </c>
      <c r="BD18" s="1" t="n">
        <f aca="false">Participantes!AM17</f>
        <v>3</v>
      </c>
      <c r="BE18" s="1" t="n">
        <f aca="false">Participantes!AN17</f>
        <v>0</v>
      </c>
      <c r="BF18" s="82" t="str">
        <f aca="false">IF(BD$2="","",IF(AND(BD18=BD$2,BE18=BE$2),3,IF(AND(BD$2&gt;BE$2,BD18&gt;BE18),1,IF(AND(BE$2&gt;BD$2,BE18&gt;BD18),1,IF(AND(BD$2=BE$2,BD18=BE18),1,0)))))</f>
        <v/>
      </c>
      <c r="BG18" s="1" t="n">
        <f aca="false">Participantes!AO17</f>
        <v>3</v>
      </c>
      <c r="BH18" s="1" t="n">
        <f aca="false">Participantes!AP17</f>
        <v>1</v>
      </c>
      <c r="BI18" s="82" t="str">
        <f aca="false">IF(BG$2="","",IF(AND(BG18=BG$2,BH18=BH$2),3,IF(AND(BG$2&gt;BH$2,BG18&gt;BH18),1,IF(AND(BH$2&gt;BG$2,BH18&gt;BG18),1,IF(AND(BG$2=BH$2,BG18=BH18),1,0)))))</f>
        <v/>
      </c>
      <c r="BJ18" s="1" t="n">
        <f aca="false">Participantes!AQ17</f>
        <v>1</v>
      </c>
      <c r="BK18" s="1" t="n">
        <f aca="false">Participantes!AR17</f>
        <v>2</v>
      </c>
      <c r="BL18" s="82" t="str">
        <f aca="false">IF(BJ$2="","",IF(AND(BJ18=BJ$2,BK18=BK$2),3,IF(AND(BJ$2&gt;BK$2,BJ18&gt;BK18),1,IF(AND(BK$2&gt;BJ$2,BK18&gt;BJ18),1,IF(AND(BJ$2=BK$2,BJ18=BK18),1,0)))))</f>
        <v/>
      </c>
      <c r="BM18" s="1" t="n">
        <f aca="false">Participantes!AS17</f>
        <v>3</v>
      </c>
      <c r="BN18" s="1" t="n">
        <f aca="false">Participantes!AT17</f>
        <v>2</v>
      </c>
      <c r="BO18" s="82" t="str">
        <f aca="false">IF(BM$2="","",IF(AND(BM18=BM$2,BN18=BN$2),3,IF(AND(BM$2&gt;BN$2,BM18&gt;BN18),1,IF(AND(BN$2&gt;BM$2,BN18&gt;BM18),1,IF(AND(BM$2=BN$2,BM18=BN18),1,0)))))</f>
        <v/>
      </c>
      <c r="BP18" s="1" t="n">
        <f aca="false">Participantes!AU17</f>
        <v>4</v>
      </c>
      <c r="BQ18" s="1" t="n">
        <f aca="false">Participantes!AV17</f>
        <v>0</v>
      </c>
      <c r="BR18" s="82" t="str">
        <f aca="false">IF(BP$2="","",IF(AND(BP18=BP$2,BQ18=BQ$2),3,IF(AND(BP$2&gt;BQ$2,BP18&gt;BQ18),1,IF(AND(BQ$2&gt;BP$2,BQ18&gt;BP18),1,IF(AND(BP$2=BQ$2,BP18=BQ18),1,0)))))</f>
        <v/>
      </c>
      <c r="BS18" s="1" t="n">
        <f aca="false">Participantes!AW17</f>
        <v>5</v>
      </c>
      <c r="BT18" s="1" t="n">
        <f aca="false">Participantes!AX17</f>
        <v>2</v>
      </c>
      <c r="BU18" s="82" t="str">
        <f aca="false">IF(BS$2="","",IF(AND(BS18=BS$2,BT18=BT$2),3,IF(AND(BS$2&gt;BT$2,BS18&gt;BT18),1,IF(AND(BT$2&gt;BS$2,BT18&gt;BS18),1,IF(AND(BS$2=BT$2,BS18=BT18),1,0)))))</f>
        <v/>
      </c>
      <c r="BV18" s="1" t="n">
        <f aca="false">Participantes!AY17</f>
        <v>1</v>
      </c>
      <c r="BW18" s="1" t="n">
        <f aca="false">Participantes!AZ17</f>
        <v>1</v>
      </c>
      <c r="BX18" s="82" t="str">
        <f aca="false">IF(BV$2="","",IF(AND(BV18=BV$2,BW18=BW$2),3,IF(AND(BV$2&gt;BW$2,BV18&gt;BW18),1,IF(AND(BW$2&gt;BV$2,BW18&gt;BV18),1,IF(AND(BV$2=BW$2,BV18=BW18),1,0)))))</f>
        <v/>
      </c>
      <c r="BY18" s="1" t="n">
        <f aca="false">Participantes!BA17</f>
        <v>4</v>
      </c>
      <c r="BZ18" s="1" t="n">
        <f aca="false">Participantes!BB17</f>
        <v>1</v>
      </c>
      <c r="CA18" s="82" t="str">
        <f aca="false">IF(BY$2="","",IF(AND(BY18=BY$2,BZ18=BZ$2),3,IF(AND(BY$2&gt;BZ$2,BY18&gt;BZ18),1,IF(AND(BZ$2&gt;BY$2,BZ18&gt;BY18),1,IF(AND(BY$2=BZ$2,BY18=BZ18),1,0)))))</f>
        <v/>
      </c>
      <c r="CB18" s="1" t="n">
        <f aca="false">Participantes!BC17</f>
        <v>2</v>
      </c>
      <c r="CC18" s="1" t="n">
        <f aca="false">Participantes!BD17</f>
        <v>1</v>
      </c>
      <c r="CD18" s="82" t="str">
        <f aca="false">IF(CB$2="","",IF(AND(CB18=CB$2,CC18=CC$2),3,IF(AND(CB$2&gt;CC$2,CB18&gt;CC18),1,IF(AND(CC$2&gt;CB$2,CC18&gt;CB18),1,IF(AND(CB$2=CC$2,CB18=CC18),1,0)))))</f>
        <v/>
      </c>
      <c r="CE18" s="1" t="n">
        <f aca="false">Participantes!BE17</f>
        <v>1</v>
      </c>
      <c r="CF18" s="1" t="n">
        <f aca="false">Participantes!BF17</f>
        <v>2</v>
      </c>
      <c r="CG18" s="82" t="str">
        <f aca="false">IF(CE$2="","",IF(AND(CE18=CE$2,CF18=CF$2),3,IF(AND(CE$2&gt;CF$2,CE18&gt;CF18),1,IF(AND(CF$2&gt;CE$2,CF18&gt;CE18),1,IF(AND(CE$2=CF$2,CE18=CF18),1,0)))))</f>
        <v/>
      </c>
      <c r="CH18" s="1" t="n">
        <f aca="false">Participantes!BG17</f>
        <v>0</v>
      </c>
      <c r="CI18" s="1" t="n">
        <f aca="false">Participantes!BH17</f>
        <v>0</v>
      </c>
      <c r="CJ18" s="82" t="str">
        <f aca="false">IF(CH$2="","",IF(AND(CH18=CH$2,CI18=CI$2),3,IF(AND(CH$2&gt;CI$2,CH18&gt;CI18),1,IF(AND(CI$2&gt;CH$2,CI18&gt;CH18),1,IF(AND(CH$2=CI$2,CH18=CI18),1,0)))))</f>
        <v/>
      </c>
      <c r="CK18" s="1" t="n">
        <f aca="false">Participantes!BI17</f>
        <v>0</v>
      </c>
      <c r="CL18" s="1" t="n">
        <f aca="false">Participantes!BJ17</f>
        <v>0</v>
      </c>
      <c r="CM18" s="82" t="str">
        <f aca="false">IF(CK$2="","",IF(AND(CK18=CK$2,CL18=CL$2),3,IF(AND(CK$2&gt;CL$2,CK18&gt;CL18),1,IF(AND(CL$2&gt;CK$2,CL18&gt;CK18),1,IF(AND(CK$2=CL$2,CK18=CL18),1,0)))))</f>
        <v/>
      </c>
      <c r="CN18" s="1" t="n">
        <f aca="false">Participantes!BK17</f>
        <v>0</v>
      </c>
      <c r="CO18" s="1" t="n">
        <f aca="false">Participantes!BL17</f>
        <v>0</v>
      </c>
      <c r="CP18" s="82" t="str">
        <f aca="false">IF(CN$2="","",IF(AND(CN18=CN$2,CO18=CO$2),3,IF(AND(CN$2&gt;CO$2,CN18&gt;CO18),1,IF(AND(CO$2&gt;CN$2,CO18&gt;CN18),1,IF(AND(CN$2=CO$2,CN18=CO18),1,0)))))</f>
        <v/>
      </c>
      <c r="CQ18" s="1" t="n">
        <f aca="false">Participantes!BM17</f>
        <v>0</v>
      </c>
      <c r="CR18" s="1" t="n">
        <f aca="false">Participantes!BN17</f>
        <v>0</v>
      </c>
      <c r="CS18" s="82" t="str">
        <f aca="false">IF(CQ$2="","",IF(AND(CQ18=CQ$2,CR18=CR$2),3,IF(AND(CQ$2&gt;CR$2,CQ18&gt;CR18),1,IF(AND(CR$2&gt;CQ$2,CR18&gt;CQ18),1,IF(AND(CQ$2=CR$2,CQ18=CR18),1,0)))))</f>
        <v/>
      </c>
      <c r="CT18" s="1" t="n">
        <f aca="false">Participantes!BO17</f>
        <v>0</v>
      </c>
      <c r="CU18" s="1" t="n">
        <f aca="false">Participantes!BP17</f>
        <v>0</v>
      </c>
      <c r="CV18" s="82" t="str">
        <f aca="false">IF(CT$2="","",IF(AND(CT18=CT$2,CU18=CU$2),3,IF(AND(CT$2&gt;CU$2,CT18&gt;CU18),1,IF(AND(CU$2&gt;CT$2,CU18&gt;CT18),1,IF(AND(CT$2=CU$2,CT18=CU18),1,0)))))</f>
        <v/>
      </c>
      <c r="CW18" s="1" t="n">
        <f aca="false">Participantes!BQ17</f>
        <v>0</v>
      </c>
      <c r="CX18" s="1" t="n">
        <f aca="false">Participantes!BR17</f>
        <v>0</v>
      </c>
      <c r="CY18" s="82" t="str">
        <f aca="false">IF(CW$2="","",IF(AND(CW18=CW$2,CX18=CX$2),3,IF(AND(CW$2&gt;CX$2,CW18&gt;CX18),1,IF(AND(CX$2&gt;CW$2,CX18&gt;CW18),1,IF(AND(CW$2=CX$2,CW18=CX18),1,0)))))</f>
        <v/>
      </c>
      <c r="CZ18" s="1" t="n">
        <f aca="false">Participantes!BS17</f>
        <v>0</v>
      </c>
      <c r="DA18" s="1" t="n">
        <f aca="false">Participantes!BT17</f>
        <v>0</v>
      </c>
      <c r="DB18" s="82" t="str">
        <f aca="false">IF(CZ$2="","",IF(AND(CZ18=CZ$2,DA18=DA$2),3,IF(AND(CZ$2&gt;DA$2,CZ18&gt;DA18),1,IF(AND(DA$2&gt;CZ$2,DA18&gt;CZ18),1,IF(AND(CZ$2=DA$2,CZ18=DA18),1,0)))))</f>
        <v/>
      </c>
      <c r="DC18" s="1" t="n">
        <f aca="false">Participantes!BU17</f>
        <v>0</v>
      </c>
      <c r="DD18" s="1" t="n">
        <f aca="false">Participantes!BV17</f>
        <v>0</v>
      </c>
      <c r="DE18" s="82" t="str">
        <f aca="false">IF(DC$2="","",IF(AND(DC18=DC$2,DD18=DD$2),3,IF(AND(DC$2&gt;DD$2,DC18&gt;DD18),1,IF(AND(DD$2&gt;DC$2,DD18&gt;DC18),1,IF(AND(DC$2=DD$2,DC18=DD18),1,0)))))</f>
        <v/>
      </c>
      <c r="DF18" s="1" t="n">
        <f aca="false">Participantes!BW17</f>
        <v>0</v>
      </c>
      <c r="DG18" s="1" t="n">
        <f aca="false">Participantes!BX17</f>
        <v>0</v>
      </c>
      <c r="DH18" s="82" t="str">
        <f aca="false">IF(DF$2="","",IF(AND(DF18=DF$2,DG18=DG$2),3,IF(AND(DF$2&gt;DG$2,DF18&gt;DG18),1,IF(AND(DG$2&gt;DF$2,DG18&gt;DF18),1,IF(AND(DF$2=DG$2,DF18=DG18),1,0)))))</f>
        <v/>
      </c>
      <c r="DI18" s="1" t="n">
        <f aca="false">Participantes!BY17</f>
        <v>0</v>
      </c>
      <c r="DJ18" s="1" t="n">
        <f aca="false">Participantes!BZ17</f>
        <v>0</v>
      </c>
      <c r="DK18" s="82" t="str">
        <f aca="false">IF(DI$2="","",IF(AND(DI18=DI$2,DJ18=DJ$2),3,IF(AND(DI$2&gt;DJ$2,DI18&gt;DJ18),1,IF(AND(DJ$2&gt;DI$2,DJ18&gt;DI18),1,IF(AND(DI$2=DJ$2,DI18=DJ18),1,0)))))</f>
        <v/>
      </c>
      <c r="DL18" s="1" t="n">
        <f aca="false">Participantes!CA17</f>
        <v>0</v>
      </c>
      <c r="DM18" s="1" t="n">
        <f aca="false">Participantes!CB17</f>
        <v>0</v>
      </c>
      <c r="DN18" s="82" t="str">
        <f aca="false">IF(DL$2="","",IF(AND(DL18=DL$2,DM18=DM$2),3,IF(AND(DL$2&gt;DM$2,DL18&gt;DM18),1,IF(AND(DM$2&gt;DL$2,DM18&gt;DL18),1,IF(AND(DL$2=DM$2,DL18=DM18),1,0)))))</f>
        <v/>
      </c>
      <c r="DO18" s="1" t="n">
        <f aca="false">Participantes!CC17</f>
        <v>0</v>
      </c>
      <c r="DP18" s="1" t="n">
        <f aca="false">Participantes!CD17</f>
        <v>0</v>
      </c>
      <c r="DQ18" s="82" t="str">
        <f aca="false">IF(DO$2="","",IF(AND(DO18=DO$2,DP18=DP$2),3,IF(AND(DO$2&gt;DP$2,DO18&gt;DP18),1,IF(AND(DP$2&gt;DO$2,DP18&gt;DO18),1,IF(AND(DO$2=DP$2,DO18=DP18),1,0)))))</f>
        <v/>
      </c>
      <c r="DR18" s="1" t="n">
        <f aca="false">Participantes!CE17</f>
        <v>0</v>
      </c>
      <c r="DS18" s="1" t="n">
        <f aca="false">Participantes!CF17</f>
        <v>0</v>
      </c>
      <c r="DT18" s="82" t="str">
        <f aca="false">IF(DR$2="","",IF(AND(DR18=DR$2,DS18=DS$2),3,IF(AND(DR$2&gt;DS$2,DR18&gt;DS18),1,IF(AND(DS$2&gt;DR$2,DS18&gt;DR18),1,IF(AND(DR$2=DS$2,DR18=DS18),1,0)))))</f>
        <v/>
      </c>
      <c r="DU18" s="1" t="n">
        <f aca="false">Participantes!CG17</f>
        <v>0</v>
      </c>
      <c r="DV18" s="1" t="n">
        <f aca="false">Participantes!CH17</f>
        <v>0</v>
      </c>
      <c r="DW18" s="82" t="str">
        <f aca="false">IF(DU$2="","",IF(AND(DU18=DU$2,DV18=DV$2),3,IF(AND(DU$2&gt;DV$2,DU18&gt;DV18),1,IF(AND(DV$2&gt;DU$2,DV18&gt;DU18),1,IF(AND(DU$2=DV$2,DU18=DV18),1,0)))))</f>
        <v/>
      </c>
      <c r="DX18" s="1" t="n">
        <f aca="false">Participantes!CI17</f>
        <v>0</v>
      </c>
      <c r="DY18" s="1" t="n">
        <f aca="false">Participantes!CJ17</f>
        <v>0</v>
      </c>
      <c r="DZ18" s="82" t="str">
        <f aca="false">IF(DX$2="","",IF(AND(DX18=DX$2,DY18=DY$2),3,IF(AND(DX$2&gt;DY$2,DX18&gt;DY18),1,IF(AND(DY$2&gt;DX$2,DY18&gt;DX18),1,IF(AND(DX$2=DY$2,DX18=DY18),1,0)))))</f>
        <v/>
      </c>
      <c r="EA18" s="1" t="n">
        <f aca="false">Participantes!CK17</f>
        <v>0</v>
      </c>
      <c r="EB18" s="1" t="n">
        <f aca="false">Participantes!CL17</f>
        <v>0</v>
      </c>
      <c r="EC18" s="82" t="str">
        <f aca="false">IF(EA$2="","",IF(AND(EA18=EA$2,EB18=EB$2),3,IF(AND(EA$2&gt;EB$2,EA18&gt;EB18),1,IF(AND(EB$2&gt;EA$2,EB18&gt;EA18),1,IF(AND(EA$2=EB$2,EA18=EB18),1,0)))))</f>
        <v/>
      </c>
      <c r="ED18" s="1" t="n">
        <f aca="false">Participantes!CM17</f>
        <v>0</v>
      </c>
      <c r="EE18" s="1" t="n">
        <f aca="false">Participantes!CN17</f>
        <v>0</v>
      </c>
      <c r="EF18" s="82" t="str">
        <f aca="false">IF(ED$2="","",IF(AND(ED18=ED$2,EE18=EE$2),3,IF(AND(ED$2&gt;EE$2,ED18&gt;EE18),1,IF(AND(EE$2&gt;ED$2,EE18&gt;ED18),1,IF(AND(ED$2=EE$2,ED18=EE18),1,0)))))</f>
        <v/>
      </c>
      <c r="EG18" s="1" t="n">
        <f aca="false">Participantes!CO17</f>
        <v>0</v>
      </c>
      <c r="EH18" s="1" t="n">
        <f aca="false">Participantes!CP17</f>
        <v>0</v>
      </c>
      <c r="EI18" s="82" t="str">
        <f aca="false">IF(EG$2="","",IF(AND(EG18=EG$2,EH18=EH$2),3,IF(AND(EG$2&gt;EH$2,EG18&gt;EH18),1,IF(AND(EH$2&gt;EG$2,EH18&gt;EG18),1,IF(AND(EG$2=EH$2,EG18=EH18),1,0)))))</f>
        <v/>
      </c>
      <c r="EJ18" s="1" t="n">
        <f aca="false">Participantes!CQ17</f>
        <v>0</v>
      </c>
      <c r="EK18" s="1" t="n">
        <f aca="false">Participantes!CR17</f>
        <v>0</v>
      </c>
      <c r="EL18" s="82" t="str">
        <f aca="false">IF(EJ$2="","",IF(AND(EJ18=EJ$2,EK18=EK$2),3,IF(AND(EJ$2&gt;EK$2,EJ18&gt;EK18),1,IF(AND(EK$2&gt;EJ$2,EK18&gt;EJ18),1,IF(AND(EJ$2=EK$2,EJ18=EK18),1,0)))))</f>
        <v/>
      </c>
      <c r="EM18" s="1" t="n">
        <f aca="false">Participantes!CS17</f>
        <v>0</v>
      </c>
      <c r="EN18" s="1" t="n">
        <f aca="false">Participantes!CT17</f>
        <v>0</v>
      </c>
      <c r="EO18" s="82" t="str">
        <f aca="false">IF(EM$2="","",IF(AND(EM18=EM$2,EN18=EN$2),3,IF(AND(EM$2&gt;EN$2,EM18&gt;EN18),1,IF(AND(EN$2&gt;EM$2,EN18&gt;EM18),1,IF(AND(EM$2=EN$2,EM18=EN18),1,0)))))</f>
        <v/>
      </c>
      <c r="EP18" s="1" t="n">
        <f aca="false">Participantes!CU17</f>
        <v>0</v>
      </c>
      <c r="EQ18" s="1" t="n">
        <f aca="false">Participantes!CV17</f>
        <v>0</v>
      </c>
      <c r="ER18" s="82" t="str">
        <f aca="false">IF(EP$2="","",IF(AND(EP18=EP$2,EQ18=EQ$2),3,IF(AND(EP$2&gt;EQ$2,EP18&gt;EQ18),1,IF(AND(EQ$2&gt;EP$2,EQ18&gt;EP18),1,IF(AND(EP$2=EQ$2,EP18=EQ18),1,0)))))</f>
        <v/>
      </c>
      <c r="ES18" s="1" t="n">
        <f aca="false">Participantes!CW17</f>
        <v>0</v>
      </c>
      <c r="ET18" s="1" t="n">
        <f aca="false">Participantes!CX17</f>
        <v>0</v>
      </c>
      <c r="EU18" s="82" t="str">
        <f aca="false">IF(ES$2="","",IF(AND(ES18=ES$2,ET18=ET$2),3,IF(AND(ES$2&gt;ET$2,ES18&gt;ET18),1,IF(AND(ET$2&gt;ES$2,ET18&gt;ES18),1,IF(AND(ES$2=ET$2,ES18=ET18),1,0)))))</f>
        <v/>
      </c>
      <c r="EV18" s="1" t="n">
        <f aca="false">Participantes!CY17</f>
        <v>0</v>
      </c>
      <c r="EW18" s="1" t="n">
        <f aca="false">Participantes!CZ17</f>
        <v>0</v>
      </c>
      <c r="EX18" s="82" t="str">
        <f aca="false">IF(EV$2="","",IF(AND(EV18=EV$2,EW18=EW$2),3,IF(AND(EV$2&gt;EW$2,EV18&gt;EW18),1,IF(AND(EW$2&gt;EV$2,EW18&gt;EV18),1,IF(AND(EV$2=EW$2,EV18=EW18),1,0)))))</f>
        <v/>
      </c>
      <c r="EY18" s="1" t="n">
        <f aca="false">Participantes!DA17</f>
        <v>0</v>
      </c>
      <c r="EZ18" s="1" t="n">
        <f aca="false">Participantes!DB17</f>
        <v>0</v>
      </c>
      <c r="FA18" s="82" t="str">
        <f aca="false">IF(EY$2="","",IF(AND(EY18=EY$2,EZ18=EZ$2),3,IF(AND(EY$2&gt;EZ$2,EY18&gt;EZ18),1,IF(AND(EZ$2&gt;EY$2,EZ18&gt;EY18),1,IF(AND(EY$2=EZ$2,EY18=EZ18),1,0)))))</f>
        <v/>
      </c>
      <c r="FB18" s="1" t="n">
        <f aca="false">Participantes!DC17</f>
        <v>0</v>
      </c>
      <c r="FC18" s="1" t="n">
        <f aca="false">Participantes!DD17</f>
        <v>0</v>
      </c>
      <c r="FD18" s="82" t="str">
        <f aca="false">IF(FB$2="","",IF(AND(FB18=FB$2,FC18=FC$2),3,IF(AND(FB$2&gt;FC$2,FB18&gt;FC18),1,IF(AND(FC$2&gt;FB$2,FC18&gt;FB18),1,IF(AND(FB$2=FC$2,FB18=FC18),1,0)))))</f>
        <v/>
      </c>
      <c r="FE18" s="1" t="n">
        <f aca="false">Participantes!DE17</f>
        <v>0</v>
      </c>
      <c r="FF18" s="1" t="n">
        <f aca="false">Participantes!DF17</f>
        <v>0</v>
      </c>
      <c r="FG18" s="82" t="str">
        <f aca="false">IF(FE$2="","",IF(AND(FE18=FE$2,FF18=FF$2),3,IF(AND(FE$2&gt;FF$2,FE18&gt;FF18),1,IF(AND(FF$2&gt;FE$2,FF18&gt;FE18),1,IF(AND(FE$2=FF$2,FE18=FF18),1,0)))))</f>
        <v/>
      </c>
      <c r="FH18" s="1" t="n">
        <f aca="false">Participantes!DG17</f>
        <v>0</v>
      </c>
      <c r="FI18" s="1" t="n">
        <f aca="false">Participantes!DH17</f>
        <v>0</v>
      </c>
      <c r="FJ18" s="82" t="str">
        <f aca="false">IF(FH$2="","",IF(AND(FH18=FH$2,FI18=FI$2),3,IF(AND(FH$2&gt;FI$2,FH18&gt;FI18),1,IF(AND(FI$2&gt;FH$2,FI18&gt;FH18),1,IF(AND(FH$2=FI$2,FH18=FI18),1,0)))))</f>
        <v/>
      </c>
      <c r="FK18" s="1" t="n">
        <f aca="false">Participantes!DI17</f>
        <v>0</v>
      </c>
      <c r="FL18" s="1" t="n">
        <f aca="false">Participantes!DJ17</f>
        <v>0</v>
      </c>
      <c r="FM18" s="82" t="str">
        <f aca="false">IF(FK$2="","",IF(AND(FK18=FK$2,FL18=FL$2),3,IF(AND(FK$2&gt;FL$2,FK18&gt;FL18),1,IF(AND(FL$2&gt;FK$2,FL18&gt;FK18),1,IF(AND(FK$2=FL$2,FK18=FL18),1,0)))))</f>
        <v/>
      </c>
      <c r="FN18" s="1" t="n">
        <f aca="false">Participantes!DK17</f>
        <v>0</v>
      </c>
      <c r="FO18" s="1" t="n">
        <f aca="false">Participantes!DL17</f>
        <v>0</v>
      </c>
      <c r="FP18" s="82" t="str">
        <f aca="false">IF(FN$2="","",IF(AND(FN18=FN$2,FO18=FO$2),3,IF(AND(FN$2&gt;FO$2,FN18&gt;FO18),1,IF(AND(FO$2&gt;FN$2,FO18&gt;FN18),1,IF(AND(FN$2=FO$2,FN18=FO18),1,0)))))</f>
        <v/>
      </c>
      <c r="FQ18" s="1" t="n">
        <f aca="false">Participantes!DM17</f>
        <v>0</v>
      </c>
      <c r="FR18" s="1" t="n">
        <f aca="false">Participantes!DN17</f>
        <v>0</v>
      </c>
      <c r="FS18" s="82" t="str">
        <f aca="false">IF(FQ$2="","",IF(AND(FQ18=FQ$2,FR18=FR$2),3,IF(AND(FQ$2&gt;FR$2,FQ18&gt;FR18),1,IF(AND(FR$2&gt;FQ$2,FR18&gt;FQ18),1,IF(AND(FQ$2=FR$2,FQ18=FR18),1,0)))))</f>
        <v/>
      </c>
      <c r="FT18" s="1" t="n">
        <f aca="false">Participantes!DO17</f>
        <v>0</v>
      </c>
      <c r="FU18" s="1" t="n">
        <f aca="false">Participantes!DP17</f>
        <v>0</v>
      </c>
      <c r="FV18" s="82" t="str">
        <f aca="false">IF(FT$2="","",IF(AND(FT18=FT$2,FU18=FU$2),3,IF(AND(FT$2&gt;FU$2,FT18&gt;FU18),1,IF(AND(FU$2&gt;FT$2,FU18&gt;FT18),1,IF(AND(FT$2=FU$2,FT18=FU18),1,0)))))</f>
        <v/>
      </c>
      <c r="FW18" s="1" t="n">
        <f aca="false">Participantes!DQ17</f>
        <v>0</v>
      </c>
      <c r="FX18" s="1" t="n">
        <f aca="false">Participantes!DR17</f>
        <v>0</v>
      </c>
      <c r="FY18" s="82" t="str">
        <f aca="false">IF(FW$2="","",IF(AND(FW18=FW$2,FX18=FX$2),3,IF(AND(FW$2&gt;FX$2,FW18&gt;FX18),1,IF(AND(FX$2&gt;FW$2,FX18&gt;FW18),1,IF(AND(FW$2=FX$2,FW18=FX18),1,0)))))</f>
        <v/>
      </c>
      <c r="FZ18" s="1" t="n">
        <f aca="false">Participantes!DS17</f>
        <v>0</v>
      </c>
      <c r="GA18" s="1" t="n">
        <f aca="false">Participantes!DT17</f>
        <v>0</v>
      </c>
      <c r="GB18" s="82" t="str">
        <f aca="false">IF(FZ$2="","",IF(AND(FZ18=FZ$2,GA18=GA$2),3,IF(AND(FZ$2&gt;GA$2,FZ18&gt;GA18),1,IF(AND(GA$2&gt;FZ$2,GA18&gt;FZ18),1,IF(AND(FZ$2=GA$2,FZ18=GA18),1,0)))))</f>
        <v/>
      </c>
      <c r="GC18" s="1" t="n">
        <f aca="false">Participantes!DU17</f>
        <v>0</v>
      </c>
      <c r="GD18" s="1" t="n">
        <f aca="false">Participantes!DV17</f>
        <v>0</v>
      </c>
      <c r="GE18" s="82" t="str">
        <f aca="false">IF(GC$2="","",IF(AND(GC18=GC$2,GD18=GD$2),3,IF(AND(GC$2&gt;GD$2,GC18&gt;GD18),1,IF(AND(GD$2&gt;GC$2,GD18&gt;GC18),1,IF(AND(GC$2=GD$2,GC18=GD18),1,0)))))</f>
        <v/>
      </c>
      <c r="GF18" s="1" t="n">
        <f aca="false">Participantes!DW17</f>
        <v>0</v>
      </c>
      <c r="GG18" s="1" t="n">
        <f aca="false">Participantes!DX17</f>
        <v>0</v>
      </c>
      <c r="GH18" s="82" t="str">
        <f aca="false">IF(GF$2="","",IF(AND(GF18=GF$2,GG18=GG$2),3,IF(AND(GF$2&gt;GG$2,GF18&gt;GG18),1,IF(AND(GG$2&gt;GF$2,GG18&gt;GF18),1,IF(AND(GF$2=GG$2,GF18=GG18),1,0)))))</f>
        <v/>
      </c>
      <c r="GI18" s="1" t="n">
        <f aca="false">Participantes!DY17</f>
        <v>0</v>
      </c>
      <c r="GJ18" s="1" t="n">
        <f aca="false">Participantes!DZ17</f>
        <v>0</v>
      </c>
      <c r="GK18" s="82" t="str">
        <f aca="false">IF(GI$2="","",IF(AND(GI18=GI$2,GJ18=GJ$2),3,IF(AND(GI$2&gt;GJ$2,GI18&gt;GJ18),1,IF(AND(GJ$2&gt;GI$2,GJ18&gt;GI18),1,IF(AND(GI$2=GJ$2,GI18=GJ18),1,0)))))</f>
        <v/>
      </c>
      <c r="GL18" s="1" t="n">
        <f aca="false">Participantes!EA17</f>
        <v>0</v>
      </c>
      <c r="GM18" s="1" t="n">
        <f aca="false">Participantes!EB17</f>
        <v>0</v>
      </c>
      <c r="GN18" s="82" t="str">
        <f aca="false">IF(GL$2="","",IF(AND(GL18=GL$2,GM18=GM$2),3,IF(AND(GL$2&gt;GM$2,GL18&gt;GM18),1,IF(AND(GM$2&gt;GL$2,GM18&gt;GL18),1,IF(AND(GL$2=GM$2,GL18=GM18),1,0)))))</f>
        <v/>
      </c>
      <c r="GO18" s="1" t="n">
        <f aca="false">Participantes!EC17</f>
        <v>0</v>
      </c>
      <c r="GP18" s="1" t="n">
        <f aca="false">Participantes!ED17</f>
        <v>0</v>
      </c>
      <c r="GQ18" s="82" t="str">
        <f aca="false">IF(GO$2="","",IF(AND(GO18=GO$2,GP18=GP$2),3,IF(AND(GO$2&gt;GP$2,GO18&gt;GP18),1,IF(AND(GP$2&gt;GO$2,GP18&gt;GO18),1,IF(AND(GO$2=GP$2,GO18=GP18),1,0)))))</f>
        <v/>
      </c>
      <c r="GR18" s="1" t="n">
        <f aca="false">Participantes!EE17</f>
        <v>0</v>
      </c>
      <c r="GS18" s="1" t="n">
        <f aca="false">Participantes!EF17</f>
        <v>0</v>
      </c>
      <c r="GT18" s="82" t="str">
        <f aca="false">IF(GR$2="","",IF(AND(GR18=GR$2,GS18=GS$2),3,IF(AND(GR$2&gt;GS$2,GR18&gt;GS18),1,IF(AND(GS$2&gt;GR$2,GS18&gt;GR18),1,IF(AND(GR$2=GS$2,GR18=GS18),1,0)))))</f>
        <v/>
      </c>
      <c r="GU18" s="1" t="n">
        <f aca="false">Participantes!EG17</f>
        <v>0</v>
      </c>
      <c r="GV18" s="1" t="n">
        <f aca="false">Participantes!EH17</f>
        <v>0</v>
      </c>
      <c r="GW18" s="82" t="str">
        <f aca="false">IF(GU$2="","",IF(AND(GU18=GU$2,GV18=GV$2),3,IF(AND(GU$2&gt;GV$2,GU18&gt;GV18),1,IF(AND(GV$2&gt;GU$2,GV18&gt;GU18),1,IF(AND(GU$2=GV$2,GU18=GV18),1,0)))))</f>
        <v/>
      </c>
      <c r="GX18" s="1" t="n">
        <f aca="false">Participantes!EI17</f>
        <v>0</v>
      </c>
      <c r="GY18" s="1" t="n">
        <f aca="false">Participantes!EJ17</f>
        <v>0</v>
      </c>
      <c r="GZ18" s="82" t="str">
        <f aca="false">IF(GX$2="","",IF(AND(GX18=GX$2,GY18=GY$2),3,IF(AND(GX$2&gt;GY$2,GX18&gt;GY18),1,IF(AND(GY$2&gt;GX$2,GY18&gt;GX18),1,IF(AND(GX$2=GY$2,GX18=GY18),1,0)))))</f>
        <v/>
      </c>
      <c r="HA18" s="1" t="n">
        <f aca="false">Participantes!EK17</f>
        <v>0</v>
      </c>
      <c r="HB18" s="1" t="n">
        <f aca="false">Participantes!EL17</f>
        <v>0</v>
      </c>
      <c r="HC18" s="82" t="str">
        <f aca="false">IF(HA$2="","",IF(AND(HA18=HA$2,HB18=HB$2),3,IF(AND(HA$2&gt;HB$2,HA18&gt;HB18),1,IF(AND(HB$2&gt;HA$2,HB18&gt;HA18),1,IF(AND(HA$2=HB$2,HA18=HB18),1,0)))))</f>
        <v/>
      </c>
      <c r="HD18" s="1" t="n">
        <f aca="false">Participantes!EM17</f>
        <v>0</v>
      </c>
      <c r="HE18" s="1" t="n">
        <f aca="false">Participantes!EN17</f>
        <v>0</v>
      </c>
      <c r="HF18" s="82" t="str">
        <f aca="false">IF(HD$2="","",IF(AND(HD18=HD$2,HE18=HE$2),3,IF(AND(HD$2&gt;HE$2,HD18&gt;HE18),1,IF(AND(HE$2&gt;HD$2,HE18&gt;HD18),1,IF(AND(HD$2=HE$2,HD18=HE18),1,0)))))</f>
        <v/>
      </c>
      <c r="HG18" s="1" t="n">
        <f aca="false">Participantes!EO17</f>
        <v>0</v>
      </c>
      <c r="HH18" s="1" t="n">
        <f aca="false">Participantes!EP17</f>
        <v>0</v>
      </c>
      <c r="HI18" s="82" t="str">
        <f aca="false">IF(HG$2="","",IF(AND(HG18=HG$2,HH18=HH$2),3,IF(AND(HG$2&gt;HH$2,HG18&gt;HH18),1,IF(AND(HH$2&gt;HG$2,HH18&gt;HG18),1,IF(AND(HG$2=HH$2,HG18=HH18),1,0)))))</f>
        <v/>
      </c>
      <c r="HJ18" s="83" t="n">
        <f aca="false">SUM(D18,G18,J18,M18,P18,S18,V18,Y18,AB18,AE18,AH18,AK18,AN18,AQ18,AT18,AW18,AZ18,BC18,BF18,BI18,BL18,BO18,BR18,BU18,BX18,CA18,CD18,CG18,CJ18,CM18,CP18,CS18,CV18,CY18,DB18,DE18,DH18,DK18,DN18,DQ18,DT18,DW18,DZ18,EC18,EF18,EI18,EL18,EO18,ER18,EU18,EX18,FA18,FD18,FG18,FJ18,FM18,FP18,FS18,FV18,FY18,GB18,GE18,GH18,GK18,GN18,GQ18,GT18,GW18,GZ18,HC18,HF18,HI18)</f>
        <v>3</v>
      </c>
    </row>
    <row r="19" customFormat="false" ht="15" hidden="false" customHeight="true" outlineLevel="0" collapsed="false">
      <c r="A19" s="81" t="str">
        <f aca="false">Participantes!B18</f>
        <v>Jose C 1</v>
      </c>
      <c r="B19" s="1" t="n">
        <f aca="false">Participantes!C18</f>
        <v>0</v>
      </c>
      <c r="C19" s="1" t="n">
        <f aca="false">Participantes!D18</f>
        <v>1</v>
      </c>
      <c r="D19" s="82" t="n">
        <f aca="false">IF(B$2="","",IF(AND(B19=B$2,C19=C$2),3,IF(AND(B$2&gt;C$2,B19&gt;C19),1,IF(AND(C$2&gt;B$2,C19&gt;B19),1,IF(AND(B$2=C$2,B19=C19),1,0)))))</f>
        <v>0</v>
      </c>
      <c r="E19" s="1" t="n">
        <f aca="false">Participantes!E18</f>
        <v>1</v>
      </c>
      <c r="F19" s="1" t="n">
        <f aca="false">Participantes!F18</f>
        <v>1</v>
      </c>
      <c r="G19" s="82" t="str">
        <f aca="false">IF(E$2="","",IF(AND(E19=E$2,F19=F$2),3,IF(AND(E$2&gt;F$2,E19&gt;F19),1,IF(AND(F$2&gt;E$2,F19&gt;E19),1,IF(AND(E$2=F$2,E19=F19),1,0)))))</f>
        <v/>
      </c>
      <c r="H19" s="1" t="n">
        <f aca="false">Participantes!G18</f>
        <v>2</v>
      </c>
      <c r="I19" s="1" t="n">
        <f aca="false">Participantes!H18</f>
        <v>1</v>
      </c>
      <c r="J19" s="82" t="str">
        <f aca="false">IF(H$2="","",IF(AND(H19=H$2,I19=I$2),3,IF(AND(H$2&gt;I$2,H19&gt;I19),1,IF(AND(I$2&gt;H$2,I19&gt;H19),1,IF(AND(H$2=I$2,H19=I19),1,0)))))</f>
        <v/>
      </c>
      <c r="K19" s="1" t="n">
        <f aca="false">Participantes!I18</f>
        <v>2</v>
      </c>
      <c r="L19" s="1" t="n">
        <f aca="false">Participantes!J18</f>
        <v>2</v>
      </c>
      <c r="M19" s="82" t="str">
        <f aca="false">IF(K$2="","",IF(AND(K19=K$2,L19=L$2),3,IF(AND(K$2&gt;L$2,K19&gt;L19),1,IF(AND(L$2&gt;K$2,L19&gt;K19),1,IF(AND(K$2=L$2,K19=L19),1,0)))))</f>
        <v/>
      </c>
      <c r="N19" s="1" t="n">
        <f aca="false">Participantes!K18</f>
        <v>1</v>
      </c>
      <c r="O19" s="1" t="n">
        <f aca="false">Participantes!L18</f>
        <v>0</v>
      </c>
      <c r="P19" s="82" t="str">
        <f aca="false">IF(N$2="","",IF(AND(N19=N$2,O19=O$2),3,IF(AND(N$2&gt;O$2,N19&gt;O19),1,IF(AND(O$2&gt;N$2,O19&gt;N19),1,IF(AND(N$2=O$2,N19=O19),1,0)))))</f>
        <v/>
      </c>
      <c r="Q19" s="1" t="n">
        <f aca="false">Participantes!M18</f>
        <v>0</v>
      </c>
      <c r="R19" s="1" t="n">
        <f aca="false">Participantes!N18</f>
        <v>2</v>
      </c>
      <c r="S19" s="82" t="str">
        <f aca="false">IF(Q$2="","",IF(AND(Q19=Q$2,R19=R$2),3,IF(AND(Q$2&gt;R$2,Q19&gt;R19),1,IF(AND(R$2&gt;Q$2,R19&gt;Q19),1,IF(AND(Q$2=R$2,Q19=R19),1,0)))))</f>
        <v/>
      </c>
      <c r="T19" s="1" t="n">
        <f aca="false">Participantes!O18</f>
        <v>3</v>
      </c>
      <c r="U19" s="1" t="n">
        <f aca="false">Participantes!P18</f>
        <v>2</v>
      </c>
      <c r="V19" s="82" t="str">
        <f aca="false">IF(T$2="","",IF(AND(T19=T$2,U19=U$2),3,IF(AND(T$2&gt;U$2,T19&gt;U19),1,IF(AND(U$2&gt;T$2,U19&gt;T19),1,IF(AND(T$2=U$2,T19=U19),1,0)))))</f>
        <v/>
      </c>
      <c r="W19" s="1" t="n">
        <f aca="false">Participantes!Q18</f>
        <v>0</v>
      </c>
      <c r="X19" s="1" t="n">
        <f aca="false">Participantes!R18</f>
        <v>2</v>
      </c>
      <c r="Y19" s="82" t="str">
        <f aca="false">IF(W$2="","",IF(AND(W19=W$2,X19=X$2),3,IF(AND(W$2&gt;X$2,W19&gt;X19),1,IF(AND(X$2&gt;W$2,X19&gt;W19),1,IF(AND(W$2=X$2,W19=X19),1,0)))))</f>
        <v/>
      </c>
      <c r="Z19" s="1" t="n">
        <f aca="false">Participantes!S18</f>
        <v>1</v>
      </c>
      <c r="AA19" s="1" t="n">
        <f aca="false">Participantes!T18</f>
        <v>1</v>
      </c>
      <c r="AB19" s="82" t="str">
        <f aca="false">IF(Z$2="","",IF(AND(Z19=Z$2,AA19=AA$2),3,IF(AND(Z$2&gt;AA$2,Z19&gt;AA19),1,IF(AND(AA$2&gt;Z$2,AA19&gt;Z19),1,IF(AND(Z$2=AA$2,Z19=AA19),1,0)))))</f>
        <v/>
      </c>
      <c r="AC19" s="1" t="n">
        <f aca="false">Participantes!U18</f>
        <v>3</v>
      </c>
      <c r="AD19" s="1" t="n">
        <f aca="false">Participantes!V18</f>
        <v>0</v>
      </c>
      <c r="AE19" s="82" t="str">
        <f aca="false">IF(AC$2="","",IF(AND(AC19=AC$2,AD19=AD$2),3,IF(AND(AC$2&gt;AD$2,AC19&gt;AD19),1,IF(AND(AD$2&gt;AC$2,AD19&gt;AC19),1,IF(AND(AC$2=AD$2,AC19=AD19),1,0)))))</f>
        <v/>
      </c>
      <c r="AF19" s="1" t="n">
        <f aca="false">Participantes!W18</f>
        <v>2</v>
      </c>
      <c r="AG19" s="1" t="n">
        <f aca="false">Participantes!X18</f>
        <v>1</v>
      </c>
      <c r="AH19" s="82" t="str">
        <f aca="false">IF(AF$2="","",IF(AND(AF19=AF$2,AG19=AG$2),3,IF(AND(AF$2&gt;AG$2,AF19&gt;AG19),1,IF(AND(AG$2&gt;AF$2,AG19&gt;AF19),1,IF(AND(AF$2=AG$2,AF19=AG19),1,0)))))</f>
        <v/>
      </c>
      <c r="AI19" s="1" t="n">
        <f aca="false">Participantes!Y18</f>
        <v>2</v>
      </c>
      <c r="AJ19" s="1" t="n">
        <f aca="false">Participantes!Z18</f>
        <v>0</v>
      </c>
      <c r="AK19" s="82" t="str">
        <f aca="false">IF(AI$2="","",IF(AND(AI19=AI$2,AJ19=AJ$2),3,IF(AND(AI$2&gt;AJ$2,AI19&gt;AJ19),1,IF(AND(AJ$2&gt;AI$2,AJ19&gt;AI19),1,IF(AND(AI$2=AJ$2,AI19=AJ19),1,0)))))</f>
        <v/>
      </c>
      <c r="AL19" s="1" t="n">
        <f aca="false">Participantes!AA18</f>
        <v>0</v>
      </c>
      <c r="AM19" s="1" t="n">
        <f aca="false">Participantes!AB18</f>
        <v>2</v>
      </c>
      <c r="AN19" s="82" t="str">
        <f aca="false">IF(AL$2="","",IF(AND(AL19=AL$2,AM19=AM$2),3,IF(AND(AL$2&gt;AM$2,AL19&gt;AM19),1,IF(AND(AM$2&gt;AL$2,AM19&gt;AL19),1,IF(AND(AL$2=AM$2,AL19=AM19),1,0)))))</f>
        <v/>
      </c>
      <c r="AO19" s="1" t="n">
        <f aca="false">Participantes!AC18</f>
        <v>3</v>
      </c>
      <c r="AP19" s="1" t="n">
        <f aca="false">Participantes!AD18</f>
        <v>0</v>
      </c>
      <c r="AQ19" s="82" t="str">
        <f aca="false">IF(AO$2="","",IF(AND(AO19=AO$2,AP19=AP$2),3,IF(AND(AO$2&gt;AP$2,AO19&gt;AP19),1,IF(AND(AP$2&gt;AO$2,AP19&gt;AO19),1,IF(AND(AO$2=AP$2,AO19=AP19),1,0)))))</f>
        <v/>
      </c>
      <c r="AR19" s="1" t="n">
        <f aca="false">Participantes!AE18</f>
        <v>0</v>
      </c>
      <c r="AS19" s="1" t="n">
        <f aca="false">Participantes!AF18</f>
        <v>0</v>
      </c>
      <c r="AT19" s="82" t="str">
        <f aca="false">IF(AR$2="","",IF(AND(AR19=AR$2,AS19=AS$2),3,IF(AND(AR$2&gt;AS$2,AR19&gt;AS19),1,IF(AND(AS$2&gt;AR$2,AS19&gt;AR19),1,IF(AND(AR$2=AS$2,AR19=AS19),1,0)))))</f>
        <v/>
      </c>
      <c r="AU19" s="1" t="n">
        <f aca="false">Participantes!AG18</f>
        <v>0</v>
      </c>
      <c r="AV19" s="1" t="n">
        <f aca="false">Participantes!AH18</f>
        <v>0</v>
      </c>
      <c r="AW19" s="82" t="str">
        <f aca="false">IF(AU$2="","",IF(AND(AU19=AU$2,AV19=AV$2),3,IF(AND(AU$2&gt;AV$2,AU19&gt;AV19),1,IF(AND(AV$2&gt;AU$2,AV19&gt;AU19),1,IF(AND(AU$2=AV$2,AU19=AV19),1,0)))))</f>
        <v/>
      </c>
      <c r="AX19" s="1" t="n">
        <f aca="false">Participantes!AI18</f>
        <v>0</v>
      </c>
      <c r="AY19" s="1" t="n">
        <f aca="false">Participantes!AJ18</f>
        <v>0</v>
      </c>
      <c r="AZ19" s="82" t="str">
        <f aca="false">IF(AX$2="","",IF(AND(AX19=AX$2,AY19=AY$2),3,IF(AND(AX$2&gt;AY$2,AX19&gt;AY19),1,IF(AND(AY$2&gt;AX$2,AY19&gt;AX19),1,IF(AND(AX$2=AY$2,AX19=AY19),1,0)))))</f>
        <v/>
      </c>
      <c r="BA19" s="1" t="n">
        <f aca="false">Participantes!AK18</f>
        <v>0</v>
      </c>
      <c r="BB19" s="1" t="n">
        <f aca="false">Participantes!AL18</f>
        <v>0</v>
      </c>
      <c r="BC19" s="82" t="str">
        <f aca="false">IF(BA$2="","",IF(AND(BA19=BA$2,BB19=BB$2),3,IF(AND(BA$2&gt;BB$2,BA19&gt;BB19),1,IF(AND(BB$2&gt;BA$2,BB19&gt;BA19),1,IF(AND(BA$2=BB$2,BA19=BB19),1,0)))))</f>
        <v/>
      </c>
      <c r="BD19" s="1" t="n">
        <f aca="false">Participantes!AM18</f>
        <v>0</v>
      </c>
      <c r="BE19" s="1" t="n">
        <f aca="false">Participantes!AN18</f>
        <v>0</v>
      </c>
      <c r="BF19" s="82" t="str">
        <f aca="false">IF(BD$2="","",IF(AND(BD19=BD$2,BE19=BE$2),3,IF(AND(BD$2&gt;BE$2,BD19&gt;BE19),1,IF(AND(BE$2&gt;BD$2,BE19&gt;BD19),1,IF(AND(BD$2=BE$2,BD19=BE19),1,0)))))</f>
        <v/>
      </c>
      <c r="BG19" s="1" t="n">
        <f aca="false">Participantes!AO18</f>
        <v>0</v>
      </c>
      <c r="BH19" s="1" t="n">
        <f aca="false">Participantes!AP18</f>
        <v>0</v>
      </c>
      <c r="BI19" s="82" t="str">
        <f aca="false">IF(BG$2="","",IF(AND(BG19=BG$2,BH19=BH$2),3,IF(AND(BG$2&gt;BH$2,BG19&gt;BH19),1,IF(AND(BH$2&gt;BG$2,BH19&gt;BG19),1,IF(AND(BG$2=BH$2,BG19=BH19),1,0)))))</f>
        <v/>
      </c>
      <c r="BJ19" s="1" t="n">
        <f aca="false">Participantes!AQ18</f>
        <v>0</v>
      </c>
      <c r="BK19" s="1" t="n">
        <f aca="false">Participantes!AR18</f>
        <v>0</v>
      </c>
      <c r="BL19" s="82" t="str">
        <f aca="false">IF(BJ$2="","",IF(AND(BJ19=BJ$2,BK19=BK$2),3,IF(AND(BJ$2&gt;BK$2,BJ19&gt;BK19),1,IF(AND(BK$2&gt;BJ$2,BK19&gt;BJ19),1,IF(AND(BJ$2=BK$2,BJ19=BK19),1,0)))))</f>
        <v/>
      </c>
      <c r="BM19" s="1" t="n">
        <f aca="false">Participantes!AS18</f>
        <v>0</v>
      </c>
      <c r="BN19" s="1" t="n">
        <f aca="false">Participantes!AT18</f>
        <v>0</v>
      </c>
      <c r="BO19" s="82" t="str">
        <f aca="false">IF(BM$2="","",IF(AND(BM19=BM$2,BN19=BN$2),3,IF(AND(BM$2&gt;BN$2,BM19&gt;BN19),1,IF(AND(BN$2&gt;BM$2,BN19&gt;BM19),1,IF(AND(BM$2=BN$2,BM19=BN19),1,0)))))</f>
        <v/>
      </c>
      <c r="BP19" s="1" t="n">
        <f aca="false">Participantes!AU18</f>
        <v>0</v>
      </c>
      <c r="BQ19" s="1" t="n">
        <f aca="false">Participantes!AV18</f>
        <v>0</v>
      </c>
      <c r="BR19" s="82" t="str">
        <f aca="false">IF(BP$2="","",IF(AND(BP19=BP$2,BQ19=BQ$2),3,IF(AND(BP$2&gt;BQ$2,BP19&gt;BQ19),1,IF(AND(BQ$2&gt;BP$2,BQ19&gt;BP19),1,IF(AND(BP$2=BQ$2,BP19=BQ19),1,0)))))</f>
        <v/>
      </c>
      <c r="BS19" s="1" t="n">
        <f aca="false">Participantes!AW18</f>
        <v>0</v>
      </c>
      <c r="BT19" s="1" t="n">
        <f aca="false">Participantes!AX18</f>
        <v>0</v>
      </c>
      <c r="BU19" s="82" t="str">
        <f aca="false">IF(BS$2="","",IF(AND(BS19=BS$2,BT19=BT$2),3,IF(AND(BS$2&gt;BT$2,BS19&gt;BT19),1,IF(AND(BT$2&gt;BS$2,BT19&gt;BS19),1,IF(AND(BS$2=BT$2,BS19=BT19),1,0)))))</f>
        <v/>
      </c>
      <c r="BV19" s="1" t="n">
        <f aca="false">Participantes!AY18</f>
        <v>0</v>
      </c>
      <c r="BW19" s="1" t="n">
        <f aca="false">Participantes!AZ18</f>
        <v>0</v>
      </c>
      <c r="BX19" s="82" t="str">
        <f aca="false">IF(BV$2="","",IF(AND(BV19=BV$2,BW19=BW$2),3,IF(AND(BV$2&gt;BW$2,BV19&gt;BW19),1,IF(AND(BW$2&gt;BV$2,BW19&gt;BV19),1,IF(AND(BV$2=BW$2,BV19=BW19),1,0)))))</f>
        <v/>
      </c>
      <c r="BY19" s="1" t="n">
        <f aca="false">Participantes!BA18</f>
        <v>0</v>
      </c>
      <c r="BZ19" s="1" t="n">
        <f aca="false">Participantes!BB18</f>
        <v>0</v>
      </c>
      <c r="CA19" s="82" t="str">
        <f aca="false">IF(BY$2="","",IF(AND(BY19=BY$2,BZ19=BZ$2),3,IF(AND(BY$2&gt;BZ$2,BY19&gt;BZ19),1,IF(AND(BZ$2&gt;BY$2,BZ19&gt;BY19),1,IF(AND(BY$2=BZ$2,BY19=BZ19),1,0)))))</f>
        <v/>
      </c>
      <c r="CB19" s="1" t="n">
        <f aca="false">Participantes!BC18</f>
        <v>0</v>
      </c>
      <c r="CC19" s="1" t="n">
        <f aca="false">Participantes!BD18</f>
        <v>0</v>
      </c>
      <c r="CD19" s="82" t="str">
        <f aca="false">IF(CB$2="","",IF(AND(CB19=CB$2,CC19=CC$2),3,IF(AND(CB$2&gt;CC$2,CB19&gt;CC19),1,IF(AND(CC$2&gt;CB$2,CC19&gt;CB19),1,IF(AND(CB$2=CC$2,CB19=CC19),1,0)))))</f>
        <v/>
      </c>
      <c r="CE19" s="1" t="n">
        <f aca="false">Participantes!BE18</f>
        <v>0</v>
      </c>
      <c r="CF19" s="1" t="n">
        <f aca="false">Participantes!BF18</f>
        <v>0</v>
      </c>
      <c r="CG19" s="82" t="str">
        <f aca="false">IF(CE$2="","",IF(AND(CE19=CE$2,CF19=CF$2),3,IF(AND(CE$2&gt;CF$2,CE19&gt;CF19),1,IF(AND(CF$2&gt;CE$2,CF19&gt;CE19),1,IF(AND(CE$2=CF$2,CE19=CF19),1,0)))))</f>
        <v/>
      </c>
      <c r="CH19" s="1" t="n">
        <f aca="false">Participantes!BG18</f>
        <v>0</v>
      </c>
      <c r="CI19" s="1" t="n">
        <f aca="false">Participantes!BH18</f>
        <v>0</v>
      </c>
      <c r="CJ19" s="82" t="str">
        <f aca="false">IF(CH$2="","",IF(AND(CH19=CH$2,CI19=CI$2),3,IF(AND(CH$2&gt;CI$2,CH19&gt;CI19),1,IF(AND(CI$2&gt;CH$2,CI19&gt;CH19),1,IF(AND(CH$2=CI$2,CH19=CI19),1,0)))))</f>
        <v/>
      </c>
      <c r="CK19" s="1" t="n">
        <f aca="false">Participantes!BI18</f>
        <v>0</v>
      </c>
      <c r="CL19" s="1" t="n">
        <f aca="false">Participantes!BJ18</f>
        <v>0</v>
      </c>
      <c r="CM19" s="82" t="str">
        <f aca="false">IF(CK$2="","",IF(AND(CK19=CK$2,CL19=CL$2),3,IF(AND(CK$2&gt;CL$2,CK19&gt;CL19),1,IF(AND(CL$2&gt;CK$2,CL19&gt;CK19),1,IF(AND(CK$2=CL$2,CK19=CL19),1,0)))))</f>
        <v/>
      </c>
      <c r="CN19" s="1" t="n">
        <f aca="false">Participantes!BK18</f>
        <v>0</v>
      </c>
      <c r="CO19" s="1" t="n">
        <f aca="false">Participantes!BL18</f>
        <v>0</v>
      </c>
      <c r="CP19" s="82" t="str">
        <f aca="false">IF(CN$2="","",IF(AND(CN19=CN$2,CO19=CO$2),3,IF(AND(CN$2&gt;CO$2,CN19&gt;CO19),1,IF(AND(CO$2&gt;CN$2,CO19&gt;CN19),1,IF(AND(CN$2=CO$2,CN19=CO19),1,0)))))</f>
        <v/>
      </c>
      <c r="CQ19" s="1" t="n">
        <f aca="false">Participantes!BM18</f>
        <v>0</v>
      </c>
      <c r="CR19" s="1" t="n">
        <f aca="false">Participantes!BN18</f>
        <v>0</v>
      </c>
      <c r="CS19" s="82" t="str">
        <f aca="false">IF(CQ$2="","",IF(AND(CQ19=CQ$2,CR19=CR$2),3,IF(AND(CQ$2&gt;CR$2,CQ19&gt;CR19),1,IF(AND(CR$2&gt;CQ$2,CR19&gt;CQ19),1,IF(AND(CQ$2=CR$2,CQ19=CR19),1,0)))))</f>
        <v/>
      </c>
      <c r="CT19" s="1" t="n">
        <f aca="false">Participantes!BO18</f>
        <v>0</v>
      </c>
      <c r="CU19" s="1" t="n">
        <f aca="false">Participantes!BP18</f>
        <v>0</v>
      </c>
      <c r="CV19" s="82" t="str">
        <f aca="false">IF(CT$2="","",IF(AND(CT19=CT$2,CU19=CU$2),3,IF(AND(CT$2&gt;CU$2,CT19&gt;CU19),1,IF(AND(CU$2&gt;CT$2,CU19&gt;CT19),1,IF(AND(CT$2=CU$2,CT19=CU19),1,0)))))</f>
        <v/>
      </c>
      <c r="CW19" s="1" t="n">
        <f aca="false">Participantes!BQ18</f>
        <v>0</v>
      </c>
      <c r="CX19" s="1" t="n">
        <f aca="false">Participantes!BR18</f>
        <v>0</v>
      </c>
      <c r="CY19" s="82" t="str">
        <f aca="false">IF(CW$2="","",IF(AND(CW19=CW$2,CX19=CX$2),3,IF(AND(CW$2&gt;CX$2,CW19&gt;CX19),1,IF(AND(CX$2&gt;CW$2,CX19&gt;CW19),1,IF(AND(CW$2=CX$2,CW19=CX19),1,0)))))</f>
        <v/>
      </c>
      <c r="CZ19" s="1" t="n">
        <f aca="false">Participantes!BS18</f>
        <v>0</v>
      </c>
      <c r="DA19" s="1" t="n">
        <f aca="false">Participantes!BT18</f>
        <v>0</v>
      </c>
      <c r="DB19" s="82" t="str">
        <f aca="false">IF(CZ$2="","",IF(AND(CZ19=CZ$2,DA19=DA$2),3,IF(AND(CZ$2&gt;DA$2,CZ19&gt;DA19),1,IF(AND(DA$2&gt;CZ$2,DA19&gt;CZ19),1,IF(AND(CZ$2=DA$2,CZ19=DA19),1,0)))))</f>
        <v/>
      </c>
      <c r="DC19" s="1" t="n">
        <f aca="false">Participantes!BU18</f>
        <v>0</v>
      </c>
      <c r="DD19" s="1" t="n">
        <f aca="false">Participantes!BV18</f>
        <v>0</v>
      </c>
      <c r="DE19" s="82" t="str">
        <f aca="false">IF(DC$2="","",IF(AND(DC19=DC$2,DD19=DD$2),3,IF(AND(DC$2&gt;DD$2,DC19&gt;DD19),1,IF(AND(DD$2&gt;DC$2,DD19&gt;DC19),1,IF(AND(DC$2=DD$2,DC19=DD19),1,0)))))</f>
        <v/>
      </c>
      <c r="DF19" s="1" t="n">
        <f aca="false">Participantes!BW18</f>
        <v>0</v>
      </c>
      <c r="DG19" s="1" t="n">
        <f aca="false">Participantes!BX18</f>
        <v>0</v>
      </c>
      <c r="DH19" s="82" t="str">
        <f aca="false">IF(DF$2="","",IF(AND(DF19=DF$2,DG19=DG$2),3,IF(AND(DF$2&gt;DG$2,DF19&gt;DG19),1,IF(AND(DG$2&gt;DF$2,DG19&gt;DF19),1,IF(AND(DF$2=DG$2,DF19=DG19),1,0)))))</f>
        <v/>
      </c>
      <c r="DI19" s="1" t="n">
        <f aca="false">Participantes!BY18</f>
        <v>0</v>
      </c>
      <c r="DJ19" s="1" t="n">
        <f aca="false">Participantes!BZ18</f>
        <v>0</v>
      </c>
      <c r="DK19" s="82" t="str">
        <f aca="false">IF(DI$2="","",IF(AND(DI19=DI$2,DJ19=DJ$2),3,IF(AND(DI$2&gt;DJ$2,DI19&gt;DJ19),1,IF(AND(DJ$2&gt;DI$2,DJ19&gt;DI19),1,IF(AND(DI$2=DJ$2,DI19=DJ19),1,0)))))</f>
        <v/>
      </c>
      <c r="DL19" s="1" t="n">
        <f aca="false">Participantes!CA18</f>
        <v>0</v>
      </c>
      <c r="DM19" s="1" t="n">
        <f aca="false">Participantes!CB18</f>
        <v>0</v>
      </c>
      <c r="DN19" s="82" t="str">
        <f aca="false">IF(DL$2="","",IF(AND(DL19=DL$2,DM19=DM$2),3,IF(AND(DL$2&gt;DM$2,DL19&gt;DM19),1,IF(AND(DM$2&gt;DL$2,DM19&gt;DL19),1,IF(AND(DL$2=DM$2,DL19=DM19),1,0)))))</f>
        <v/>
      </c>
      <c r="DO19" s="1" t="n">
        <f aca="false">Participantes!CC18</f>
        <v>0</v>
      </c>
      <c r="DP19" s="1" t="n">
        <f aca="false">Participantes!CD18</f>
        <v>0</v>
      </c>
      <c r="DQ19" s="82" t="str">
        <f aca="false">IF(DO$2="","",IF(AND(DO19=DO$2,DP19=DP$2),3,IF(AND(DO$2&gt;DP$2,DO19&gt;DP19),1,IF(AND(DP$2&gt;DO$2,DP19&gt;DO19),1,IF(AND(DO$2=DP$2,DO19=DP19),1,0)))))</f>
        <v/>
      </c>
      <c r="DR19" s="1" t="n">
        <f aca="false">Participantes!CE18</f>
        <v>0</v>
      </c>
      <c r="DS19" s="1" t="n">
        <f aca="false">Participantes!CF18</f>
        <v>0</v>
      </c>
      <c r="DT19" s="82" t="str">
        <f aca="false">IF(DR$2="","",IF(AND(DR19=DR$2,DS19=DS$2),3,IF(AND(DR$2&gt;DS$2,DR19&gt;DS19),1,IF(AND(DS$2&gt;DR$2,DS19&gt;DR19),1,IF(AND(DR$2=DS$2,DR19=DS19),1,0)))))</f>
        <v/>
      </c>
      <c r="DU19" s="1" t="n">
        <f aca="false">Participantes!CG18</f>
        <v>0</v>
      </c>
      <c r="DV19" s="1" t="n">
        <f aca="false">Participantes!CH18</f>
        <v>0</v>
      </c>
      <c r="DW19" s="82" t="str">
        <f aca="false">IF(DU$2="","",IF(AND(DU19=DU$2,DV19=DV$2),3,IF(AND(DU$2&gt;DV$2,DU19&gt;DV19),1,IF(AND(DV$2&gt;DU$2,DV19&gt;DU19),1,IF(AND(DU$2=DV$2,DU19=DV19),1,0)))))</f>
        <v/>
      </c>
      <c r="DX19" s="1" t="n">
        <f aca="false">Participantes!CI18</f>
        <v>0</v>
      </c>
      <c r="DY19" s="1" t="n">
        <f aca="false">Participantes!CJ18</f>
        <v>0</v>
      </c>
      <c r="DZ19" s="82" t="str">
        <f aca="false">IF(DX$2="","",IF(AND(DX19=DX$2,DY19=DY$2),3,IF(AND(DX$2&gt;DY$2,DX19&gt;DY19),1,IF(AND(DY$2&gt;DX$2,DY19&gt;DX19),1,IF(AND(DX$2=DY$2,DX19=DY19),1,0)))))</f>
        <v/>
      </c>
      <c r="EA19" s="1" t="n">
        <f aca="false">Participantes!CK18</f>
        <v>0</v>
      </c>
      <c r="EB19" s="1" t="n">
        <f aca="false">Participantes!CL18</f>
        <v>0</v>
      </c>
      <c r="EC19" s="82" t="str">
        <f aca="false">IF(EA$2="","",IF(AND(EA19=EA$2,EB19=EB$2),3,IF(AND(EA$2&gt;EB$2,EA19&gt;EB19),1,IF(AND(EB$2&gt;EA$2,EB19&gt;EA19),1,IF(AND(EA$2=EB$2,EA19=EB19),1,0)))))</f>
        <v/>
      </c>
      <c r="ED19" s="1" t="n">
        <f aca="false">Participantes!CM18</f>
        <v>0</v>
      </c>
      <c r="EE19" s="1" t="n">
        <f aca="false">Participantes!CN18</f>
        <v>0</v>
      </c>
      <c r="EF19" s="82" t="str">
        <f aca="false">IF(ED$2="","",IF(AND(ED19=ED$2,EE19=EE$2),3,IF(AND(ED$2&gt;EE$2,ED19&gt;EE19),1,IF(AND(EE$2&gt;ED$2,EE19&gt;ED19),1,IF(AND(ED$2=EE$2,ED19=EE19),1,0)))))</f>
        <v/>
      </c>
      <c r="EG19" s="1" t="n">
        <f aca="false">Participantes!CO18</f>
        <v>0</v>
      </c>
      <c r="EH19" s="1" t="n">
        <f aca="false">Participantes!CP18</f>
        <v>0</v>
      </c>
      <c r="EI19" s="82" t="str">
        <f aca="false">IF(EG$2="","",IF(AND(EG19=EG$2,EH19=EH$2),3,IF(AND(EG$2&gt;EH$2,EG19&gt;EH19),1,IF(AND(EH$2&gt;EG$2,EH19&gt;EG19),1,IF(AND(EG$2=EH$2,EG19=EH19),1,0)))))</f>
        <v/>
      </c>
      <c r="EJ19" s="1" t="n">
        <f aca="false">Participantes!CQ18</f>
        <v>0</v>
      </c>
      <c r="EK19" s="1" t="n">
        <f aca="false">Participantes!CR18</f>
        <v>0</v>
      </c>
      <c r="EL19" s="82" t="str">
        <f aca="false">IF(EJ$2="","",IF(AND(EJ19=EJ$2,EK19=EK$2),3,IF(AND(EJ$2&gt;EK$2,EJ19&gt;EK19),1,IF(AND(EK$2&gt;EJ$2,EK19&gt;EJ19),1,IF(AND(EJ$2=EK$2,EJ19=EK19),1,0)))))</f>
        <v/>
      </c>
      <c r="EM19" s="1" t="n">
        <f aca="false">Participantes!CS18</f>
        <v>0</v>
      </c>
      <c r="EN19" s="1" t="n">
        <f aca="false">Participantes!CT18</f>
        <v>0</v>
      </c>
      <c r="EO19" s="82" t="str">
        <f aca="false">IF(EM$2="","",IF(AND(EM19=EM$2,EN19=EN$2),3,IF(AND(EM$2&gt;EN$2,EM19&gt;EN19),1,IF(AND(EN$2&gt;EM$2,EN19&gt;EM19),1,IF(AND(EM$2=EN$2,EM19=EN19),1,0)))))</f>
        <v/>
      </c>
      <c r="EP19" s="1" t="n">
        <f aca="false">Participantes!CU18</f>
        <v>0</v>
      </c>
      <c r="EQ19" s="1" t="n">
        <f aca="false">Participantes!CV18</f>
        <v>0</v>
      </c>
      <c r="ER19" s="82" t="str">
        <f aca="false">IF(EP$2="","",IF(AND(EP19=EP$2,EQ19=EQ$2),3,IF(AND(EP$2&gt;EQ$2,EP19&gt;EQ19),1,IF(AND(EQ$2&gt;EP$2,EQ19&gt;EP19),1,IF(AND(EP$2=EQ$2,EP19=EQ19),1,0)))))</f>
        <v/>
      </c>
      <c r="ES19" s="1" t="n">
        <f aca="false">Participantes!CW18</f>
        <v>0</v>
      </c>
      <c r="ET19" s="1" t="n">
        <f aca="false">Participantes!CX18</f>
        <v>0</v>
      </c>
      <c r="EU19" s="82" t="str">
        <f aca="false">IF(ES$2="","",IF(AND(ES19=ES$2,ET19=ET$2),3,IF(AND(ES$2&gt;ET$2,ES19&gt;ET19),1,IF(AND(ET$2&gt;ES$2,ET19&gt;ES19),1,IF(AND(ES$2=ET$2,ES19=ET19),1,0)))))</f>
        <v/>
      </c>
      <c r="EV19" s="1" t="n">
        <f aca="false">Participantes!CY18</f>
        <v>0</v>
      </c>
      <c r="EW19" s="1" t="n">
        <f aca="false">Participantes!CZ18</f>
        <v>0</v>
      </c>
      <c r="EX19" s="82" t="str">
        <f aca="false">IF(EV$2="","",IF(AND(EV19=EV$2,EW19=EW$2),3,IF(AND(EV$2&gt;EW$2,EV19&gt;EW19),1,IF(AND(EW$2&gt;EV$2,EW19&gt;EV19),1,IF(AND(EV$2=EW$2,EV19=EW19),1,0)))))</f>
        <v/>
      </c>
      <c r="EY19" s="1" t="n">
        <f aca="false">Participantes!DA18</f>
        <v>0</v>
      </c>
      <c r="EZ19" s="1" t="n">
        <f aca="false">Participantes!DB18</f>
        <v>0</v>
      </c>
      <c r="FA19" s="82" t="str">
        <f aca="false">IF(EY$2="","",IF(AND(EY19=EY$2,EZ19=EZ$2),3,IF(AND(EY$2&gt;EZ$2,EY19&gt;EZ19),1,IF(AND(EZ$2&gt;EY$2,EZ19&gt;EY19),1,IF(AND(EY$2=EZ$2,EY19=EZ19),1,0)))))</f>
        <v/>
      </c>
      <c r="FB19" s="1" t="n">
        <f aca="false">Participantes!DC18</f>
        <v>0</v>
      </c>
      <c r="FC19" s="1" t="n">
        <f aca="false">Participantes!DD18</f>
        <v>0</v>
      </c>
      <c r="FD19" s="82" t="str">
        <f aca="false">IF(FB$2="","",IF(AND(FB19=FB$2,FC19=FC$2),3,IF(AND(FB$2&gt;FC$2,FB19&gt;FC19),1,IF(AND(FC$2&gt;FB$2,FC19&gt;FB19),1,IF(AND(FB$2=FC$2,FB19=FC19),1,0)))))</f>
        <v/>
      </c>
      <c r="FE19" s="1" t="n">
        <f aca="false">Participantes!DE18</f>
        <v>0</v>
      </c>
      <c r="FF19" s="1" t="n">
        <f aca="false">Participantes!DF18</f>
        <v>0</v>
      </c>
      <c r="FG19" s="82" t="str">
        <f aca="false">IF(FE$2="","",IF(AND(FE19=FE$2,FF19=FF$2),3,IF(AND(FE$2&gt;FF$2,FE19&gt;FF19),1,IF(AND(FF$2&gt;FE$2,FF19&gt;FE19),1,IF(AND(FE$2=FF$2,FE19=FF19),1,0)))))</f>
        <v/>
      </c>
      <c r="FH19" s="1" t="n">
        <f aca="false">Participantes!DG18</f>
        <v>0</v>
      </c>
      <c r="FI19" s="1" t="n">
        <f aca="false">Participantes!DH18</f>
        <v>0</v>
      </c>
      <c r="FJ19" s="82" t="str">
        <f aca="false">IF(FH$2="","",IF(AND(FH19=FH$2,FI19=FI$2),3,IF(AND(FH$2&gt;FI$2,FH19&gt;FI19),1,IF(AND(FI$2&gt;FH$2,FI19&gt;FH19),1,IF(AND(FH$2=FI$2,FH19=FI19),1,0)))))</f>
        <v/>
      </c>
      <c r="FK19" s="1" t="n">
        <f aca="false">Participantes!DI18</f>
        <v>0</v>
      </c>
      <c r="FL19" s="1" t="n">
        <f aca="false">Participantes!DJ18</f>
        <v>0</v>
      </c>
      <c r="FM19" s="82" t="str">
        <f aca="false">IF(FK$2="","",IF(AND(FK19=FK$2,FL19=FL$2),3,IF(AND(FK$2&gt;FL$2,FK19&gt;FL19),1,IF(AND(FL$2&gt;FK$2,FL19&gt;FK19),1,IF(AND(FK$2=FL$2,FK19=FL19),1,0)))))</f>
        <v/>
      </c>
      <c r="FN19" s="1" t="n">
        <f aca="false">Participantes!DK18</f>
        <v>0</v>
      </c>
      <c r="FO19" s="1" t="n">
        <f aca="false">Participantes!DL18</f>
        <v>0</v>
      </c>
      <c r="FP19" s="82" t="str">
        <f aca="false">IF(FN$2="","",IF(AND(FN19=FN$2,FO19=FO$2),3,IF(AND(FN$2&gt;FO$2,FN19&gt;FO19),1,IF(AND(FO$2&gt;FN$2,FO19&gt;FN19),1,IF(AND(FN$2=FO$2,FN19=FO19),1,0)))))</f>
        <v/>
      </c>
      <c r="FQ19" s="1" t="n">
        <f aca="false">Participantes!DM18</f>
        <v>0</v>
      </c>
      <c r="FR19" s="1" t="n">
        <f aca="false">Participantes!DN18</f>
        <v>0</v>
      </c>
      <c r="FS19" s="82" t="str">
        <f aca="false">IF(FQ$2="","",IF(AND(FQ19=FQ$2,FR19=FR$2),3,IF(AND(FQ$2&gt;FR$2,FQ19&gt;FR19),1,IF(AND(FR$2&gt;FQ$2,FR19&gt;FQ19),1,IF(AND(FQ$2=FR$2,FQ19=FR19),1,0)))))</f>
        <v/>
      </c>
      <c r="FT19" s="1" t="n">
        <f aca="false">Participantes!DO18</f>
        <v>0</v>
      </c>
      <c r="FU19" s="1" t="n">
        <f aca="false">Participantes!DP18</f>
        <v>0</v>
      </c>
      <c r="FV19" s="82" t="str">
        <f aca="false">IF(FT$2="","",IF(AND(FT19=FT$2,FU19=FU$2),3,IF(AND(FT$2&gt;FU$2,FT19&gt;FU19),1,IF(AND(FU$2&gt;FT$2,FU19&gt;FT19),1,IF(AND(FT$2=FU$2,FT19=FU19),1,0)))))</f>
        <v/>
      </c>
      <c r="FW19" s="1" t="n">
        <f aca="false">Participantes!DQ18</f>
        <v>0</v>
      </c>
      <c r="FX19" s="1" t="n">
        <f aca="false">Participantes!DR18</f>
        <v>0</v>
      </c>
      <c r="FY19" s="82" t="str">
        <f aca="false">IF(FW$2="","",IF(AND(FW19=FW$2,FX19=FX$2),3,IF(AND(FW$2&gt;FX$2,FW19&gt;FX19),1,IF(AND(FX$2&gt;FW$2,FX19&gt;FW19),1,IF(AND(FW$2=FX$2,FW19=FX19),1,0)))))</f>
        <v/>
      </c>
      <c r="FZ19" s="1" t="n">
        <f aca="false">Participantes!DS18</f>
        <v>0</v>
      </c>
      <c r="GA19" s="1" t="n">
        <f aca="false">Participantes!DT18</f>
        <v>0</v>
      </c>
      <c r="GB19" s="82" t="str">
        <f aca="false">IF(FZ$2="","",IF(AND(FZ19=FZ$2,GA19=GA$2),3,IF(AND(FZ$2&gt;GA$2,FZ19&gt;GA19),1,IF(AND(GA$2&gt;FZ$2,GA19&gt;FZ19),1,IF(AND(FZ$2=GA$2,FZ19=GA19),1,0)))))</f>
        <v/>
      </c>
      <c r="GC19" s="1" t="n">
        <f aca="false">Participantes!DU18</f>
        <v>0</v>
      </c>
      <c r="GD19" s="1" t="n">
        <f aca="false">Participantes!DV18</f>
        <v>0</v>
      </c>
      <c r="GE19" s="82" t="str">
        <f aca="false">IF(GC$2="","",IF(AND(GC19=GC$2,GD19=GD$2),3,IF(AND(GC$2&gt;GD$2,GC19&gt;GD19),1,IF(AND(GD$2&gt;GC$2,GD19&gt;GC19),1,IF(AND(GC$2=GD$2,GC19=GD19),1,0)))))</f>
        <v/>
      </c>
      <c r="GF19" s="1" t="n">
        <f aca="false">Participantes!DW18</f>
        <v>0</v>
      </c>
      <c r="GG19" s="1" t="n">
        <f aca="false">Participantes!DX18</f>
        <v>0</v>
      </c>
      <c r="GH19" s="82" t="str">
        <f aca="false">IF(GF$2="","",IF(AND(GF19=GF$2,GG19=GG$2),3,IF(AND(GF$2&gt;GG$2,GF19&gt;GG19),1,IF(AND(GG$2&gt;GF$2,GG19&gt;GF19),1,IF(AND(GF$2=GG$2,GF19=GG19),1,0)))))</f>
        <v/>
      </c>
      <c r="GI19" s="1" t="n">
        <f aca="false">Participantes!DY18</f>
        <v>0</v>
      </c>
      <c r="GJ19" s="1" t="n">
        <f aca="false">Participantes!DZ18</f>
        <v>0</v>
      </c>
      <c r="GK19" s="82" t="str">
        <f aca="false">IF(GI$2="","",IF(AND(GI19=GI$2,GJ19=GJ$2),3,IF(AND(GI$2&gt;GJ$2,GI19&gt;GJ19),1,IF(AND(GJ$2&gt;GI$2,GJ19&gt;GI19),1,IF(AND(GI$2=GJ$2,GI19=GJ19),1,0)))))</f>
        <v/>
      </c>
      <c r="GL19" s="1" t="n">
        <f aca="false">Participantes!EA18</f>
        <v>0</v>
      </c>
      <c r="GM19" s="1" t="n">
        <f aca="false">Participantes!EB18</f>
        <v>0</v>
      </c>
      <c r="GN19" s="82" t="str">
        <f aca="false">IF(GL$2="","",IF(AND(GL19=GL$2,GM19=GM$2),3,IF(AND(GL$2&gt;GM$2,GL19&gt;GM19),1,IF(AND(GM$2&gt;GL$2,GM19&gt;GL19),1,IF(AND(GL$2=GM$2,GL19=GM19),1,0)))))</f>
        <v/>
      </c>
      <c r="GO19" s="1" t="n">
        <f aca="false">Participantes!EC18</f>
        <v>0</v>
      </c>
      <c r="GP19" s="1" t="n">
        <f aca="false">Participantes!ED18</f>
        <v>0</v>
      </c>
      <c r="GQ19" s="82" t="str">
        <f aca="false">IF(GO$2="","",IF(AND(GO19=GO$2,GP19=GP$2),3,IF(AND(GO$2&gt;GP$2,GO19&gt;GP19),1,IF(AND(GP$2&gt;GO$2,GP19&gt;GO19),1,IF(AND(GO$2=GP$2,GO19=GP19),1,0)))))</f>
        <v/>
      </c>
      <c r="GR19" s="1" t="n">
        <f aca="false">Participantes!EE18</f>
        <v>0</v>
      </c>
      <c r="GS19" s="1" t="n">
        <f aca="false">Participantes!EF18</f>
        <v>0</v>
      </c>
      <c r="GT19" s="82" t="str">
        <f aca="false">IF(GR$2="","",IF(AND(GR19=GR$2,GS19=GS$2),3,IF(AND(GR$2&gt;GS$2,GR19&gt;GS19),1,IF(AND(GS$2&gt;GR$2,GS19&gt;GR19),1,IF(AND(GR$2=GS$2,GR19=GS19),1,0)))))</f>
        <v/>
      </c>
      <c r="GU19" s="1" t="n">
        <f aca="false">Participantes!EG18</f>
        <v>0</v>
      </c>
      <c r="GV19" s="1" t="n">
        <f aca="false">Participantes!EH18</f>
        <v>0</v>
      </c>
      <c r="GW19" s="82" t="str">
        <f aca="false">IF(GU$2="","",IF(AND(GU19=GU$2,GV19=GV$2),3,IF(AND(GU$2&gt;GV$2,GU19&gt;GV19),1,IF(AND(GV$2&gt;GU$2,GV19&gt;GU19),1,IF(AND(GU$2=GV$2,GU19=GV19),1,0)))))</f>
        <v/>
      </c>
      <c r="GX19" s="1" t="n">
        <f aca="false">Participantes!EI18</f>
        <v>0</v>
      </c>
      <c r="GY19" s="1" t="n">
        <f aca="false">Participantes!EJ18</f>
        <v>0</v>
      </c>
      <c r="GZ19" s="82" t="str">
        <f aca="false">IF(GX$2="","",IF(AND(GX19=GX$2,GY19=GY$2),3,IF(AND(GX$2&gt;GY$2,GX19&gt;GY19),1,IF(AND(GY$2&gt;GX$2,GY19&gt;GX19),1,IF(AND(GX$2=GY$2,GX19=GY19),1,0)))))</f>
        <v/>
      </c>
      <c r="HA19" s="1" t="n">
        <f aca="false">Participantes!EK18</f>
        <v>0</v>
      </c>
      <c r="HB19" s="1" t="n">
        <f aca="false">Participantes!EL18</f>
        <v>0</v>
      </c>
      <c r="HC19" s="82" t="str">
        <f aca="false">IF(HA$2="","",IF(AND(HA19=HA$2,HB19=HB$2),3,IF(AND(HA$2&gt;HB$2,HA19&gt;HB19),1,IF(AND(HB$2&gt;HA$2,HB19&gt;HA19),1,IF(AND(HA$2=HB$2,HA19=HB19),1,0)))))</f>
        <v/>
      </c>
      <c r="HD19" s="1" t="n">
        <f aca="false">Participantes!EM18</f>
        <v>0</v>
      </c>
      <c r="HE19" s="1" t="n">
        <f aca="false">Participantes!EN18</f>
        <v>0</v>
      </c>
      <c r="HF19" s="82" t="str">
        <f aca="false">IF(HD$2="","",IF(AND(HD19=HD$2,HE19=HE$2),3,IF(AND(HD$2&gt;HE$2,HD19&gt;HE19),1,IF(AND(HE$2&gt;HD$2,HE19&gt;HD19),1,IF(AND(HD$2=HE$2,HD19=HE19),1,0)))))</f>
        <v/>
      </c>
      <c r="HG19" s="1" t="n">
        <f aca="false">Participantes!EO18</f>
        <v>0</v>
      </c>
      <c r="HH19" s="1" t="n">
        <f aca="false">Participantes!EP18</f>
        <v>0</v>
      </c>
      <c r="HI19" s="82" t="str">
        <f aca="false">IF(HG$2="","",IF(AND(HG19=HG$2,HH19=HH$2),3,IF(AND(HG$2&gt;HH$2,HG19&gt;HH19),1,IF(AND(HH$2&gt;HG$2,HH19&gt;HG19),1,IF(AND(HG$2=HH$2,HG19=HH19),1,0)))))</f>
        <v/>
      </c>
      <c r="HJ19" s="83" t="n">
        <f aca="false">SUM(D19,G19,J19,M19,P19,S19,V19,Y19,AB19,AE19,AH19,AK19,AN19,AQ19,AT19,AW19,AZ19,BC19,BF19,BI19,BL19,BO19,BR19,BU19,BX19,CA19,CD19,CG19,CJ19,CM19,CP19,CS19,CV19,CY19,DB19,DE19,DH19,DK19,DN19,DQ19,DT19,DW19,DZ19,EC19,EF19,EI19,EL19,EO19,ER19,EU19,EX19,FA19,FD19,FG19,FJ19,FM19,FP19,FS19,FV19,FY19,GB19,GE19,GH19,GK19,GN19,GQ19,GT19,GW19,GZ19,HC19,HF19,HI19)</f>
        <v>0</v>
      </c>
    </row>
    <row r="20" customFormat="false" ht="15" hidden="false" customHeight="true" outlineLevel="0" collapsed="false">
      <c r="A20" s="81" t="str">
        <f aca="false">Participantes!B19</f>
        <v>Jose C 2</v>
      </c>
      <c r="B20" s="1" t="n">
        <f aca="false">Participantes!C19</f>
        <v>1</v>
      </c>
      <c r="C20" s="1" t="n">
        <f aca="false">Participantes!D19</f>
        <v>0</v>
      </c>
      <c r="D20" s="82" t="n">
        <f aca="false">IF(B$2="","",IF(AND(B20=B$2,C20=C$2),3,IF(AND(B$2&gt;C$2,B20&gt;C20),1,IF(AND(C$2&gt;B$2,C20&gt;B20),1,IF(AND(B$2=C$2,B20=C20),1,0)))))</f>
        <v>1</v>
      </c>
      <c r="E20" s="1" t="n">
        <f aca="false">Participantes!E19</f>
        <v>2</v>
      </c>
      <c r="F20" s="1" t="n">
        <f aca="false">Participantes!F19</f>
        <v>1</v>
      </c>
      <c r="G20" s="82" t="str">
        <f aca="false">IF(E$2="","",IF(AND(E20=E$2,F20=F$2),3,IF(AND(E$2&gt;F$2,E20&gt;F20),1,IF(AND(F$2&gt;E$2,F20&gt;E20),1,IF(AND(E$2=F$2,E20=F20),1,0)))))</f>
        <v/>
      </c>
      <c r="H20" s="1" t="n">
        <f aca="false">Participantes!G19</f>
        <v>1</v>
      </c>
      <c r="I20" s="1" t="n">
        <f aca="false">Participantes!H19</f>
        <v>1</v>
      </c>
      <c r="J20" s="82" t="str">
        <f aca="false">IF(H$2="","",IF(AND(H20=H$2,I20=I$2),3,IF(AND(H$2&gt;I$2,H20&gt;I20),1,IF(AND(I$2&gt;H$2,I20&gt;H20),1,IF(AND(H$2=I$2,H20=I20),1,0)))))</f>
        <v/>
      </c>
      <c r="K20" s="1" t="n">
        <f aca="false">Participantes!I19</f>
        <v>2</v>
      </c>
      <c r="L20" s="1" t="n">
        <f aca="false">Participantes!J19</f>
        <v>2</v>
      </c>
      <c r="M20" s="82" t="str">
        <f aca="false">IF(K$2="","",IF(AND(K20=K$2,L20=L$2),3,IF(AND(K$2&gt;L$2,K20&gt;L20),1,IF(AND(L$2&gt;K$2,L20&gt;K20),1,IF(AND(K$2=L$2,K20=L20),1,0)))))</f>
        <v/>
      </c>
      <c r="N20" s="1" t="n">
        <f aca="false">Participantes!K19</f>
        <v>2</v>
      </c>
      <c r="O20" s="1" t="n">
        <f aca="false">Participantes!L19</f>
        <v>0</v>
      </c>
      <c r="P20" s="82" t="str">
        <f aca="false">IF(N$2="","",IF(AND(N20=N$2,O20=O$2),3,IF(AND(N$2&gt;O$2,N20&gt;O20),1,IF(AND(O$2&gt;N$2,O20&gt;N20),1,IF(AND(N$2=O$2,N20=O20),1,0)))))</f>
        <v/>
      </c>
      <c r="Q20" s="1" t="n">
        <f aca="false">Participantes!M19</f>
        <v>1</v>
      </c>
      <c r="R20" s="1" t="n">
        <f aca="false">Participantes!N19</f>
        <v>2</v>
      </c>
      <c r="S20" s="82" t="str">
        <f aca="false">IF(Q$2="","",IF(AND(Q20=Q$2,R20=R$2),3,IF(AND(Q$2&gt;R$2,Q20&gt;R20),1,IF(AND(R$2&gt;Q$2,R20&gt;Q20),1,IF(AND(Q$2=R$2,Q20=R20),1,0)))))</f>
        <v/>
      </c>
      <c r="T20" s="1" t="n">
        <f aca="false">Participantes!O19</f>
        <v>1</v>
      </c>
      <c r="U20" s="1" t="n">
        <f aca="false">Participantes!P19</f>
        <v>2</v>
      </c>
      <c r="V20" s="82" t="str">
        <f aca="false">IF(T$2="","",IF(AND(T20=T$2,U20=U$2),3,IF(AND(T$2&gt;U$2,T20&gt;U20),1,IF(AND(U$2&gt;T$2,U20&gt;T20),1,IF(AND(T$2=U$2,T20=U20),1,0)))))</f>
        <v/>
      </c>
      <c r="W20" s="1" t="n">
        <f aca="false">Participantes!Q19</f>
        <v>1</v>
      </c>
      <c r="X20" s="1" t="n">
        <f aca="false">Participantes!R19</f>
        <v>1</v>
      </c>
      <c r="Y20" s="82" t="str">
        <f aca="false">IF(W$2="","",IF(AND(W20=W$2,X20=X$2),3,IF(AND(W$2&gt;X$2,W20&gt;X20),1,IF(AND(X$2&gt;W$2,X20&gt;W20),1,IF(AND(W$2=X$2,W20=X20),1,0)))))</f>
        <v/>
      </c>
      <c r="Z20" s="1" t="n">
        <f aca="false">Participantes!S19</f>
        <v>2</v>
      </c>
      <c r="AA20" s="1" t="n">
        <f aca="false">Participantes!T19</f>
        <v>1</v>
      </c>
      <c r="AB20" s="82" t="str">
        <f aca="false">IF(Z$2="","",IF(AND(Z20=Z$2,AA20=AA$2),3,IF(AND(Z$2&gt;AA$2,Z20&gt;AA20),1,IF(AND(AA$2&gt;Z$2,AA20&gt;Z20),1,IF(AND(Z$2=AA$2,Z20=AA20),1,0)))))</f>
        <v/>
      </c>
      <c r="AC20" s="1" t="n">
        <f aca="false">Participantes!U19</f>
        <v>4</v>
      </c>
      <c r="AD20" s="1" t="n">
        <f aca="false">Participantes!V19</f>
        <v>1</v>
      </c>
      <c r="AE20" s="82" t="str">
        <f aca="false">IF(AC$2="","",IF(AND(AC20=AC$2,AD20=AD$2),3,IF(AND(AC$2&gt;AD$2,AC20&gt;AD20),1,IF(AND(AD$2&gt;AC$2,AD20&gt;AC20),1,IF(AND(AC$2=AD$2,AC20=AD20),1,0)))))</f>
        <v/>
      </c>
      <c r="AF20" s="1" t="n">
        <f aca="false">Participantes!W19</f>
        <v>0</v>
      </c>
      <c r="AG20" s="1" t="n">
        <f aca="false">Participantes!X19</f>
        <v>2</v>
      </c>
      <c r="AH20" s="82" t="str">
        <f aca="false">IF(AF$2="","",IF(AND(AF20=AF$2,AG20=AG$2),3,IF(AND(AF$2&gt;AG$2,AF20&gt;AG20),1,IF(AND(AG$2&gt;AF$2,AG20&gt;AF20),1,IF(AND(AF$2=AG$2,AF20=AG20),1,0)))))</f>
        <v/>
      </c>
      <c r="AI20" s="1" t="n">
        <f aca="false">Participantes!Y19</f>
        <v>1</v>
      </c>
      <c r="AJ20" s="1" t="n">
        <f aca="false">Participantes!Z19</f>
        <v>0</v>
      </c>
      <c r="AK20" s="82" t="str">
        <f aca="false">IF(AI$2="","",IF(AND(AI20=AI$2,AJ20=AJ$2),3,IF(AND(AI$2&gt;AJ$2,AI20&gt;AJ20),1,IF(AND(AJ$2&gt;AI$2,AJ20&gt;AI20),1,IF(AND(AI$2=AJ$2,AI20=AJ20),1,0)))))</f>
        <v/>
      </c>
      <c r="AL20" s="1" t="n">
        <f aca="false">Participantes!AA19</f>
        <v>0</v>
      </c>
      <c r="AM20" s="1" t="n">
        <f aca="false">Participantes!AB19</f>
        <v>3</v>
      </c>
      <c r="AN20" s="82" t="str">
        <f aca="false">IF(AL$2="","",IF(AND(AL20=AL$2,AM20=AM$2),3,IF(AND(AL$2&gt;AM$2,AL20&gt;AM20),1,IF(AND(AM$2&gt;AL$2,AM20&gt;AL20),1,IF(AND(AL$2=AM$2,AL20=AM20),1,0)))))</f>
        <v/>
      </c>
      <c r="AO20" s="1" t="n">
        <f aca="false">Participantes!AC19</f>
        <v>5</v>
      </c>
      <c r="AP20" s="1" t="n">
        <f aca="false">Participantes!AD19</f>
        <v>1</v>
      </c>
      <c r="AQ20" s="82" t="str">
        <f aca="false">IF(AO$2="","",IF(AND(AO20=AO$2,AP20=AP$2),3,IF(AND(AO$2&gt;AP$2,AO20&gt;AP20),1,IF(AND(AP$2&gt;AO$2,AP20&gt;AO20),1,IF(AND(AO$2=AP$2,AO20=AP20),1,0)))))</f>
        <v/>
      </c>
      <c r="AR20" s="1" t="n">
        <f aca="false">Participantes!AE19</f>
        <v>0</v>
      </c>
      <c r="AS20" s="1" t="n">
        <f aca="false">Participantes!AF19</f>
        <v>0</v>
      </c>
      <c r="AT20" s="82" t="str">
        <f aca="false">IF(AR$2="","",IF(AND(AR20=AR$2,AS20=AS$2),3,IF(AND(AR$2&gt;AS$2,AR20&gt;AS20),1,IF(AND(AS$2&gt;AR$2,AS20&gt;AR20),1,IF(AND(AR$2=AS$2,AR20=AS20),1,0)))))</f>
        <v/>
      </c>
      <c r="AU20" s="1" t="n">
        <f aca="false">Participantes!AG19</f>
        <v>0</v>
      </c>
      <c r="AV20" s="1" t="n">
        <f aca="false">Participantes!AH19</f>
        <v>0</v>
      </c>
      <c r="AW20" s="82" t="str">
        <f aca="false">IF(AU$2="","",IF(AND(AU20=AU$2,AV20=AV$2),3,IF(AND(AU$2&gt;AV$2,AU20&gt;AV20),1,IF(AND(AV$2&gt;AU$2,AV20&gt;AU20),1,IF(AND(AU$2=AV$2,AU20=AV20),1,0)))))</f>
        <v/>
      </c>
      <c r="AX20" s="1" t="n">
        <f aca="false">Participantes!AI19</f>
        <v>0</v>
      </c>
      <c r="AY20" s="1" t="n">
        <f aca="false">Participantes!AJ19</f>
        <v>0</v>
      </c>
      <c r="AZ20" s="82" t="str">
        <f aca="false">IF(AX$2="","",IF(AND(AX20=AX$2,AY20=AY$2),3,IF(AND(AX$2&gt;AY$2,AX20&gt;AY20),1,IF(AND(AY$2&gt;AX$2,AY20&gt;AX20),1,IF(AND(AX$2=AY$2,AX20=AY20),1,0)))))</f>
        <v/>
      </c>
      <c r="BA20" s="1" t="n">
        <f aca="false">Participantes!AK19</f>
        <v>0</v>
      </c>
      <c r="BB20" s="1" t="n">
        <f aca="false">Participantes!AL19</f>
        <v>0</v>
      </c>
      <c r="BC20" s="82" t="str">
        <f aca="false">IF(BA$2="","",IF(AND(BA20=BA$2,BB20=BB$2),3,IF(AND(BA$2&gt;BB$2,BA20&gt;BB20),1,IF(AND(BB$2&gt;BA$2,BB20&gt;BA20),1,IF(AND(BA$2=BB$2,BA20=BB20),1,0)))))</f>
        <v/>
      </c>
      <c r="BD20" s="1" t="n">
        <f aca="false">Participantes!AM19</f>
        <v>0</v>
      </c>
      <c r="BE20" s="1" t="n">
        <f aca="false">Participantes!AN19</f>
        <v>0</v>
      </c>
      <c r="BF20" s="82" t="str">
        <f aca="false">IF(BD$2="","",IF(AND(BD20=BD$2,BE20=BE$2),3,IF(AND(BD$2&gt;BE$2,BD20&gt;BE20),1,IF(AND(BE$2&gt;BD$2,BE20&gt;BD20),1,IF(AND(BD$2=BE$2,BD20=BE20),1,0)))))</f>
        <v/>
      </c>
      <c r="BG20" s="1" t="n">
        <f aca="false">Participantes!AO19</f>
        <v>0</v>
      </c>
      <c r="BH20" s="1" t="n">
        <f aca="false">Participantes!AP19</f>
        <v>0</v>
      </c>
      <c r="BI20" s="82" t="str">
        <f aca="false">IF(BG$2="","",IF(AND(BG20=BG$2,BH20=BH$2),3,IF(AND(BG$2&gt;BH$2,BG20&gt;BH20),1,IF(AND(BH$2&gt;BG$2,BH20&gt;BG20),1,IF(AND(BG$2=BH$2,BG20=BH20),1,0)))))</f>
        <v/>
      </c>
      <c r="BJ20" s="1" t="n">
        <f aca="false">Participantes!AQ19</f>
        <v>0</v>
      </c>
      <c r="BK20" s="1" t="n">
        <f aca="false">Participantes!AR19</f>
        <v>0</v>
      </c>
      <c r="BL20" s="82" t="str">
        <f aca="false">IF(BJ$2="","",IF(AND(BJ20=BJ$2,BK20=BK$2),3,IF(AND(BJ$2&gt;BK$2,BJ20&gt;BK20),1,IF(AND(BK$2&gt;BJ$2,BK20&gt;BJ20),1,IF(AND(BJ$2=BK$2,BJ20=BK20),1,0)))))</f>
        <v/>
      </c>
      <c r="BM20" s="1" t="n">
        <f aca="false">Participantes!AS19</f>
        <v>0</v>
      </c>
      <c r="BN20" s="1" t="n">
        <f aca="false">Participantes!AT19</f>
        <v>0</v>
      </c>
      <c r="BO20" s="82" t="str">
        <f aca="false">IF(BM$2="","",IF(AND(BM20=BM$2,BN20=BN$2),3,IF(AND(BM$2&gt;BN$2,BM20&gt;BN20),1,IF(AND(BN$2&gt;BM$2,BN20&gt;BM20),1,IF(AND(BM$2=BN$2,BM20=BN20),1,0)))))</f>
        <v/>
      </c>
      <c r="BP20" s="1" t="n">
        <f aca="false">Participantes!AU19</f>
        <v>0</v>
      </c>
      <c r="BQ20" s="1" t="n">
        <f aca="false">Participantes!AV19</f>
        <v>0</v>
      </c>
      <c r="BR20" s="82" t="str">
        <f aca="false">IF(BP$2="","",IF(AND(BP20=BP$2,BQ20=BQ$2),3,IF(AND(BP$2&gt;BQ$2,BP20&gt;BQ20),1,IF(AND(BQ$2&gt;BP$2,BQ20&gt;BP20),1,IF(AND(BP$2=BQ$2,BP20=BQ20),1,0)))))</f>
        <v/>
      </c>
      <c r="BS20" s="1" t="n">
        <f aca="false">Participantes!AW19</f>
        <v>0</v>
      </c>
      <c r="BT20" s="1" t="n">
        <f aca="false">Participantes!AX19</f>
        <v>0</v>
      </c>
      <c r="BU20" s="82" t="str">
        <f aca="false">IF(BS$2="","",IF(AND(BS20=BS$2,BT20=BT$2),3,IF(AND(BS$2&gt;BT$2,BS20&gt;BT20),1,IF(AND(BT$2&gt;BS$2,BT20&gt;BS20),1,IF(AND(BS$2=BT$2,BS20=BT20),1,0)))))</f>
        <v/>
      </c>
      <c r="BV20" s="1" t="n">
        <f aca="false">Participantes!AY19</f>
        <v>0</v>
      </c>
      <c r="BW20" s="1" t="n">
        <f aca="false">Participantes!AZ19</f>
        <v>0</v>
      </c>
      <c r="BX20" s="82" t="str">
        <f aca="false">IF(BV$2="","",IF(AND(BV20=BV$2,BW20=BW$2),3,IF(AND(BV$2&gt;BW$2,BV20&gt;BW20),1,IF(AND(BW$2&gt;BV$2,BW20&gt;BV20),1,IF(AND(BV$2=BW$2,BV20=BW20),1,0)))))</f>
        <v/>
      </c>
      <c r="BY20" s="1" t="n">
        <f aca="false">Participantes!BA19</f>
        <v>0</v>
      </c>
      <c r="BZ20" s="1" t="n">
        <f aca="false">Participantes!BB19</f>
        <v>0</v>
      </c>
      <c r="CA20" s="82" t="str">
        <f aca="false">IF(BY$2="","",IF(AND(BY20=BY$2,BZ20=BZ$2),3,IF(AND(BY$2&gt;BZ$2,BY20&gt;BZ20),1,IF(AND(BZ$2&gt;BY$2,BZ20&gt;BY20),1,IF(AND(BY$2=BZ$2,BY20=BZ20),1,0)))))</f>
        <v/>
      </c>
      <c r="CB20" s="1" t="n">
        <f aca="false">Participantes!BC19</f>
        <v>0</v>
      </c>
      <c r="CC20" s="1" t="n">
        <f aca="false">Participantes!BD19</f>
        <v>0</v>
      </c>
      <c r="CD20" s="82" t="str">
        <f aca="false">IF(CB$2="","",IF(AND(CB20=CB$2,CC20=CC$2),3,IF(AND(CB$2&gt;CC$2,CB20&gt;CC20),1,IF(AND(CC$2&gt;CB$2,CC20&gt;CB20),1,IF(AND(CB$2=CC$2,CB20=CC20),1,0)))))</f>
        <v/>
      </c>
      <c r="CE20" s="1" t="n">
        <f aca="false">Participantes!BE19</f>
        <v>0</v>
      </c>
      <c r="CF20" s="1" t="n">
        <f aca="false">Participantes!BF19</f>
        <v>0</v>
      </c>
      <c r="CG20" s="82" t="str">
        <f aca="false">IF(CE$2="","",IF(AND(CE20=CE$2,CF20=CF$2),3,IF(AND(CE$2&gt;CF$2,CE20&gt;CF20),1,IF(AND(CF$2&gt;CE$2,CF20&gt;CE20),1,IF(AND(CE$2=CF$2,CE20=CF20),1,0)))))</f>
        <v/>
      </c>
      <c r="CH20" s="1" t="n">
        <f aca="false">Participantes!BG19</f>
        <v>0</v>
      </c>
      <c r="CI20" s="1" t="n">
        <f aca="false">Participantes!BH19</f>
        <v>0</v>
      </c>
      <c r="CJ20" s="82" t="str">
        <f aca="false">IF(CH$2="","",IF(AND(CH20=CH$2,CI20=CI$2),3,IF(AND(CH$2&gt;CI$2,CH20&gt;CI20),1,IF(AND(CI$2&gt;CH$2,CI20&gt;CH20),1,IF(AND(CH$2=CI$2,CH20=CI20),1,0)))))</f>
        <v/>
      </c>
      <c r="CK20" s="1" t="n">
        <f aca="false">Participantes!BI19</f>
        <v>0</v>
      </c>
      <c r="CL20" s="1" t="n">
        <f aca="false">Participantes!BJ19</f>
        <v>0</v>
      </c>
      <c r="CM20" s="82" t="str">
        <f aca="false">IF(CK$2="","",IF(AND(CK20=CK$2,CL20=CL$2),3,IF(AND(CK$2&gt;CL$2,CK20&gt;CL20),1,IF(AND(CL$2&gt;CK$2,CL20&gt;CK20),1,IF(AND(CK$2=CL$2,CK20=CL20),1,0)))))</f>
        <v/>
      </c>
      <c r="CN20" s="1" t="n">
        <f aca="false">Participantes!BK19</f>
        <v>0</v>
      </c>
      <c r="CO20" s="1" t="n">
        <f aca="false">Participantes!BL19</f>
        <v>0</v>
      </c>
      <c r="CP20" s="82" t="str">
        <f aca="false">IF(CN$2="","",IF(AND(CN20=CN$2,CO20=CO$2),3,IF(AND(CN$2&gt;CO$2,CN20&gt;CO20),1,IF(AND(CO$2&gt;CN$2,CO20&gt;CN20),1,IF(AND(CN$2=CO$2,CN20=CO20),1,0)))))</f>
        <v/>
      </c>
      <c r="CQ20" s="1" t="n">
        <f aca="false">Participantes!BM19</f>
        <v>0</v>
      </c>
      <c r="CR20" s="1" t="n">
        <f aca="false">Participantes!BN19</f>
        <v>0</v>
      </c>
      <c r="CS20" s="82" t="str">
        <f aca="false">IF(CQ$2="","",IF(AND(CQ20=CQ$2,CR20=CR$2),3,IF(AND(CQ$2&gt;CR$2,CQ20&gt;CR20),1,IF(AND(CR$2&gt;CQ$2,CR20&gt;CQ20),1,IF(AND(CQ$2=CR$2,CQ20=CR20),1,0)))))</f>
        <v/>
      </c>
      <c r="CT20" s="1" t="n">
        <f aca="false">Participantes!BO19</f>
        <v>0</v>
      </c>
      <c r="CU20" s="1" t="n">
        <f aca="false">Participantes!BP19</f>
        <v>0</v>
      </c>
      <c r="CV20" s="82" t="str">
        <f aca="false">IF(CT$2="","",IF(AND(CT20=CT$2,CU20=CU$2),3,IF(AND(CT$2&gt;CU$2,CT20&gt;CU20),1,IF(AND(CU$2&gt;CT$2,CU20&gt;CT20),1,IF(AND(CT$2=CU$2,CT20=CU20),1,0)))))</f>
        <v/>
      </c>
      <c r="CW20" s="1" t="n">
        <f aca="false">Participantes!BQ19</f>
        <v>0</v>
      </c>
      <c r="CX20" s="1" t="n">
        <f aca="false">Participantes!BR19</f>
        <v>0</v>
      </c>
      <c r="CY20" s="82" t="str">
        <f aca="false">IF(CW$2="","",IF(AND(CW20=CW$2,CX20=CX$2),3,IF(AND(CW$2&gt;CX$2,CW20&gt;CX20),1,IF(AND(CX$2&gt;CW$2,CX20&gt;CW20),1,IF(AND(CW$2=CX$2,CW20=CX20),1,0)))))</f>
        <v/>
      </c>
      <c r="CZ20" s="1" t="n">
        <f aca="false">Participantes!BS19</f>
        <v>0</v>
      </c>
      <c r="DA20" s="1" t="n">
        <f aca="false">Participantes!BT19</f>
        <v>0</v>
      </c>
      <c r="DB20" s="82" t="str">
        <f aca="false">IF(CZ$2="","",IF(AND(CZ20=CZ$2,DA20=DA$2),3,IF(AND(CZ$2&gt;DA$2,CZ20&gt;DA20),1,IF(AND(DA$2&gt;CZ$2,DA20&gt;CZ20),1,IF(AND(CZ$2=DA$2,CZ20=DA20),1,0)))))</f>
        <v/>
      </c>
      <c r="DC20" s="1" t="n">
        <f aca="false">Participantes!BU19</f>
        <v>0</v>
      </c>
      <c r="DD20" s="1" t="n">
        <f aca="false">Participantes!BV19</f>
        <v>0</v>
      </c>
      <c r="DE20" s="82" t="str">
        <f aca="false">IF(DC$2="","",IF(AND(DC20=DC$2,DD20=DD$2),3,IF(AND(DC$2&gt;DD$2,DC20&gt;DD20),1,IF(AND(DD$2&gt;DC$2,DD20&gt;DC20),1,IF(AND(DC$2=DD$2,DC20=DD20),1,0)))))</f>
        <v/>
      </c>
      <c r="DF20" s="1" t="n">
        <f aca="false">Participantes!BW19</f>
        <v>0</v>
      </c>
      <c r="DG20" s="1" t="n">
        <f aca="false">Participantes!BX19</f>
        <v>0</v>
      </c>
      <c r="DH20" s="82" t="str">
        <f aca="false">IF(DF$2="","",IF(AND(DF20=DF$2,DG20=DG$2),3,IF(AND(DF$2&gt;DG$2,DF20&gt;DG20),1,IF(AND(DG$2&gt;DF$2,DG20&gt;DF20),1,IF(AND(DF$2=DG$2,DF20=DG20),1,0)))))</f>
        <v/>
      </c>
      <c r="DI20" s="1" t="n">
        <f aca="false">Participantes!BY19</f>
        <v>0</v>
      </c>
      <c r="DJ20" s="1" t="n">
        <f aca="false">Participantes!BZ19</f>
        <v>0</v>
      </c>
      <c r="DK20" s="82" t="str">
        <f aca="false">IF(DI$2="","",IF(AND(DI20=DI$2,DJ20=DJ$2),3,IF(AND(DI$2&gt;DJ$2,DI20&gt;DJ20),1,IF(AND(DJ$2&gt;DI$2,DJ20&gt;DI20),1,IF(AND(DI$2=DJ$2,DI20=DJ20),1,0)))))</f>
        <v/>
      </c>
      <c r="DL20" s="1" t="n">
        <f aca="false">Participantes!CA19</f>
        <v>0</v>
      </c>
      <c r="DM20" s="1" t="n">
        <f aca="false">Participantes!CB19</f>
        <v>0</v>
      </c>
      <c r="DN20" s="82" t="str">
        <f aca="false">IF(DL$2="","",IF(AND(DL20=DL$2,DM20=DM$2),3,IF(AND(DL$2&gt;DM$2,DL20&gt;DM20),1,IF(AND(DM$2&gt;DL$2,DM20&gt;DL20),1,IF(AND(DL$2=DM$2,DL20=DM20),1,0)))))</f>
        <v/>
      </c>
      <c r="DO20" s="1" t="n">
        <f aca="false">Participantes!CC19</f>
        <v>0</v>
      </c>
      <c r="DP20" s="1" t="n">
        <f aca="false">Participantes!CD19</f>
        <v>0</v>
      </c>
      <c r="DQ20" s="82" t="str">
        <f aca="false">IF(DO$2="","",IF(AND(DO20=DO$2,DP20=DP$2),3,IF(AND(DO$2&gt;DP$2,DO20&gt;DP20),1,IF(AND(DP$2&gt;DO$2,DP20&gt;DO20),1,IF(AND(DO$2=DP$2,DO20=DP20),1,0)))))</f>
        <v/>
      </c>
      <c r="DR20" s="1" t="n">
        <f aca="false">Participantes!CE19</f>
        <v>0</v>
      </c>
      <c r="DS20" s="1" t="n">
        <f aca="false">Participantes!CF19</f>
        <v>0</v>
      </c>
      <c r="DT20" s="82" t="str">
        <f aca="false">IF(DR$2="","",IF(AND(DR20=DR$2,DS20=DS$2),3,IF(AND(DR$2&gt;DS$2,DR20&gt;DS20),1,IF(AND(DS$2&gt;DR$2,DS20&gt;DR20),1,IF(AND(DR$2=DS$2,DR20=DS20),1,0)))))</f>
        <v/>
      </c>
      <c r="DU20" s="1" t="n">
        <f aca="false">Participantes!CG19</f>
        <v>0</v>
      </c>
      <c r="DV20" s="1" t="n">
        <f aca="false">Participantes!CH19</f>
        <v>0</v>
      </c>
      <c r="DW20" s="82" t="str">
        <f aca="false">IF(DU$2="","",IF(AND(DU20=DU$2,DV20=DV$2),3,IF(AND(DU$2&gt;DV$2,DU20&gt;DV20),1,IF(AND(DV$2&gt;DU$2,DV20&gt;DU20),1,IF(AND(DU$2=DV$2,DU20=DV20),1,0)))))</f>
        <v/>
      </c>
      <c r="DX20" s="1" t="n">
        <f aca="false">Participantes!CI19</f>
        <v>0</v>
      </c>
      <c r="DY20" s="1" t="n">
        <f aca="false">Participantes!CJ19</f>
        <v>0</v>
      </c>
      <c r="DZ20" s="82" t="str">
        <f aca="false">IF(DX$2="","",IF(AND(DX20=DX$2,DY20=DY$2),3,IF(AND(DX$2&gt;DY$2,DX20&gt;DY20),1,IF(AND(DY$2&gt;DX$2,DY20&gt;DX20),1,IF(AND(DX$2=DY$2,DX20=DY20),1,0)))))</f>
        <v/>
      </c>
      <c r="EA20" s="1" t="n">
        <f aca="false">Participantes!CK19</f>
        <v>0</v>
      </c>
      <c r="EB20" s="1" t="n">
        <f aca="false">Participantes!CL19</f>
        <v>0</v>
      </c>
      <c r="EC20" s="82" t="str">
        <f aca="false">IF(EA$2="","",IF(AND(EA20=EA$2,EB20=EB$2),3,IF(AND(EA$2&gt;EB$2,EA20&gt;EB20),1,IF(AND(EB$2&gt;EA$2,EB20&gt;EA20),1,IF(AND(EA$2=EB$2,EA20=EB20),1,0)))))</f>
        <v/>
      </c>
      <c r="ED20" s="1" t="n">
        <f aca="false">Participantes!CM19</f>
        <v>0</v>
      </c>
      <c r="EE20" s="1" t="n">
        <f aca="false">Participantes!CN19</f>
        <v>0</v>
      </c>
      <c r="EF20" s="82" t="str">
        <f aca="false">IF(ED$2="","",IF(AND(ED20=ED$2,EE20=EE$2),3,IF(AND(ED$2&gt;EE$2,ED20&gt;EE20),1,IF(AND(EE$2&gt;ED$2,EE20&gt;ED20),1,IF(AND(ED$2=EE$2,ED20=EE20),1,0)))))</f>
        <v/>
      </c>
      <c r="EG20" s="1" t="n">
        <f aca="false">Participantes!CO19</f>
        <v>0</v>
      </c>
      <c r="EH20" s="1" t="n">
        <f aca="false">Participantes!CP19</f>
        <v>0</v>
      </c>
      <c r="EI20" s="82" t="str">
        <f aca="false">IF(EG$2="","",IF(AND(EG20=EG$2,EH20=EH$2),3,IF(AND(EG$2&gt;EH$2,EG20&gt;EH20),1,IF(AND(EH$2&gt;EG$2,EH20&gt;EG20),1,IF(AND(EG$2=EH$2,EG20=EH20),1,0)))))</f>
        <v/>
      </c>
      <c r="EJ20" s="1" t="n">
        <f aca="false">Participantes!CQ19</f>
        <v>0</v>
      </c>
      <c r="EK20" s="1" t="n">
        <f aca="false">Participantes!CR19</f>
        <v>0</v>
      </c>
      <c r="EL20" s="82" t="str">
        <f aca="false">IF(EJ$2="","",IF(AND(EJ20=EJ$2,EK20=EK$2),3,IF(AND(EJ$2&gt;EK$2,EJ20&gt;EK20),1,IF(AND(EK$2&gt;EJ$2,EK20&gt;EJ20),1,IF(AND(EJ$2=EK$2,EJ20=EK20),1,0)))))</f>
        <v/>
      </c>
      <c r="EM20" s="1" t="n">
        <f aca="false">Participantes!CS19</f>
        <v>0</v>
      </c>
      <c r="EN20" s="1" t="n">
        <f aca="false">Participantes!CT19</f>
        <v>0</v>
      </c>
      <c r="EO20" s="82" t="str">
        <f aca="false">IF(EM$2="","",IF(AND(EM20=EM$2,EN20=EN$2),3,IF(AND(EM$2&gt;EN$2,EM20&gt;EN20),1,IF(AND(EN$2&gt;EM$2,EN20&gt;EM20),1,IF(AND(EM$2=EN$2,EM20=EN20),1,0)))))</f>
        <v/>
      </c>
      <c r="EP20" s="1" t="n">
        <f aca="false">Participantes!CU19</f>
        <v>0</v>
      </c>
      <c r="EQ20" s="1" t="n">
        <f aca="false">Participantes!CV19</f>
        <v>0</v>
      </c>
      <c r="ER20" s="82" t="str">
        <f aca="false">IF(EP$2="","",IF(AND(EP20=EP$2,EQ20=EQ$2),3,IF(AND(EP$2&gt;EQ$2,EP20&gt;EQ20),1,IF(AND(EQ$2&gt;EP$2,EQ20&gt;EP20),1,IF(AND(EP$2=EQ$2,EP20=EQ20),1,0)))))</f>
        <v/>
      </c>
      <c r="ES20" s="1" t="n">
        <f aca="false">Participantes!CW19</f>
        <v>0</v>
      </c>
      <c r="ET20" s="1" t="n">
        <f aca="false">Participantes!CX19</f>
        <v>0</v>
      </c>
      <c r="EU20" s="82" t="str">
        <f aca="false">IF(ES$2="","",IF(AND(ES20=ES$2,ET20=ET$2),3,IF(AND(ES$2&gt;ET$2,ES20&gt;ET20),1,IF(AND(ET$2&gt;ES$2,ET20&gt;ES20),1,IF(AND(ES$2=ET$2,ES20=ET20),1,0)))))</f>
        <v/>
      </c>
      <c r="EV20" s="1" t="n">
        <f aca="false">Participantes!CY19</f>
        <v>0</v>
      </c>
      <c r="EW20" s="1" t="n">
        <f aca="false">Participantes!CZ19</f>
        <v>0</v>
      </c>
      <c r="EX20" s="82" t="str">
        <f aca="false">IF(EV$2="","",IF(AND(EV20=EV$2,EW20=EW$2),3,IF(AND(EV$2&gt;EW$2,EV20&gt;EW20),1,IF(AND(EW$2&gt;EV$2,EW20&gt;EV20),1,IF(AND(EV$2=EW$2,EV20=EW20),1,0)))))</f>
        <v/>
      </c>
      <c r="EY20" s="1" t="n">
        <f aca="false">Participantes!DA19</f>
        <v>0</v>
      </c>
      <c r="EZ20" s="1" t="n">
        <f aca="false">Participantes!DB19</f>
        <v>0</v>
      </c>
      <c r="FA20" s="82" t="str">
        <f aca="false">IF(EY$2="","",IF(AND(EY20=EY$2,EZ20=EZ$2),3,IF(AND(EY$2&gt;EZ$2,EY20&gt;EZ20),1,IF(AND(EZ$2&gt;EY$2,EZ20&gt;EY20),1,IF(AND(EY$2=EZ$2,EY20=EZ20),1,0)))))</f>
        <v/>
      </c>
      <c r="FB20" s="1" t="n">
        <f aca="false">Participantes!DC19</f>
        <v>0</v>
      </c>
      <c r="FC20" s="1" t="n">
        <f aca="false">Participantes!DD19</f>
        <v>0</v>
      </c>
      <c r="FD20" s="82" t="str">
        <f aca="false">IF(FB$2="","",IF(AND(FB20=FB$2,FC20=FC$2),3,IF(AND(FB$2&gt;FC$2,FB20&gt;FC20),1,IF(AND(FC$2&gt;FB$2,FC20&gt;FB20),1,IF(AND(FB$2=FC$2,FB20=FC20),1,0)))))</f>
        <v/>
      </c>
      <c r="FE20" s="1" t="n">
        <f aca="false">Participantes!DE19</f>
        <v>0</v>
      </c>
      <c r="FF20" s="1" t="n">
        <f aca="false">Participantes!DF19</f>
        <v>0</v>
      </c>
      <c r="FG20" s="82" t="str">
        <f aca="false">IF(FE$2="","",IF(AND(FE20=FE$2,FF20=FF$2),3,IF(AND(FE$2&gt;FF$2,FE20&gt;FF20),1,IF(AND(FF$2&gt;FE$2,FF20&gt;FE20),1,IF(AND(FE$2=FF$2,FE20=FF20),1,0)))))</f>
        <v/>
      </c>
      <c r="FH20" s="1" t="n">
        <f aca="false">Participantes!DG19</f>
        <v>0</v>
      </c>
      <c r="FI20" s="1" t="n">
        <f aca="false">Participantes!DH19</f>
        <v>0</v>
      </c>
      <c r="FJ20" s="82" t="str">
        <f aca="false">IF(FH$2="","",IF(AND(FH20=FH$2,FI20=FI$2),3,IF(AND(FH$2&gt;FI$2,FH20&gt;FI20),1,IF(AND(FI$2&gt;FH$2,FI20&gt;FH20),1,IF(AND(FH$2=FI$2,FH20=FI20),1,0)))))</f>
        <v/>
      </c>
      <c r="FK20" s="1" t="n">
        <f aca="false">Participantes!DI19</f>
        <v>0</v>
      </c>
      <c r="FL20" s="1" t="n">
        <f aca="false">Participantes!DJ19</f>
        <v>0</v>
      </c>
      <c r="FM20" s="82" t="str">
        <f aca="false">IF(FK$2="","",IF(AND(FK20=FK$2,FL20=FL$2),3,IF(AND(FK$2&gt;FL$2,FK20&gt;FL20),1,IF(AND(FL$2&gt;FK$2,FL20&gt;FK20),1,IF(AND(FK$2=FL$2,FK20=FL20),1,0)))))</f>
        <v/>
      </c>
      <c r="FN20" s="1" t="n">
        <f aca="false">Participantes!DK19</f>
        <v>0</v>
      </c>
      <c r="FO20" s="1" t="n">
        <f aca="false">Participantes!DL19</f>
        <v>0</v>
      </c>
      <c r="FP20" s="82" t="str">
        <f aca="false">IF(FN$2="","",IF(AND(FN20=FN$2,FO20=FO$2),3,IF(AND(FN$2&gt;FO$2,FN20&gt;FO20),1,IF(AND(FO$2&gt;FN$2,FO20&gt;FN20),1,IF(AND(FN$2=FO$2,FN20=FO20),1,0)))))</f>
        <v/>
      </c>
      <c r="FQ20" s="1" t="n">
        <f aca="false">Participantes!DM19</f>
        <v>0</v>
      </c>
      <c r="FR20" s="1" t="n">
        <f aca="false">Participantes!DN19</f>
        <v>0</v>
      </c>
      <c r="FS20" s="82" t="str">
        <f aca="false">IF(FQ$2="","",IF(AND(FQ20=FQ$2,FR20=FR$2),3,IF(AND(FQ$2&gt;FR$2,FQ20&gt;FR20),1,IF(AND(FR$2&gt;FQ$2,FR20&gt;FQ20),1,IF(AND(FQ$2=FR$2,FQ20=FR20),1,0)))))</f>
        <v/>
      </c>
      <c r="FT20" s="1" t="n">
        <f aca="false">Participantes!DO19</f>
        <v>0</v>
      </c>
      <c r="FU20" s="1" t="n">
        <f aca="false">Participantes!DP19</f>
        <v>0</v>
      </c>
      <c r="FV20" s="82" t="str">
        <f aca="false">IF(FT$2="","",IF(AND(FT20=FT$2,FU20=FU$2),3,IF(AND(FT$2&gt;FU$2,FT20&gt;FU20),1,IF(AND(FU$2&gt;FT$2,FU20&gt;FT20),1,IF(AND(FT$2=FU$2,FT20=FU20),1,0)))))</f>
        <v/>
      </c>
      <c r="FW20" s="1" t="n">
        <f aca="false">Participantes!DQ19</f>
        <v>0</v>
      </c>
      <c r="FX20" s="1" t="n">
        <f aca="false">Participantes!DR19</f>
        <v>0</v>
      </c>
      <c r="FY20" s="82" t="str">
        <f aca="false">IF(FW$2="","",IF(AND(FW20=FW$2,FX20=FX$2),3,IF(AND(FW$2&gt;FX$2,FW20&gt;FX20),1,IF(AND(FX$2&gt;FW$2,FX20&gt;FW20),1,IF(AND(FW$2=FX$2,FW20=FX20),1,0)))))</f>
        <v/>
      </c>
      <c r="FZ20" s="1" t="n">
        <f aca="false">Participantes!DS19</f>
        <v>0</v>
      </c>
      <c r="GA20" s="1" t="n">
        <f aca="false">Participantes!DT19</f>
        <v>0</v>
      </c>
      <c r="GB20" s="82" t="str">
        <f aca="false">IF(FZ$2="","",IF(AND(FZ20=FZ$2,GA20=GA$2),3,IF(AND(FZ$2&gt;GA$2,FZ20&gt;GA20),1,IF(AND(GA$2&gt;FZ$2,GA20&gt;FZ20),1,IF(AND(FZ$2=GA$2,FZ20=GA20),1,0)))))</f>
        <v/>
      </c>
      <c r="GC20" s="1" t="n">
        <f aca="false">Participantes!DU19</f>
        <v>0</v>
      </c>
      <c r="GD20" s="1" t="n">
        <f aca="false">Participantes!DV19</f>
        <v>0</v>
      </c>
      <c r="GE20" s="82" t="str">
        <f aca="false">IF(GC$2="","",IF(AND(GC20=GC$2,GD20=GD$2),3,IF(AND(GC$2&gt;GD$2,GC20&gt;GD20),1,IF(AND(GD$2&gt;GC$2,GD20&gt;GC20),1,IF(AND(GC$2=GD$2,GC20=GD20),1,0)))))</f>
        <v/>
      </c>
      <c r="GF20" s="1" t="n">
        <f aca="false">Participantes!DW19</f>
        <v>0</v>
      </c>
      <c r="GG20" s="1" t="n">
        <f aca="false">Participantes!DX19</f>
        <v>0</v>
      </c>
      <c r="GH20" s="82" t="str">
        <f aca="false">IF(GF$2="","",IF(AND(GF20=GF$2,GG20=GG$2),3,IF(AND(GF$2&gt;GG$2,GF20&gt;GG20),1,IF(AND(GG$2&gt;GF$2,GG20&gt;GF20),1,IF(AND(GF$2=GG$2,GF20=GG20),1,0)))))</f>
        <v/>
      </c>
      <c r="GI20" s="1" t="n">
        <f aca="false">Participantes!DY19</f>
        <v>0</v>
      </c>
      <c r="GJ20" s="1" t="n">
        <f aca="false">Participantes!DZ19</f>
        <v>0</v>
      </c>
      <c r="GK20" s="82" t="str">
        <f aca="false">IF(GI$2="","",IF(AND(GI20=GI$2,GJ20=GJ$2),3,IF(AND(GI$2&gt;GJ$2,GI20&gt;GJ20),1,IF(AND(GJ$2&gt;GI$2,GJ20&gt;GI20),1,IF(AND(GI$2=GJ$2,GI20=GJ20),1,0)))))</f>
        <v/>
      </c>
      <c r="GL20" s="1" t="n">
        <f aca="false">Participantes!EA19</f>
        <v>0</v>
      </c>
      <c r="GM20" s="1" t="n">
        <f aca="false">Participantes!EB19</f>
        <v>0</v>
      </c>
      <c r="GN20" s="82" t="str">
        <f aca="false">IF(GL$2="","",IF(AND(GL20=GL$2,GM20=GM$2),3,IF(AND(GL$2&gt;GM$2,GL20&gt;GM20),1,IF(AND(GM$2&gt;GL$2,GM20&gt;GL20),1,IF(AND(GL$2=GM$2,GL20=GM20),1,0)))))</f>
        <v/>
      </c>
      <c r="GO20" s="1" t="n">
        <f aca="false">Participantes!EC19</f>
        <v>0</v>
      </c>
      <c r="GP20" s="1" t="n">
        <f aca="false">Participantes!ED19</f>
        <v>0</v>
      </c>
      <c r="GQ20" s="82" t="str">
        <f aca="false">IF(GO$2="","",IF(AND(GO20=GO$2,GP20=GP$2),3,IF(AND(GO$2&gt;GP$2,GO20&gt;GP20),1,IF(AND(GP$2&gt;GO$2,GP20&gt;GO20),1,IF(AND(GO$2=GP$2,GO20=GP20),1,0)))))</f>
        <v/>
      </c>
      <c r="GR20" s="1" t="n">
        <f aca="false">Participantes!EE19</f>
        <v>0</v>
      </c>
      <c r="GS20" s="1" t="n">
        <f aca="false">Participantes!EF19</f>
        <v>0</v>
      </c>
      <c r="GT20" s="82" t="str">
        <f aca="false">IF(GR$2="","",IF(AND(GR20=GR$2,GS20=GS$2),3,IF(AND(GR$2&gt;GS$2,GR20&gt;GS20),1,IF(AND(GS$2&gt;GR$2,GS20&gt;GR20),1,IF(AND(GR$2=GS$2,GR20=GS20),1,0)))))</f>
        <v/>
      </c>
      <c r="GU20" s="1" t="n">
        <f aca="false">Participantes!EG19</f>
        <v>0</v>
      </c>
      <c r="GV20" s="1" t="n">
        <f aca="false">Participantes!EH19</f>
        <v>0</v>
      </c>
      <c r="GW20" s="82" t="str">
        <f aca="false">IF(GU$2="","",IF(AND(GU20=GU$2,GV20=GV$2),3,IF(AND(GU$2&gt;GV$2,GU20&gt;GV20),1,IF(AND(GV$2&gt;GU$2,GV20&gt;GU20),1,IF(AND(GU$2=GV$2,GU20=GV20),1,0)))))</f>
        <v/>
      </c>
      <c r="GX20" s="1" t="n">
        <f aca="false">Participantes!EI19</f>
        <v>0</v>
      </c>
      <c r="GY20" s="1" t="n">
        <f aca="false">Participantes!EJ19</f>
        <v>0</v>
      </c>
      <c r="GZ20" s="82" t="str">
        <f aca="false">IF(GX$2="","",IF(AND(GX20=GX$2,GY20=GY$2),3,IF(AND(GX$2&gt;GY$2,GX20&gt;GY20),1,IF(AND(GY$2&gt;GX$2,GY20&gt;GX20),1,IF(AND(GX$2=GY$2,GX20=GY20),1,0)))))</f>
        <v/>
      </c>
      <c r="HA20" s="1" t="n">
        <f aca="false">Participantes!EK19</f>
        <v>0</v>
      </c>
      <c r="HB20" s="1" t="n">
        <f aca="false">Participantes!EL19</f>
        <v>0</v>
      </c>
      <c r="HC20" s="82" t="str">
        <f aca="false">IF(HA$2="","",IF(AND(HA20=HA$2,HB20=HB$2),3,IF(AND(HA$2&gt;HB$2,HA20&gt;HB20),1,IF(AND(HB$2&gt;HA$2,HB20&gt;HA20),1,IF(AND(HA$2=HB$2,HA20=HB20),1,0)))))</f>
        <v/>
      </c>
      <c r="HD20" s="1" t="n">
        <f aca="false">Participantes!EM19</f>
        <v>0</v>
      </c>
      <c r="HE20" s="1" t="n">
        <f aca="false">Participantes!EN19</f>
        <v>0</v>
      </c>
      <c r="HF20" s="82" t="str">
        <f aca="false">IF(HD$2="","",IF(AND(HD20=HD$2,HE20=HE$2),3,IF(AND(HD$2&gt;HE$2,HD20&gt;HE20),1,IF(AND(HE$2&gt;HD$2,HE20&gt;HD20),1,IF(AND(HD$2=HE$2,HD20=HE20),1,0)))))</f>
        <v/>
      </c>
      <c r="HG20" s="1" t="n">
        <f aca="false">Participantes!EO19</f>
        <v>0</v>
      </c>
      <c r="HH20" s="1" t="n">
        <f aca="false">Participantes!EP19</f>
        <v>0</v>
      </c>
      <c r="HI20" s="82" t="str">
        <f aca="false">IF(HG$2="","",IF(AND(HG20=HG$2,HH20=HH$2),3,IF(AND(HG$2&gt;HH$2,HG20&gt;HH20),1,IF(AND(HH$2&gt;HG$2,HH20&gt;HG20),1,IF(AND(HG$2=HH$2,HG20=HH20),1,0)))))</f>
        <v/>
      </c>
      <c r="HJ20" s="83" t="n">
        <f aca="false">SUM(D20,G20,J20,M20,P20,S20,V20,Y20,AB20,AE20,AH20,AK20,AN20,AQ20,AT20,AW20,AZ20,BC20,BF20,BI20,BL20,BO20,BR20,BU20,BX20,CA20,CD20,CG20,CJ20,CM20,CP20,CS20,CV20,CY20,DB20,DE20,DH20,DK20,DN20,DQ20,DT20,DW20,DZ20,EC20,EF20,EI20,EL20,EO20,ER20,EU20,EX20,FA20,FD20,FG20,FJ20,FM20,FP20,FS20,FV20,FY20,GB20,GE20,GH20,GK20,GN20,GQ20,GT20,GW20,GZ20,HC20,HF20,HI20)</f>
        <v>1</v>
      </c>
    </row>
    <row r="21" customFormat="false" ht="15" hidden="false" customHeight="true" outlineLevel="0" collapsed="false">
      <c r="A21" s="81" t="str">
        <f aca="false">Participantes!B20</f>
        <v>Jose C Ahiza</v>
      </c>
      <c r="B21" s="1" t="n">
        <f aca="false">Participantes!C20</f>
        <v>2</v>
      </c>
      <c r="C21" s="1" t="n">
        <f aca="false">Participantes!D20</f>
        <v>1</v>
      </c>
      <c r="D21" s="82" t="n">
        <f aca="false">IF(B$2="","",IF(AND(B21=B$2,C21=C$2),3,IF(AND(B$2&gt;C$2,B21&gt;C21),1,IF(AND(C$2&gt;B$2,C21&gt;B21),1,IF(AND(B$2=C$2,B21=C21),1,0)))))</f>
        <v>1</v>
      </c>
      <c r="E21" s="1" t="n">
        <f aca="false">Participantes!E20</f>
        <v>2</v>
      </c>
      <c r="F21" s="1" t="n">
        <f aca="false">Participantes!F20</f>
        <v>1</v>
      </c>
      <c r="G21" s="82" t="str">
        <f aca="false">IF(E$2="","",IF(AND(E21=E$2,F21=F$2),3,IF(AND(E$2&gt;F$2,E21&gt;F21),1,IF(AND(F$2&gt;E$2,F21&gt;E21),1,IF(AND(E$2=F$2,E21=F21),1,0)))))</f>
        <v/>
      </c>
      <c r="H21" s="1" t="n">
        <f aca="false">Participantes!G20</f>
        <v>2</v>
      </c>
      <c r="I21" s="1" t="n">
        <f aca="false">Participantes!H20</f>
        <v>0</v>
      </c>
      <c r="J21" s="82" t="str">
        <f aca="false">IF(H$2="","",IF(AND(H21=H$2,I21=I$2),3,IF(AND(H$2&gt;I$2,H21&gt;I21),1,IF(AND(I$2&gt;H$2,I21&gt;H21),1,IF(AND(H$2=I$2,H21=I21),1,0)))))</f>
        <v/>
      </c>
      <c r="K21" s="1" t="n">
        <f aca="false">Participantes!I20</f>
        <v>3</v>
      </c>
      <c r="L21" s="1" t="n">
        <f aca="false">Participantes!J20</f>
        <v>1</v>
      </c>
      <c r="M21" s="82" t="str">
        <f aca="false">IF(K$2="","",IF(AND(K21=K$2,L21=L$2),3,IF(AND(K$2&gt;L$2,K21&gt;L21),1,IF(AND(L$2&gt;K$2,L21&gt;K21),1,IF(AND(K$2=L$2,K21=L21),1,0)))))</f>
        <v/>
      </c>
      <c r="N21" s="1" t="n">
        <f aca="false">Participantes!K20</f>
        <v>0</v>
      </c>
      <c r="O21" s="1" t="n">
        <f aca="false">Participantes!L20</f>
        <v>2</v>
      </c>
      <c r="P21" s="82" t="str">
        <f aca="false">IF(N$2="","",IF(AND(N21=N$2,O21=O$2),3,IF(AND(N$2&gt;O$2,N21&gt;O21),1,IF(AND(O$2&gt;N$2,O21&gt;N21),1,IF(AND(N$2=O$2,N21=O21),1,0)))))</f>
        <v/>
      </c>
      <c r="Q21" s="1" t="n">
        <f aca="false">Participantes!M20</f>
        <v>1</v>
      </c>
      <c r="R21" s="1" t="n">
        <f aca="false">Participantes!N20</f>
        <v>2</v>
      </c>
      <c r="S21" s="82" t="str">
        <f aca="false">IF(Q$2="","",IF(AND(Q21=Q$2,R21=R$2),3,IF(AND(Q$2&gt;R$2,Q21&gt;R21),1,IF(AND(R$2&gt;Q$2,R21&gt;Q21),1,IF(AND(Q$2=R$2,Q21=R21),1,0)))))</f>
        <v/>
      </c>
      <c r="T21" s="1" t="n">
        <f aca="false">Participantes!O20</f>
        <v>2</v>
      </c>
      <c r="U21" s="1" t="n">
        <f aca="false">Participantes!P20</f>
        <v>0</v>
      </c>
      <c r="V21" s="82" t="str">
        <f aca="false">IF(T$2="","",IF(AND(T21=T$2,U21=U$2),3,IF(AND(T$2&gt;U$2,T21&gt;U21),1,IF(AND(U$2&gt;T$2,U21&gt;T21),1,IF(AND(T$2=U$2,T21=U21),1,0)))))</f>
        <v/>
      </c>
      <c r="W21" s="1" t="n">
        <f aca="false">Participantes!Q20</f>
        <v>1</v>
      </c>
      <c r="X21" s="1" t="n">
        <f aca="false">Participantes!R20</f>
        <v>2</v>
      </c>
      <c r="Y21" s="82" t="str">
        <f aca="false">IF(W$2="","",IF(AND(W21=W$2,X21=X$2),3,IF(AND(W$2&gt;X$2,W21&gt;X21),1,IF(AND(X$2&gt;W$2,X21&gt;W21),1,IF(AND(W$2=X$2,W21=X21),1,0)))))</f>
        <v/>
      </c>
      <c r="Z21" s="1" t="n">
        <f aca="false">Participantes!S20</f>
        <v>1</v>
      </c>
      <c r="AA21" s="1" t="n">
        <f aca="false">Participantes!T20</f>
        <v>1</v>
      </c>
      <c r="AB21" s="82" t="str">
        <f aca="false">IF(Z$2="","",IF(AND(Z21=Z$2,AA21=AA$2),3,IF(AND(Z$2&gt;AA$2,Z21&gt;AA21),1,IF(AND(AA$2&gt;Z$2,AA21&gt;Z21),1,IF(AND(Z$2=AA$2,Z21=AA21),1,0)))))</f>
        <v/>
      </c>
      <c r="AC21" s="1" t="n">
        <f aca="false">Participantes!U20</f>
        <v>3</v>
      </c>
      <c r="AD21" s="1" t="n">
        <f aca="false">Participantes!V20</f>
        <v>0</v>
      </c>
      <c r="AE21" s="82" t="str">
        <f aca="false">IF(AC$2="","",IF(AND(AC21=AC$2,AD21=AD$2),3,IF(AND(AC$2&gt;AD$2,AC21&gt;AD21),1,IF(AND(AD$2&gt;AC$2,AD21&gt;AC21),1,IF(AND(AC$2=AD$2,AC21=AD21),1,0)))))</f>
        <v/>
      </c>
      <c r="AF21" s="1" t="n">
        <f aca="false">Participantes!W20</f>
        <v>2</v>
      </c>
      <c r="AG21" s="1" t="n">
        <f aca="false">Participantes!X20</f>
        <v>0</v>
      </c>
      <c r="AH21" s="82" t="str">
        <f aca="false">IF(AF$2="","",IF(AND(AF21=AF$2,AG21=AG$2),3,IF(AND(AF$2&gt;AG$2,AF21&gt;AG21),1,IF(AND(AG$2&gt;AF$2,AG21&gt;AF21),1,IF(AND(AF$2=AG$2,AF21=AG21),1,0)))))</f>
        <v/>
      </c>
      <c r="AI21" s="1" t="n">
        <f aca="false">Participantes!Y20</f>
        <v>2</v>
      </c>
      <c r="AJ21" s="1" t="n">
        <f aca="false">Participantes!Z20</f>
        <v>1</v>
      </c>
      <c r="AK21" s="82" t="str">
        <f aca="false">IF(AI$2="","",IF(AND(AI21=AI$2,AJ21=AJ$2),3,IF(AND(AI$2&gt;AJ$2,AI21&gt;AJ21),1,IF(AND(AJ$2&gt;AI$2,AJ21&gt;AI21),1,IF(AND(AI$2=AJ$2,AI21=AJ21),1,0)))))</f>
        <v/>
      </c>
      <c r="AL21" s="1" t="n">
        <f aca="false">Participantes!AA20</f>
        <v>0</v>
      </c>
      <c r="AM21" s="1" t="n">
        <f aca="false">Participantes!AB20</f>
        <v>2</v>
      </c>
      <c r="AN21" s="82" t="str">
        <f aca="false">IF(AL$2="","",IF(AND(AL21=AL$2,AM21=AM$2),3,IF(AND(AL$2&gt;AM$2,AL21&gt;AM21),1,IF(AND(AM$2&gt;AL$2,AM21&gt;AL21),1,IF(AND(AL$2=AM$2,AL21=AM21),1,0)))))</f>
        <v/>
      </c>
      <c r="AO21" s="1" t="n">
        <f aca="false">Participantes!AC20</f>
        <v>3</v>
      </c>
      <c r="AP21" s="1" t="n">
        <f aca="false">Participantes!AD20</f>
        <v>0</v>
      </c>
      <c r="AQ21" s="82" t="str">
        <f aca="false">IF(AO$2="","",IF(AND(AO21=AO$2,AP21=AP$2),3,IF(AND(AO$2&gt;AP$2,AO21&gt;AP21),1,IF(AND(AP$2&gt;AO$2,AP21&gt;AO21),1,IF(AND(AO$2=AP$2,AO21=AP21),1,0)))))</f>
        <v/>
      </c>
      <c r="AR21" s="1" t="n">
        <f aca="false">Participantes!AE20</f>
        <v>0</v>
      </c>
      <c r="AS21" s="1" t="n">
        <f aca="false">Participantes!AF20</f>
        <v>0</v>
      </c>
      <c r="AT21" s="82" t="str">
        <f aca="false">IF(AR$2="","",IF(AND(AR21=AR$2,AS21=AS$2),3,IF(AND(AR$2&gt;AS$2,AR21&gt;AS21),1,IF(AND(AS$2&gt;AR$2,AS21&gt;AR21),1,IF(AND(AR$2=AS$2,AR21=AS21),1,0)))))</f>
        <v/>
      </c>
      <c r="AU21" s="1" t="n">
        <f aca="false">Participantes!AG20</f>
        <v>0</v>
      </c>
      <c r="AV21" s="1" t="n">
        <f aca="false">Participantes!AH20</f>
        <v>0</v>
      </c>
      <c r="AW21" s="82" t="str">
        <f aca="false">IF(AU$2="","",IF(AND(AU21=AU$2,AV21=AV$2),3,IF(AND(AU$2&gt;AV$2,AU21&gt;AV21),1,IF(AND(AV$2&gt;AU$2,AV21&gt;AU21),1,IF(AND(AU$2=AV$2,AU21=AV21),1,0)))))</f>
        <v/>
      </c>
      <c r="AX21" s="1" t="n">
        <f aca="false">Participantes!AI20</f>
        <v>0</v>
      </c>
      <c r="AY21" s="1" t="n">
        <f aca="false">Participantes!AJ20</f>
        <v>0</v>
      </c>
      <c r="AZ21" s="82" t="str">
        <f aca="false">IF(AX$2="","",IF(AND(AX21=AX$2,AY21=AY$2),3,IF(AND(AX$2&gt;AY$2,AX21&gt;AY21),1,IF(AND(AY$2&gt;AX$2,AY21&gt;AX21),1,IF(AND(AX$2=AY$2,AX21=AY21),1,0)))))</f>
        <v/>
      </c>
      <c r="BA21" s="1" t="n">
        <f aca="false">Participantes!AK20</f>
        <v>0</v>
      </c>
      <c r="BB21" s="1" t="n">
        <f aca="false">Participantes!AL20</f>
        <v>0</v>
      </c>
      <c r="BC21" s="82" t="str">
        <f aca="false">IF(BA$2="","",IF(AND(BA21=BA$2,BB21=BB$2),3,IF(AND(BA$2&gt;BB$2,BA21&gt;BB21),1,IF(AND(BB$2&gt;BA$2,BB21&gt;BA21),1,IF(AND(BA$2=BB$2,BA21=BB21),1,0)))))</f>
        <v/>
      </c>
      <c r="BD21" s="1" t="n">
        <f aca="false">Participantes!AM20</f>
        <v>0</v>
      </c>
      <c r="BE21" s="1" t="n">
        <f aca="false">Participantes!AN20</f>
        <v>0</v>
      </c>
      <c r="BF21" s="82" t="str">
        <f aca="false">IF(BD$2="","",IF(AND(BD21=BD$2,BE21=BE$2),3,IF(AND(BD$2&gt;BE$2,BD21&gt;BE21),1,IF(AND(BE$2&gt;BD$2,BE21&gt;BD21),1,IF(AND(BD$2=BE$2,BD21=BE21),1,0)))))</f>
        <v/>
      </c>
      <c r="BG21" s="1" t="n">
        <f aca="false">Participantes!AO20</f>
        <v>0</v>
      </c>
      <c r="BH21" s="1" t="n">
        <f aca="false">Participantes!AP20</f>
        <v>0</v>
      </c>
      <c r="BI21" s="82" t="str">
        <f aca="false">IF(BG$2="","",IF(AND(BG21=BG$2,BH21=BH$2),3,IF(AND(BG$2&gt;BH$2,BG21&gt;BH21),1,IF(AND(BH$2&gt;BG$2,BH21&gt;BG21),1,IF(AND(BG$2=BH$2,BG21=BH21),1,0)))))</f>
        <v/>
      </c>
      <c r="BJ21" s="1" t="n">
        <f aca="false">Participantes!AQ20</f>
        <v>0</v>
      </c>
      <c r="BK21" s="1" t="n">
        <f aca="false">Participantes!AR20</f>
        <v>0</v>
      </c>
      <c r="BL21" s="82" t="str">
        <f aca="false">IF(BJ$2="","",IF(AND(BJ21=BJ$2,BK21=BK$2),3,IF(AND(BJ$2&gt;BK$2,BJ21&gt;BK21),1,IF(AND(BK$2&gt;BJ$2,BK21&gt;BJ21),1,IF(AND(BJ$2=BK$2,BJ21=BK21),1,0)))))</f>
        <v/>
      </c>
      <c r="BM21" s="1" t="n">
        <f aca="false">Participantes!AS20</f>
        <v>0</v>
      </c>
      <c r="BN21" s="1" t="n">
        <f aca="false">Participantes!AT20</f>
        <v>0</v>
      </c>
      <c r="BO21" s="82" t="str">
        <f aca="false">IF(BM$2="","",IF(AND(BM21=BM$2,BN21=BN$2),3,IF(AND(BM$2&gt;BN$2,BM21&gt;BN21),1,IF(AND(BN$2&gt;BM$2,BN21&gt;BM21),1,IF(AND(BM$2=BN$2,BM21=BN21),1,0)))))</f>
        <v/>
      </c>
      <c r="BP21" s="1" t="n">
        <f aca="false">Participantes!AU20</f>
        <v>0</v>
      </c>
      <c r="BQ21" s="1" t="n">
        <f aca="false">Participantes!AV20</f>
        <v>0</v>
      </c>
      <c r="BR21" s="82" t="str">
        <f aca="false">IF(BP$2="","",IF(AND(BP21=BP$2,BQ21=BQ$2),3,IF(AND(BP$2&gt;BQ$2,BP21&gt;BQ21),1,IF(AND(BQ$2&gt;BP$2,BQ21&gt;BP21),1,IF(AND(BP$2=BQ$2,BP21=BQ21),1,0)))))</f>
        <v/>
      </c>
      <c r="BS21" s="1" t="n">
        <f aca="false">Participantes!AW20</f>
        <v>0</v>
      </c>
      <c r="BT21" s="1" t="n">
        <f aca="false">Participantes!AX20</f>
        <v>0</v>
      </c>
      <c r="BU21" s="82" t="str">
        <f aca="false">IF(BS$2="","",IF(AND(BS21=BS$2,BT21=BT$2),3,IF(AND(BS$2&gt;BT$2,BS21&gt;BT21),1,IF(AND(BT$2&gt;BS$2,BT21&gt;BS21),1,IF(AND(BS$2=BT$2,BS21=BT21),1,0)))))</f>
        <v/>
      </c>
      <c r="BV21" s="1" t="n">
        <f aca="false">Participantes!AY20</f>
        <v>0</v>
      </c>
      <c r="BW21" s="1" t="n">
        <f aca="false">Participantes!AZ20</f>
        <v>0</v>
      </c>
      <c r="BX21" s="82" t="str">
        <f aca="false">IF(BV$2="","",IF(AND(BV21=BV$2,BW21=BW$2),3,IF(AND(BV$2&gt;BW$2,BV21&gt;BW21),1,IF(AND(BW$2&gt;BV$2,BW21&gt;BV21),1,IF(AND(BV$2=BW$2,BV21=BW21),1,0)))))</f>
        <v/>
      </c>
      <c r="BY21" s="1" t="n">
        <f aca="false">Participantes!BA20</f>
        <v>0</v>
      </c>
      <c r="BZ21" s="1" t="n">
        <f aca="false">Participantes!BB20</f>
        <v>0</v>
      </c>
      <c r="CA21" s="82" t="str">
        <f aca="false">IF(BY$2="","",IF(AND(BY21=BY$2,BZ21=BZ$2),3,IF(AND(BY$2&gt;BZ$2,BY21&gt;BZ21),1,IF(AND(BZ$2&gt;BY$2,BZ21&gt;BY21),1,IF(AND(BY$2=BZ$2,BY21=BZ21),1,0)))))</f>
        <v/>
      </c>
      <c r="CB21" s="1" t="n">
        <f aca="false">Participantes!BC20</f>
        <v>0</v>
      </c>
      <c r="CC21" s="1" t="n">
        <f aca="false">Participantes!BD20</f>
        <v>0</v>
      </c>
      <c r="CD21" s="82" t="str">
        <f aca="false">IF(CB$2="","",IF(AND(CB21=CB$2,CC21=CC$2),3,IF(AND(CB$2&gt;CC$2,CB21&gt;CC21),1,IF(AND(CC$2&gt;CB$2,CC21&gt;CB21),1,IF(AND(CB$2=CC$2,CB21=CC21),1,0)))))</f>
        <v/>
      </c>
      <c r="CE21" s="1" t="n">
        <f aca="false">Participantes!BE20</f>
        <v>0</v>
      </c>
      <c r="CF21" s="1" t="n">
        <f aca="false">Participantes!BF20</f>
        <v>0</v>
      </c>
      <c r="CG21" s="82" t="str">
        <f aca="false">IF(CE$2="","",IF(AND(CE21=CE$2,CF21=CF$2),3,IF(AND(CE$2&gt;CF$2,CE21&gt;CF21),1,IF(AND(CF$2&gt;CE$2,CF21&gt;CE21),1,IF(AND(CE$2=CF$2,CE21=CF21),1,0)))))</f>
        <v/>
      </c>
      <c r="CH21" s="1" t="n">
        <f aca="false">Participantes!BG20</f>
        <v>0</v>
      </c>
      <c r="CI21" s="1" t="n">
        <f aca="false">Participantes!BH20</f>
        <v>0</v>
      </c>
      <c r="CJ21" s="82" t="str">
        <f aca="false">IF(CH$2="","",IF(AND(CH21=CH$2,CI21=CI$2),3,IF(AND(CH$2&gt;CI$2,CH21&gt;CI21),1,IF(AND(CI$2&gt;CH$2,CI21&gt;CH21),1,IF(AND(CH$2=CI$2,CH21=CI21),1,0)))))</f>
        <v/>
      </c>
      <c r="CK21" s="1" t="n">
        <f aca="false">Participantes!BI20</f>
        <v>0</v>
      </c>
      <c r="CL21" s="1" t="n">
        <f aca="false">Participantes!BJ20</f>
        <v>0</v>
      </c>
      <c r="CM21" s="82" t="str">
        <f aca="false">IF(CK$2="","",IF(AND(CK21=CK$2,CL21=CL$2),3,IF(AND(CK$2&gt;CL$2,CK21&gt;CL21),1,IF(AND(CL$2&gt;CK$2,CL21&gt;CK21),1,IF(AND(CK$2=CL$2,CK21=CL21),1,0)))))</f>
        <v/>
      </c>
      <c r="CN21" s="1" t="n">
        <f aca="false">Participantes!BK20</f>
        <v>0</v>
      </c>
      <c r="CO21" s="1" t="n">
        <f aca="false">Participantes!BL20</f>
        <v>0</v>
      </c>
      <c r="CP21" s="82" t="str">
        <f aca="false">IF(CN$2="","",IF(AND(CN21=CN$2,CO21=CO$2),3,IF(AND(CN$2&gt;CO$2,CN21&gt;CO21),1,IF(AND(CO$2&gt;CN$2,CO21&gt;CN21),1,IF(AND(CN$2=CO$2,CN21=CO21),1,0)))))</f>
        <v/>
      </c>
      <c r="CQ21" s="1" t="n">
        <f aca="false">Participantes!BM20</f>
        <v>0</v>
      </c>
      <c r="CR21" s="1" t="n">
        <f aca="false">Participantes!BN20</f>
        <v>0</v>
      </c>
      <c r="CS21" s="82" t="str">
        <f aca="false">IF(CQ$2="","",IF(AND(CQ21=CQ$2,CR21=CR$2),3,IF(AND(CQ$2&gt;CR$2,CQ21&gt;CR21),1,IF(AND(CR$2&gt;CQ$2,CR21&gt;CQ21),1,IF(AND(CQ$2=CR$2,CQ21=CR21),1,0)))))</f>
        <v/>
      </c>
      <c r="CT21" s="1" t="n">
        <f aca="false">Participantes!BO20</f>
        <v>0</v>
      </c>
      <c r="CU21" s="1" t="n">
        <f aca="false">Participantes!BP20</f>
        <v>0</v>
      </c>
      <c r="CV21" s="82" t="str">
        <f aca="false">IF(CT$2="","",IF(AND(CT21=CT$2,CU21=CU$2),3,IF(AND(CT$2&gt;CU$2,CT21&gt;CU21),1,IF(AND(CU$2&gt;CT$2,CU21&gt;CT21),1,IF(AND(CT$2=CU$2,CT21=CU21),1,0)))))</f>
        <v/>
      </c>
      <c r="CW21" s="1" t="n">
        <f aca="false">Participantes!BQ20</f>
        <v>0</v>
      </c>
      <c r="CX21" s="1" t="n">
        <f aca="false">Participantes!BR20</f>
        <v>0</v>
      </c>
      <c r="CY21" s="82" t="str">
        <f aca="false">IF(CW$2="","",IF(AND(CW21=CW$2,CX21=CX$2),3,IF(AND(CW$2&gt;CX$2,CW21&gt;CX21),1,IF(AND(CX$2&gt;CW$2,CX21&gt;CW21),1,IF(AND(CW$2=CX$2,CW21=CX21),1,0)))))</f>
        <v/>
      </c>
      <c r="CZ21" s="1" t="n">
        <f aca="false">Participantes!BS20</f>
        <v>0</v>
      </c>
      <c r="DA21" s="1" t="n">
        <f aca="false">Participantes!BT20</f>
        <v>0</v>
      </c>
      <c r="DB21" s="82" t="str">
        <f aca="false">IF(CZ$2="","",IF(AND(CZ21=CZ$2,DA21=DA$2),3,IF(AND(CZ$2&gt;DA$2,CZ21&gt;DA21),1,IF(AND(DA$2&gt;CZ$2,DA21&gt;CZ21),1,IF(AND(CZ$2=DA$2,CZ21=DA21),1,0)))))</f>
        <v/>
      </c>
      <c r="DC21" s="1" t="n">
        <f aca="false">Participantes!BU20</f>
        <v>0</v>
      </c>
      <c r="DD21" s="1" t="n">
        <f aca="false">Participantes!BV20</f>
        <v>0</v>
      </c>
      <c r="DE21" s="82" t="str">
        <f aca="false">IF(DC$2="","",IF(AND(DC21=DC$2,DD21=DD$2),3,IF(AND(DC$2&gt;DD$2,DC21&gt;DD21),1,IF(AND(DD$2&gt;DC$2,DD21&gt;DC21),1,IF(AND(DC$2=DD$2,DC21=DD21),1,0)))))</f>
        <v/>
      </c>
      <c r="DF21" s="1" t="n">
        <f aca="false">Participantes!BW20</f>
        <v>0</v>
      </c>
      <c r="DG21" s="1" t="n">
        <f aca="false">Participantes!BX20</f>
        <v>0</v>
      </c>
      <c r="DH21" s="82" t="str">
        <f aca="false">IF(DF$2="","",IF(AND(DF21=DF$2,DG21=DG$2),3,IF(AND(DF$2&gt;DG$2,DF21&gt;DG21),1,IF(AND(DG$2&gt;DF$2,DG21&gt;DF21),1,IF(AND(DF$2=DG$2,DF21=DG21),1,0)))))</f>
        <v/>
      </c>
      <c r="DI21" s="1" t="n">
        <f aca="false">Participantes!BY20</f>
        <v>0</v>
      </c>
      <c r="DJ21" s="1" t="n">
        <f aca="false">Participantes!BZ20</f>
        <v>0</v>
      </c>
      <c r="DK21" s="82" t="str">
        <f aca="false">IF(DI$2="","",IF(AND(DI21=DI$2,DJ21=DJ$2),3,IF(AND(DI$2&gt;DJ$2,DI21&gt;DJ21),1,IF(AND(DJ$2&gt;DI$2,DJ21&gt;DI21),1,IF(AND(DI$2=DJ$2,DI21=DJ21),1,0)))))</f>
        <v/>
      </c>
      <c r="DL21" s="1" t="n">
        <f aca="false">Participantes!CA20</f>
        <v>0</v>
      </c>
      <c r="DM21" s="1" t="n">
        <f aca="false">Participantes!CB20</f>
        <v>0</v>
      </c>
      <c r="DN21" s="82" t="str">
        <f aca="false">IF(DL$2="","",IF(AND(DL21=DL$2,DM21=DM$2),3,IF(AND(DL$2&gt;DM$2,DL21&gt;DM21),1,IF(AND(DM$2&gt;DL$2,DM21&gt;DL21),1,IF(AND(DL$2=DM$2,DL21=DM21),1,0)))))</f>
        <v/>
      </c>
      <c r="DO21" s="1" t="n">
        <f aca="false">Participantes!CC20</f>
        <v>0</v>
      </c>
      <c r="DP21" s="1" t="n">
        <f aca="false">Participantes!CD20</f>
        <v>0</v>
      </c>
      <c r="DQ21" s="82" t="str">
        <f aca="false">IF(DO$2="","",IF(AND(DO21=DO$2,DP21=DP$2),3,IF(AND(DO$2&gt;DP$2,DO21&gt;DP21),1,IF(AND(DP$2&gt;DO$2,DP21&gt;DO21),1,IF(AND(DO$2=DP$2,DO21=DP21),1,0)))))</f>
        <v/>
      </c>
      <c r="DR21" s="1" t="n">
        <f aca="false">Participantes!CE20</f>
        <v>0</v>
      </c>
      <c r="DS21" s="1" t="n">
        <f aca="false">Participantes!CF20</f>
        <v>0</v>
      </c>
      <c r="DT21" s="82" t="str">
        <f aca="false">IF(DR$2="","",IF(AND(DR21=DR$2,DS21=DS$2),3,IF(AND(DR$2&gt;DS$2,DR21&gt;DS21),1,IF(AND(DS$2&gt;DR$2,DS21&gt;DR21),1,IF(AND(DR$2=DS$2,DR21=DS21),1,0)))))</f>
        <v/>
      </c>
      <c r="DU21" s="1" t="n">
        <f aca="false">Participantes!CG20</f>
        <v>0</v>
      </c>
      <c r="DV21" s="1" t="n">
        <f aca="false">Participantes!CH20</f>
        <v>0</v>
      </c>
      <c r="DW21" s="82" t="str">
        <f aca="false">IF(DU$2="","",IF(AND(DU21=DU$2,DV21=DV$2),3,IF(AND(DU$2&gt;DV$2,DU21&gt;DV21),1,IF(AND(DV$2&gt;DU$2,DV21&gt;DU21),1,IF(AND(DU$2=DV$2,DU21=DV21),1,0)))))</f>
        <v/>
      </c>
      <c r="DX21" s="1" t="n">
        <f aca="false">Participantes!CI20</f>
        <v>0</v>
      </c>
      <c r="DY21" s="1" t="n">
        <f aca="false">Participantes!CJ20</f>
        <v>0</v>
      </c>
      <c r="DZ21" s="82" t="str">
        <f aca="false">IF(DX$2="","",IF(AND(DX21=DX$2,DY21=DY$2),3,IF(AND(DX$2&gt;DY$2,DX21&gt;DY21),1,IF(AND(DY$2&gt;DX$2,DY21&gt;DX21),1,IF(AND(DX$2=DY$2,DX21=DY21),1,0)))))</f>
        <v/>
      </c>
      <c r="EA21" s="1" t="n">
        <f aca="false">Participantes!CK20</f>
        <v>0</v>
      </c>
      <c r="EB21" s="1" t="n">
        <f aca="false">Participantes!CL20</f>
        <v>0</v>
      </c>
      <c r="EC21" s="82" t="str">
        <f aca="false">IF(EA$2="","",IF(AND(EA21=EA$2,EB21=EB$2),3,IF(AND(EA$2&gt;EB$2,EA21&gt;EB21),1,IF(AND(EB$2&gt;EA$2,EB21&gt;EA21),1,IF(AND(EA$2=EB$2,EA21=EB21),1,0)))))</f>
        <v/>
      </c>
      <c r="ED21" s="1" t="n">
        <f aca="false">Participantes!CM20</f>
        <v>0</v>
      </c>
      <c r="EE21" s="1" t="n">
        <f aca="false">Participantes!CN20</f>
        <v>0</v>
      </c>
      <c r="EF21" s="82" t="str">
        <f aca="false">IF(ED$2="","",IF(AND(ED21=ED$2,EE21=EE$2),3,IF(AND(ED$2&gt;EE$2,ED21&gt;EE21),1,IF(AND(EE$2&gt;ED$2,EE21&gt;ED21),1,IF(AND(ED$2=EE$2,ED21=EE21),1,0)))))</f>
        <v/>
      </c>
      <c r="EG21" s="1" t="n">
        <f aca="false">Participantes!CO20</f>
        <v>0</v>
      </c>
      <c r="EH21" s="1" t="n">
        <f aca="false">Participantes!CP20</f>
        <v>0</v>
      </c>
      <c r="EI21" s="82" t="str">
        <f aca="false">IF(EG$2="","",IF(AND(EG21=EG$2,EH21=EH$2),3,IF(AND(EG$2&gt;EH$2,EG21&gt;EH21),1,IF(AND(EH$2&gt;EG$2,EH21&gt;EG21),1,IF(AND(EG$2=EH$2,EG21=EH21),1,0)))))</f>
        <v/>
      </c>
      <c r="EJ21" s="1" t="n">
        <f aca="false">Participantes!CQ20</f>
        <v>0</v>
      </c>
      <c r="EK21" s="1" t="n">
        <f aca="false">Participantes!CR20</f>
        <v>0</v>
      </c>
      <c r="EL21" s="82" t="str">
        <f aca="false">IF(EJ$2="","",IF(AND(EJ21=EJ$2,EK21=EK$2),3,IF(AND(EJ$2&gt;EK$2,EJ21&gt;EK21),1,IF(AND(EK$2&gt;EJ$2,EK21&gt;EJ21),1,IF(AND(EJ$2=EK$2,EJ21=EK21),1,0)))))</f>
        <v/>
      </c>
      <c r="EM21" s="1" t="n">
        <f aca="false">Participantes!CS20</f>
        <v>0</v>
      </c>
      <c r="EN21" s="1" t="n">
        <f aca="false">Participantes!CT20</f>
        <v>0</v>
      </c>
      <c r="EO21" s="82" t="str">
        <f aca="false">IF(EM$2="","",IF(AND(EM21=EM$2,EN21=EN$2),3,IF(AND(EM$2&gt;EN$2,EM21&gt;EN21),1,IF(AND(EN$2&gt;EM$2,EN21&gt;EM21),1,IF(AND(EM$2=EN$2,EM21=EN21),1,0)))))</f>
        <v/>
      </c>
      <c r="EP21" s="1" t="n">
        <f aca="false">Participantes!CU20</f>
        <v>0</v>
      </c>
      <c r="EQ21" s="1" t="n">
        <f aca="false">Participantes!CV20</f>
        <v>0</v>
      </c>
      <c r="ER21" s="82" t="str">
        <f aca="false">IF(EP$2="","",IF(AND(EP21=EP$2,EQ21=EQ$2),3,IF(AND(EP$2&gt;EQ$2,EP21&gt;EQ21),1,IF(AND(EQ$2&gt;EP$2,EQ21&gt;EP21),1,IF(AND(EP$2=EQ$2,EP21=EQ21),1,0)))))</f>
        <v/>
      </c>
      <c r="ES21" s="1" t="n">
        <f aca="false">Participantes!CW20</f>
        <v>0</v>
      </c>
      <c r="ET21" s="1" t="n">
        <f aca="false">Participantes!CX20</f>
        <v>0</v>
      </c>
      <c r="EU21" s="82" t="str">
        <f aca="false">IF(ES$2="","",IF(AND(ES21=ES$2,ET21=ET$2),3,IF(AND(ES$2&gt;ET$2,ES21&gt;ET21),1,IF(AND(ET$2&gt;ES$2,ET21&gt;ES21),1,IF(AND(ES$2=ET$2,ES21=ET21),1,0)))))</f>
        <v/>
      </c>
      <c r="EV21" s="1" t="n">
        <f aca="false">Participantes!CY20</f>
        <v>0</v>
      </c>
      <c r="EW21" s="1" t="n">
        <f aca="false">Participantes!CZ20</f>
        <v>0</v>
      </c>
      <c r="EX21" s="82" t="str">
        <f aca="false">IF(EV$2="","",IF(AND(EV21=EV$2,EW21=EW$2),3,IF(AND(EV$2&gt;EW$2,EV21&gt;EW21),1,IF(AND(EW$2&gt;EV$2,EW21&gt;EV21),1,IF(AND(EV$2=EW$2,EV21=EW21),1,0)))))</f>
        <v/>
      </c>
      <c r="EY21" s="1" t="n">
        <f aca="false">Participantes!DA20</f>
        <v>0</v>
      </c>
      <c r="EZ21" s="1" t="n">
        <f aca="false">Participantes!DB20</f>
        <v>0</v>
      </c>
      <c r="FA21" s="82" t="str">
        <f aca="false">IF(EY$2="","",IF(AND(EY21=EY$2,EZ21=EZ$2),3,IF(AND(EY$2&gt;EZ$2,EY21&gt;EZ21),1,IF(AND(EZ$2&gt;EY$2,EZ21&gt;EY21),1,IF(AND(EY$2=EZ$2,EY21=EZ21),1,0)))))</f>
        <v/>
      </c>
      <c r="FB21" s="1" t="n">
        <f aca="false">Participantes!DC20</f>
        <v>0</v>
      </c>
      <c r="FC21" s="1" t="n">
        <f aca="false">Participantes!DD20</f>
        <v>0</v>
      </c>
      <c r="FD21" s="82" t="str">
        <f aca="false">IF(FB$2="","",IF(AND(FB21=FB$2,FC21=FC$2),3,IF(AND(FB$2&gt;FC$2,FB21&gt;FC21),1,IF(AND(FC$2&gt;FB$2,FC21&gt;FB21),1,IF(AND(FB$2=FC$2,FB21=FC21),1,0)))))</f>
        <v/>
      </c>
      <c r="FE21" s="1" t="n">
        <f aca="false">Participantes!DE20</f>
        <v>0</v>
      </c>
      <c r="FF21" s="1" t="n">
        <f aca="false">Participantes!DF20</f>
        <v>0</v>
      </c>
      <c r="FG21" s="82" t="str">
        <f aca="false">IF(FE$2="","",IF(AND(FE21=FE$2,FF21=FF$2),3,IF(AND(FE$2&gt;FF$2,FE21&gt;FF21),1,IF(AND(FF$2&gt;FE$2,FF21&gt;FE21),1,IF(AND(FE$2=FF$2,FE21=FF21),1,0)))))</f>
        <v/>
      </c>
      <c r="FH21" s="1" t="n">
        <f aca="false">Participantes!DG20</f>
        <v>0</v>
      </c>
      <c r="FI21" s="1" t="n">
        <f aca="false">Participantes!DH20</f>
        <v>0</v>
      </c>
      <c r="FJ21" s="82" t="str">
        <f aca="false">IF(FH$2="","",IF(AND(FH21=FH$2,FI21=FI$2),3,IF(AND(FH$2&gt;FI$2,FH21&gt;FI21),1,IF(AND(FI$2&gt;FH$2,FI21&gt;FH21),1,IF(AND(FH$2=FI$2,FH21=FI21),1,0)))))</f>
        <v/>
      </c>
      <c r="FK21" s="1" t="n">
        <f aca="false">Participantes!DI20</f>
        <v>0</v>
      </c>
      <c r="FL21" s="1" t="n">
        <f aca="false">Participantes!DJ20</f>
        <v>0</v>
      </c>
      <c r="FM21" s="82" t="str">
        <f aca="false">IF(FK$2="","",IF(AND(FK21=FK$2,FL21=FL$2),3,IF(AND(FK$2&gt;FL$2,FK21&gt;FL21),1,IF(AND(FL$2&gt;FK$2,FL21&gt;FK21),1,IF(AND(FK$2=FL$2,FK21=FL21),1,0)))))</f>
        <v/>
      </c>
      <c r="FN21" s="1" t="n">
        <f aca="false">Participantes!DK20</f>
        <v>0</v>
      </c>
      <c r="FO21" s="1" t="n">
        <f aca="false">Participantes!DL20</f>
        <v>0</v>
      </c>
      <c r="FP21" s="82" t="str">
        <f aca="false">IF(FN$2="","",IF(AND(FN21=FN$2,FO21=FO$2),3,IF(AND(FN$2&gt;FO$2,FN21&gt;FO21),1,IF(AND(FO$2&gt;FN$2,FO21&gt;FN21),1,IF(AND(FN$2=FO$2,FN21=FO21),1,0)))))</f>
        <v/>
      </c>
      <c r="FQ21" s="1" t="n">
        <f aca="false">Participantes!DM20</f>
        <v>0</v>
      </c>
      <c r="FR21" s="1" t="n">
        <f aca="false">Participantes!DN20</f>
        <v>0</v>
      </c>
      <c r="FS21" s="82" t="str">
        <f aca="false">IF(FQ$2="","",IF(AND(FQ21=FQ$2,FR21=FR$2),3,IF(AND(FQ$2&gt;FR$2,FQ21&gt;FR21),1,IF(AND(FR$2&gt;FQ$2,FR21&gt;FQ21),1,IF(AND(FQ$2=FR$2,FQ21=FR21),1,0)))))</f>
        <v/>
      </c>
      <c r="FT21" s="1" t="n">
        <f aca="false">Participantes!DO20</f>
        <v>0</v>
      </c>
      <c r="FU21" s="1" t="n">
        <f aca="false">Participantes!DP20</f>
        <v>0</v>
      </c>
      <c r="FV21" s="82" t="str">
        <f aca="false">IF(FT$2="","",IF(AND(FT21=FT$2,FU21=FU$2),3,IF(AND(FT$2&gt;FU$2,FT21&gt;FU21),1,IF(AND(FU$2&gt;FT$2,FU21&gt;FT21),1,IF(AND(FT$2=FU$2,FT21=FU21),1,0)))))</f>
        <v/>
      </c>
      <c r="FW21" s="1" t="n">
        <f aca="false">Participantes!DQ20</f>
        <v>0</v>
      </c>
      <c r="FX21" s="1" t="n">
        <f aca="false">Participantes!DR20</f>
        <v>0</v>
      </c>
      <c r="FY21" s="82" t="str">
        <f aca="false">IF(FW$2="","",IF(AND(FW21=FW$2,FX21=FX$2),3,IF(AND(FW$2&gt;FX$2,FW21&gt;FX21),1,IF(AND(FX$2&gt;FW$2,FX21&gt;FW21),1,IF(AND(FW$2=FX$2,FW21=FX21),1,0)))))</f>
        <v/>
      </c>
      <c r="FZ21" s="1" t="n">
        <f aca="false">Participantes!DS20</f>
        <v>0</v>
      </c>
      <c r="GA21" s="1" t="n">
        <f aca="false">Participantes!DT20</f>
        <v>0</v>
      </c>
      <c r="GB21" s="82" t="str">
        <f aca="false">IF(FZ$2="","",IF(AND(FZ21=FZ$2,GA21=GA$2),3,IF(AND(FZ$2&gt;GA$2,FZ21&gt;GA21),1,IF(AND(GA$2&gt;FZ$2,GA21&gt;FZ21),1,IF(AND(FZ$2=GA$2,FZ21=GA21),1,0)))))</f>
        <v/>
      </c>
      <c r="GC21" s="1" t="n">
        <f aca="false">Participantes!DU20</f>
        <v>0</v>
      </c>
      <c r="GD21" s="1" t="n">
        <f aca="false">Participantes!DV20</f>
        <v>0</v>
      </c>
      <c r="GE21" s="82" t="str">
        <f aca="false">IF(GC$2="","",IF(AND(GC21=GC$2,GD21=GD$2),3,IF(AND(GC$2&gt;GD$2,GC21&gt;GD21),1,IF(AND(GD$2&gt;GC$2,GD21&gt;GC21),1,IF(AND(GC$2=GD$2,GC21=GD21),1,0)))))</f>
        <v/>
      </c>
      <c r="GF21" s="1" t="n">
        <f aca="false">Participantes!DW20</f>
        <v>0</v>
      </c>
      <c r="GG21" s="1" t="n">
        <f aca="false">Participantes!DX20</f>
        <v>0</v>
      </c>
      <c r="GH21" s="82" t="str">
        <f aca="false">IF(GF$2="","",IF(AND(GF21=GF$2,GG21=GG$2),3,IF(AND(GF$2&gt;GG$2,GF21&gt;GG21),1,IF(AND(GG$2&gt;GF$2,GG21&gt;GF21),1,IF(AND(GF$2=GG$2,GF21=GG21),1,0)))))</f>
        <v/>
      </c>
      <c r="GI21" s="1" t="n">
        <f aca="false">Participantes!DY20</f>
        <v>0</v>
      </c>
      <c r="GJ21" s="1" t="n">
        <f aca="false">Participantes!DZ20</f>
        <v>0</v>
      </c>
      <c r="GK21" s="82" t="str">
        <f aca="false">IF(GI$2="","",IF(AND(GI21=GI$2,GJ21=GJ$2),3,IF(AND(GI$2&gt;GJ$2,GI21&gt;GJ21),1,IF(AND(GJ$2&gt;GI$2,GJ21&gt;GI21),1,IF(AND(GI$2=GJ$2,GI21=GJ21),1,0)))))</f>
        <v/>
      </c>
      <c r="GL21" s="1" t="n">
        <f aca="false">Participantes!EA20</f>
        <v>0</v>
      </c>
      <c r="GM21" s="1" t="n">
        <f aca="false">Participantes!EB20</f>
        <v>0</v>
      </c>
      <c r="GN21" s="82" t="str">
        <f aca="false">IF(GL$2="","",IF(AND(GL21=GL$2,GM21=GM$2),3,IF(AND(GL$2&gt;GM$2,GL21&gt;GM21),1,IF(AND(GM$2&gt;GL$2,GM21&gt;GL21),1,IF(AND(GL$2=GM$2,GL21=GM21),1,0)))))</f>
        <v/>
      </c>
      <c r="GO21" s="1" t="n">
        <f aca="false">Participantes!EC20</f>
        <v>0</v>
      </c>
      <c r="GP21" s="1" t="n">
        <f aca="false">Participantes!ED20</f>
        <v>0</v>
      </c>
      <c r="GQ21" s="82" t="str">
        <f aca="false">IF(GO$2="","",IF(AND(GO21=GO$2,GP21=GP$2),3,IF(AND(GO$2&gt;GP$2,GO21&gt;GP21),1,IF(AND(GP$2&gt;GO$2,GP21&gt;GO21),1,IF(AND(GO$2=GP$2,GO21=GP21),1,0)))))</f>
        <v/>
      </c>
      <c r="GR21" s="1" t="n">
        <f aca="false">Participantes!EE20</f>
        <v>0</v>
      </c>
      <c r="GS21" s="1" t="n">
        <f aca="false">Participantes!EF20</f>
        <v>0</v>
      </c>
      <c r="GT21" s="82" t="str">
        <f aca="false">IF(GR$2="","",IF(AND(GR21=GR$2,GS21=GS$2),3,IF(AND(GR$2&gt;GS$2,GR21&gt;GS21),1,IF(AND(GS$2&gt;GR$2,GS21&gt;GR21),1,IF(AND(GR$2=GS$2,GR21=GS21),1,0)))))</f>
        <v/>
      </c>
      <c r="GU21" s="1" t="n">
        <f aca="false">Participantes!EG20</f>
        <v>0</v>
      </c>
      <c r="GV21" s="1" t="n">
        <f aca="false">Participantes!EH20</f>
        <v>0</v>
      </c>
      <c r="GW21" s="82" t="str">
        <f aca="false">IF(GU$2="","",IF(AND(GU21=GU$2,GV21=GV$2),3,IF(AND(GU$2&gt;GV$2,GU21&gt;GV21),1,IF(AND(GV$2&gt;GU$2,GV21&gt;GU21),1,IF(AND(GU$2=GV$2,GU21=GV21),1,0)))))</f>
        <v/>
      </c>
      <c r="GX21" s="1" t="n">
        <f aca="false">Participantes!EI20</f>
        <v>0</v>
      </c>
      <c r="GY21" s="1" t="n">
        <f aca="false">Participantes!EJ20</f>
        <v>0</v>
      </c>
      <c r="GZ21" s="82" t="str">
        <f aca="false">IF(GX$2="","",IF(AND(GX21=GX$2,GY21=GY$2),3,IF(AND(GX$2&gt;GY$2,GX21&gt;GY21),1,IF(AND(GY$2&gt;GX$2,GY21&gt;GX21),1,IF(AND(GX$2=GY$2,GX21=GY21),1,0)))))</f>
        <v/>
      </c>
      <c r="HA21" s="1" t="n">
        <f aca="false">Participantes!EK20</f>
        <v>0</v>
      </c>
      <c r="HB21" s="1" t="n">
        <f aca="false">Participantes!EL20</f>
        <v>0</v>
      </c>
      <c r="HC21" s="82" t="str">
        <f aca="false">IF(HA$2="","",IF(AND(HA21=HA$2,HB21=HB$2),3,IF(AND(HA$2&gt;HB$2,HA21&gt;HB21),1,IF(AND(HB$2&gt;HA$2,HB21&gt;HA21),1,IF(AND(HA$2=HB$2,HA21=HB21),1,0)))))</f>
        <v/>
      </c>
      <c r="HD21" s="1" t="n">
        <f aca="false">Participantes!EM20</f>
        <v>0</v>
      </c>
      <c r="HE21" s="1" t="n">
        <f aca="false">Participantes!EN20</f>
        <v>0</v>
      </c>
      <c r="HF21" s="82" t="str">
        <f aca="false">IF(HD$2="","",IF(AND(HD21=HD$2,HE21=HE$2),3,IF(AND(HD$2&gt;HE$2,HD21&gt;HE21),1,IF(AND(HE$2&gt;HD$2,HE21&gt;HD21),1,IF(AND(HD$2=HE$2,HD21=HE21),1,0)))))</f>
        <v/>
      </c>
      <c r="HG21" s="1" t="n">
        <f aca="false">Participantes!EO20</f>
        <v>0</v>
      </c>
      <c r="HH21" s="1" t="n">
        <f aca="false">Participantes!EP20</f>
        <v>0</v>
      </c>
      <c r="HI21" s="82" t="str">
        <f aca="false">IF(HG$2="","",IF(AND(HG21=HG$2,HH21=HH$2),3,IF(AND(HG$2&gt;HH$2,HG21&gt;HH21),1,IF(AND(HH$2&gt;HG$2,HH21&gt;HG21),1,IF(AND(HG$2=HH$2,HG21=HH21),1,0)))))</f>
        <v/>
      </c>
      <c r="HJ21" s="83" t="n">
        <f aca="false">SUM(D21,G21,J21,M21,P21,S21,V21,Y21,AB21,AE21,AH21,AK21,AN21,AQ21,AT21,AW21,AZ21,BC21,BF21,BI21,BL21,BO21,BR21,BU21,BX21,CA21,CD21,CG21,CJ21,CM21,CP21,CS21,CV21,CY21,DB21,DE21,DH21,DK21,DN21,DQ21,DT21,DW21,DZ21,EC21,EF21,EI21,EL21,EO21,ER21,EU21,EX21,FA21,FD21,FG21,FJ21,FM21,FP21,FS21,FV21,FY21,GB21,GE21,GH21,GK21,GN21,GQ21,GT21,GW21,GZ21,HC21,HF21,HI21)</f>
        <v>1</v>
      </c>
    </row>
    <row r="22" customFormat="false" ht="15" hidden="false" customHeight="true" outlineLevel="0" collapsed="false">
      <c r="A22" s="81" t="str">
        <f aca="false">Participantes!B21</f>
        <v>Jose C Ana</v>
      </c>
      <c r="B22" s="1" t="n">
        <f aca="false">Participantes!C21</f>
        <v>4</v>
      </c>
      <c r="C22" s="1" t="n">
        <f aca="false">Participantes!D21</f>
        <v>2</v>
      </c>
      <c r="D22" s="82" t="n">
        <f aca="false">IF(B$2="","",IF(AND(B22=B$2,C22=C$2),3,IF(AND(B$2&gt;C$2,B22&gt;C22),1,IF(AND(C$2&gt;B$2,C22&gt;B22),1,IF(AND(B$2=C$2,B22=C22),1,0)))))</f>
        <v>1</v>
      </c>
      <c r="E22" s="1" t="n">
        <f aca="false">Participantes!E21</f>
        <v>3</v>
      </c>
      <c r="F22" s="1" t="n">
        <f aca="false">Participantes!F21</f>
        <v>1</v>
      </c>
      <c r="G22" s="82" t="str">
        <f aca="false">IF(E$2="","",IF(AND(E22=E$2,F22=F$2),3,IF(AND(E$2&gt;F$2,E22&gt;F22),1,IF(AND(F$2&gt;E$2,F22&gt;E22),1,IF(AND(E$2=F$2,E22=F22),1,0)))))</f>
        <v/>
      </c>
      <c r="H22" s="1" t="n">
        <f aca="false">Participantes!G21</f>
        <v>4</v>
      </c>
      <c r="I22" s="1" t="n">
        <f aca="false">Participantes!H21</f>
        <v>0</v>
      </c>
      <c r="J22" s="82" t="str">
        <f aca="false">IF(H$2="","",IF(AND(H22=H$2,I22=I$2),3,IF(AND(H$2&gt;I$2,H22&gt;I22),1,IF(AND(I$2&gt;H$2,I22&gt;H22),1,IF(AND(H$2=I$2,H22=I22),1,0)))))</f>
        <v/>
      </c>
      <c r="K22" s="1" t="n">
        <f aca="false">Participantes!I21</f>
        <v>1</v>
      </c>
      <c r="L22" s="1" t="n">
        <f aca="false">Participantes!J21</f>
        <v>2</v>
      </c>
      <c r="M22" s="82" t="str">
        <f aca="false">IF(K$2="","",IF(AND(K22=K$2,L22=L$2),3,IF(AND(K$2&gt;L$2,K22&gt;L22),1,IF(AND(L$2&gt;K$2,L22&gt;K22),1,IF(AND(K$2=L$2,K22=L22),1,0)))))</f>
        <v/>
      </c>
      <c r="N22" s="1" t="n">
        <f aca="false">Participantes!K21</f>
        <v>1</v>
      </c>
      <c r="O22" s="1" t="n">
        <f aca="false">Participantes!L21</f>
        <v>1</v>
      </c>
      <c r="P22" s="82" t="str">
        <f aca="false">IF(N$2="","",IF(AND(N22=N$2,O22=O$2),3,IF(AND(N$2&gt;O$2,N22&gt;O22),1,IF(AND(O$2&gt;N$2,O22&gt;N22),1,IF(AND(N$2=O$2,N22=O22),1,0)))))</f>
        <v/>
      </c>
      <c r="Q22" s="1" t="n">
        <f aca="false">Participantes!M21</f>
        <v>2</v>
      </c>
      <c r="R22" s="1" t="n">
        <f aca="false">Participantes!N21</f>
        <v>1</v>
      </c>
      <c r="S22" s="82" t="str">
        <f aca="false">IF(Q$2="","",IF(AND(Q22=Q$2,R22=R$2),3,IF(AND(Q$2&gt;R$2,Q22&gt;R22),1,IF(AND(R$2&gt;Q$2,R22&gt;Q22),1,IF(AND(Q$2=R$2,Q22=R22),1,0)))))</f>
        <v/>
      </c>
      <c r="T22" s="1" t="n">
        <f aca="false">Participantes!O21</f>
        <v>2</v>
      </c>
      <c r="U22" s="1" t="n">
        <f aca="false">Participantes!P21</f>
        <v>0</v>
      </c>
      <c r="V22" s="82" t="str">
        <f aca="false">IF(T$2="","",IF(AND(T22=T$2,U22=U$2),3,IF(AND(T$2&gt;U$2,T22&gt;U22),1,IF(AND(U$2&gt;T$2,U22&gt;T22),1,IF(AND(T$2=U$2,T22=U22),1,0)))))</f>
        <v/>
      </c>
      <c r="W22" s="1" t="n">
        <f aca="false">Participantes!Q21</f>
        <v>0</v>
      </c>
      <c r="X22" s="1" t="n">
        <f aca="false">Participantes!R21</f>
        <v>2</v>
      </c>
      <c r="Y22" s="82" t="str">
        <f aca="false">IF(W$2="","",IF(AND(W22=W$2,X22=X$2),3,IF(AND(W$2&gt;X$2,W22&gt;X22),1,IF(AND(X$2&gt;W$2,X22&gt;W22),1,IF(AND(W$2=X$2,W22=X22),1,0)))))</f>
        <v/>
      </c>
      <c r="Z22" s="1" t="n">
        <f aca="false">Participantes!S21</f>
        <v>2</v>
      </c>
      <c r="AA22" s="1" t="n">
        <f aca="false">Participantes!T21</f>
        <v>3</v>
      </c>
      <c r="AB22" s="82" t="str">
        <f aca="false">IF(Z$2="","",IF(AND(Z22=Z$2,AA22=AA$2),3,IF(AND(Z$2&gt;AA$2,Z22&gt;AA22),1,IF(AND(AA$2&gt;Z$2,AA22&gt;Z22),1,IF(AND(Z$2=AA$2,Z22=AA22),1,0)))))</f>
        <v/>
      </c>
      <c r="AC22" s="1" t="n">
        <f aca="false">Participantes!U21</f>
        <v>6</v>
      </c>
      <c r="AD22" s="1" t="n">
        <f aca="false">Participantes!V21</f>
        <v>0</v>
      </c>
      <c r="AE22" s="82" t="str">
        <f aca="false">IF(AC$2="","",IF(AND(AC22=AC$2,AD22=AD$2),3,IF(AND(AC$2&gt;AD$2,AC22&gt;AD22),1,IF(AND(AD$2&gt;AC$2,AD22&gt;AC22),1,IF(AND(AC$2=AD$2,AC22=AD22),1,0)))))</f>
        <v/>
      </c>
      <c r="AF22" s="1" t="n">
        <f aca="false">Participantes!W21</f>
        <v>3</v>
      </c>
      <c r="AG22" s="1" t="n">
        <f aca="false">Participantes!X21</f>
        <v>1</v>
      </c>
      <c r="AH22" s="82" t="str">
        <f aca="false">IF(AF$2="","",IF(AND(AF22=AF$2,AG22=AG$2),3,IF(AND(AF$2&gt;AG$2,AF22&gt;AG22),1,IF(AND(AG$2&gt;AF$2,AG22&gt;AF22),1,IF(AND(AF$2=AG$2,AF22=AG22),1,0)))))</f>
        <v/>
      </c>
      <c r="AI22" s="1" t="n">
        <f aca="false">Participantes!Y21</f>
        <v>2</v>
      </c>
      <c r="AJ22" s="1" t="n">
        <f aca="false">Participantes!Z21</f>
        <v>1</v>
      </c>
      <c r="AK22" s="82" t="str">
        <f aca="false">IF(AI$2="","",IF(AND(AI22=AI$2,AJ22=AJ$2),3,IF(AND(AI$2&gt;AJ$2,AI22&gt;AJ22),1,IF(AND(AJ$2&gt;AI$2,AJ22&gt;AI22),1,IF(AND(AI$2=AJ$2,AI22=AJ22),1,0)))))</f>
        <v/>
      </c>
      <c r="AL22" s="1" t="n">
        <f aca="false">Participantes!AA21</f>
        <v>1</v>
      </c>
      <c r="AM22" s="1" t="n">
        <f aca="false">Participantes!AB21</f>
        <v>3</v>
      </c>
      <c r="AN22" s="82" t="str">
        <f aca="false">IF(AL$2="","",IF(AND(AL22=AL$2,AM22=AM$2),3,IF(AND(AL$2&gt;AM$2,AL22&gt;AM22),1,IF(AND(AM$2&gt;AL$2,AM22&gt;AL22),1,IF(AND(AL$2=AM$2,AL22=AM22),1,0)))))</f>
        <v/>
      </c>
      <c r="AO22" s="1" t="n">
        <f aca="false">Participantes!AC21</f>
        <v>7</v>
      </c>
      <c r="AP22" s="1" t="n">
        <f aca="false">Participantes!AD21</f>
        <v>0</v>
      </c>
      <c r="AQ22" s="82" t="str">
        <f aca="false">IF(AO$2="","",IF(AND(AO22=AO$2,AP22=AP$2),3,IF(AND(AO$2&gt;AP$2,AO22&gt;AP22),1,IF(AND(AP$2&gt;AO$2,AP22&gt;AO22),1,IF(AND(AO$2=AP$2,AO22=AP22),1,0)))))</f>
        <v/>
      </c>
      <c r="AR22" s="1" t="n">
        <f aca="false">Participantes!AE21</f>
        <v>0</v>
      </c>
      <c r="AS22" s="1" t="n">
        <f aca="false">Participantes!AF21</f>
        <v>0</v>
      </c>
      <c r="AT22" s="82" t="str">
        <f aca="false">IF(AR$2="","",IF(AND(AR22=AR$2,AS22=AS$2),3,IF(AND(AR$2&gt;AS$2,AR22&gt;AS22),1,IF(AND(AS$2&gt;AR$2,AS22&gt;AR22),1,IF(AND(AR$2=AS$2,AR22=AS22),1,0)))))</f>
        <v/>
      </c>
      <c r="AU22" s="1" t="n">
        <f aca="false">Participantes!AG21</f>
        <v>0</v>
      </c>
      <c r="AV22" s="1" t="n">
        <f aca="false">Participantes!AH21</f>
        <v>0</v>
      </c>
      <c r="AW22" s="82" t="str">
        <f aca="false">IF(AU$2="","",IF(AND(AU22=AU$2,AV22=AV$2),3,IF(AND(AU$2&gt;AV$2,AU22&gt;AV22),1,IF(AND(AV$2&gt;AU$2,AV22&gt;AU22),1,IF(AND(AU$2=AV$2,AU22=AV22),1,0)))))</f>
        <v/>
      </c>
      <c r="AX22" s="1" t="n">
        <f aca="false">Participantes!AI21</f>
        <v>0</v>
      </c>
      <c r="AY22" s="1" t="n">
        <f aca="false">Participantes!AJ21</f>
        <v>0</v>
      </c>
      <c r="AZ22" s="82" t="str">
        <f aca="false">IF(AX$2="","",IF(AND(AX22=AX$2,AY22=AY$2),3,IF(AND(AX$2&gt;AY$2,AX22&gt;AY22),1,IF(AND(AY$2&gt;AX$2,AY22&gt;AX22),1,IF(AND(AX$2=AY$2,AX22=AY22),1,0)))))</f>
        <v/>
      </c>
      <c r="BA22" s="1" t="n">
        <f aca="false">Participantes!AK21</f>
        <v>0</v>
      </c>
      <c r="BB22" s="1" t="n">
        <f aca="false">Participantes!AL21</f>
        <v>0</v>
      </c>
      <c r="BC22" s="82" t="str">
        <f aca="false">IF(BA$2="","",IF(AND(BA22=BA$2,BB22=BB$2),3,IF(AND(BA$2&gt;BB$2,BA22&gt;BB22),1,IF(AND(BB$2&gt;BA$2,BB22&gt;BA22),1,IF(AND(BA$2=BB$2,BA22=BB22),1,0)))))</f>
        <v/>
      </c>
      <c r="BD22" s="1" t="n">
        <f aca="false">Participantes!AM21</f>
        <v>0</v>
      </c>
      <c r="BE22" s="1" t="n">
        <f aca="false">Participantes!AN21</f>
        <v>0</v>
      </c>
      <c r="BF22" s="82" t="str">
        <f aca="false">IF(BD$2="","",IF(AND(BD22=BD$2,BE22=BE$2),3,IF(AND(BD$2&gt;BE$2,BD22&gt;BE22),1,IF(AND(BE$2&gt;BD$2,BE22&gt;BD22),1,IF(AND(BD$2=BE$2,BD22=BE22),1,0)))))</f>
        <v/>
      </c>
      <c r="BG22" s="1" t="n">
        <f aca="false">Participantes!AO21</f>
        <v>0</v>
      </c>
      <c r="BH22" s="1" t="n">
        <f aca="false">Participantes!AP21</f>
        <v>0</v>
      </c>
      <c r="BI22" s="82" t="str">
        <f aca="false">IF(BG$2="","",IF(AND(BG22=BG$2,BH22=BH$2),3,IF(AND(BG$2&gt;BH$2,BG22&gt;BH22),1,IF(AND(BH$2&gt;BG$2,BH22&gt;BG22),1,IF(AND(BG$2=BH$2,BG22=BH22),1,0)))))</f>
        <v/>
      </c>
      <c r="BJ22" s="1" t="n">
        <f aca="false">Participantes!AQ21</f>
        <v>0</v>
      </c>
      <c r="BK22" s="1" t="n">
        <f aca="false">Participantes!AR21</f>
        <v>0</v>
      </c>
      <c r="BL22" s="82" t="str">
        <f aca="false">IF(BJ$2="","",IF(AND(BJ22=BJ$2,BK22=BK$2),3,IF(AND(BJ$2&gt;BK$2,BJ22&gt;BK22),1,IF(AND(BK$2&gt;BJ$2,BK22&gt;BJ22),1,IF(AND(BJ$2=BK$2,BJ22=BK22),1,0)))))</f>
        <v/>
      </c>
      <c r="BM22" s="1" t="n">
        <f aca="false">Participantes!AS21</f>
        <v>0</v>
      </c>
      <c r="BN22" s="1" t="n">
        <f aca="false">Participantes!AT21</f>
        <v>0</v>
      </c>
      <c r="BO22" s="82" t="str">
        <f aca="false">IF(BM$2="","",IF(AND(BM22=BM$2,BN22=BN$2),3,IF(AND(BM$2&gt;BN$2,BM22&gt;BN22),1,IF(AND(BN$2&gt;BM$2,BN22&gt;BM22),1,IF(AND(BM$2=BN$2,BM22=BN22),1,0)))))</f>
        <v/>
      </c>
      <c r="BP22" s="1" t="n">
        <f aca="false">Participantes!AU21</f>
        <v>0</v>
      </c>
      <c r="BQ22" s="1" t="n">
        <f aca="false">Participantes!AV21</f>
        <v>0</v>
      </c>
      <c r="BR22" s="82" t="str">
        <f aca="false">IF(BP$2="","",IF(AND(BP22=BP$2,BQ22=BQ$2),3,IF(AND(BP$2&gt;BQ$2,BP22&gt;BQ22),1,IF(AND(BQ$2&gt;BP$2,BQ22&gt;BP22),1,IF(AND(BP$2=BQ$2,BP22=BQ22),1,0)))))</f>
        <v/>
      </c>
      <c r="BS22" s="1" t="n">
        <f aca="false">Participantes!AW21</f>
        <v>0</v>
      </c>
      <c r="BT22" s="1" t="n">
        <f aca="false">Participantes!AX21</f>
        <v>0</v>
      </c>
      <c r="BU22" s="82" t="str">
        <f aca="false">IF(BS$2="","",IF(AND(BS22=BS$2,BT22=BT$2),3,IF(AND(BS$2&gt;BT$2,BS22&gt;BT22),1,IF(AND(BT$2&gt;BS$2,BT22&gt;BS22),1,IF(AND(BS$2=BT$2,BS22=BT22),1,0)))))</f>
        <v/>
      </c>
      <c r="BV22" s="1" t="n">
        <f aca="false">Participantes!AY21</f>
        <v>0</v>
      </c>
      <c r="BW22" s="1" t="n">
        <f aca="false">Participantes!AZ21</f>
        <v>0</v>
      </c>
      <c r="BX22" s="82" t="str">
        <f aca="false">IF(BV$2="","",IF(AND(BV22=BV$2,BW22=BW$2),3,IF(AND(BV$2&gt;BW$2,BV22&gt;BW22),1,IF(AND(BW$2&gt;BV$2,BW22&gt;BV22),1,IF(AND(BV$2=BW$2,BV22=BW22),1,0)))))</f>
        <v/>
      </c>
      <c r="BY22" s="1" t="n">
        <f aca="false">Participantes!BA21</f>
        <v>0</v>
      </c>
      <c r="BZ22" s="1" t="n">
        <f aca="false">Participantes!BB21</f>
        <v>0</v>
      </c>
      <c r="CA22" s="82" t="str">
        <f aca="false">IF(BY$2="","",IF(AND(BY22=BY$2,BZ22=BZ$2),3,IF(AND(BY$2&gt;BZ$2,BY22&gt;BZ22),1,IF(AND(BZ$2&gt;BY$2,BZ22&gt;BY22),1,IF(AND(BY$2=BZ$2,BY22=BZ22),1,0)))))</f>
        <v/>
      </c>
      <c r="CB22" s="1" t="n">
        <f aca="false">Participantes!BC21</f>
        <v>0</v>
      </c>
      <c r="CC22" s="1" t="n">
        <f aca="false">Participantes!BD21</f>
        <v>0</v>
      </c>
      <c r="CD22" s="82" t="str">
        <f aca="false">IF(CB$2="","",IF(AND(CB22=CB$2,CC22=CC$2),3,IF(AND(CB$2&gt;CC$2,CB22&gt;CC22),1,IF(AND(CC$2&gt;CB$2,CC22&gt;CB22),1,IF(AND(CB$2=CC$2,CB22=CC22),1,0)))))</f>
        <v/>
      </c>
      <c r="CE22" s="1" t="n">
        <f aca="false">Participantes!BE21</f>
        <v>0</v>
      </c>
      <c r="CF22" s="1" t="n">
        <f aca="false">Participantes!BF21</f>
        <v>0</v>
      </c>
      <c r="CG22" s="82" t="str">
        <f aca="false">IF(CE$2="","",IF(AND(CE22=CE$2,CF22=CF$2),3,IF(AND(CE$2&gt;CF$2,CE22&gt;CF22),1,IF(AND(CF$2&gt;CE$2,CF22&gt;CE22),1,IF(AND(CE$2=CF$2,CE22=CF22),1,0)))))</f>
        <v/>
      </c>
      <c r="CH22" s="1" t="n">
        <f aca="false">Participantes!BG21</f>
        <v>0</v>
      </c>
      <c r="CI22" s="1" t="n">
        <f aca="false">Participantes!BH21</f>
        <v>0</v>
      </c>
      <c r="CJ22" s="82" t="str">
        <f aca="false">IF(CH$2="","",IF(AND(CH22=CH$2,CI22=CI$2),3,IF(AND(CH$2&gt;CI$2,CH22&gt;CI22),1,IF(AND(CI$2&gt;CH$2,CI22&gt;CH22),1,IF(AND(CH$2=CI$2,CH22=CI22),1,0)))))</f>
        <v/>
      </c>
      <c r="CK22" s="1" t="n">
        <f aca="false">Participantes!BI21</f>
        <v>0</v>
      </c>
      <c r="CL22" s="1" t="n">
        <f aca="false">Participantes!BJ21</f>
        <v>0</v>
      </c>
      <c r="CM22" s="82" t="str">
        <f aca="false">IF(CK$2="","",IF(AND(CK22=CK$2,CL22=CL$2),3,IF(AND(CK$2&gt;CL$2,CK22&gt;CL22),1,IF(AND(CL$2&gt;CK$2,CL22&gt;CK22),1,IF(AND(CK$2=CL$2,CK22=CL22),1,0)))))</f>
        <v/>
      </c>
      <c r="CN22" s="1" t="n">
        <f aca="false">Participantes!BK21</f>
        <v>0</v>
      </c>
      <c r="CO22" s="1" t="n">
        <f aca="false">Participantes!BL21</f>
        <v>0</v>
      </c>
      <c r="CP22" s="82" t="str">
        <f aca="false">IF(CN$2="","",IF(AND(CN22=CN$2,CO22=CO$2),3,IF(AND(CN$2&gt;CO$2,CN22&gt;CO22),1,IF(AND(CO$2&gt;CN$2,CO22&gt;CN22),1,IF(AND(CN$2=CO$2,CN22=CO22),1,0)))))</f>
        <v/>
      </c>
      <c r="CQ22" s="1" t="n">
        <f aca="false">Participantes!BM21</f>
        <v>0</v>
      </c>
      <c r="CR22" s="1" t="n">
        <f aca="false">Participantes!BN21</f>
        <v>0</v>
      </c>
      <c r="CS22" s="82" t="str">
        <f aca="false">IF(CQ$2="","",IF(AND(CQ22=CQ$2,CR22=CR$2),3,IF(AND(CQ$2&gt;CR$2,CQ22&gt;CR22),1,IF(AND(CR$2&gt;CQ$2,CR22&gt;CQ22),1,IF(AND(CQ$2=CR$2,CQ22=CR22),1,0)))))</f>
        <v/>
      </c>
      <c r="CT22" s="1" t="n">
        <f aca="false">Participantes!BO21</f>
        <v>0</v>
      </c>
      <c r="CU22" s="1" t="n">
        <f aca="false">Participantes!BP21</f>
        <v>0</v>
      </c>
      <c r="CV22" s="82" t="str">
        <f aca="false">IF(CT$2="","",IF(AND(CT22=CT$2,CU22=CU$2),3,IF(AND(CT$2&gt;CU$2,CT22&gt;CU22),1,IF(AND(CU$2&gt;CT$2,CU22&gt;CT22),1,IF(AND(CT$2=CU$2,CT22=CU22),1,0)))))</f>
        <v/>
      </c>
      <c r="CW22" s="1" t="n">
        <f aca="false">Participantes!BQ21</f>
        <v>0</v>
      </c>
      <c r="CX22" s="1" t="n">
        <f aca="false">Participantes!BR21</f>
        <v>0</v>
      </c>
      <c r="CY22" s="82" t="str">
        <f aca="false">IF(CW$2="","",IF(AND(CW22=CW$2,CX22=CX$2),3,IF(AND(CW$2&gt;CX$2,CW22&gt;CX22),1,IF(AND(CX$2&gt;CW$2,CX22&gt;CW22),1,IF(AND(CW$2=CX$2,CW22=CX22),1,0)))))</f>
        <v/>
      </c>
      <c r="CZ22" s="1" t="n">
        <f aca="false">Participantes!BS21</f>
        <v>0</v>
      </c>
      <c r="DA22" s="1" t="n">
        <f aca="false">Participantes!BT21</f>
        <v>0</v>
      </c>
      <c r="DB22" s="82" t="str">
        <f aca="false">IF(CZ$2="","",IF(AND(CZ22=CZ$2,DA22=DA$2),3,IF(AND(CZ$2&gt;DA$2,CZ22&gt;DA22),1,IF(AND(DA$2&gt;CZ$2,DA22&gt;CZ22),1,IF(AND(CZ$2=DA$2,CZ22=DA22),1,0)))))</f>
        <v/>
      </c>
      <c r="DC22" s="1" t="n">
        <f aca="false">Participantes!BU21</f>
        <v>0</v>
      </c>
      <c r="DD22" s="1" t="n">
        <f aca="false">Participantes!BV21</f>
        <v>0</v>
      </c>
      <c r="DE22" s="82" t="str">
        <f aca="false">IF(DC$2="","",IF(AND(DC22=DC$2,DD22=DD$2),3,IF(AND(DC$2&gt;DD$2,DC22&gt;DD22),1,IF(AND(DD$2&gt;DC$2,DD22&gt;DC22),1,IF(AND(DC$2=DD$2,DC22=DD22),1,0)))))</f>
        <v/>
      </c>
      <c r="DF22" s="1" t="n">
        <f aca="false">Participantes!BW21</f>
        <v>0</v>
      </c>
      <c r="DG22" s="1" t="n">
        <f aca="false">Participantes!BX21</f>
        <v>0</v>
      </c>
      <c r="DH22" s="82" t="str">
        <f aca="false">IF(DF$2="","",IF(AND(DF22=DF$2,DG22=DG$2),3,IF(AND(DF$2&gt;DG$2,DF22&gt;DG22),1,IF(AND(DG$2&gt;DF$2,DG22&gt;DF22),1,IF(AND(DF$2=DG$2,DF22=DG22),1,0)))))</f>
        <v/>
      </c>
      <c r="DI22" s="1" t="n">
        <f aca="false">Participantes!BY21</f>
        <v>0</v>
      </c>
      <c r="DJ22" s="1" t="n">
        <f aca="false">Participantes!BZ21</f>
        <v>0</v>
      </c>
      <c r="DK22" s="82" t="str">
        <f aca="false">IF(DI$2="","",IF(AND(DI22=DI$2,DJ22=DJ$2),3,IF(AND(DI$2&gt;DJ$2,DI22&gt;DJ22),1,IF(AND(DJ$2&gt;DI$2,DJ22&gt;DI22),1,IF(AND(DI$2=DJ$2,DI22=DJ22),1,0)))))</f>
        <v/>
      </c>
      <c r="DL22" s="1" t="n">
        <f aca="false">Participantes!CA21</f>
        <v>0</v>
      </c>
      <c r="DM22" s="1" t="n">
        <f aca="false">Participantes!CB21</f>
        <v>0</v>
      </c>
      <c r="DN22" s="82" t="str">
        <f aca="false">IF(DL$2="","",IF(AND(DL22=DL$2,DM22=DM$2),3,IF(AND(DL$2&gt;DM$2,DL22&gt;DM22),1,IF(AND(DM$2&gt;DL$2,DM22&gt;DL22),1,IF(AND(DL$2=DM$2,DL22=DM22),1,0)))))</f>
        <v/>
      </c>
      <c r="DO22" s="1" t="n">
        <f aca="false">Participantes!CC21</f>
        <v>0</v>
      </c>
      <c r="DP22" s="1" t="n">
        <f aca="false">Participantes!CD21</f>
        <v>0</v>
      </c>
      <c r="DQ22" s="82" t="str">
        <f aca="false">IF(DO$2="","",IF(AND(DO22=DO$2,DP22=DP$2),3,IF(AND(DO$2&gt;DP$2,DO22&gt;DP22),1,IF(AND(DP$2&gt;DO$2,DP22&gt;DO22),1,IF(AND(DO$2=DP$2,DO22=DP22),1,0)))))</f>
        <v/>
      </c>
      <c r="DR22" s="1" t="n">
        <f aca="false">Participantes!CE21</f>
        <v>0</v>
      </c>
      <c r="DS22" s="1" t="n">
        <f aca="false">Participantes!CF21</f>
        <v>0</v>
      </c>
      <c r="DT22" s="82" t="str">
        <f aca="false">IF(DR$2="","",IF(AND(DR22=DR$2,DS22=DS$2),3,IF(AND(DR$2&gt;DS$2,DR22&gt;DS22),1,IF(AND(DS$2&gt;DR$2,DS22&gt;DR22),1,IF(AND(DR$2=DS$2,DR22=DS22),1,0)))))</f>
        <v/>
      </c>
      <c r="DU22" s="1" t="n">
        <f aca="false">Participantes!CG21</f>
        <v>0</v>
      </c>
      <c r="DV22" s="1" t="n">
        <f aca="false">Participantes!CH21</f>
        <v>0</v>
      </c>
      <c r="DW22" s="82" t="str">
        <f aca="false">IF(DU$2="","",IF(AND(DU22=DU$2,DV22=DV$2),3,IF(AND(DU$2&gt;DV$2,DU22&gt;DV22),1,IF(AND(DV$2&gt;DU$2,DV22&gt;DU22),1,IF(AND(DU$2=DV$2,DU22=DV22),1,0)))))</f>
        <v/>
      </c>
      <c r="DX22" s="1" t="n">
        <f aca="false">Participantes!CI21</f>
        <v>0</v>
      </c>
      <c r="DY22" s="1" t="n">
        <f aca="false">Participantes!CJ21</f>
        <v>0</v>
      </c>
      <c r="DZ22" s="82" t="str">
        <f aca="false">IF(DX$2="","",IF(AND(DX22=DX$2,DY22=DY$2),3,IF(AND(DX$2&gt;DY$2,DX22&gt;DY22),1,IF(AND(DY$2&gt;DX$2,DY22&gt;DX22),1,IF(AND(DX$2=DY$2,DX22=DY22),1,0)))))</f>
        <v/>
      </c>
      <c r="EA22" s="1" t="n">
        <f aca="false">Participantes!CK21</f>
        <v>0</v>
      </c>
      <c r="EB22" s="1" t="n">
        <f aca="false">Participantes!CL21</f>
        <v>0</v>
      </c>
      <c r="EC22" s="82" t="str">
        <f aca="false">IF(EA$2="","",IF(AND(EA22=EA$2,EB22=EB$2),3,IF(AND(EA$2&gt;EB$2,EA22&gt;EB22),1,IF(AND(EB$2&gt;EA$2,EB22&gt;EA22),1,IF(AND(EA$2=EB$2,EA22=EB22),1,0)))))</f>
        <v/>
      </c>
      <c r="ED22" s="1" t="n">
        <f aca="false">Participantes!CM21</f>
        <v>0</v>
      </c>
      <c r="EE22" s="1" t="n">
        <f aca="false">Participantes!CN21</f>
        <v>0</v>
      </c>
      <c r="EF22" s="82" t="str">
        <f aca="false">IF(ED$2="","",IF(AND(ED22=ED$2,EE22=EE$2),3,IF(AND(ED$2&gt;EE$2,ED22&gt;EE22),1,IF(AND(EE$2&gt;ED$2,EE22&gt;ED22),1,IF(AND(ED$2=EE$2,ED22=EE22),1,0)))))</f>
        <v/>
      </c>
      <c r="EG22" s="1" t="n">
        <f aca="false">Participantes!CO21</f>
        <v>0</v>
      </c>
      <c r="EH22" s="1" t="n">
        <f aca="false">Participantes!CP21</f>
        <v>0</v>
      </c>
      <c r="EI22" s="82" t="str">
        <f aca="false">IF(EG$2="","",IF(AND(EG22=EG$2,EH22=EH$2),3,IF(AND(EG$2&gt;EH$2,EG22&gt;EH22),1,IF(AND(EH$2&gt;EG$2,EH22&gt;EG22),1,IF(AND(EG$2=EH$2,EG22=EH22),1,0)))))</f>
        <v/>
      </c>
      <c r="EJ22" s="1" t="n">
        <f aca="false">Participantes!CQ21</f>
        <v>0</v>
      </c>
      <c r="EK22" s="1" t="n">
        <f aca="false">Participantes!CR21</f>
        <v>0</v>
      </c>
      <c r="EL22" s="82" t="str">
        <f aca="false">IF(EJ$2="","",IF(AND(EJ22=EJ$2,EK22=EK$2),3,IF(AND(EJ$2&gt;EK$2,EJ22&gt;EK22),1,IF(AND(EK$2&gt;EJ$2,EK22&gt;EJ22),1,IF(AND(EJ$2=EK$2,EJ22=EK22),1,0)))))</f>
        <v/>
      </c>
      <c r="EM22" s="1" t="n">
        <f aca="false">Participantes!CS21</f>
        <v>0</v>
      </c>
      <c r="EN22" s="1" t="n">
        <f aca="false">Participantes!CT21</f>
        <v>0</v>
      </c>
      <c r="EO22" s="82" t="str">
        <f aca="false">IF(EM$2="","",IF(AND(EM22=EM$2,EN22=EN$2),3,IF(AND(EM$2&gt;EN$2,EM22&gt;EN22),1,IF(AND(EN$2&gt;EM$2,EN22&gt;EM22),1,IF(AND(EM$2=EN$2,EM22=EN22),1,0)))))</f>
        <v/>
      </c>
      <c r="EP22" s="1" t="n">
        <f aca="false">Participantes!CU21</f>
        <v>0</v>
      </c>
      <c r="EQ22" s="1" t="n">
        <f aca="false">Participantes!CV21</f>
        <v>0</v>
      </c>
      <c r="ER22" s="82" t="str">
        <f aca="false">IF(EP$2="","",IF(AND(EP22=EP$2,EQ22=EQ$2),3,IF(AND(EP$2&gt;EQ$2,EP22&gt;EQ22),1,IF(AND(EQ$2&gt;EP$2,EQ22&gt;EP22),1,IF(AND(EP$2=EQ$2,EP22=EQ22),1,0)))))</f>
        <v/>
      </c>
      <c r="ES22" s="1" t="n">
        <f aca="false">Participantes!CW21</f>
        <v>0</v>
      </c>
      <c r="ET22" s="1" t="n">
        <f aca="false">Participantes!CX21</f>
        <v>0</v>
      </c>
      <c r="EU22" s="82" t="str">
        <f aca="false">IF(ES$2="","",IF(AND(ES22=ES$2,ET22=ET$2),3,IF(AND(ES$2&gt;ET$2,ES22&gt;ET22),1,IF(AND(ET$2&gt;ES$2,ET22&gt;ES22),1,IF(AND(ES$2=ET$2,ES22=ET22),1,0)))))</f>
        <v/>
      </c>
      <c r="EV22" s="1" t="n">
        <f aca="false">Participantes!CY21</f>
        <v>0</v>
      </c>
      <c r="EW22" s="1" t="n">
        <f aca="false">Participantes!CZ21</f>
        <v>0</v>
      </c>
      <c r="EX22" s="82" t="str">
        <f aca="false">IF(EV$2="","",IF(AND(EV22=EV$2,EW22=EW$2),3,IF(AND(EV$2&gt;EW$2,EV22&gt;EW22),1,IF(AND(EW$2&gt;EV$2,EW22&gt;EV22),1,IF(AND(EV$2=EW$2,EV22=EW22),1,0)))))</f>
        <v/>
      </c>
      <c r="EY22" s="1" t="n">
        <f aca="false">Participantes!DA21</f>
        <v>0</v>
      </c>
      <c r="EZ22" s="1" t="n">
        <f aca="false">Participantes!DB21</f>
        <v>0</v>
      </c>
      <c r="FA22" s="82" t="str">
        <f aca="false">IF(EY$2="","",IF(AND(EY22=EY$2,EZ22=EZ$2),3,IF(AND(EY$2&gt;EZ$2,EY22&gt;EZ22),1,IF(AND(EZ$2&gt;EY$2,EZ22&gt;EY22),1,IF(AND(EY$2=EZ$2,EY22=EZ22),1,0)))))</f>
        <v/>
      </c>
      <c r="FB22" s="1" t="n">
        <f aca="false">Participantes!DC21</f>
        <v>0</v>
      </c>
      <c r="FC22" s="1" t="n">
        <f aca="false">Participantes!DD21</f>
        <v>0</v>
      </c>
      <c r="FD22" s="82" t="str">
        <f aca="false">IF(FB$2="","",IF(AND(FB22=FB$2,FC22=FC$2),3,IF(AND(FB$2&gt;FC$2,FB22&gt;FC22),1,IF(AND(FC$2&gt;FB$2,FC22&gt;FB22),1,IF(AND(FB$2=FC$2,FB22=FC22),1,0)))))</f>
        <v/>
      </c>
      <c r="FE22" s="1" t="n">
        <f aca="false">Participantes!DE21</f>
        <v>0</v>
      </c>
      <c r="FF22" s="1" t="n">
        <f aca="false">Participantes!DF21</f>
        <v>0</v>
      </c>
      <c r="FG22" s="82" t="str">
        <f aca="false">IF(FE$2="","",IF(AND(FE22=FE$2,FF22=FF$2),3,IF(AND(FE$2&gt;FF$2,FE22&gt;FF22),1,IF(AND(FF$2&gt;FE$2,FF22&gt;FE22),1,IF(AND(FE$2=FF$2,FE22=FF22),1,0)))))</f>
        <v/>
      </c>
      <c r="FH22" s="1" t="n">
        <f aca="false">Participantes!DG21</f>
        <v>0</v>
      </c>
      <c r="FI22" s="1" t="n">
        <f aca="false">Participantes!DH21</f>
        <v>0</v>
      </c>
      <c r="FJ22" s="82" t="str">
        <f aca="false">IF(FH$2="","",IF(AND(FH22=FH$2,FI22=FI$2),3,IF(AND(FH$2&gt;FI$2,FH22&gt;FI22),1,IF(AND(FI$2&gt;FH$2,FI22&gt;FH22),1,IF(AND(FH$2=FI$2,FH22=FI22),1,0)))))</f>
        <v/>
      </c>
      <c r="FK22" s="1" t="n">
        <f aca="false">Participantes!DI21</f>
        <v>0</v>
      </c>
      <c r="FL22" s="1" t="n">
        <f aca="false">Participantes!DJ21</f>
        <v>0</v>
      </c>
      <c r="FM22" s="82" t="str">
        <f aca="false">IF(FK$2="","",IF(AND(FK22=FK$2,FL22=FL$2),3,IF(AND(FK$2&gt;FL$2,FK22&gt;FL22),1,IF(AND(FL$2&gt;FK$2,FL22&gt;FK22),1,IF(AND(FK$2=FL$2,FK22=FL22),1,0)))))</f>
        <v/>
      </c>
      <c r="FN22" s="1" t="n">
        <f aca="false">Participantes!DK21</f>
        <v>0</v>
      </c>
      <c r="FO22" s="1" t="n">
        <f aca="false">Participantes!DL21</f>
        <v>0</v>
      </c>
      <c r="FP22" s="82" t="str">
        <f aca="false">IF(FN$2="","",IF(AND(FN22=FN$2,FO22=FO$2),3,IF(AND(FN$2&gt;FO$2,FN22&gt;FO22),1,IF(AND(FO$2&gt;FN$2,FO22&gt;FN22),1,IF(AND(FN$2=FO$2,FN22=FO22),1,0)))))</f>
        <v/>
      </c>
      <c r="FQ22" s="1" t="n">
        <f aca="false">Participantes!DM21</f>
        <v>0</v>
      </c>
      <c r="FR22" s="1" t="n">
        <f aca="false">Participantes!DN21</f>
        <v>0</v>
      </c>
      <c r="FS22" s="82" t="str">
        <f aca="false">IF(FQ$2="","",IF(AND(FQ22=FQ$2,FR22=FR$2),3,IF(AND(FQ$2&gt;FR$2,FQ22&gt;FR22),1,IF(AND(FR$2&gt;FQ$2,FR22&gt;FQ22),1,IF(AND(FQ$2=FR$2,FQ22=FR22),1,0)))))</f>
        <v/>
      </c>
      <c r="FT22" s="1" t="n">
        <f aca="false">Participantes!DO21</f>
        <v>0</v>
      </c>
      <c r="FU22" s="1" t="n">
        <f aca="false">Participantes!DP21</f>
        <v>0</v>
      </c>
      <c r="FV22" s="82" t="str">
        <f aca="false">IF(FT$2="","",IF(AND(FT22=FT$2,FU22=FU$2),3,IF(AND(FT$2&gt;FU$2,FT22&gt;FU22),1,IF(AND(FU$2&gt;FT$2,FU22&gt;FT22),1,IF(AND(FT$2=FU$2,FT22=FU22),1,0)))))</f>
        <v/>
      </c>
      <c r="FW22" s="1" t="n">
        <f aca="false">Participantes!DQ21</f>
        <v>0</v>
      </c>
      <c r="FX22" s="1" t="n">
        <f aca="false">Participantes!DR21</f>
        <v>0</v>
      </c>
      <c r="FY22" s="82" t="str">
        <f aca="false">IF(FW$2="","",IF(AND(FW22=FW$2,FX22=FX$2),3,IF(AND(FW$2&gt;FX$2,FW22&gt;FX22),1,IF(AND(FX$2&gt;FW$2,FX22&gt;FW22),1,IF(AND(FW$2=FX$2,FW22=FX22),1,0)))))</f>
        <v/>
      </c>
      <c r="FZ22" s="1" t="n">
        <f aca="false">Participantes!DS21</f>
        <v>0</v>
      </c>
      <c r="GA22" s="1" t="n">
        <f aca="false">Participantes!DT21</f>
        <v>0</v>
      </c>
      <c r="GB22" s="82" t="str">
        <f aca="false">IF(FZ$2="","",IF(AND(FZ22=FZ$2,GA22=GA$2),3,IF(AND(FZ$2&gt;GA$2,FZ22&gt;GA22),1,IF(AND(GA$2&gt;FZ$2,GA22&gt;FZ22),1,IF(AND(FZ$2=GA$2,FZ22=GA22),1,0)))))</f>
        <v/>
      </c>
      <c r="GC22" s="1" t="n">
        <f aca="false">Participantes!DU21</f>
        <v>0</v>
      </c>
      <c r="GD22" s="1" t="n">
        <f aca="false">Participantes!DV21</f>
        <v>0</v>
      </c>
      <c r="GE22" s="82" t="str">
        <f aca="false">IF(GC$2="","",IF(AND(GC22=GC$2,GD22=GD$2),3,IF(AND(GC$2&gt;GD$2,GC22&gt;GD22),1,IF(AND(GD$2&gt;GC$2,GD22&gt;GC22),1,IF(AND(GC$2=GD$2,GC22=GD22),1,0)))))</f>
        <v/>
      </c>
      <c r="GF22" s="1" t="n">
        <f aca="false">Participantes!DW21</f>
        <v>0</v>
      </c>
      <c r="GG22" s="1" t="n">
        <f aca="false">Participantes!DX21</f>
        <v>0</v>
      </c>
      <c r="GH22" s="82" t="str">
        <f aca="false">IF(GF$2="","",IF(AND(GF22=GF$2,GG22=GG$2),3,IF(AND(GF$2&gt;GG$2,GF22&gt;GG22),1,IF(AND(GG$2&gt;GF$2,GG22&gt;GF22),1,IF(AND(GF$2=GG$2,GF22=GG22),1,0)))))</f>
        <v/>
      </c>
      <c r="GI22" s="1" t="n">
        <f aca="false">Participantes!DY21</f>
        <v>0</v>
      </c>
      <c r="GJ22" s="1" t="n">
        <f aca="false">Participantes!DZ21</f>
        <v>0</v>
      </c>
      <c r="GK22" s="82" t="str">
        <f aca="false">IF(GI$2="","",IF(AND(GI22=GI$2,GJ22=GJ$2),3,IF(AND(GI$2&gt;GJ$2,GI22&gt;GJ22),1,IF(AND(GJ$2&gt;GI$2,GJ22&gt;GI22),1,IF(AND(GI$2=GJ$2,GI22=GJ22),1,0)))))</f>
        <v/>
      </c>
      <c r="GL22" s="1" t="n">
        <f aca="false">Participantes!EA21</f>
        <v>0</v>
      </c>
      <c r="GM22" s="1" t="n">
        <f aca="false">Participantes!EB21</f>
        <v>0</v>
      </c>
      <c r="GN22" s="82" t="str">
        <f aca="false">IF(GL$2="","",IF(AND(GL22=GL$2,GM22=GM$2),3,IF(AND(GL$2&gt;GM$2,GL22&gt;GM22),1,IF(AND(GM$2&gt;GL$2,GM22&gt;GL22),1,IF(AND(GL$2=GM$2,GL22=GM22),1,0)))))</f>
        <v/>
      </c>
      <c r="GO22" s="1" t="n">
        <f aca="false">Participantes!EC21</f>
        <v>0</v>
      </c>
      <c r="GP22" s="1" t="n">
        <f aca="false">Participantes!ED21</f>
        <v>0</v>
      </c>
      <c r="GQ22" s="82" t="str">
        <f aca="false">IF(GO$2="","",IF(AND(GO22=GO$2,GP22=GP$2),3,IF(AND(GO$2&gt;GP$2,GO22&gt;GP22),1,IF(AND(GP$2&gt;GO$2,GP22&gt;GO22),1,IF(AND(GO$2=GP$2,GO22=GP22),1,0)))))</f>
        <v/>
      </c>
      <c r="GR22" s="1" t="n">
        <f aca="false">Participantes!EE21</f>
        <v>0</v>
      </c>
      <c r="GS22" s="1" t="n">
        <f aca="false">Participantes!EF21</f>
        <v>0</v>
      </c>
      <c r="GT22" s="82" t="str">
        <f aca="false">IF(GR$2="","",IF(AND(GR22=GR$2,GS22=GS$2),3,IF(AND(GR$2&gt;GS$2,GR22&gt;GS22),1,IF(AND(GS$2&gt;GR$2,GS22&gt;GR22),1,IF(AND(GR$2=GS$2,GR22=GS22),1,0)))))</f>
        <v/>
      </c>
      <c r="GU22" s="1" t="n">
        <f aca="false">Participantes!EG21</f>
        <v>0</v>
      </c>
      <c r="GV22" s="1" t="n">
        <f aca="false">Participantes!EH21</f>
        <v>0</v>
      </c>
      <c r="GW22" s="82" t="str">
        <f aca="false">IF(GU$2="","",IF(AND(GU22=GU$2,GV22=GV$2),3,IF(AND(GU$2&gt;GV$2,GU22&gt;GV22),1,IF(AND(GV$2&gt;GU$2,GV22&gt;GU22),1,IF(AND(GU$2=GV$2,GU22=GV22),1,0)))))</f>
        <v/>
      </c>
      <c r="GX22" s="1" t="n">
        <f aca="false">Participantes!EI21</f>
        <v>0</v>
      </c>
      <c r="GY22" s="1" t="n">
        <f aca="false">Participantes!EJ21</f>
        <v>0</v>
      </c>
      <c r="GZ22" s="82" t="str">
        <f aca="false">IF(GX$2="","",IF(AND(GX22=GX$2,GY22=GY$2),3,IF(AND(GX$2&gt;GY$2,GX22&gt;GY22),1,IF(AND(GY$2&gt;GX$2,GY22&gt;GX22),1,IF(AND(GX$2=GY$2,GX22=GY22),1,0)))))</f>
        <v/>
      </c>
      <c r="HA22" s="1" t="n">
        <f aca="false">Participantes!EK21</f>
        <v>0</v>
      </c>
      <c r="HB22" s="1" t="n">
        <f aca="false">Participantes!EL21</f>
        <v>0</v>
      </c>
      <c r="HC22" s="82" t="str">
        <f aca="false">IF(HA$2="","",IF(AND(HA22=HA$2,HB22=HB$2),3,IF(AND(HA$2&gt;HB$2,HA22&gt;HB22),1,IF(AND(HB$2&gt;HA$2,HB22&gt;HA22),1,IF(AND(HA$2=HB$2,HA22=HB22),1,0)))))</f>
        <v/>
      </c>
      <c r="HD22" s="1" t="n">
        <f aca="false">Participantes!EM21</f>
        <v>0</v>
      </c>
      <c r="HE22" s="1" t="n">
        <f aca="false">Participantes!EN21</f>
        <v>0</v>
      </c>
      <c r="HF22" s="82" t="str">
        <f aca="false">IF(HD$2="","",IF(AND(HD22=HD$2,HE22=HE$2),3,IF(AND(HD$2&gt;HE$2,HD22&gt;HE22),1,IF(AND(HE$2&gt;HD$2,HE22&gt;HD22),1,IF(AND(HD$2=HE$2,HD22=HE22),1,0)))))</f>
        <v/>
      </c>
      <c r="HG22" s="1" t="n">
        <f aca="false">Participantes!EO21</f>
        <v>0</v>
      </c>
      <c r="HH22" s="1" t="n">
        <f aca="false">Participantes!EP21</f>
        <v>0</v>
      </c>
      <c r="HI22" s="82" t="str">
        <f aca="false">IF(HG$2="","",IF(AND(HG22=HG$2,HH22=HH$2),3,IF(AND(HG$2&gt;HH$2,HG22&gt;HH22),1,IF(AND(HH$2&gt;HG$2,HH22&gt;HG22),1,IF(AND(HG$2=HH$2,HG22=HH22),1,0)))))</f>
        <v/>
      </c>
      <c r="HJ22" s="83" t="n">
        <f aca="false">SUM(D22,G22,J22,M22,P22,S22,V22,Y22,AB22,AE22,AH22,AK22,AN22,AQ22,AT22,AW22,AZ22,BC22,BF22,BI22,BL22,BO22,BR22,BU22,BX22,CA22,CD22,CG22,CJ22,CM22,CP22,CS22,CV22,CY22,DB22,DE22,DH22,DK22,DN22,DQ22,DT22,DW22,DZ22,EC22,EF22,EI22,EL22,EO22,ER22,EU22,EX22,FA22,FD22,FG22,FJ22,FM22,FP22,FS22,FV22,FY22,GB22,GE22,GH22,GK22,GN22,GQ22,GT22,GW22,GZ22,HC22,HF22,HI22)</f>
        <v>1</v>
      </c>
    </row>
    <row r="23" customFormat="false" ht="15" hidden="false" customHeight="true" outlineLevel="0" collapsed="false">
      <c r="A23" s="81" t="str">
        <f aca="false">Participantes!B22</f>
        <v>Jose C Judith</v>
      </c>
      <c r="B23" s="1" t="n">
        <f aca="false">Participantes!C22</f>
        <v>3</v>
      </c>
      <c r="C23" s="1" t="n">
        <f aca="false">Participantes!D22</f>
        <v>2</v>
      </c>
      <c r="D23" s="82" t="n">
        <f aca="false">IF(B$2="","",IF(AND(B23=B$2,C23=C$2),3,IF(AND(B$2&gt;C$2,B23&gt;C23),1,IF(AND(C$2&gt;B$2,C23&gt;B23),1,IF(AND(B$2=C$2,B23=C23),1,0)))))</f>
        <v>1</v>
      </c>
      <c r="E23" s="1" t="n">
        <f aca="false">Participantes!E22</f>
        <v>2</v>
      </c>
      <c r="F23" s="1" t="n">
        <f aca="false">Participantes!F22</f>
        <v>2</v>
      </c>
      <c r="G23" s="82" t="str">
        <f aca="false">IF(E$2="","",IF(AND(E23=E$2,F23=F$2),3,IF(AND(E$2&gt;F$2,E23&gt;F23),1,IF(AND(F$2&gt;E$2,F23&gt;E23),1,IF(AND(E$2=F$2,E23=F23),1,0)))))</f>
        <v/>
      </c>
      <c r="H23" s="1" t="n">
        <f aca="false">Participantes!G22</f>
        <v>3</v>
      </c>
      <c r="I23" s="1" t="n">
        <f aca="false">Participantes!H22</f>
        <v>1</v>
      </c>
      <c r="J23" s="82" t="str">
        <f aca="false">IF(H$2="","",IF(AND(H23=H$2,I23=I$2),3,IF(AND(H$2&gt;I$2,H23&gt;I23),1,IF(AND(I$2&gt;H$2,I23&gt;H23),1,IF(AND(H$2=I$2,H23=I23),1,0)))))</f>
        <v/>
      </c>
      <c r="K23" s="1" t="n">
        <f aca="false">Participantes!I22</f>
        <v>3</v>
      </c>
      <c r="L23" s="1" t="n">
        <f aca="false">Participantes!J22</f>
        <v>2</v>
      </c>
      <c r="M23" s="82" t="str">
        <f aca="false">IF(K$2="","",IF(AND(K23=K$2,L23=L$2),3,IF(AND(K$2&gt;L$2,K23&gt;L23),1,IF(AND(L$2&gt;K$2,L23&gt;K23),1,IF(AND(K$2=L$2,K23=L23),1,0)))))</f>
        <v/>
      </c>
      <c r="N23" s="1" t="n">
        <f aca="false">Participantes!K22</f>
        <v>1</v>
      </c>
      <c r="O23" s="1" t="n">
        <f aca="false">Participantes!L22</f>
        <v>1</v>
      </c>
      <c r="P23" s="82" t="str">
        <f aca="false">IF(N$2="","",IF(AND(N23=N$2,O23=O$2),3,IF(AND(N$2&gt;O$2,N23&gt;O23),1,IF(AND(O$2&gt;N$2,O23&gt;N23),1,IF(AND(N$2=O$2,N23=O23),1,0)))))</f>
        <v/>
      </c>
      <c r="Q23" s="1" t="n">
        <f aca="false">Participantes!M22</f>
        <v>2</v>
      </c>
      <c r="R23" s="1" t="n">
        <f aca="false">Participantes!N22</f>
        <v>1</v>
      </c>
      <c r="S23" s="82" t="str">
        <f aca="false">IF(Q$2="","",IF(AND(Q23=Q$2,R23=R$2),3,IF(AND(Q$2&gt;R$2,Q23&gt;R23),1,IF(AND(R$2&gt;Q$2,R23&gt;Q23),1,IF(AND(Q$2=R$2,Q23=R23),1,0)))))</f>
        <v/>
      </c>
      <c r="T23" s="1" t="n">
        <f aca="false">Participantes!O22</f>
        <v>3</v>
      </c>
      <c r="U23" s="1" t="n">
        <f aca="false">Participantes!P22</f>
        <v>0</v>
      </c>
      <c r="V23" s="82" t="str">
        <f aca="false">IF(T$2="","",IF(AND(T23=T$2,U23=U$2),3,IF(AND(T$2&gt;U$2,T23&gt;U23),1,IF(AND(U$2&gt;T$2,U23&gt;T23),1,IF(AND(T$2=U$2,T23=U23),1,0)))))</f>
        <v/>
      </c>
      <c r="W23" s="1" t="n">
        <f aca="false">Participantes!Q22</f>
        <v>1</v>
      </c>
      <c r="X23" s="1" t="n">
        <f aca="false">Participantes!R22</f>
        <v>2</v>
      </c>
      <c r="Y23" s="82" t="str">
        <f aca="false">IF(W$2="","",IF(AND(W23=W$2,X23=X$2),3,IF(AND(W$2&gt;X$2,W23&gt;X23),1,IF(AND(X$2&gt;W$2,X23&gt;W23),1,IF(AND(W$2=X$2,W23=X23),1,0)))))</f>
        <v/>
      </c>
      <c r="Z23" s="1" t="n">
        <f aca="false">Participantes!S22</f>
        <v>2</v>
      </c>
      <c r="AA23" s="1" t="n">
        <f aca="false">Participantes!T22</f>
        <v>2</v>
      </c>
      <c r="AB23" s="82" t="str">
        <f aca="false">IF(Z$2="","",IF(AND(Z23=Z$2,AA23=AA$2),3,IF(AND(Z$2&gt;AA$2,Z23&gt;AA23),1,IF(AND(AA$2&gt;Z$2,AA23&gt;Z23),1,IF(AND(Z$2=AA$2,Z23=AA23),1,0)))))</f>
        <v/>
      </c>
      <c r="AC23" s="1" t="n">
        <f aca="false">Participantes!U22</f>
        <v>4</v>
      </c>
      <c r="AD23" s="1" t="n">
        <f aca="false">Participantes!V22</f>
        <v>0</v>
      </c>
      <c r="AE23" s="82" t="str">
        <f aca="false">IF(AC$2="","",IF(AND(AC23=AC$2,AD23=AD$2),3,IF(AND(AC$2&gt;AD$2,AC23&gt;AD23),1,IF(AND(AD$2&gt;AC$2,AD23&gt;AC23),1,IF(AND(AC$2=AD$2,AC23=AD23),1,0)))))</f>
        <v/>
      </c>
      <c r="AF23" s="1" t="n">
        <f aca="false">Participantes!W22</f>
        <v>2</v>
      </c>
      <c r="AG23" s="1" t="n">
        <f aca="false">Participantes!X22</f>
        <v>0</v>
      </c>
      <c r="AH23" s="82" t="str">
        <f aca="false">IF(AF$2="","",IF(AND(AF23=AF$2,AG23=AG$2),3,IF(AND(AF$2&gt;AG$2,AF23&gt;AG23),1,IF(AND(AG$2&gt;AF$2,AG23&gt;AF23),1,IF(AND(AF$2=AG$2,AF23=AG23),1,0)))))</f>
        <v/>
      </c>
      <c r="AI23" s="1" t="n">
        <f aca="false">Participantes!Y22</f>
        <v>3</v>
      </c>
      <c r="AJ23" s="1" t="n">
        <f aca="false">Participantes!Z22</f>
        <v>1</v>
      </c>
      <c r="AK23" s="82" t="str">
        <f aca="false">IF(AI$2="","",IF(AND(AI23=AI$2,AJ23=AJ$2),3,IF(AND(AI$2&gt;AJ$2,AI23&gt;AJ23),1,IF(AND(AJ$2&gt;AI$2,AJ23&gt;AI23),1,IF(AND(AI$2=AJ$2,AI23=AJ23),1,0)))))</f>
        <v/>
      </c>
      <c r="AL23" s="1" t="n">
        <f aca="false">Participantes!AA22</f>
        <v>0</v>
      </c>
      <c r="AM23" s="1" t="n">
        <f aca="false">Participantes!AB22</f>
        <v>2</v>
      </c>
      <c r="AN23" s="82" t="str">
        <f aca="false">IF(AL$2="","",IF(AND(AL23=AL$2,AM23=AM$2),3,IF(AND(AL$2&gt;AM$2,AL23&gt;AM23),1,IF(AND(AM$2&gt;AL$2,AM23&gt;AL23),1,IF(AND(AL$2=AM$2,AL23=AM23),1,0)))))</f>
        <v/>
      </c>
      <c r="AO23" s="1" t="n">
        <f aca="false">Participantes!AC22</f>
        <v>5</v>
      </c>
      <c r="AP23" s="1" t="n">
        <f aca="false">Participantes!AD22</f>
        <v>0</v>
      </c>
      <c r="AQ23" s="82" t="str">
        <f aca="false">IF(AO$2="","",IF(AND(AO23=AO$2,AP23=AP$2),3,IF(AND(AO$2&gt;AP$2,AO23&gt;AP23),1,IF(AND(AP$2&gt;AO$2,AP23&gt;AO23),1,IF(AND(AO$2=AP$2,AO23=AP23),1,0)))))</f>
        <v/>
      </c>
      <c r="AR23" s="1" t="n">
        <f aca="false">Participantes!AE22</f>
        <v>0</v>
      </c>
      <c r="AS23" s="1" t="n">
        <f aca="false">Participantes!AF22</f>
        <v>0</v>
      </c>
      <c r="AT23" s="82" t="str">
        <f aca="false">IF(AR$2="","",IF(AND(AR23=AR$2,AS23=AS$2),3,IF(AND(AR$2&gt;AS$2,AR23&gt;AS23),1,IF(AND(AS$2&gt;AR$2,AS23&gt;AR23),1,IF(AND(AR$2=AS$2,AR23=AS23),1,0)))))</f>
        <v/>
      </c>
      <c r="AU23" s="1" t="n">
        <f aca="false">Participantes!AG22</f>
        <v>0</v>
      </c>
      <c r="AV23" s="1" t="n">
        <f aca="false">Participantes!AH22</f>
        <v>0</v>
      </c>
      <c r="AW23" s="82" t="str">
        <f aca="false">IF(AU$2="","",IF(AND(AU23=AU$2,AV23=AV$2),3,IF(AND(AU$2&gt;AV$2,AU23&gt;AV23),1,IF(AND(AV$2&gt;AU$2,AV23&gt;AU23),1,IF(AND(AU$2=AV$2,AU23=AV23),1,0)))))</f>
        <v/>
      </c>
      <c r="AX23" s="1" t="n">
        <f aca="false">Participantes!AI22</f>
        <v>0</v>
      </c>
      <c r="AY23" s="1" t="n">
        <f aca="false">Participantes!AJ22</f>
        <v>0</v>
      </c>
      <c r="AZ23" s="82" t="str">
        <f aca="false">IF(AX$2="","",IF(AND(AX23=AX$2,AY23=AY$2),3,IF(AND(AX$2&gt;AY$2,AX23&gt;AY23),1,IF(AND(AY$2&gt;AX$2,AY23&gt;AX23),1,IF(AND(AX$2=AY$2,AX23=AY23),1,0)))))</f>
        <v/>
      </c>
      <c r="BA23" s="1" t="n">
        <f aca="false">Participantes!AK22</f>
        <v>0</v>
      </c>
      <c r="BB23" s="1" t="n">
        <f aca="false">Participantes!AL22</f>
        <v>0</v>
      </c>
      <c r="BC23" s="82" t="str">
        <f aca="false">IF(BA$2="","",IF(AND(BA23=BA$2,BB23=BB$2),3,IF(AND(BA$2&gt;BB$2,BA23&gt;BB23),1,IF(AND(BB$2&gt;BA$2,BB23&gt;BA23),1,IF(AND(BA$2=BB$2,BA23=BB23),1,0)))))</f>
        <v/>
      </c>
      <c r="BD23" s="1" t="n">
        <f aca="false">Participantes!AM22</f>
        <v>0</v>
      </c>
      <c r="BE23" s="1" t="n">
        <f aca="false">Participantes!AN22</f>
        <v>0</v>
      </c>
      <c r="BF23" s="82" t="str">
        <f aca="false">IF(BD$2="","",IF(AND(BD23=BD$2,BE23=BE$2),3,IF(AND(BD$2&gt;BE$2,BD23&gt;BE23),1,IF(AND(BE$2&gt;BD$2,BE23&gt;BD23),1,IF(AND(BD$2=BE$2,BD23=BE23),1,0)))))</f>
        <v/>
      </c>
      <c r="BG23" s="1" t="n">
        <f aca="false">Participantes!AO22</f>
        <v>0</v>
      </c>
      <c r="BH23" s="1" t="n">
        <f aca="false">Participantes!AP22</f>
        <v>0</v>
      </c>
      <c r="BI23" s="82" t="str">
        <f aca="false">IF(BG$2="","",IF(AND(BG23=BG$2,BH23=BH$2),3,IF(AND(BG$2&gt;BH$2,BG23&gt;BH23),1,IF(AND(BH$2&gt;BG$2,BH23&gt;BG23),1,IF(AND(BG$2=BH$2,BG23=BH23),1,0)))))</f>
        <v/>
      </c>
      <c r="BJ23" s="1" t="n">
        <f aca="false">Participantes!AQ22</f>
        <v>0</v>
      </c>
      <c r="BK23" s="1" t="n">
        <f aca="false">Participantes!AR22</f>
        <v>0</v>
      </c>
      <c r="BL23" s="82" t="str">
        <f aca="false">IF(BJ$2="","",IF(AND(BJ23=BJ$2,BK23=BK$2),3,IF(AND(BJ$2&gt;BK$2,BJ23&gt;BK23),1,IF(AND(BK$2&gt;BJ$2,BK23&gt;BJ23),1,IF(AND(BJ$2=BK$2,BJ23=BK23),1,0)))))</f>
        <v/>
      </c>
      <c r="BM23" s="1" t="n">
        <f aca="false">Participantes!AS22</f>
        <v>0</v>
      </c>
      <c r="BN23" s="1" t="n">
        <f aca="false">Participantes!AT22</f>
        <v>0</v>
      </c>
      <c r="BO23" s="82" t="str">
        <f aca="false">IF(BM$2="","",IF(AND(BM23=BM$2,BN23=BN$2),3,IF(AND(BM$2&gt;BN$2,BM23&gt;BN23),1,IF(AND(BN$2&gt;BM$2,BN23&gt;BM23),1,IF(AND(BM$2=BN$2,BM23=BN23),1,0)))))</f>
        <v/>
      </c>
      <c r="BP23" s="1" t="n">
        <f aca="false">Participantes!AU22</f>
        <v>0</v>
      </c>
      <c r="BQ23" s="1" t="n">
        <f aca="false">Participantes!AV22</f>
        <v>0</v>
      </c>
      <c r="BR23" s="82" t="str">
        <f aca="false">IF(BP$2="","",IF(AND(BP23=BP$2,BQ23=BQ$2),3,IF(AND(BP$2&gt;BQ$2,BP23&gt;BQ23),1,IF(AND(BQ$2&gt;BP$2,BQ23&gt;BP23),1,IF(AND(BP$2=BQ$2,BP23=BQ23),1,0)))))</f>
        <v/>
      </c>
      <c r="BS23" s="1" t="n">
        <f aca="false">Participantes!AW22</f>
        <v>0</v>
      </c>
      <c r="BT23" s="1" t="n">
        <f aca="false">Participantes!AX22</f>
        <v>0</v>
      </c>
      <c r="BU23" s="82" t="str">
        <f aca="false">IF(BS$2="","",IF(AND(BS23=BS$2,BT23=BT$2),3,IF(AND(BS$2&gt;BT$2,BS23&gt;BT23),1,IF(AND(BT$2&gt;BS$2,BT23&gt;BS23),1,IF(AND(BS$2=BT$2,BS23=BT23),1,0)))))</f>
        <v/>
      </c>
      <c r="BV23" s="1" t="n">
        <f aca="false">Participantes!AY22</f>
        <v>0</v>
      </c>
      <c r="BW23" s="1" t="n">
        <f aca="false">Participantes!AZ22</f>
        <v>0</v>
      </c>
      <c r="BX23" s="82" t="str">
        <f aca="false">IF(BV$2="","",IF(AND(BV23=BV$2,BW23=BW$2),3,IF(AND(BV$2&gt;BW$2,BV23&gt;BW23),1,IF(AND(BW$2&gt;BV$2,BW23&gt;BV23),1,IF(AND(BV$2=BW$2,BV23=BW23),1,0)))))</f>
        <v/>
      </c>
      <c r="BY23" s="1" t="n">
        <f aca="false">Participantes!BA22</f>
        <v>0</v>
      </c>
      <c r="BZ23" s="1" t="n">
        <f aca="false">Participantes!BB22</f>
        <v>0</v>
      </c>
      <c r="CA23" s="82" t="str">
        <f aca="false">IF(BY$2="","",IF(AND(BY23=BY$2,BZ23=BZ$2),3,IF(AND(BY$2&gt;BZ$2,BY23&gt;BZ23),1,IF(AND(BZ$2&gt;BY$2,BZ23&gt;BY23),1,IF(AND(BY$2=BZ$2,BY23=BZ23),1,0)))))</f>
        <v/>
      </c>
      <c r="CB23" s="1" t="n">
        <f aca="false">Participantes!BC22</f>
        <v>0</v>
      </c>
      <c r="CC23" s="1" t="n">
        <f aca="false">Participantes!BD22</f>
        <v>0</v>
      </c>
      <c r="CD23" s="82" t="str">
        <f aca="false">IF(CB$2="","",IF(AND(CB23=CB$2,CC23=CC$2),3,IF(AND(CB$2&gt;CC$2,CB23&gt;CC23),1,IF(AND(CC$2&gt;CB$2,CC23&gt;CB23),1,IF(AND(CB$2=CC$2,CB23=CC23),1,0)))))</f>
        <v/>
      </c>
      <c r="CE23" s="1" t="n">
        <f aca="false">Participantes!BE22</f>
        <v>0</v>
      </c>
      <c r="CF23" s="1" t="n">
        <f aca="false">Participantes!BF22</f>
        <v>0</v>
      </c>
      <c r="CG23" s="82" t="str">
        <f aca="false">IF(CE$2="","",IF(AND(CE23=CE$2,CF23=CF$2),3,IF(AND(CE$2&gt;CF$2,CE23&gt;CF23),1,IF(AND(CF$2&gt;CE$2,CF23&gt;CE23),1,IF(AND(CE$2=CF$2,CE23=CF23),1,0)))))</f>
        <v/>
      </c>
      <c r="CH23" s="1" t="n">
        <f aca="false">Participantes!BG22</f>
        <v>0</v>
      </c>
      <c r="CI23" s="1" t="n">
        <f aca="false">Participantes!BH22</f>
        <v>0</v>
      </c>
      <c r="CJ23" s="82" t="str">
        <f aca="false">IF(CH$2="","",IF(AND(CH23=CH$2,CI23=CI$2),3,IF(AND(CH$2&gt;CI$2,CH23&gt;CI23),1,IF(AND(CI$2&gt;CH$2,CI23&gt;CH23),1,IF(AND(CH$2=CI$2,CH23=CI23),1,0)))))</f>
        <v/>
      </c>
      <c r="CK23" s="1" t="n">
        <f aca="false">Participantes!BI22</f>
        <v>0</v>
      </c>
      <c r="CL23" s="1" t="n">
        <f aca="false">Participantes!BJ22</f>
        <v>0</v>
      </c>
      <c r="CM23" s="82" t="str">
        <f aca="false">IF(CK$2="","",IF(AND(CK23=CK$2,CL23=CL$2),3,IF(AND(CK$2&gt;CL$2,CK23&gt;CL23),1,IF(AND(CL$2&gt;CK$2,CL23&gt;CK23),1,IF(AND(CK$2=CL$2,CK23=CL23),1,0)))))</f>
        <v/>
      </c>
      <c r="CN23" s="1" t="n">
        <f aca="false">Participantes!BK22</f>
        <v>0</v>
      </c>
      <c r="CO23" s="1" t="n">
        <f aca="false">Participantes!BL22</f>
        <v>0</v>
      </c>
      <c r="CP23" s="82" t="str">
        <f aca="false">IF(CN$2="","",IF(AND(CN23=CN$2,CO23=CO$2),3,IF(AND(CN$2&gt;CO$2,CN23&gt;CO23),1,IF(AND(CO$2&gt;CN$2,CO23&gt;CN23),1,IF(AND(CN$2=CO$2,CN23=CO23),1,0)))))</f>
        <v/>
      </c>
      <c r="CQ23" s="1" t="n">
        <f aca="false">Participantes!BM22</f>
        <v>0</v>
      </c>
      <c r="CR23" s="1" t="n">
        <f aca="false">Participantes!BN22</f>
        <v>0</v>
      </c>
      <c r="CS23" s="82" t="str">
        <f aca="false">IF(CQ$2="","",IF(AND(CQ23=CQ$2,CR23=CR$2),3,IF(AND(CQ$2&gt;CR$2,CQ23&gt;CR23),1,IF(AND(CR$2&gt;CQ$2,CR23&gt;CQ23),1,IF(AND(CQ$2=CR$2,CQ23=CR23),1,0)))))</f>
        <v/>
      </c>
      <c r="CT23" s="1" t="n">
        <f aca="false">Participantes!BO22</f>
        <v>0</v>
      </c>
      <c r="CU23" s="1" t="n">
        <f aca="false">Participantes!BP22</f>
        <v>0</v>
      </c>
      <c r="CV23" s="82" t="str">
        <f aca="false">IF(CT$2="","",IF(AND(CT23=CT$2,CU23=CU$2),3,IF(AND(CT$2&gt;CU$2,CT23&gt;CU23),1,IF(AND(CU$2&gt;CT$2,CU23&gt;CT23),1,IF(AND(CT$2=CU$2,CT23=CU23),1,0)))))</f>
        <v/>
      </c>
      <c r="CW23" s="1" t="n">
        <f aca="false">Participantes!BQ22</f>
        <v>0</v>
      </c>
      <c r="CX23" s="1" t="n">
        <f aca="false">Participantes!BR22</f>
        <v>0</v>
      </c>
      <c r="CY23" s="82" t="str">
        <f aca="false">IF(CW$2="","",IF(AND(CW23=CW$2,CX23=CX$2),3,IF(AND(CW$2&gt;CX$2,CW23&gt;CX23),1,IF(AND(CX$2&gt;CW$2,CX23&gt;CW23),1,IF(AND(CW$2=CX$2,CW23=CX23),1,0)))))</f>
        <v/>
      </c>
      <c r="CZ23" s="1" t="n">
        <f aca="false">Participantes!BS22</f>
        <v>0</v>
      </c>
      <c r="DA23" s="1" t="n">
        <f aca="false">Participantes!BT22</f>
        <v>0</v>
      </c>
      <c r="DB23" s="82" t="str">
        <f aca="false">IF(CZ$2="","",IF(AND(CZ23=CZ$2,DA23=DA$2),3,IF(AND(CZ$2&gt;DA$2,CZ23&gt;DA23),1,IF(AND(DA$2&gt;CZ$2,DA23&gt;CZ23),1,IF(AND(CZ$2=DA$2,CZ23=DA23),1,0)))))</f>
        <v/>
      </c>
      <c r="DC23" s="1" t="n">
        <f aca="false">Participantes!BU22</f>
        <v>0</v>
      </c>
      <c r="DD23" s="1" t="n">
        <f aca="false">Participantes!BV22</f>
        <v>0</v>
      </c>
      <c r="DE23" s="82" t="str">
        <f aca="false">IF(DC$2="","",IF(AND(DC23=DC$2,DD23=DD$2),3,IF(AND(DC$2&gt;DD$2,DC23&gt;DD23),1,IF(AND(DD$2&gt;DC$2,DD23&gt;DC23),1,IF(AND(DC$2=DD$2,DC23=DD23),1,0)))))</f>
        <v/>
      </c>
      <c r="DF23" s="1" t="n">
        <f aca="false">Participantes!BW22</f>
        <v>0</v>
      </c>
      <c r="DG23" s="1" t="n">
        <f aca="false">Participantes!BX22</f>
        <v>0</v>
      </c>
      <c r="DH23" s="82" t="str">
        <f aca="false">IF(DF$2="","",IF(AND(DF23=DF$2,DG23=DG$2),3,IF(AND(DF$2&gt;DG$2,DF23&gt;DG23),1,IF(AND(DG$2&gt;DF$2,DG23&gt;DF23),1,IF(AND(DF$2=DG$2,DF23=DG23),1,0)))))</f>
        <v/>
      </c>
      <c r="DI23" s="1" t="n">
        <f aca="false">Participantes!BY22</f>
        <v>0</v>
      </c>
      <c r="DJ23" s="1" t="n">
        <f aca="false">Participantes!BZ22</f>
        <v>0</v>
      </c>
      <c r="DK23" s="82" t="str">
        <f aca="false">IF(DI$2="","",IF(AND(DI23=DI$2,DJ23=DJ$2),3,IF(AND(DI$2&gt;DJ$2,DI23&gt;DJ23),1,IF(AND(DJ$2&gt;DI$2,DJ23&gt;DI23),1,IF(AND(DI$2=DJ$2,DI23=DJ23),1,0)))))</f>
        <v/>
      </c>
      <c r="DL23" s="1" t="n">
        <f aca="false">Participantes!CA22</f>
        <v>0</v>
      </c>
      <c r="DM23" s="1" t="n">
        <f aca="false">Participantes!CB22</f>
        <v>0</v>
      </c>
      <c r="DN23" s="82" t="str">
        <f aca="false">IF(DL$2="","",IF(AND(DL23=DL$2,DM23=DM$2),3,IF(AND(DL$2&gt;DM$2,DL23&gt;DM23),1,IF(AND(DM$2&gt;DL$2,DM23&gt;DL23),1,IF(AND(DL$2=DM$2,DL23=DM23),1,0)))))</f>
        <v/>
      </c>
      <c r="DO23" s="1" t="n">
        <f aca="false">Participantes!CC22</f>
        <v>0</v>
      </c>
      <c r="DP23" s="1" t="n">
        <f aca="false">Participantes!CD22</f>
        <v>0</v>
      </c>
      <c r="DQ23" s="82" t="str">
        <f aca="false">IF(DO$2="","",IF(AND(DO23=DO$2,DP23=DP$2),3,IF(AND(DO$2&gt;DP$2,DO23&gt;DP23),1,IF(AND(DP$2&gt;DO$2,DP23&gt;DO23),1,IF(AND(DO$2=DP$2,DO23=DP23),1,0)))))</f>
        <v/>
      </c>
      <c r="DR23" s="1" t="n">
        <f aca="false">Participantes!CE22</f>
        <v>0</v>
      </c>
      <c r="DS23" s="1" t="n">
        <f aca="false">Participantes!CF22</f>
        <v>0</v>
      </c>
      <c r="DT23" s="82" t="str">
        <f aca="false">IF(DR$2="","",IF(AND(DR23=DR$2,DS23=DS$2),3,IF(AND(DR$2&gt;DS$2,DR23&gt;DS23),1,IF(AND(DS$2&gt;DR$2,DS23&gt;DR23),1,IF(AND(DR$2=DS$2,DR23=DS23),1,0)))))</f>
        <v/>
      </c>
      <c r="DU23" s="1" t="n">
        <f aca="false">Participantes!CG22</f>
        <v>0</v>
      </c>
      <c r="DV23" s="1" t="n">
        <f aca="false">Participantes!CH22</f>
        <v>0</v>
      </c>
      <c r="DW23" s="82" t="str">
        <f aca="false">IF(DU$2="","",IF(AND(DU23=DU$2,DV23=DV$2),3,IF(AND(DU$2&gt;DV$2,DU23&gt;DV23),1,IF(AND(DV$2&gt;DU$2,DV23&gt;DU23),1,IF(AND(DU$2=DV$2,DU23=DV23),1,0)))))</f>
        <v/>
      </c>
      <c r="DX23" s="1" t="n">
        <f aca="false">Participantes!CI22</f>
        <v>0</v>
      </c>
      <c r="DY23" s="1" t="n">
        <f aca="false">Participantes!CJ22</f>
        <v>0</v>
      </c>
      <c r="DZ23" s="82" t="str">
        <f aca="false">IF(DX$2="","",IF(AND(DX23=DX$2,DY23=DY$2),3,IF(AND(DX$2&gt;DY$2,DX23&gt;DY23),1,IF(AND(DY$2&gt;DX$2,DY23&gt;DX23),1,IF(AND(DX$2=DY$2,DX23=DY23),1,0)))))</f>
        <v/>
      </c>
      <c r="EA23" s="1" t="n">
        <f aca="false">Participantes!CK22</f>
        <v>0</v>
      </c>
      <c r="EB23" s="1" t="n">
        <f aca="false">Participantes!CL22</f>
        <v>0</v>
      </c>
      <c r="EC23" s="82" t="str">
        <f aca="false">IF(EA$2="","",IF(AND(EA23=EA$2,EB23=EB$2),3,IF(AND(EA$2&gt;EB$2,EA23&gt;EB23),1,IF(AND(EB$2&gt;EA$2,EB23&gt;EA23),1,IF(AND(EA$2=EB$2,EA23=EB23),1,0)))))</f>
        <v/>
      </c>
      <c r="ED23" s="1" t="n">
        <f aca="false">Participantes!CM22</f>
        <v>0</v>
      </c>
      <c r="EE23" s="1" t="n">
        <f aca="false">Participantes!CN22</f>
        <v>0</v>
      </c>
      <c r="EF23" s="82" t="str">
        <f aca="false">IF(ED$2="","",IF(AND(ED23=ED$2,EE23=EE$2),3,IF(AND(ED$2&gt;EE$2,ED23&gt;EE23),1,IF(AND(EE$2&gt;ED$2,EE23&gt;ED23),1,IF(AND(ED$2=EE$2,ED23=EE23),1,0)))))</f>
        <v/>
      </c>
      <c r="EG23" s="1" t="n">
        <f aca="false">Participantes!CO22</f>
        <v>0</v>
      </c>
      <c r="EH23" s="1" t="n">
        <f aca="false">Participantes!CP22</f>
        <v>0</v>
      </c>
      <c r="EI23" s="82" t="str">
        <f aca="false">IF(EG$2="","",IF(AND(EG23=EG$2,EH23=EH$2),3,IF(AND(EG$2&gt;EH$2,EG23&gt;EH23),1,IF(AND(EH$2&gt;EG$2,EH23&gt;EG23),1,IF(AND(EG$2=EH$2,EG23=EH23),1,0)))))</f>
        <v/>
      </c>
      <c r="EJ23" s="1" t="n">
        <f aca="false">Participantes!CQ22</f>
        <v>0</v>
      </c>
      <c r="EK23" s="1" t="n">
        <f aca="false">Participantes!CR22</f>
        <v>0</v>
      </c>
      <c r="EL23" s="82" t="str">
        <f aca="false">IF(EJ$2="","",IF(AND(EJ23=EJ$2,EK23=EK$2),3,IF(AND(EJ$2&gt;EK$2,EJ23&gt;EK23),1,IF(AND(EK$2&gt;EJ$2,EK23&gt;EJ23),1,IF(AND(EJ$2=EK$2,EJ23=EK23),1,0)))))</f>
        <v/>
      </c>
      <c r="EM23" s="1" t="n">
        <f aca="false">Participantes!CS22</f>
        <v>0</v>
      </c>
      <c r="EN23" s="1" t="n">
        <f aca="false">Participantes!CT22</f>
        <v>0</v>
      </c>
      <c r="EO23" s="82" t="str">
        <f aca="false">IF(EM$2="","",IF(AND(EM23=EM$2,EN23=EN$2),3,IF(AND(EM$2&gt;EN$2,EM23&gt;EN23),1,IF(AND(EN$2&gt;EM$2,EN23&gt;EM23),1,IF(AND(EM$2=EN$2,EM23=EN23),1,0)))))</f>
        <v/>
      </c>
      <c r="EP23" s="1" t="n">
        <f aca="false">Participantes!CU22</f>
        <v>0</v>
      </c>
      <c r="EQ23" s="1" t="n">
        <f aca="false">Participantes!CV22</f>
        <v>0</v>
      </c>
      <c r="ER23" s="82" t="str">
        <f aca="false">IF(EP$2="","",IF(AND(EP23=EP$2,EQ23=EQ$2),3,IF(AND(EP$2&gt;EQ$2,EP23&gt;EQ23),1,IF(AND(EQ$2&gt;EP$2,EQ23&gt;EP23),1,IF(AND(EP$2=EQ$2,EP23=EQ23),1,0)))))</f>
        <v/>
      </c>
      <c r="ES23" s="1" t="n">
        <f aca="false">Participantes!CW22</f>
        <v>0</v>
      </c>
      <c r="ET23" s="1" t="n">
        <f aca="false">Participantes!CX22</f>
        <v>0</v>
      </c>
      <c r="EU23" s="82" t="str">
        <f aca="false">IF(ES$2="","",IF(AND(ES23=ES$2,ET23=ET$2),3,IF(AND(ES$2&gt;ET$2,ES23&gt;ET23),1,IF(AND(ET$2&gt;ES$2,ET23&gt;ES23),1,IF(AND(ES$2=ET$2,ES23=ET23),1,0)))))</f>
        <v/>
      </c>
      <c r="EV23" s="1" t="n">
        <f aca="false">Participantes!CY22</f>
        <v>0</v>
      </c>
      <c r="EW23" s="1" t="n">
        <f aca="false">Participantes!CZ22</f>
        <v>0</v>
      </c>
      <c r="EX23" s="82" t="str">
        <f aca="false">IF(EV$2="","",IF(AND(EV23=EV$2,EW23=EW$2),3,IF(AND(EV$2&gt;EW$2,EV23&gt;EW23),1,IF(AND(EW$2&gt;EV$2,EW23&gt;EV23),1,IF(AND(EV$2=EW$2,EV23=EW23),1,0)))))</f>
        <v/>
      </c>
      <c r="EY23" s="1" t="n">
        <f aca="false">Participantes!DA22</f>
        <v>0</v>
      </c>
      <c r="EZ23" s="1" t="n">
        <f aca="false">Participantes!DB22</f>
        <v>0</v>
      </c>
      <c r="FA23" s="82" t="str">
        <f aca="false">IF(EY$2="","",IF(AND(EY23=EY$2,EZ23=EZ$2),3,IF(AND(EY$2&gt;EZ$2,EY23&gt;EZ23),1,IF(AND(EZ$2&gt;EY$2,EZ23&gt;EY23),1,IF(AND(EY$2=EZ$2,EY23=EZ23),1,0)))))</f>
        <v/>
      </c>
      <c r="FB23" s="1" t="n">
        <f aca="false">Participantes!DC22</f>
        <v>0</v>
      </c>
      <c r="FC23" s="1" t="n">
        <f aca="false">Participantes!DD22</f>
        <v>0</v>
      </c>
      <c r="FD23" s="82" t="str">
        <f aca="false">IF(FB$2="","",IF(AND(FB23=FB$2,FC23=FC$2),3,IF(AND(FB$2&gt;FC$2,FB23&gt;FC23),1,IF(AND(FC$2&gt;FB$2,FC23&gt;FB23),1,IF(AND(FB$2=FC$2,FB23=FC23),1,0)))))</f>
        <v/>
      </c>
      <c r="FE23" s="1" t="n">
        <f aca="false">Participantes!DE22</f>
        <v>0</v>
      </c>
      <c r="FF23" s="1" t="n">
        <f aca="false">Participantes!DF22</f>
        <v>0</v>
      </c>
      <c r="FG23" s="82" t="str">
        <f aca="false">IF(FE$2="","",IF(AND(FE23=FE$2,FF23=FF$2),3,IF(AND(FE$2&gt;FF$2,FE23&gt;FF23),1,IF(AND(FF$2&gt;FE$2,FF23&gt;FE23),1,IF(AND(FE$2=FF$2,FE23=FF23),1,0)))))</f>
        <v/>
      </c>
      <c r="FH23" s="1" t="n">
        <f aca="false">Participantes!DG22</f>
        <v>0</v>
      </c>
      <c r="FI23" s="1" t="n">
        <f aca="false">Participantes!DH22</f>
        <v>0</v>
      </c>
      <c r="FJ23" s="82" t="str">
        <f aca="false">IF(FH$2="","",IF(AND(FH23=FH$2,FI23=FI$2),3,IF(AND(FH$2&gt;FI$2,FH23&gt;FI23),1,IF(AND(FI$2&gt;FH$2,FI23&gt;FH23),1,IF(AND(FH$2=FI$2,FH23=FI23),1,0)))))</f>
        <v/>
      </c>
      <c r="FK23" s="1" t="n">
        <f aca="false">Participantes!DI22</f>
        <v>0</v>
      </c>
      <c r="FL23" s="1" t="n">
        <f aca="false">Participantes!DJ22</f>
        <v>0</v>
      </c>
      <c r="FM23" s="82" t="str">
        <f aca="false">IF(FK$2="","",IF(AND(FK23=FK$2,FL23=FL$2),3,IF(AND(FK$2&gt;FL$2,FK23&gt;FL23),1,IF(AND(FL$2&gt;FK$2,FL23&gt;FK23),1,IF(AND(FK$2=FL$2,FK23=FL23),1,0)))))</f>
        <v/>
      </c>
      <c r="FN23" s="1" t="n">
        <f aca="false">Participantes!DK22</f>
        <v>0</v>
      </c>
      <c r="FO23" s="1" t="n">
        <f aca="false">Participantes!DL22</f>
        <v>0</v>
      </c>
      <c r="FP23" s="82" t="str">
        <f aca="false">IF(FN$2="","",IF(AND(FN23=FN$2,FO23=FO$2),3,IF(AND(FN$2&gt;FO$2,FN23&gt;FO23),1,IF(AND(FO$2&gt;FN$2,FO23&gt;FN23),1,IF(AND(FN$2=FO$2,FN23=FO23),1,0)))))</f>
        <v/>
      </c>
      <c r="FQ23" s="1" t="n">
        <f aca="false">Participantes!DM22</f>
        <v>0</v>
      </c>
      <c r="FR23" s="1" t="n">
        <f aca="false">Participantes!DN22</f>
        <v>0</v>
      </c>
      <c r="FS23" s="82" t="str">
        <f aca="false">IF(FQ$2="","",IF(AND(FQ23=FQ$2,FR23=FR$2),3,IF(AND(FQ$2&gt;FR$2,FQ23&gt;FR23),1,IF(AND(FR$2&gt;FQ$2,FR23&gt;FQ23),1,IF(AND(FQ$2=FR$2,FQ23=FR23),1,0)))))</f>
        <v/>
      </c>
      <c r="FT23" s="1" t="n">
        <f aca="false">Participantes!DO22</f>
        <v>0</v>
      </c>
      <c r="FU23" s="1" t="n">
        <f aca="false">Participantes!DP22</f>
        <v>0</v>
      </c>
      <c r="FV23" s="82" t="str">
        <f aca="false">IF(FT$2="","",IF(AND(FT23=FT$2,FU23=FU$2),3,IF(AND(FT$2&gt;FU$2,FT23&gt;FU23),1,IF(AND(FU$2&gt;FT$2,FU23&gt;FT23),1,IF(AND(FT$2=FU$2,FT23=FU23),1,0)))))</f>
        <v/>
      </c>
      <c r="FW23" s="1" t="n">
        <f aca="false">Participantes!DQ22</f>
        <v>0</v>
      </c>
      <c r="FX23" s="1" t="n">
        <f aca="false">Participantes!DR22</f>
        <v>0</v>
      </c>
      <c r="FY23" s="82" t="str">
        <f aca="false">IF(FW$2="","",IF(AND(FW23=FW$2,FX23=FX$2),3,IF(AND(FW$2&gt;FX$2,FW23&gt;FX23),1,IF(AND(FX$2&gt;FW$2,FX23&gt;FW23),1,IF(AND(FW$2=FX$2,FW23=FX23),1,0)))))</f>
        <v/>
      </c>
      <c r="FZ23" s="1" t="n">
        <f aca="false">Participantes!DS22</f>
        <v>0</v>
      </c>
      <c r="GA23" s="1" t="n">
        <f aca="false">Participantes!DT22</f>
        <v>0</v>
      </c>
      <c r="GB23" s="82" t="str">
        <f aca="false">IF(FZ$2="","",IF(AND(FZ23=FZ$2,GA23=GA$2),3,IF(AND(FZ$2&gt;GA$2,FZ23&gt;GA23),1,IF(AND(GA$2&gt;FZ$2,GA23&gt;FZ23),1,IF(AND(FZ$2=GA$2,FZ23=GA23),1,0)))))</f>
        <v/>
      </c>
      <c r="GC23" s="1" t="n">
        <f aca="false">Participantes!DU22</f>
        <v>0</v>
      </c>
      <c r="GD23" s="1" t="n">
        <f aca="false">Participantes!DV22</f>
        <v>0</v>
      </c>
      <c r="GE23" s="82" t="str">
        <f aca="false">IF(GC$2="","",IF(AND(GC23=GC$2,GD23=GD$2),3,IF(AND(GC$2&gt;GD$2,GC23&gt;GD23),1,IF(AND(GD$2&gt;GC$2,GD23&gt;GC23),1,IF(AND(GC$2=GD$2,GC23=GD23),1,0)))))</f>
        <v/>
      </c>
      <c r="GF23" s="1" t="n">
        <f aca="false">Participantes!DW22</f>
        <v>0</v>
      </c>
      <c r="GG23" s="1" t="n">
        <f aca="false">Participantes!DX22</f>
        <v>0</v>
      </c>
      <c r="GH23" s="82" t="str">
        <f aca="false">IF(GF$2="","",IF(AND(GF23=GF$2,GG23=GG$2),3,IF(AND(GF$2&gt;GG$2,GF23&gt;GG23),1,IF(AND(GG$2&gt;GF$2,GG23&gt;GF23),1,IF(AND(GF$2=GG$2,GF23=GG23),1,0)))))</f>
        <v/>
      </c>
      <c r="GI23" s="1" t="n">
        <f aca="false">Participantes!DY22</f>
        <v>0</v>
      </c>
      <c r="GJ23" s="1" t="n">
        <f aca="false">Participantes!DZ22</f>
        <v>0</v>
      </c>
      <c r="GK23" s="82" t="str">
        <f aca="false">IF(GI$2="","",IF(AND(GI23=GI$2,GJ23=GJ$2),3,IF(AND(GI$2&gt;GJ$2,GI23&gt;GJ23),1,IF(AND(GJ$2&gt;GI$2,GJ23&gt;GI23),1,IF(AND(GI$2=GJ$2,GI23=GJ23),1,0)))))</f>
        <v/>
      </c>
      <c r="GL23" s="1" t="n">
        <f aca="false">Participantes!EA22</f>
        <v>0</v>
      </c>
      <c r="GM23" s="1" t="n">
        <f aca="false">Participantes!EB22</f>
        <v>0</v>
      </c>
      <c r="GN23" s="82" t="str">
        <f aca="false">IF(GL$2="","",IF(AND(GL23=GL$2,GM23=GM$2),3,IF(AND(GL$2&gt;GM$2,GL23&gt;GM23),1,IF(AND(GM$2&gt;GL$2,GM23&gt;GL23),1,IF(AND(GL$2=GM$2,GL23=GM23),1,0)))))</f>
        <v/>
      </c>
      <c r="GO23" s="1" t="n">
        <f aca="false">Participantes!EC22</f>
        <v>0</v>
      </c>
      <c r="GP23" s="1" t="n">
        <f aca="false">Participantes!ED22</f>
        <v>0</v>
      </c>
      <c r="GQ23" s="82" t="str">
        <f aca="false">IF(GO$2="","",IF(AND(GO23=GO$2,GP23=GP$2),3,IF(AND(GO$2&gt;GP$2,GO23&gt;GP23),1,IF(AND(GP$2&gt;GO$2,GP23&gt;GO23),1,IF(AND(GO$2=GP$2,GO23=GP23),1,0)))))</f>
        <v/>
      </c>
      <c r="GR23" s="1" t="n">
        <f aca="false">Participantes!EE22</f>
        <v>0</v>
      </c>
      <c r="GS23" s="1" t="n">
        <f aca="false">Participantes!EF22</f>
        <v>0</v>
      </c>
      <c r="GT23" s="82" t="str">
        <f aca="false">IF(GR$2="","",IF(AND(GR23=GR$2,GS23=GS$2),3,IF(AND(GR$2&gt;GS$2,GR23&gt;GS23),1,IF(AND(GS$2&gt;GR$2,GS23&gt;GR23),1,IF(AND(GR$2=GS$2,GR23=GS23),1,0)))))</f>
        <v/>
      </c>
      <c r="GU23" s="1" t="n">
        <f aca="false">Participantes!EG22</f>
        <v>0</v>
      </c>
      <c r="GV23" s="1" t="n">
        <f aca="false">Participantes!EH22</f>
        <v>0</v>
      </c>
      <c r="GW23" s="82" t="str">
        <f aca="false">IF(GU$2="","",IF(AND(GU23=GU$2,GV23=GV$2),3,IF(AND(GU$2&gt;GV$2,GU23&gt;GV23),1,IF(AND(GV$2&gt;GU$2,GV23&gt;GU23),1,IF(AND(GU$2=GV$2,GU23=GV23),1,0)))))</f>
        <v/>
      </c>
      <c r="GX23" s="1" t="n">
        <f aca="false">Participantes!EI22</f>
        <v>0</v>
      </c>
      <c r="GY23" s="1" t="n">
        <f aca="false">Participantes!EJ22</f>
        <v>0</v>
      </c>
      <c r="GZ23" s="82" t="str">
        <f aca="false">IF(GX$2="","",IF(AND(GX23=GX$2,GY23=GY$2),3,IF(AND(GX$2&gt;GY$2,GX23&gt;GY23),1,IF(AND(GY$2&gt;GX$2,GY23&gt;GX23),1,IF(AND(GX$2=GY$2,GX23=GY23),1,0)))))</f>
        <v/>
      </c>
      <c r="HA23" s="1" t="n">
        <f aca="false">Participantes!EK22</f>
        <v>0</v>
      </c>
      <c r="HB23" s="1" t="n">
        <f aca="false">Participantes!EL22</f>
        <v>0</v>
      </c>
      <c r="HC23" s="82" t="str">
        <f aca="false">IF(HA$2="","",IF(AND(HA23=HA$2,HB23=HB$2),3,IF(AND(HA$2&gt;HB$2,HA23&gt;HB23),1,IF(AND(HB$2&gt;HA$2,HB23&gt;HA23),1,IF(AND(HA$2=HB$2,HA23=HB23),1,0)))))</f>
        <v/>
      </c>
      <c r="HD23" s="1" t="n">
        <f aca="false">Participantes!EM22</f>
        <v>0</v>
      </c>
      <c r="HE23" s="1" t="n">
        <f aca="false">Participantes!EN22</f>
        <v>0</v>
      </c>
      <c r="HF23" s="82" t="str">
        <f aca="false">IF(HD$2="","",IF(AND(HD23=HD$2,HE23=HE$2),3,IF(AND(HD$2&gt;HE$2,HD23&gt;HE23),1,IF(AND(HE$2&gt;HD$2,HE23&gt;HD23),1,IF(AND(HD$2=HE$2,HD23=HE23),1,0)))))</f>
        <v/>
      </c>
      <c r="HG23" s="1" t="n">
        <f aca="false">Participantes!EO22</f>
        <v>0</v>
      </c>
      <c r="HH23" s="1" t="n">
        <f aca="false">Participantes!EP22</f>
        <v>0</v>
      </c>
      <c r="HI23" s="82" t="str">
        <f aca="false">IF(HG$2="","",IF(AND(HG23=HG$2,HH23=HH$2),3,IF(AND(HG$2&gt;HH$2,HG23&gt;HH23),1,IF(AND(HH$2&gt;HG$2,HH23&gt;HG23),1,IF(AND(HG$2=HH$2,HG23=HH23),1,0)))))</f>
        <v/>
      </c>
      <c r="HJ23" s="83" t="n">
        <f aca="false">SUM(D23,G23,J23,M23,P23,S23,V23,Y23,AB23,AE23,AH23,AK23,AN23,AQ23,AT23,AW23,AZ23,BC23,BF23,BI23,BL23,BO23,BR23,BU23,BX23,CA23,CD23,CG23,CJ23,CM23,CP23,CS23,CV23,CY23,DB23,DE23,DH23,DK23,DN23,DQ23,DT23,DW23,DZ23,EC23,EF23,EI23,EL23,EO23,ER23,EU23,EX23,FA23,FD23,FG23,FJ23,FM23,FP23,FS23,FV23,FY23,GB23,GE23,GH23,GK23,GN23,GQ23,GT23,GW23,GZ23,HC23,HF23,HI23)</f>
        <v>1</v>
      </c>
    </row>
    <row r="24" customFormat="false" ht="15" hidden="false" customHeight="true" outlineLevel="0" collapsed="false">
      <c r="A24" s="81" t="str">
        <f aca="false">Participantes!B23</f>
        <v>José de León</v>
      </c>
      <c r="B24" s="1" t="n">
        <f aca="false">Participantes!C23</f>
        <v>2</v>
      </c>
      <c r="C24" s="1" t="n">
        <f aca="false">Participantes!D23</f>
        <v>1</v>
      </c>
      <c r="D24" s="82" t="n">
        <f aca="false">IF(B$2="","",IF(AND(B24=B$2,C24=C$2),3,IF(AND(B$2&gt;C$2,B24&gt;C24),1,IF(AND(C$2&gt;B$2,C24&gt;B24),1,IF(AND(B$2=C$2,B24=C24),1,0)))))</f>
        <v>1</v>
      </c>
      <c r="E24" s="1" t="n">
        <f aca="false">Participantes!E23</f>
        <v>2</v>
      </c>
      <c r="F24" s="1" t="n">
        <f aca="false">Participantes!F23</f>
        <v>1</v>
      </c>
      <c r="G24" s="82" t="str">
        <f aca="false">IF(E$2="","",IF(AND(E24=E$2,F24=F$2),3,IF(AND(E$2&gt;F$2,E24&gt;F24),1,IF(AND(F$2&gt;E$2,F24&gt;E24),1,IF(AND(E$2=F$2,E24=F24),1,0)))))</f>
        <v/>
      </c>
      <c r="H24" s="1" t="n">
        <f aca="false">Participantes!G23</f>
        <v>1</v>
      </c>
      <c r="I24" s="1" t="n">
        <f aca="false">Participantes!H23</f>
        <v>0</v>
      </c>
      <c r="J24" s="82" t="str">
        <f aca="false">IF(H$2="","",IF(AND(H24=H$2,I24=I$2),3,IF(AND(H$2&gt;I$2,H24&gt;I24),1,IF(AND(I$2&gt;H$2,I24&gt;H24),1,IF(AND(H$2=I$2,H24=I24),1,0)))))</f>
        <v/>
      </c>
      <c r="K24" s="1" t="n">
        <f aca="false">Participantes!I23</f>
        <v>3</v>
      </c>
      <c r="L24" s="1" t="n">
        <f aca="false">Participantes!J23</f>
        <v>0</v>
      </c>
      <c r="M24" s="82" t="str">
        <f aca="false">IF(K$2="","",IF(AND(K24=K$2,L24=L$2),3,IF(AND(K$2&gt;L$2,K24&gt;L24),1,IF(AND(L$2&gt;K$2,L24&gt;K24),1,IF(AND(K$2=L$2,K24=L24),1,0)))))</f>
        <v/>
      </c>
      <c r="N24" s="1" t="n">
        <f aca="false">Participantes!K23</f>
        <v>0</v>
      </c>
      <c r="O24" s="1" t="n">
        <f aca="false">Participantes!L23</f>
        <v>3</v>
      </c>
      <c r="P24" s="82" t="str">
        <f aca="false">IF(N$2="","",IF(AND(N24=N$2,O24=O$2),3,IF(AND(N$2&gt;O$2,N24&gt;O24),1,IF(AND(O$2&gt;N$2,O24&gt;N24),1,IF(AND(N$2=O$2,N24=O24),1,0)))))</f>
        <v/>
      </c>
      <c r="Q24" s="1" t="n">
        <f aca="false">Participantes!M23</f>
        <v>2</v>
      </c>
      <c r="R24" s="1" t="n">
        <f aca="false">Participantes!N23</f>
        <v>2</v>
      </c>
      <c r="S24" s="82" t="str">
        <f aca="false">IF(Q$2="","",IF(AND(Q24=Q$2,R24=R$2),3,IF(AND(Q$2&gt;R$2,Q24&gt;R24),1,IF(AND(R$2&gt;Q$2,R24&gt;Q24),1,IF(AND(Q$2=R$2,Q24=R24),1,0)))))</f>
        <v/>
      </c>
      <c r="T24" s="1" t="n">
        <f aca="false">Participantes!O23</f>
        <v>0</v>
      </c>
      <c r="U24" s="1" t="n">
        <f aca="false">Participantes!P23</f>
        <v>2</v>
      </c>
      <c r="V24" s="82" t="str">
        <f aca="false">IF(T$2="","",IF(AND(T24=T$2,U24=U$2),3,IF(AND(T$2&gt;U$2,T24&gt;U24),1,IF(AND(U$2&gt;T$2,U24&gt;T24),1,IF(AND(T$2=U$2,T24=U24),1,0)))))</f>
        <v/>
      </c>
      <c r="W24" s="1" t="n">
        <f aca="false">Participantes!Q23</f>
        <v>1</v>
      </c>
      <c r="X24" s="1" t="n">
        <f aca="false">Participantes!R23</f>
        <v>2</v>
      </c>
      <c r="Y24" s="82" t="str">
        <f aca="false">IF(W$2="","",IF(AND(W24=W$2,X24=X$2),3,IF(AND(W$2&gt;X$2,W24&gt;X24),1,IF(AND(X$2&gt;W$2,X24&gt;W24),1,IF(AND(W$2=X$2,W24=X24),1,0)))))</f>
        <v/>
      </c>
      <c r="Z24" s="1" t="n">
        <f aca="false">Participantes!S23</f>
        <v>4</v>
      </c>
      <c r="AA24" s="1" t="n">
        <f aca="false">Participantes!T23</f>
        <v>0</v>
      </c>
      <c r="AB24" s="82" t="str">
        <f aca="false">IF(Z$2="","",IF(AND(Z24=Z$2,AA24=AA$2),3,IF(AND(Z$2&gt;AA$2,Z24&gt;AA24),1,IF(AND(AA$2&gt;Z$2,AA24&gt;Z24),1,IF(AND(Z$2=AA$2,Z24=AA24),1,0)))))</f>
        <v/>
      </c>
      <c r="AC24" s="1" t="n">
        <f aca="false">Participantes!U23</f>
        <v>1</v>
      </c>
      <c r="AD24" s="1" t="n">
        <f aca="false">Participantes!V23</f>
        <v>1</v>
      </c>
      <c r="AE24" s="82" t="str">
        <f aca="false">IF(AC$2="","",IF(AND(AC24=AC$2,AD24=AD$2),3,IF(AND(AC$2&gt;AD$2,AC24&gt;AD24),1,IF(AND(AD$2&gt;AC$2,AD24&gt;AC24),1,IF(AND(AC$2=AD$2,AC24=AD24),1,0)))))</f>
        <v/>
      </c>
      <c r="AF24" s="1" t="n">
        <f aca="false">Participantes!W23</f>
        <v>1</v>
      </c>
      <c r="AG24" s="1" t="n">
        <f aca="false">Participantes!X23</f>
        <v>0</v>
      </c>
      <c r="AH24" s="82" t="str">
        <f aca="false">IF(AF$2="","",IF(AND(AF24=AF$2,AG24=AG$2),3,IF(AND(AF$2&gt;AG$2,AF24&gt;AG24),1,IF(AND(AG$2&gt;AF$2,AG24&gt;AF24),1,IF(AND(AF$2=AG$2,AF24=AG24),1,0)))))</f>
        <v/>
      </c>
      <c r="AI24" s="1" t="n">
        <f aca="false">Participantes!Y23</f>
        <v>0</v>
      </c>
      <c r="AJ24" s="1" t="n">
        <f aca="false">Participantes!Z23</f>
        <v>1</v>
      </c>
      <c r="AK24" s="82" t="str">
        <f aca="false">IF(AI$2="","",IF(AND(AI24=AI$2,AJ24=AJ$2),3,IF(AND(AI$2&gt;AJ$2,AI24&gt;AJ24),1,IF(AND(AJ$2&gt;AI$2,AJ24&gt;AI24),1,IF(AND(AI$2=AJ$2,AI24=AJ24),1,0)))))</f>
        <v/>
      </c>
      <c r="AL24" s="1" t="n">
        <f aca="false">Participantes!AA23</f>
        <v>4</v>
      </c>
      <c r="AM24" s="1" t="n">
        <f aca="false">Participantes!AB23</f>
        <v>0</v>
      </c>
      <c r="AN24" s="82" t="str">
        <f aca="false">IF(AL$2="","",IF(AND(AL24=AL$2,AM24=AM$2),3,IF(AND(AL$2&gt;AM$2,AL24&gt;AM24),1,IF(AND(AM$2&gt;AL$2,AM24&gt;AL24),1,IF(AND(AL$2=AM$2,AL24=AM24),1,0)))))</f>
        <v/>
      </c>
      <c r="AO24" s="1" t="n">
        <f aca="false">Participantes!AC23</f>
        <v>2</v>
      </c>
      <c r="AP24" s="1" t="n">
        <f aca="false">Participantes!AD23</f>
        <v>1</v>
      </c>
      <c r="AQ24" s="82" t="str">
        <f aca="false">IF(AO$2="","",IF(AND(AO24=AO$2,AP24=AP$2),3,IF(AND(AO$2&gt;AP$2,AO24&gt;AP24),1,IF(AND(AP$2&gt;AO$2,AP24&gt;AO24),1,IF(AND(AO$2=AP$2,AO24=AP24),1,0)))))</f>
        <v/>
      </c>
      <c r="AR24" s="1" t="n">
        <f aca="false">Participantes!AE23</f>
        <v>0</v>
      </c>
      <c r="AS24" s="1" t="n">
        <f aca="false">Participantes!AF23</f>
        <v>0</v>
      </c>
      <c r="AT24" s="82" t="str">
        <f aca="false">IF(AR$2="","",IF(AND(AR24=AR$2,AS24=AS$2),3,IF(AND(AR$2&gt;AS$2,AR24&gt;AS24),1,IF(AND(AS$2&gt;AR$2,AS24&gt;AR24),1,IF(AND(AR$2=AS$2,AR24=AS24),1,0)))))</f>
        <v/>
      </c>
      <c r="AU24" s="1" t="n">
        <f aca="false">Participantes!AG23</f>
        <v>0</v>
      </c>
      <c r="AV24" s="1" t="n">
        <f aca="false">Participantes!AH23</f>
        <v>0</v>
      </c>
      <c r="AW24" s="82" t="str">
        <f aca="false">IF(AU$2="","",IF(AND(AU24=AU$2,AV24=AV$2),3,IF(AND(AU$2&gt;AV$2,AU24&gt;AV24),1,IF(AND(AV$2&gt;AU$2,AV24&gt;AU24),1,IF(AND(AU$2=AV$2,AU24=AV24),1,0)))))</f>
        <v/>
      </c>
      <c r="AX24" s="1" t="n">
        <f aca="false">Participantes!AI23</f>
        <v>0</v>
      </c>
      <c r="AY24" s="1" t="n">
        <f aca="false">Participantes!AJ23</f>
        <v>0</v>
      </c>
      <c r="AZ24" s="82" t="str">
        <f aca="false">IF(AX$2="","",IF(AND(AX24=AX$2,AY24=AY$2),3,IF(AND(AX$2&gt;AY$2,AX24&gt;AY24),1,IF(AND(AY$2&gt;AX$2,AY24&gt;AX24),1,IF(AND(AX$2=AY$2,AX24=AY24),1,0)))))</f>
        <v/>
      </c>
      <c r="BA24" s="1" t="n">
        <f aca="false">Participantes!AK23</f>
        <v>0</v>
      </c>
      <c r="BB24" s="1" t="n">
        <f aca="false">Participantes!AL23</f>
        <v>0</v>
      </c>
      <c r="BC24" s="82" t="str">
        <f aca="false">IF(BA$2="","",IF(AND(BA24=BA$2,BB24=BB$2),3,IF(AND(BA$2&gt;BB$2,BA24&gt;BB24),1,IF(AND(BB$2&gt;BA$2,BB24&gt;BA24),1,IF(AND(BA$2=BB$2,BA24=BB24),1,0)))))</f>
        <v/>
      </c>
      <c r="BD24" s="1" t="n">
        <f aca="false">Participantes!AM23</f>
        <v>0</v>
      </c>
      <c r="BE24" s="1" t="n">
        <f aca="false">Participantes!AN23</f>
        <v>0</v>
      </c>
      <c r="BF24" s="82" t="str">
        <f aca="false">IF(BD$2="","",IF(AND(BD24=BD$2,BE24=BE$2),3,IF(AND(BD$2&gt;BE$2,BD24&gt;BE24),1,IF(AND(BE$2&gt;BD$2,BE24&gt;BD24),1,IF(AND(BD$2=BE$2,BD24=BE24),1,0)))))</f>
        <v/>
      </c>
      <c r="BG24" s="1" t="n">
        <f aca="false">Participantes!AO23</f>
        <v>0</v>
      </c>
      <c r="BH24" s="1" t="n">
        <f aca="false">Participantes!AP23</f>
        <v>0</v>
      </c>
      <c r="BI24" s="82" t="str">
        <f aca="false">IF(BG$2="","",IF(AND(BG24=BG$2,BH24=BH$2),3,IF(AND(BG$2&gt;BH$2,BG24&gt;BH24),1,IF(AND(BH$2&gt;BG$2,BH24&gt;BG24),1,IF(AND(BG$2=BH$2,BG24=BH24),1,0)))))</f>
        <v/>
      </c>
      <c r="BJ24" s="1" t="n">
        <f aca="false">Participantes!AQ23</f>
        <v>0</v>
      </c>
      <c r="BK24" s="1" t="n">
        <f aca="false">Participantes!AR23</f>
        <v>0</v>
      </c>
      <c r="BL24" s="82" t="str">
        <f aca="false">IF(BJ$2="","",IF(AND(BJ24=BJ$2,BK24=BK$2),3,IF(AND(BJ$2&gt;BK$2,BJ24&gt;BK24),1,IF(AND(BK$2&gt;BJ$2,BK24&gt;BJ24),1,IF(AND(BJ$2=BK$2,BJ24=BK24),1,0)))))</f>
        <v/>
      </c>
      <c r="BM24" s="1" t="n">
        <f aca="false">Participantes!AS23</f>
        <v>0</v>
      </c>
      <c r="BN24" s="1" t="n">
        <f aca="false">Participantes!AT23</f>
        <v>0</v>
      </c>
      <c r="BO24" s="82" t="str">
        <f aca="false">IF(BM$2="","",IF(AND(BM24=BM$2,BN24=BN$2),3,IF(AND(BM$2&gt;BN$2,BM24&gt;BN24),1,IF(AND(BN$2&gt;BM$2,BN24&gt;BM24),1,IF(AND(BM$2=BN$2,BM24=BN24),1,0)))))</f>
        <v/>
      </c>
      <c r="BP24" s="1" t="n">
        <f aca="false">Participantes!AU23</f>
        <v>0</v>
      </c>
      <c r="BQ24" s="1" t="n">
        <f aca="false">Participantes!AV23</f>
        <v>0</v>
      </c>
      <c r="BR24" s="82" t="str">
        <f aca="false">IF(BP$2="","",IF(AND(BP24=BP$2,BQ24=BQ$2),3,IF(AND(BP$2&gt;BQ$2,BP24&gt;BQ24),1,IF(AND(BQ$2&gt;BP$2,BQ24&gt;BP24),1,IF(AND(BP$2=BQ$2,BP24=BQ24),1,0)))))</f>
        <v/>
      </c>
      <c r="BS24" s="1" t="n">
        <f aca="false">Participantes!AW23</f>
        <v>0</v>
      </c>
      <c r="BT24" s="1" t="n">
        <f aca="false">Participantes!AX23</f>
        <v>0</v>
      </c>
      <c r="BU24" s="82" t="str">
        <f aca="false">IF(BS$2="","",IF(AND(BS24=BS$2,BT24=BT$2),3,IF(AND(BS$2&gt;BT$2,BS24&gt;BT24),1,IF(AND(BT$2&gt;BS$2,BT24&gt;BS24),1,IF(AND(BS$2=BT$2,BS24=BT24),1,0)))))</f>
        <v/>
      </c>
      <c r="BV24" s="1" t="n">
        <f aca="false">Participantes!AY23</f>
        <v>0</v>
      </c>
      <c r="BW24" s="1" t="n">
        <f aca="false">Participantes!AZ23</f>
        <v>0</v>
      </c>
      <c r="BX24" s="82" t="str">
        <f aca="false">IF(BV$2="","",IF(AND(BV24=BV$2,BW24=BW$2),3,IF(AND(BV$2&gt;BW$2,BV24&gt;BW24),1,IF(AND(BW$2&gt;BV$2,BW24&gt;BV24),1,IF(AND(BV$2=BW$2,BV24=BW24),1,0)))))</f>
        <v/>
      </c>
      <c r="BY24" s="1" t="n">
        <f aca="false">Participantes!BA23</f>
        <v>0</v>
      </c>
      <c r="BZ24" s="1" t="n">
        <f aca="false">Participantes!BB23</f>
        <v>0</v>
      </c>
      <c r="CA24" s="82" t="str">
        <f aca="false">IF(BY$2="","",IF(AND(BY24=BY$2,BZ24=BZ$2),3,IF(AND(BY$2&gt;BZ$2,BY24&gt;BZ24),1,IF(AND(BZ$2&gt;BY$2,BZ24&gt;BY24),1,IF(AND(BY$2=BZ$2,BY24=BZ24),1,0)))))</f>
        <v/>
      </c>
      <c r="CB24" s="1" t="n">
        <f aca="false">Participantes!BC23</f>
        <v>0</v>
      </c>
      <c r="CC24" s="1" t="n">
        <f aca="false">Participantes!BD23</f>
        <v>0</v>
      </c>
      <c r="CD24" s="82" t="str">
        <f aca="false">IF(CB$2="","",IF(AND(CB24=CB$2,CC24=CC$2),3,IF(AND(CB$2&gt;CC$2,CB24&gt;CC24),1,IF(AND(CC$2&gt;CB$2,CC24&gt;CB24),1,IF(AND(CB$2=CC$2,CB24=CC24),1,0)))))</f>
        <v/>
      </c>
      <c r="CE24" s="1" t="n">
        <f aca="false">Participantes!BE23</f>
        <v>0</v>
      </c>
      <c r="CF24" s="1" t="n">
        <f aca="false">Participantes!BF23</f>
        <v>0</v>
      </c>
      <c r="CG24" s="82" t="str">
        <f aca="false">IF(CE$2="","",IF(AND(CE24=CE$2,CF24=CF$2),3,IF(AND(CE$2&gt;CF$2,CE24&gt;CF24),1,IF(AND(CF$2&gt;CE$2,CF24&gt;CE24),1,IF(AND(CE$2=CF$2,CE24=CF24),1,0)))))</f>
        <v/>
      </c>
      <c r="CH24" s="1" t="n">
        <f aca="false">Participantes!BG23</f>
        <v>0</v>
      </c>
      <c r="CI24" s="1" t="n">
        <f aca="false">Participantes!BH23</f>
        <v>0</v>
      </c>
      <c r="CJ24" s="82" t="str">
        <f aca="false">IF(CH$2="","",IF(AND(CH24=CH$2,CI24=CI$2),3,IF(AND(CH$2&gt;CI$2,CH24&gt;CI24),1,IF(AND(CI$2&gt;CH$2,CI24&gt;CH24),1,IF(AND(CH$2=CI$2,CH24=CI24),1,0)))))</f>
        <v/>
      </c>
      <c r="CK24" s="1" t="n">
        <f aca="false">Participantes!BI23</f>
        <v>0</v>
      </c>
      <c r="CL24" s="1" t="n">
        <f aca="false">Participantes!BJ23</f>
        <v>0</v>
      </c>
      <c r="CM24" s="82" t="str">
        <f aca="false">IF(CK$2="","",IF(AND(CK24=CK$2,CL24=CL$2),3,IF(AND(CK$2&gt;CL$2,CK24&gt;CL24),1,IF(AND(CL$2&gt;CK$2,CL24&gt;CK24),1,IF(AND(CK$2=CL$2,CK24=CL24),1,0)))))</f>
        <v/>
      </c>
      <c r="CN24" s="1" t="n">
        <f aca="false">Participantes!BK23</f>
        <v>0</v>
      </c>
      <c r="CO24" s="1" t="n">
        <f aca="false">Participantes!BL23</f>
        <v>0</v>
      </c>
      <c r="CP24" s="82" t="str">
        <f aca="false">IF(CN$2="","",IF(AND(CN24=CN$2,CO24=CO$2),3,IF(AND(CN$2&gt;CO$2,CN24&gt;CO24),1,IF(AND(CO$2&gt;CN$2,CO24&gt;CN24),1,IF(AND(CN$2=CO$2,CN24=CO24),1,0)))))</f>
        <v/>
      </c>
      <c r="CQ24" s="1" t="n">
        <f aca="false">Participantes!BM23</f>
        <v>0</v>
      </c>
      <c r="CR24" s="1" t="n">
        <f aca="false">Participantes!BN23</f>
        <v>0</v>
      </c>
      <c r="CS24" s="82" t="str">
        <f aca="false">IF(CQ$2="","",IF(AND(CQ24=CQ$2,CR24=CR$2),3,IF(AND(CQ$2&gt;CR$2,CQ24&gt;CR24),1,IF(AND(CR$2&gt;CQ$2,CR24&gt;CQ24),1,IF(AND(CQ$2=CR$2,CQ24=CR24),1,0)))))</f>
        <v/>
      </c>
      <c r="CT24" s="1" t="n">
        <f aca="false">Participantes!BO23</f>
        <v>0</v>
      </c>
      <c r="CU24" s="1" t="n">
        <f aca="false">Participantes!BP23</f>
        <v>0</v>
      </c>
      <c r="CV24" s="82" t="str">
        <f aca="false">IF(CT$2="","",IF(AND(CT24=CT$2,CU24=CU$2),3,IF(AND(CT$2&gt;CU$2,CT24&gt;CU24),1,IF(AND(CU$2&gt;CT$2,CU24&gt;CT24),1,IF(AND(CT$2=CU$2,CT24=CU24),1,0)))))</f>
        <v/>
      </c>
      <c r="CW24" s="1" t="n">
        <f aca="false">Participantes!BQ23</f>
        <v>0</v>
      </c>
      <c r="CX24" s="1" t="n">
        <f aca="false">Participantes!BR23</f>
        <v>0</v>
      </c>
      <c r="CY24" s="82" t="str">
        <f aca="false">IF(CW$2="","",IF(AND(CW24=CW$2,CX24=CX$2),3,IF(AND(CW$2&gt;CX$2,CW24&gt;CX24),1,IF(AND(CX$2&gt;CW$2,CX24&gt;CW24),1,IF(AND(CW$2=CX$2,CW24=CX24),1,0)))))</f>
        <v/>
      </c>
      <c r="CZ24" s="1" t="n">
        <f aca="false">Participantes!BS23</f>
        <v>0</v>
      </c>
      <c r="DA24" s="1" t="n">
        <f aca="false">Participantes!BT23</f>
        <v>0</v>
      </c>
      <c r="DB24" s="82" t="str">
        <f aca="false">IF(CZ$2="","",IF(AND(CZ24=CZ$2,DA24=DA$2),3,IF(AND(CZ$2&gt;DA$2,CZ24&gt;DA24),1,IF(AND(DA$2&gt;CZ$2,DA24&gt;CZ24),1,IF(AND(CZ$2=DA$2,CZ24=DA24),1,0)))))</f>
        <v/>
      </c>
      <c r="DC24" s="1" t="n">
        <f aca="false">Participantes!BU23</f>
        <v>0</v>
      </c>
      <c r="DD24" s="1" t="n">
        <f aca="false">Participantes!BV23</f>
        <v>0</v>
      </c>
      <c r="DE24" s="82" t="str">
        <f aca="false">IF(DC$2="","",IF(AND(DC24=DC$2,DD24=DD$2),3,IF(AND(DC$2&gt;DD$2,DC24&gt;DD24),1,IF(AND(DD$2&gt;DC$2,DD24&gt;DC24),1,IF(AND(DC$2=DD$2,DC24=DD24),1,0)))))</f>
        <v/>
      </c>
      <c r="DF24" s="1" t="n">
        <f aca="false">Participantes!BW23</f>
        <v>0</v>
      </c>
      <c r="DG24" s="1" t="n">
        <f aca="false">Participantes!BX23</f>
        <v>0</v>
      </c>
      <c r="DH24" s="82" t="str">
        <f aca="false">IF(DF$2="","",IF(AND(DF24=DF$2,DG24=DG$2),3,IF(AND(DF$2&gt;DG$2,DF24&gt;DG24),1,IF(AND(DG$2&gt;DF$2,DG24&gt;DF24),1,IF(AND(DF$2=DG$2,DF24=DG24),1,0)))))</f>
        <v/>
      </c>
      <c r="DI24" s="1" t="n">
        <f aca="false">Participantes!BY23</f>
        <v>0</v>
      </c>
      <c r="DJ24" s="1" t="n">
        <f aca="false">Participantes!BZ23</f>
        <v>0</v>
      </c>
      <c r="DK24" s="82" t="str">
        <f aca="false">IF(DI$2="","",IF(AND(DI24=DI$2,DJ24=DJ$2),3,IF(AND(DI$2&gt;DJ$2,DI24&gt;DJ24),1,IF(AND(DJ$2&gt;DI$2,DJ24&gt;DI24),1,IF(AND(DI$2=DJ$2,DI24=DJ24),1,0)))))</f>
        <v/>
      </c>
      <c r="DL24" s="1" t="n">
        <f aca="false">Participantes!CA23</f>
        <v>0</v>
      </c>
      <c r="DM24" s="1" t="n">
        <f aca="false">Participantes!CB23</f>
        <v>0</v>
      </c>
      <c r="DN24" s="82" t="str">
        <f aca="false">IF(DL$2="","",IF(AND(DL24=DL$2,DM24=DM$2),3,IF(AND(DL$2&gt;DM$2,DL24&gt;DM24),1,IF(AND(DM$2&gt;DL$2,DM24&gt;DL24),1,IF(AND(DL$2=DM$2,DL24=DM24),1,0)))))</f>
        <v/>
      </c>
      <c r="DO24" s="1" t="n">
        <f aca="false">Participantes!CC23</f>
        <v>0</v>
      </c>
      <c r="DP24" s="1" t="n">
        <f aca="false">Participantes!CD23</f>
        <v>0</v>
      </c>
      <c r="DQ24" s="82" t="str">
        <f aca="false">IF(DO$2="","",IF(AND(DO24=DO$2,DP24=DP$2),3,IF(AND(DO$2&gt;DP$2,DO24&gt;DP24),1,IF(AND(DP$2&gt;DO$2,DP24&gt;DO24),1,IF(AND(DO$2=DP$2,DO24=DP24),1,0)))))</f>
        <v/>
      </c>
      <c r="DR24" s="1" t="n">
        <f aca="false">Participantes!CE23</f>
        <v>0</v>
      </c>
      <c r="DS24" s="1" t="n">
        <f aca="false">Participantes!CF23</f>
        <v>0</v>
      </c>
      <c r="DT24" s="82" t="str">
        <f aca="false">IF(DR$2="","",IF(AND(DR24=DR$2,DS24=DS$2),3,IF(AND(DR$2&gt;DS$2,DR24&gt;DS24),1,IF(AND(DS$2&gt;DR$2,DS24&gt;DR24),1,IF(AND(DR$2=DS$2,DR24=DS24),1,0)))))</f>
        <v/>
      </c>
      <c r="DU24" s="1" t="n">
        <f aca="false">Participantes!CG23</f>
        <v>0</v>
      </c>
      <c r="DV24" s="1" t="n">
        <f aca="false">Participantes!CH23</f>
        <v>0</v>
      </c>
      <c r="DW24" s="82" t="str">
        <f aca="false">IF(DU$2="","",IF(AND(DU24=DU$2,DV24=DV$2),3,IF(AND(DU$2&gt;DV$2,DU24&gt;DV24),1,IF(AND(DV$2&gt;DU$2,DV24&gt;DU24),1,IF(AND(DU$2=DV$2,DU24=DV24),1,0)))))</f>
        <v/>
      </c>
      <c r="DX24" s="1" t="n">
        <f aca="false">Participantes!CI23</f>
        <v>0</v>
      </c>
      <c r="DY24" s="1" t="n">
        <f aca="false">Participantes!CJ23</f>
        <v>0</v>
      </c>
      <c r="DZ24" s="82" t="str">
        <f aca="false">IF(DX$2="","",IF(AND(DX24=DX$2,DY24=DY$2),3,IF(AND(DX$2&gt;DY$2,DX24&gt;DY24),1,IF(AND(DY$2&gt;DX$2,DY24&gt;DX24),1,IF(AND(DX$2=DY$2,DX24=DY24),1,0)))))</f>
        <v/>
      </c>
      <c r="EA24" s="1" t="n">
        <f aca="false">Participantes!CK23</f>
        <v>0</v>
      </c>
      <c r="EB24" s="1" t="n">
        <f aca="false">Participantes!CL23</f>
        <v>0</v>
      </c>
      <c r="EC24" s="82" t="str">
        <f aca="false">IF(EA$2="","",IF(AND(EA24=EA$2,EB24=EB$2),3,IF(AND(EA$2&gt;EB$2,EA24&gt;EB24),1,IF(AND(EB$2&gt;EA$2,EB24&gt;EA24),1,IF(AND(EA$2=EB$2,EA24=EB24),1,0)))))</f>
        <v/>
      </c>
      <c r="ED24" s="1" t="n">
        <f aca="false">Participantes!CM23</f>
        <v>0</v>
      </c>
      <c r="EE24" s="1" t="n">
        <f aca="false">Participantes!CN23</f>
        <v>0</v>
      </c>
      <c r="EF24" s="82" t="str">
        <f aca="false">IF(ED$2="","",IF(AND(ED24=ED$2,EE24=EE$2),3,IF(AND(ED$2&gt;EE$2,ED24&gt;EE24),1,IF(AND(EE$2&gt;ED$2,EE24&gt;ED24),1,IF(AND(ED$2=EE$2,ED24=EE24),1,0)))))</f>
        <v/>
      </c>
      <c r="EG24" s="1" t="n">
        <f aca="false">Participantes!CO23</f>
        <v>0</v>
      </c>
      <c r="EH24" s="1" t="n">
        <f aca="false">Participantes!CP23</f>
        <v>0</v>
      </c>
      <c r="EI24" s="82" t="str">
        <f aca="false">IF(EG$2="","",IF(AND(EG24=EG$2,EH24=EH$2),3,IF(AND(EG$2&gt;EH$2,EG24&gt;EH24),1,IF(AND(EH$2&gt;EG$2,EH24&gt;EG24),1,IF(AND(EG$2=EH$2,EG24=EH24),1,0)))))</f>
        <v/>
      </c>
      <c r="EJ24" s="1" t="n">
        <f aca="false">Participantes!CQ23</f>
        <v>0</v>
      </c>
      <c r="EK24" s="1" t="n">
        <f aca="false">Participantes!CR23</f>
        <v>0</v>
      </c>
      <c r="EL24" s="82" t="str">
        <f aca="false">IF(EJ$2="","",IF(AND(EJ24=EJ$2,EK24=EK$2),3,IF(AND(EJ$2&gt;EK$2,EJ24&gt;EK24),1,IF(AND(EK$2&gt;EJ$2,EK24&gt;EJ24),1,IF(AND(EJ$2=EK$2,EJ24=EK24),1,0)))))</f>
        <v/>
      </c>
      <c r="EM24" s="1" t="n">
        <f aca="false">Participantes!CS23</f>
        <v>0</v>
      </c>
      <c r="EN24" s="1" t="n">
        <f aca="false">Participantes!CT23</f>
        <v>0</v>
      </c>
      <c r="EO24" s="82" t="str">
        <f aca="false">IF(EM$2="","",IF(AND(EM24=EM$2,EN24=EN$2),3,IF(AND(EM$2&gt;EN$2,EM24&gt;EN24),1,IF(AND(EN$2&gt;EM$2,EN24&gt;EM24),1,IF(AND(EM$2=EN$2,EM24=EN24),1,0)))))</f>
        <v/>
      </c>
      <c r="EP24" s="1" t="n">
        <f aca="false">Participantes!CU23</f>
        <v>0</v>
      </c>
      <c r="EQ24" s="1" t="n">
        <f aca="false">Participantes!CV23</f>
        <v>0</v>
      </c>
      <c r="ER24" s="82" t="str">
        <f aca="false">IF(EP$2="","",IF(AND(EP24=EP$2,EQ24=EQ$2),3,IF(AND(EP$2&gt;EQ$2,EP24&gt;EQ24),1,IF(AND(EQ$2&gt;EP$2,EQ24&gt;EP24),1,IF(AND(EP$2=EQ$2,EP24=EQ24),1,0)))))</f>
        <v/>
      </c>
      <c r="ES24" s="1" t="n">
        <f aca="false">Participantes!CW23</f>
        <v>0</v>
      </c>
      <c r="ET24" s="1" t="n">
        <f aca="false">Participantes!CX23</f>
        <v>0</v>
      </c>
      <c r="EU24" s="82" t="str">
        <f aca="false">IF(ES$2="","",IF(AND(ES24=ES$2,ET24=ET$2),3,IF(AND(ES$2&gt;ET$2,ES24&gt;ET24),1,IF(AND(ET$2&gt;ES$2,ET24&gt;ES24),1,IF(AND(ES$2=ET$2,ES24=ET24),1,0)))))</f>
        <v/>
      </c>
      <c r="EV24" s="1" t="n">
        <f aca="false">Participantes!CY23</f>
        <v>0</v>
      </c>
      <c r="EW24" s="1" t="n">
        <f aca="false">Participantes!CZ23</f>
        <v>0</v>
      </c>
      <c r="EX24" s="82" t="str">
        <f aca="false">IF(EV$2="","",IF(AND(EV24=EV$2,EW24=EW$2),3,IF(AND(EV$2&gt;EW$2,EV24&gt;EW24),1,IF(AND(EW$2&gt;EV$2,EW24&gt;EV24),1,IF(AND(EV$2=EW$2,EV24=EW24),1,0)))))</f>
        <v/>
      </c>
      <c r="EY24" s="1" t="n">
        <f aca="false">Participantes!DA23</f>
        <v>0</v>
      </c>
      <c r="EZ24" s="1" t="n">
        <f aca="false">Participantes!DB23</f>
        <v>0</v>
      </c>
      <c r="FA24" s="82" t="str">
        <f aca="false">IF(EY$2="","",IF(AND(EY24=EY$2,EZ24=EZ$2),3,IF(AND(EY$2&gt;EZ$2,EY24&gt;EZ24),1,IF(AND(EZ$2&gt;EY$2,EZ24&gt;EY24),1,IF(AND(EY$2=EZ$2,EY24=EZ24),1,0)))))</f>
        <v/>
      </c>
      <c r="FB24" s="1" t="n">
        <f aca="false">Participantes!DC23</f>
        <v>0</v>
      </c>
      <c r="FC24" s="1" t="n">
        <f aca="false">Participantes!DD23</f>
        <v>0</v>
      </c>
      <c r="FD24" s="82" t="str">
        <f aca="false">IF(FB$2="","",IF(AND(FB24=FB$2,FC24=FC$2),3,IF(AND(FB$2&gt;FC$2,FB24&gt;FC24),1,IF(AND(FC$2&gt;FB$2,FC24&gt;FB24),1,IF(AND(FB$2=FC$2,FB24=FC24),1,0)))))</f>
        <v/>
      </c>
      <c r="FE24" s="1" t="n">
        <f aca="false">Participantes!DE23</f>
        <v>0</v>
      </c>
      <c r="FF24" s="1" t="n">
        <f aca="false">Participantes!DF23</f>
        <v>0</v>
      </c>
      <c r="FG24" s="82" t="str">
        <f aca="false">IF(FE$2="","",IF(AND(FE24=FE$2,FF24=FF$2),3,IF(AND(FE$2&gt;FF$2,FE24&gt;FF24),1,IF(AND(FF$2&gt;FE$2,FF24&gt;FE24),1,IF(AND(FE$2=FF$2,FE24=FF24),1,0)))))</f>
        <v/>
      </c>
      <c r="FH24" s="1" t="n">
        <f aca="false">Participantes!DG23</f>
        <v>0</v>
      </c>
      <c r="FI24" s="1" t="n">
        <f aca="false">Participantes!DH23</f>
        <v>0</v>
      </c>
      <c r="FJ24" s="82" t="str">
        <f aca="false">IF(FH$2="","",IF(AND(FH24=FH$2,FI24=FI$2),3,IF(AND(FH$2&gt;FI$2,FH24&gt;FI24),1,IF(AND(FI$2&gt;FH$2,FI24&gt;FH24),1,IF(AND(FH$2=FI$2,FH24=FI24),1,0)))))</f>
        <v/>
      </c>
      <c r="FK24" s="1" t="n">
        <f aca="false">Participantes!DI23</f>
        <v>0</v>
      </c>
      <c r="FL24" s="1" t="n">
        <f aca="false">Participantes!DJ23</f>
        <v>0</v>
      </c>
      <c r="FM24" s="82" t="str">
        <f aca="false">IF(FK$2="","",IF(AND(FK24=FK$2,FL24=FL$2),3,IF(AND(FK$2&gt;FL$2,FK24&gt;FL24),1,IF(AND(FL$2&gt;FK$2,FL24&gt;FK24),1,IF(AND(FK$2=FL$2,FK24=FL24),1,0)))))</f>
        <v/>
      </c>
      <c r="FN24" s="1" t="n">
        <f aca="false">Participantes!DK23</f>
        <v>0</v>
      </c>
      <c r="FO24" s="1" t="n">
        <f aca="false">Participantes!DL23</f>
        <v>0</v>
      </c>
      <c r="FP24" s="82" t="str">
        <f aca="false">IF(FN$2="","",IF(AND(FN24=FN$2,FO24=FO$2),3,IF(AND(FN$2&gt;FO$2,FN24&gt;FO24),1,IF(AND(FO$2&gt;FN$2,FO24&gt;FN24),1,IF(AND(FN$2=FO$2,FN24=FO24),1,0)))))</f>
        <v/>
      </c>
      <c r="FQ24" s="1" t="n">
        <f aca="false">Participantes!DM23</f>
        <v>0</v>
      </c>
      <c r="FR24" s="1" t="n">
        <f aca="false">Participantes!DN23</f>
        <v>0</v>
      </c>
      <c r="FS24" s="82" t="str">
        <f aca="false">IF(FQ$2="","",IF(AND(FQ24=FQ$2,FR24=FR$2),3,IF(AND(FQ$2&gt;FR$2,FQ24&gt;FR24),1,IF(AND(FR$2&gt;FQ$2,FR24&gt;FQ24),1,IF(AND(FQ$2=FR$2,FQ24=FR24),1,0)))))</f>
        <v/>
      </c>
      <c r="FT24" s="1" t="n">
        <f aca="false">Participantes!DO23</f>
        <v>0</v>
      </c>
      <c r="FU24" s="1" t="n">
        <f aca="false">Participantes!DP23</f>
        <v>0</v>
      </c>
      <c r="FV24" s="82" t="str">
        <f aca="false">IF(FT$2="","",IF(AND(FT24=FT$2,FU24=FU$2),3,IF(AND(FT$2&gt;FU$2,FT24&gt;FU24),1,IF(AND(FU$2&gt;FT$2,FU24&gt;FT24),1,IF(AND(FT$2=FU$2,FT24=FU24),1,0)))))</f>
        <v/>
      </c>
      <c r="FW24" s="1" t="n">
        <f aca="false">Participantes!DQ23</f>
        <v>0</v>
      </c>
      <c r="FX24" s="1" t="n">
        <f aca="false">Participantes!DR23</f>
        <v>0</v>
      </c>
      <c r="FY24" s="82" t="str">
        <f aca="false">IF(FW$2="","",IF(AND(FW24=FW$2,FX24=FX$2),3,IF(AND(FW$2&gt;FX$2,FW24&gt;FX24),1,IF(AND(FX$2&gt;FW$2,FX24&gt;FW24),1,IF(AND(FW$2=FX$2,FW24=FX24),1,0)))))</f>
        <v/>
      </c>
      <c r="FZ24" s="1" t="n">
        <f aca="false">Participantes!DS23</f>
        <v>0</v>
      </c>
      <c r="GA24" s="1" t="n">
        <f aca="false">Participantes!DT23</f>
        <v>0</v>
      </c>
      <c r="GB24" s="82" t="str">
        <f aca="false">IF(FZ$2="","",IF(AND(FZ24=FZ$2,GA24=GA$2),3,IF(AND(FZ$2&gt;GA$2,FZ24&gt;GA24),1,IF(AND(GA$2&gt;FZ$2,GA24&gt;FZ24),1,IF(AND(FZ$2=GA$2,FZ24=GA24),1,0)))))</f>
        <v/>
      </c>
      <c r="GC24" s="1" t="n">
        <f aca="false">Participantes!DU23</f>
        <v>0</v>
      </c>
      <c r="GD24" s="1" t="n">
        <f aca="false">Participantes!DV23</f>
        <v>0</v>
      </c>
      <c r="GE24" s="82" t="str">
        <f aca="false">IF(GC$2="","",IF(AND(GC24=GC$2,GD24=GD$2),3,IF(AND(GC$2&gt;GD$2,GC24&gt;GD24),1,IF(AND(GD$2&gt;GC$2,GD24&gt;GC24),1,IF(AND(GC$2=GD$2,GC24=GD24),1,0)))))</f>
        <v/>
      </c>
      <c r="GF24" s="1" t="n">
        <f aca="false">Participantes!DW23</f>
        <v>0</v>
      </c>
      <c r="GG24" s="1" t="n">
        <f aca="false">Participantes!DX23</f>
        <v>0</v>
      </c>
      <c r="GH24" s="82" t="str">
        <f aca="false">IF(GF$2="","",IF(AND(GF24=GF$2,GG24=GG$2),3,IF(AND(GF$2&gt;GG$2,GF24&gt;GG24),1,IF(AND(GG$2&gt;GF$2,GG24&gt;GF24),1,IF(AND(GF$2=GG$2,GF24=GG24),1,0)))))</f>
        <v/>
      </c>
      <c r="GI24" s="1" t="n">
        <f aca="false">Participantes!DY23</f>
        <v>0</v>
      </c>
      <c r="GJ24" s="1" t="n">
        <f aca="false">Participantes!DZ23</f>
        <v>0</v>
      </c>
      <c r="GK24" s="82" t="str">
        <f aca="false">IF(GI$2="","",IF(AND(GI24=GI$2,GJ24=GJ$2),3,IF(AND(GI$2&gt;GJ$2,GI24&gt;GJ24),1,IF(AND(GJ$2&gt;GI$2,GJ24&gt;GI24),1,IF(AND(GI$2=GJ$2,GI24=GJ24),1,0)))))</f>
        <v/>
      </c>
      <c r="GL24" s="1" t="n">
        <f aca="false">Participantes!EA23</f>
        <v>0</v>
      </c>
      <c r="GM24" s="1" t="n">
        <f aca="false">Participantes!EB23</f>
        <v>0</v>
      </c>
      <c r="GN24" s="82" t="str">
        <f aca="false">IF(GL$2="","",IF(AND(GL24=GL$2,GM24=GM$2),3,IF(AND(GL$2&gt;GM$2,GL24&gt;GM24),1,IF(AND(GM$2&gt;GL$2,GM24&gt;GL24),1,IF(AND(GL$2=GM$2,GL24=GM24),1,0)))))</f>
        <v/>
      </c>
      <c r="GO24" s="1" t="n">
        <f aca="false">Participantes!EC23</f>
        <v>0</v>
      </c>
      <c r="GP24" s="1" t="n">
        <f aca="false">Participantes!ED23</f>
        <v>0</v>
      </c>
      <c r="GQ24" s="82" t="str">
        <f aca="false">IF(GO$2="","",IF(AND(GO24=GO$2,GP24=GP$2),3,IF(AND(GO$2&gt;GP$2,GO24&gt;GP24),1,IF(AND(GP$2&gt;GO$2,GP24&gt;GO24),1,IF(AND(GO$2=GP$2,GO24=GP24),1,0)))))</f>
        <v/>
      </c>
      <c r="GR24" s="1" t="n">
        <f aca="false">Participantes!EE23</f>
        <v>0</v>
      </c>
      <c r="GS24" s="1" t="n">
        <f aca="false">Participantes!EF23</f>
        <v>0</v>
      </c>
      <c r="GT24" s="82" t="str">
        <f aca="false">IF(GR$2="","",IF(AND(GR24=GR$2,GS24=GS$2),3,IF(AND(GR$2&gt;GS$2,GR24&gt;GS24),1,IF(AND(GS$2&gt;GR$2,GS24&gt;GR24),1,IF(AND(GR$2=GS$2,GR24=GS24),1,0)))))</f>
        <v/>
      </c>
      <c r="GU24" s="1" t="n">
        <f aca="false">Participantes!EG23</f>
        <v>0</v>
      </c>
      <c r="GV24" s="1" t="n">
        <f aca="false">Participantes!EH23</f>
        <v>0</v>
      </c>
      <c r="GW24" s="82" t="str">
        <f aca="false">IF(GU$2="","",IF(AND(GU24=GU$2,GV24=GV$2),3,IF(AND(GU$2&gt;GV$2,GU24&gt;GV24),1,IF(AND(GV$2&gt;GU$2,GV24&gt;GU24),1,IF(AND(GU$2=GV$2,GU24=GV24),1,0)))))</f>
        <v/>
      </c>
      <c r="GX24" s="1" t="n">
        <f aca="false">Participantes!EI23</f>
        <v>0</v>
      </c>
      <c r="GY24" s="1" t="n">
        <f aca="false">Participantes!EJ23</f>
        <v>0</v>
      </c>
      <c r="GZ24" s="82" t="str">
        <f aca="false">IF(GX$2="","",IF(AND(GX24=GX$2,GY24=GY$2),3,IF(AND(GX$2&gt;GY$2,GX24&gt;GY24),1,IF(AND(GY$2&gt;GX$2,GY24&gt;GX24),1,IF(AND(GX$2=GY$2,GX24=GY24),1,0)))))</f>
        <v/>
      </c>
      <c r="HA24" s="1" t="n">
        <f aca="false">Participantes!EK23</f>
        <v>0</v>
      </c>
      <c r="HB24" s="1" t="n">
        <f aca="false">Participantes!EL23</f>
        <v>0</v>
      </c>
      <c r="HC24" s="82" t="str">
        <f aca="false">IF(HA$2="","",IF(AND(HA24=HA$2,HB24=HB$2),3,IF(AND(HA$2&gt;HB$2,HA24&gt;HB24),1,IF(AND(HB$2&gt;HA$2,HB24&gt;HA24),1,IF(AND(HA$2=HB$2,HA24=HB24),1,0)))))</f>
        <v/>
      </c>
      <c r="HD24" s="1" t="n">
        <f aca="false">Participantes!EM23</f>
        <v>0</v>
      </c>
      <c r="HE24" s="1" t="n">
        <f aca="false">Participantes!EN23</f>
        <v>0</v>
      </c>
      <c r="HF24" s="82" t="str">
        <f aca="false">IF(HD$2="","",IF(AND(HD24=HD$2,HE24=HE$2),3,IF(AND(HD$2&gt;HE$2,HD24&gt;HE24),1,IF(AND(HE$2&gt;HD$2,HE24&gt;HD24),1,IF(AND(HD$2=HE$2,HD24=HE24),1,0)))))</f>
        <v/>
      </c>
      <c r="HG24" s="1" t="n">
        <f aca="false">Participantes!EO23</f>
        <v>0</v>
      </c>
      <c r="HH24" s="1" t="n">
        <f aca="false">Participantes!EP23</f>
        <v>0</v>
      </c>
      <c r="HI24" s="82" t="str">
        <f aca="false">IF(HG$2="","",IF(AND(HG24=HG$2,HH24=HH$2),3,IF(AND(HG$2&gt;HH$2,HG24&gt;HH24),1,IF(AND(HH$2&gt;HG$2,HH24&gt;HG24),1,IF(AND(HG$2=HH$2,HG24=HH24),1,0)))))</f>
        <v/>
      </c>
      <c r="HJ24" s="83" t="n">
        <f aca="false">SUM(D24,G24,J24,M24,P24,S24,V24,Y24,AB24,AE24,AH24,AK24,AN24,AQ24,AT24,AW24,AZ24,BC24,BF24,BI24,BL24,BO24,BR24,BU24,BX24,CA24,CD24,CG24,CJ24,CM24,CP24,CS24,CV24,CY24,DB24,DE24,DH24,DK24,DN24,DQ24,DT24,DW24,DZ24,EC24,EF24,EI24,EL24,EO24,ER24,EU24,EX24,FA24,FD24,FG24,FJ24,FM24,FP24,FS24,FV24,FY24,GB24,GE24,GH24,GK24,GN24,GQ24,GT24,GW24,GZ24,HC24,HF24,HI24)</f>
        <v>1</v>
      </c>
    </row>
    <row r="25" customFormat="false" ht="15" hidden="false" customHeight="true" outlineLevel="0" collapsed="false">
      <c r="A25" s="81" t="str">
        <f aca="false">Participantes!B24</f>
        <v>Jovanna</v>
      </c>
      <c r="B25" s="1" t="n">
        <f aca="false">Participantes!C24</f>
        <v>5</v>
      </c>
      <c r="C25" s="1" t="n">
        <f aca="false">Participantes!D24</f>
        <v>2</v>
      </c>
      <c r="D25" s="82" t="n">
        <f aca="false">IF(B$2="","",IF(AND(B25=B$2,C25=C$2),3,IF(AND(B$2&gt;C$2,B25&gt;C25),1,IF(AND(C$2&gt;B$2,C25&gt;B25),1,IF(AND(B$2=C$2,B25=C25),1,0)))))</f>
        <v>1</v>
      </c>
      <c r="E25" s="1" t="n">
        <f aca="false">Participantes!E24</f>
        <v>1</v>
      </c>
      <c r="F25" s="1" t="n">
        <f aca="false">Participantes!F24</f>
        <v>3</v>
      </c>
      <c r="G25" s="82" t="str">
        <f aca="false">IF(E$2="","",IF(AND(E25=E$2,F25=F$2),3,IF(AND(E$2&gt;F$2,E25&gt;F25),1,IF(AND(F$2&gt;E$2,F25&gt;E25),1,IF(AND(E$2=F$2,E25=F25),1,0)))))</f>
        <v/>
      </c>
      <c r="H25" s="1" t="n">
        <f aca="false">Participantes!G24</f>
        <v>0</v>
      </c>
      <c r="I25" s="1" t="n">
        <f aca="false">Participantes!H24</f>
        <v>2</v>
      </c>
      <c r="J25" s="82" t="str">
        <f aca="false">IF(H$2="","",IF(AND(H25=H$2,I25=I$2),3,IF(AND(H$2&gt;I$2,H25&gt;I25),1,IF(AND(I$2&gt;H$2,I25&gt;H25),1,IF(AND(H$2=I$2,H25=I25),1,0)))))</f>
        <v/>
      </c>
      <c r="K25" s="1" t="n">
        <f aca="false">Participantes!I24</f>
        <v>1</v>
      </c>
      <c r="L25" s="1" t="n">
        <f aca="false">Participantes!J24</f>
        <v>1</v>
      </c>
      <c r="M25" s="82" t="str">
        <f aca="false">IF(K$2="","",IF(AND(K25=K$2,L25=L$2),3,IF(AND(K$2&gt;L$2,K25&gt;L25),1,IF(AND(L$2&gt;K$2,L25&gt;K25),1,IF(AND(K$2=L$2,K25=L25),1,0)))))</f>
        <v/>
      </c>
      <c r="N25" s="1" t="n">
        <f aca="false">Participantes!K24</f>
        <v>0</v>
      </c>
      <c r="O25" s="1" t="n">
        <f aca="false">Participantes!L24</f>
        <v>3</v>
      </c>
      <c r="P25" s="82" t="str">
        <f aca="false">IF(N$2="","",IF(AND(N25=N$2,O25=O$2),3,IF(AND(N$2&gt;O$2,N25&gt;O25),1,IF(AND(O$2&gt;N$2,O25&gt;N25),1,IF(AND(N$2=O$2,N25=O25),1,0)))))</f>
        <v/>
      </c>
      <c r="Q25" s="1" t="n">
        <f aca="false">Participantes!M24</f>
        <v>0</v>
      </c>
      <c r="R25" s="1" t="n">
        <f aca="false">Participantes!N24</f>
        <v>1</v>
      </c>
      <c r="S25" s="82" t="str">
        <f aca="false">IF(Q$2="","",IF(AND(Q25=Q$2,R25=R$2),3,IF(AND(Q$2&gt;R$2,Q25&gt;R25),1,IF(AND(R$2&gt;Q$2,R25&gt;Q25),1,IF(AND(Q$2=R$2,Q25=R25),1,0)))))</f>
        <v/>
      </c>
      <c r="T25" s="1" t="n">
        <f aca="false">Participantes!O24</f>
        <v>3</v>
      </c>
      <c r="U25" s="1" t="n">
        <f aca="false">Participantes!P24</f>
        <v>2</v>
      </c>
      <c r="V25" s="82" t="str">
        <f aca="false">IF(T$2="","",IF(AND(T25=T$2,U25=U$2),3,IF(AND(T$2&gt;U$2,T25&gt;U25),1,IF(AND(U$2&gt;T$2,U25&gt;T25),1,IF(AND(T$2=U$2,T25=U25),1,0)))))</f>
        <v/>
      </c>
      <c r="W25" s="1" t="n">
        <f aca="false">Participantes!Q24</f>
        <v>0</v>
      </c>
      <c r="X25" s="1" t="n">
        <f aca="false">Participantes!R24</f>
        <v>4</v>
      </c>
      <c r="Y25" s="82" t="str">
        <f aca="false">IF(W$2="","",IF(AND(W25=W$2,X25=X$2),3,IF(AND(W$2&gt;X$2,W25&gt;X25),1,IF(AND(X$2&gt;W$2,X25&gt;W25),1,IF(AND(W$2=X$2,W25=X25),1,0)))))</f>
        <v/>
      </c>
      <c r="Z25" s="1" t="n">
        <f aca="false">Participantes!S24</f>
        <v>2</v>
      </c>
      <c r="AA25" s="1" t="n">
        <f aca="false">Participantes!T24</f>
        <v>1</v>
      </c>
      <c r="AB25" s="82" t="str">
        <f aca="false">IF(Z$2="","",IF(AND(Z25=Z$2,AA25=AA$2),3,IF(AND(Z$2&gt;AA$2,Z25&gt;AA25),1,IF(AND(AA$2&gt;Z$2,AA25&gt;Z25),1,IF(AND(Z$2=AA$2,Z25=AA25),1,0)))))</f>
        <v/>
      </c>
      <c r="AC25" s="1" t="n">
        <f aca="false">Participantes!U24</f>
        <v>6</v>
      </c>
      <c r="AD25" s="1" t="n">
        <f aca="false">Participantes!V24</f>
        <v>1</v>
      </c>
      <c r="AE25" s="82" t="str">
        <f aca="false">IF(AC$2="","",IF(AND(AC25=AC$2,AD25=AD$2),3,IF(AND(AC$2&gt;AD$2,AC25&gt;AD25),1,IF(AND(AD$2&gt;AC$2,AD25&gt;AC25),1,IF(AND(AC$2=AD$2,AC25=AD25),1,0)))))</f>
        <v/>
      </c>
      <c r="AF25" s="1" t="n">
        <f aca="false">Participantes!W24</f>
        <v>0</v>
      </c>
      <c r="AG25" s="1" t="n">
        <f aca="false">Participantes!X24</f>
        <v>2</v>
      </c>
      <c r="AH25" s="82" t="str">
        <f aca="false">IF(AF$2="","",IF(AND(AF25=AF$2,AG25=AG$2),3,IF(AND(AF$2&gt;AG$2,AF25&gt;AG25),1,IF(AND(AG$2&gt;AF$2,AG25&gt;AF25),1,IF(AND(AF$2=AG$2,AF25=AG25),1,0)))))</f>
        <v/>
      </c>
      <c r="AI25" s="1" t="n">
        <f aca="false">Participantes!Y24</f>
        <v>3</v>
      </c>
      <c r="AJ25" s="1" t="n">
        <f aca="false">Participantes!Z24</f>
        <v>1</v>
      </c>
      <c r="AK25" s="82" t="str">
        <f aca="false">IF(AI$2="","",IF(AND(AI25=AI$2,AJ25=AJ$2),3,IF(AND(AI$2&gt;AJ$2,AI25&gt;AJ25),1,IF(AND(AJ$2&gt;AI$2,AJ25&gt;AI25),1,IF(AND(AI$2=AJ$2,AI25=AJ25),1,0)))))</f>
        <v/>
      </c>
      <c r="AL25" s="1" t="n">
        <f aca="false">Participantes!AA24</f>
        <v>1</v>
      </c>
      <c r="AM25" s="1" t="n">
        <f aca="false">Participantes!AB24</f>
        <v>0</v>
      </c>
      <c r="AN25" s="82" t="str">
        <f aca="false">IF(AL$2="","",IF(AND(AL25=AL$2,AM25=AM$2),3,IF(AND(AL$2&gt;AM$2,AL25&gt;AM25),1,IF(AND(AM$2&gt;AL$2,AM25&gt;AL25),1,IF(AND(AL$2=AM$2,AL25=AM25),1,0)))))</f>
        <v/>
      </c>
      <c r="AO25" s="1" t="n">
        <f aca="false">Participantes!AC24</f>
        <v>2</v>
      </c>
      <c r="AP25" s="1" t="n">
        <f aca="false">Participantes!AD24</f>
        <v>0</v>
      </c>
      <c r="AQ25" s="82" t="str">
        <f aca="false">IF(AO$2="","",IF(AND(AO25=AO$2,AP25=AP$2),3,IF(AND(AO$2&gt;AP$2,AO25&gt;AP25),1,IF(AND(AP$2&gt;AO$2,AP25&gt;AO25),1,IF(AND(AO$2=AP$2,AO25=AP25),1,0)))))</f>
        <v/>
      </c>
      <c r="AR25" s="1" t="n">
        <f aca="false">Participantes!AE24</f>
        <v>0</v>
      </c>
      <c r="AS25" s="1" t="n">
        <f aca="false">Participantes!AF24</f>
        <v>1</v>
      </c>
      <c r="AT25" s="82" t="str">
        <f aca="false">IF(AR$2="","",IF(AND(AR25=AR$2,AS25=AS$2),3,IF(AND(AR$2&gt;AS$2,AR25&gt;AS25),1,IF(AND(AS$2&gt;AR$2,AS25&gt;AR25),1,IF(AND(AR$2=AS$2,AR25=AS25),1,0)))))</f>
        <v/>
      </c>
      <c r="AU25" s="1" t="n">
        <f aca="false">Participantes!AG24</f>
        <v>3</v>
      </c>
      <c r="AV25" s="1" t="n">
        <f aca="false">Participantes!AH24</f>
        <v>3</v>
      </c>
      <c r="AW25" s="82" t="str">
        <f aca="false">IF(AU$2="","",IF(AND(AU25=AU$2,AV25=AV$2),3,IF(AND(AU$2&gt;AV$2,AU25&gt;AV25),1,IF(AND(AV$2&gt;AU$2,AV25&gt;AU25),1,IF(AND(AU$2=AV$2,AU25=AV25),1,0)))))</f>
        <v/>
      </c>
      <c r="AX25" s="1" t="n">
        <f aca="false">Participantes!AI24</f>
        <v>1</v>
      </c>
      <c r="AY25" s="1" t="n">
        <f aca="false">Participantes!AJ24</f>
        <v>1</v>
      </c>
      <c r="AZ25" s="82" t="str">
        <f aca="false">IF(AX$2="","",IF(AND(AX25=AX$2,AY25=AY$2),3,IF(AND(AX$2&gt;AY$2,AX25&gt;AY25),1,IF(AND(AY$2&gt;AX$2,AY25&gt;AX25),1,IF(AND(AX$2=AY$2,AX25=AY25),1,0)))))</f>
        <v/>
      </c>
      <c r="BA25" s="1" t="n">
        <f aca="false">Participantes!AK24</f>
        <v>0</v>
      </c>
      <c r="BB25" s="1" t="n">
        <f aca="false">Participantes!AL24</f>
        <v>3</v>
      </c>
      <c r="BC25" s="82" t="str">
        <f aca="false">IF(BA$2="","",IF(AND(BA25=BA$2,BB25=BB$2),3,IF(AND(BA$2&gt;BB$2,BA25&gt;BB25),1,IF(AND(BB$2&gt;BA$2,BB25&gt;BA25),1,IF(AND(BA$2=BB$2,BA25=BB25),1,0)))))</f>
        <v/>
      </c>
      <c r="BD25" s="1" t="n">
        <f aca="false">Participantes!AM24</f>
        <v>1</v>
      </c>
      <c r="BE25" s="1" t="n">
        <f aca="false">Participantes!AN24</f>
        <v>2</v>
      </c>
      <c r="BF25" s="82" t="str">
        <f aca="false">IF(BD$2="","",IF(AND(BD25=BD$2,BE25=BE$2),3,IF(AND(BD$2&gt;BE$2,BD25&gt;BE25),1,IF(AND(BE$2&gt;BD$2,BE25&gt;BD25),1,IF(AND(BD$2=BE$2,BD25=BE25),1,0)))))</f>
        <v/>
      </c>
      <c r="BG25" s="1" t="n">
        <f aca="false">Participantes!AO24</f>
        <v>4</v>
      </c>
      <c r="BH25" s="1" t="n">
        <f aca="false">Participantes!AP24</f>
        <v>1</v>
      </c>
      <c r="BI25" s="82" t="str">
        <f aca="false">IF(BG$2="","",IF(AND(BG25=BG$2,BH25=BH$2),3,IF(AND(BG$2&gt;BH$2,BG25&gt;BH25),1,IF(AND(BH$2&gt;BG$2,BH25&gt;BG25),1,IF(AND(BG$2=BH$2,BG25=BH25),1,0)))))</f>
        <v/>
      </c>
      <c r="BJ25" s="1" t="n">
        <f aca="false">Participantes!AQ24</f>
        <v>0</v>
      </c>
      <c r="BK25" s="1" t="n">
        <f aca="false">Participantes!AR24</f>
        <v>1</v>
      </c>
      <c r="BL25" s="82" t="str">
        <f aca="false">IF(BJ$2="","",IF(AND(BJ25=BJ$2,BK25=BK$2),3,IF(AND(BJ$2&gt;BK$2,BJ25&gt;BK25),1,IF(AND(BK$2&gt;BJ$2,BK25&gt;BJ25),1,IF(AND(BJ$2=BK$2,BJ25=BK25),1,0)))))</f>
        <v/>
      </c>
      <c r="BM25" s="1" t="n">
        <f aca="false">Participantes!AS24</f>
        <v>3</v>
      </c>
      <c r="BN25" s="1" t="n">
        <f aca="false">Participantes!AT24</f>
        <v>5</v>
      </c>
      <c r="BO25" s="82" t="str">
        <f aca="false">IF(BM$2="","",IF(AND(BM25=BM$2,BN25=BN$2),3,IF(AND(BM$2&gt;BN$2,BM25&gt;BN25),1,IF(AND(BN$2&gt;BM$2,BN25&gt;BM25),1,IF(AND(BM$2=BN$2,BM25=BN25),1,0)))))</f>
        <v/>
      </c>
      <c r="BP25" s="1" t="n">
        <f aca="false">Participantes!AU24</f>
        <v>2</v>
      </c>
      <c r="BQ25" s="1" t="n">
        <f aca="false">Participantes!AV24</f>
        <v>0</v>
      </c>
      <c r="BR25" s="82" t="str">
        <f aca="false">IF(BP$2="","",IF(AND(BP25=BP$2,BQ25=BQ$2),3,IF(AND(BP$2&gt;BQ$2,BP25&gt;BQ25),1,IF(AND(BQ$2&gt;BP$2,BQ25&gt;BP25),1,IF(AND(BP$2=BQ$2,BP25=BQ25),1,0)))))</f>
        <v/>
      </c>
      <c r="BS25" s="1" t="n">
        <f aca="false">Participantes!AW24</f>
        <v>2</v>
      </c>
      <c r="BT25" s="1" t="n">
        <f aca="false">Participantes!AX24</f>
        <v>4</v>
      </c>
      <c r="BU25" s="82" t="str">
        <f aca="false">IF(BS$2="","",IF(AND(BS25=BS$2,BT25=BT$2),3,IF(AND(BS$2&gt;BT$2,BS25&gt;BT25),1,IF(AND(BT$2&gt;BS$2,BT25&gt;BS25),1,IF(AND(BS$2=BT$2,BS25=BT25),1,0)))))</f>
        <v/>
      </c>
      <c r="BV25" s="1" t="n">
        <f aca="false">Participantes!AY24</f>
        <v>2</v>
      </c>
      <c r="BW25" s="1" t="n">
        <f aca="false">Participantes!AZ24</f>
        <v>1</v>
      </c>
      <c r="BX25" s="82" t="str">
        <f aca="false">IF(BV$2="","",IF(AND(BV25=BV$2,BW25=BW$2),3,IF(AND(BV$2&gt;BW$2,BV25&gt;BW25),1,IF(AND(BW$2&gt;BV$2,BW25&gt;BV25),1,IF(AND(BV$2=BW$2,BV25=BW25),1,0)))))</f>
        <v/>
      </c>
      <c r="BY25" s="1" t="n">
        <f aca="false">Participantes!BA24</f>
        <v>2</v>
      </c>
      <c r="BZ25" s="1" t="n">
        <f aca="false">Participantes!BB24</f>
        <v>0</v>
      </c>
      <c r="CA25" s="82" t="str">
        <f aca="false">IF(BY$2="","",IF(AND(BY25=BY$2,BZ25=BZ$2),3,IF(AND(BY$2&gt;BZ$2,BY25&gt;BZ25),1,IF(AND(BZ$2&gt;BY$2,BZ25&gt;BY25),1,IF(AND(BY$2=BZ$2,BY25=BZ25),1,0)))))</f>
        <v/>
      </c>
      <c r="CB25" s="1" t="n">
        <f aca="false">Participantes!BC24</f>
        <v>3</v>
      </c>
      <c r="CC25" s="1" t="n">
        <f aca="false">Participantes!BD24</f>
        <v>0</v>
      </c>
      <c r="CD25" s="82" t="str">
        <f aca="false">IF(CB$2="","",IF(AND(CB25=CB$2,CC25=CC$2),3,IF(AND(CB$2&gt;CC$2,CB25&gt;CC25),1,IF(AND(CC$2&gt;CB$2,CC25&gt;CB25),1,IF(AND(CB$2=CC$2,CB25=CC25),1,0)))))</f>
        <v/>
      </c>
      <c r="CE25" s="1" t="n">
        <f aca="false">Participantes!BE24</f>
        <v>1</v>
      </c>
      <c r="CF25" s="1" t="n">
        <f aca="false">Participantes!BF24</f>
        <v>1</v>
      </c>
      <c r="CG25" s="82" t="str">
        <f aca="false">IF(CE$2="","",IF(AND(CE25=CE$2,CF25=CF$2),3,IF(AND(CE$2&gt;CF$2,CE25&gt;CF25),1,IF(AND(CF$2&gt;CE$2,CF25&gt;CE25),1,IF(AND(CE$2=CF$2,CE25=CF25),1,0)))))</f>
        <v/>
      </c>
      <c r="CH25" s="1" t="n">
        <f aca="false">Participantes!BG24</f>
        <v>0</v>
      </c>
      <c r="CI25" s="1" t="n">
        <f aca="false">Participantes!BH24</f>
        <v>0</v>
      </c>
      <c r="CJ25" s="82" t="str">
        <f aca="false">IF(CH$2="","",IF(AND(CH25=CH$2,CI25=CI$2),3,IF(AND(CH$2&gt;CI$2,CH25&gt;CI25),1,IF(AND(CI$2&gt;CH$2,CI25&gt;CH25),1,IF(AND(CH$2=CI$2,CH25=CI25),1,0)))))</f>
        <v/>
      </c>
      <c r="CK25" s="1" t="n">
        <f aca="false">Participantes!BI24</f>
        <v>0</v>
      </c>
      <c r="CL25" s="1" t="n">
        <f aca="false">Participantes!BJ24</f>
        <v>0</v>
      </c>
      <c r="CM25" s="82" t="str">
        <f aca="false">IF(CK$2="","",IF(AND(CK25=CK$2,CL25=CL$2),3,IF(AND(CK$2&gt;CL$2,CK25&gt;CL25),1,IF(AND(CL$2&gt;CK$2,CL25&gt;CK25),1,IF(AND(CK$2=CL$2,CK25=CL25),1,0)))))</f>
        <v/>
      </c>
      <c r="CN25" s="1" t="n">
        <f aca="false">Participantes!BK24</f>
        <v>0</v>
      </c>
      <c r="CO25" s="1" t="n">
        <f aca="false">Participantes!BL24</f>
        <v>0</v>
      </c>
      <c r="CP25" s="82" t="str">
        <f aca="false">IF(CN$2="","",IF(AND(CN25=CN$2,CO25=CO$2),3,IF(AND(CN$2&gt;CO$2,CN25&gt;CO25),1,IF(AND(CO$2&gt;CN$2,CO25&gt;CN25),1,IF(AND(CN$2=CO$2,CN25=CO25),1,0)))))</f>
        <v/>
      </c>
      <c r="CQ25" s="1" t="n">
        <f aca="false">Participantes!BM24</f>
        <v>0</v>
      </c>
      <c r="CR25" s="1" t="n">
        <f aca="false">Participantes!BN24</f>
        <v>0</v>
      </c>
      <c r="CS25" s="82" t="str">
        <f aca="false">IF(CQ$2="","",IF(AND(CQ25=CQ$2,CR25=CR$2),3,IF(AND(CQ$2&gt;CR$2,CQ25&gt;CR25),1,IF(AND(CR$2&gt;CQ$2,CR25&gt;CQ25),1,IF(AND(CQ$2=CR$2,CQ25=CR25),1,0)))))</f>
        <v/>
      </c>
      <c r="CT25" s="1" t="n">
        <f aca="false">Participantes!BO24</f>
        <v>0</v>
      </c>
      <c r="CU25" s="1" t="n">
        <f aca="false">Participantes!BP24</f>
        <v>0</v>
      </c>
      <c r="CV25" s="82" t="str">
        <f aca="false">IF(CT$2="","",IF(AND(CT25=CT$2,CU25=CU$2),3,IF(AND(CT$2&gt;CU$2,CT25&gt;CU25),1,IF(AND(CU$2&gt;CT$2,CU25&gt;CT25),1,IF(AND(CT$2=CU$2,CT25=CU25),1,0)))))</f>
        <v/>
      </c>
      <c r="CW25" s="1" t="n">
        <f aca="false">Participantes!BQ24</f>
        <v>0</v>
      </c>
      <c r="CX25" s="1" t="n">
        <f aca="false">Participantes!BR24</f>
        <v>0</v>
      </c>
      <c r="CY25" s="82" t="str">
        <f aca="false">IF(CW$2="","",IF(AND(CW25=CW$2,CX25=CX$2),3,IF(AND(CW$2&gt;CX$2,CW25&gt;CX25),1,IF(AND(CX$2&gt;CW$2,CX25&gt;CW25),1,IF(AND(CW$2=CX$2,CW25=CX25),1,0)))))</f>
        <v/>
      </c>
      <c r="CZ25" s="1" t="n">
        <f aca="false">Participantes!BS24</f>
        <v>0</v>
      </c>
      <c r="DA25" s="1" t="n">
        <f aca="false">Participantes!BT24</f>
        <v>0</v>
      </c>
      <c r="DB25" s="82" t="str">
        <f aca="false">IF(CZ$2="","",IF(AND(CZ25=CZ$2,DA25=DA$2),3,IF(AND(CZ$2&gt;DA$2,CZ25&gt;DA25),1,IF(AND(DA$2&gt;CZ$2,DA25&gt;CZ25),1,IF(AND(CZ$2=DA$2,CZ25=DA25),1,0)))))</f>
        <v/>
      </c>
      <c r="DC25" s="1" t="n">
        <f aca="false">Participantes!BU24</f>
        <v>0</v>
      </c>
      <c r="DD25" s="1" t="n">
        <f aca="false">Participantes!BV24</f>
        <v>0</v>
      </c>
      <c r="DE25" s="82" t="str">
        <f aca="false">IF(DC$2="","",IF(AND(DC25=DC$2,DD25=DD$2),3,IF(AND(DC$2&gt;DD$2,DC25&gt;DD25),1,IF(AND(DD$2&gt;DC$2,DD25&gt;DC25),1,IF(AND(DC$2=DD$2,DC25=DD25),1,0)))))</f>
        <v/>
      </c>
      <c r="DF25" s="1" t="n">
        <f aca="false">Participantes!BW24</f>
        <v>0</v>
      </c>
      <c r="DG25" s="1" t="n">
        <f aca="false">Participantes!BX24</f>
        <v>0</v>
      </c>
      <c r="DH25" s="82" t="str">
        <f aca="false">IF(DF$2="","",IF(AND(DF25=DF$2,DG25=DG$2),3,IF(AND(DF$2&gt;DG$2,DF25&gt;DG25),1,IF(AND(DG$2&gt;DF$2,DG25&gt;DF25),1,IF(AND(DF$2=DG$2,DF25=DG25),1,0)))))</f>
        <v/>
      </c>
      <c r="DI25" s="1" t="n">
        <f aca="false">Participantes!BY24</f>
        <v>0</v>
      </c>
      <c r="DJ25" s="1" t="n">
        <f aca="false">Participantes!BZ24</f>
        <v>0</v>
      </c>
      <c r="DK25" s="82" t="str">
        <f aca="false">IF(DI$2="","",IF(AND(DI25=DI$2,DJ25=DJ$2),3,IF(AND(DI$2&gt;DJ$2,DI25&gt;DJ25),1,IF(AND(DJ$2&gt;DI$2,DJ25&gt;DI25),1,IF(AND(DI$2=DJ$2,DI25=DJ25),1,0)))))</f>
        <v/>
      </c>
      <c r="DL25" s="1" t="n">
        <f aca="false">Participantes!CA24</f>
        <v>0</v>
      </c>
      <c r="DM25" s="1" t="n">
        <f aca="false">Participantes!CB24</f>
        <v>0</v>
      </c>
      <c r="DN25" s="82" t="str">
        <f aca="false">IF(DL$2="","",IF(AND(DL25=DL$2,DM25=DM$2),3,IF(AND(DL$2&gt;DM$2,DL25&gt;DM25),1,IF(AND(DM$2&gt;DL$2,DM25&gt;DL25),1,IF(AND(DL$2=DM$2,DL25=DM25),1,0)))))</f>
        <v/>
      </c>
      <c r="DO25" s="1" t="n">
        <f aca="false">Participantes!CC24</f>
        <v>0</v>
      </c>
      <c r="DP25" s="1" t="n">
        <f aca="false">Participantes!CD24</f>
        <v>0</v>
      </c>
      <c r="DQ25" s="82" t="str">
        <f aca="false">IF(DO$2="","",IF(AND(DO25=DO$2,DP25=DP$2),3,IF(AND(DO$2&gt;DP$2,DO25&gt;DP25),1,IF(AND(DP$2&gt;DO$2,DP25&gt;DO25),1,IF(AND(DO$2=DP$2,DO25=DP25),1,0)))))</f>
        <v/>
      </c>
      <c r="DR25" s="1" t="n">
        <f aca="false">Participantes!CE24</f>
        <v>0</v>
      </c>
      <c r="DS25" s="1" t="n">
        <f aca="false">Participantes!CF24</f>
        <v>0</v>
      </c>
      <c r="DT25" s="82" t="str">
        <f aca="false">IF(DR$2="","",IF(AND(DR25=DR$2,DS25=DS$2),3,IF(AND(DR$2&gt;DS$2,DR25&gt;DS25),1,IF(AND(DS$2&gt;DR$2,DS25&gt;DR25),1,IF(AND(DR$2=DS$2,DR25=DS25),1,0)))))</f>
        <v/>
      </c>
      <c r="DU25" s="1" t="n">
        <f aca="false">Participantes!CG24</f>
        <v>0</v>
      </c>
      <c r="DV25" s="1" t="n">
        <f aca="false">Participantes!CH24</f>
        <v>0</v>
      </c>
      <c r="DW25" s="82" t="str">
        <f aca="false">IF(DU$2="","",IF(AND(DU25=DU$2,DV25=DV$2),3,IF(AND(DU$2&gt;DV$2,DU25&gt;DV25),1,IF(AND(DV$2&gt;DU$2,DV25&gt;DU25),1,IF(AND(DU$2=DV$2,DU25=DV25),1,0)))))</f>
        <v/>
      </c>
      <c r="DX25" s="1" t="n">
        <f aca="false">Participantes!CI24</f>
        <v>0</v>
      </c>
      <c r="DY25" s="1" t="n">
        <f aca="false">Participantes!CJ24</f>
        <v>0</v>
      </c>
      <c r="DZ25" s="82" t="str">
        <f aca="false">IF(DX$2="","",IF(AND(DX25=DX$2,DY25=DY$2),3,IF(AND(DX$2&gt;DY$2,DX25&gt;DY25),1,IF(AND(DY$2&gt;DX$2,DY25&gt;DX25),1,IF(AND(DX$2=DY$2,DX25=DY25),1,0)))))</f>
        <v/>
      </c>
      <c r="EA25" s="1" t="n">
        <f aca="false">Participantes!CK24</f>
        <v>0</v>
      </c>
      <c r="EB25" s="1" t="n">
        <f aca="false">Participantes!CL24</f>
        <v>0</v>
      </c>
      <c r="EC25" s="82" t="str">
        <f aca="false">IF(EA$2="","",IF(AND(EA25=EA$2,EB25=EB$2),3,IF(AND(EA$2&gt;EB$2,EA25&gt;EB25),1,IF(AND(EB$2&gt;EA$2,EB25&gt;EA25),1,IF(AND(EA$2=EB$2,EA25=EB25),1,0)))))</f>
        <v/>
      </c>
      <c r="ED25" s="1" t="n">
        <f aca="false">Participantes!CM24</f>
        <v>0</v>
      </c>
      <c r="EE25" s="1" t="n">
        <f aca="false">Participantes!CN24</f>
        <v>0</v>
      </c>
      <c r="EF25" s="82" t="str">
        <f aca="false">IF(ED$2="","",IF(AND(ED25=ED$2,EE25=EE$2),3,IF(AND(ED$2&gt;EE$2,ED25&gt;EE25),1,IF(AND(EE$2&gt;ED$2,EE25&gt;ED25),1,IF(AND(ED$2=EE$2,ED25=EE25),1,0)))))</f>
        <v/>
      </c>
      <c r="EG25" s="1" t="n">
        <f aca="false">Participantes!CO24</f>
        <v>0</v>
      </c>
      <c r="EH25" s="1" t="n">
        <f aca="false">Participantes!CP24</f>
        <v>0</v>
      </c>
      <c r="EI25" s="82" t="str">
        <f aca="false">IF(EG$2="","",IF(AND(EG25=EG$2,EH25=EH$2),3,IF(AND(EG$2&gt;EH$2,EG25&gt;EH25),1,IF(AND(EH$2&gt;EG$2,EH25&gt;EG25),1,IF(AND(EG$2=EH$2,EG25=EH25),1,0)))))</f>
        <v/>
      </c>
      <c r="EJ25" s="1" t="n">
        <f aca="false">Participantes!CQ24</f>
        <v>0</v>
      </c>
      <c r="EK25" s="1" t="n">
        <f aca="false">Participantes!CR24</f>
        <v>0</v>
      </c>
      <c r="EL25" s="82" t="str">
        <f aca="false">IF(EJ$2="","",IF(AND(EJ25=EJ$2,EK25=EK$2),3,IF(AND(EJ$2&gt;EK$2,EJ25&gt;EK25),1,IF(AND(EK$2&gt;EJ$2,EK25&gt;EJ25),1,IF(AND(EJ$2=EK$2,EJ25=EK25),1,0)))))</f>
        <v/>
      </c>
      <c r="EM25" s="1" t="n">
        <f aca="false">Participantes!CS24</f>
        <v>0</v>
      </c>
      <c r="EN25" s="1" t="n">
        <f aca="false">Participantes!CT24</f>
        <v>0</v>
      </c>
      <c r="EO25" s="82" t="str">
        <f aca="false">IF(EM$2="","",IF(AND(EM25=EM$2,EN25=EN$2),3,IF(AND(EM$2&gt;EN$2,EM25&gt;EN25),1,IF(AND(EN$2&gt;EM$2,EN25&gt;EM25),1,IF(AND(EM$2=EN$2,EM25=EN25),1,0)))))</f>
        <v/>
      </c>
      <c r="EP25" s="1" t="n">
        <f aca="false">Participantes!CU24</f>
        <v>0</v>
      </c>
      <c r="EQ25" s="1" t="n">
        <f aca="false">Participantes!CV24</f>
        <v>0</v>
      </c>
      <c r="ER25" s="82" t="str">
        <f aca="false">IF(EP$2="","",IF(AND(EP25=EP$2,EQ25=EQ$2),3,IF(AND(EP$2&gt;EQ$2,EP25&gt;EQ25),1,IF(AND(EQ$2&gt;EP$2,EQ25&gt;EP25),1,IF(AND(EP$2=EQ$2,EP25=EQ25),1,0)))))</f>
        <v/>
      </c>
      <c r="ES25" s="1" t="n">
        <f aca="false">Participantes!CW24</f>
        <v>0</v>
      </c>
      <c r="ET25" s="1" t="n">
        <f aca="false">Participantes!CX24</f>
        <v>0</v>
      </c>
      <c r="EU25" s="82" t="str">
        <f aca="false">IF(ES$2="","",IF(AND(ES25=ES$2,ET25=ET$2),3,IF(AND(ES$2&gt;ET$2,ES25&gt;ET25),1,IF(AND(ET$2&gt;ES$2,ET25&gt;ES25),1,IF(AND(ES$2=ET$2,ES25=ET25),1,0)))))</f>
        <v/>
      </c>
      <c r="EV25" s="1" t="n">
        <f aca="false">Participantes!CY24</f>
        <v>0</v>
      </c>
      <c r="EW25" s="1" t="n">
        <f aca="false">Participantes!CZ24</f>
        <v>0</v>
      </c>
      <c r="EX25" s="82" t="str">
        <f aca="false">IF(EV$2="","",IF(AND(EV25=EV$2,EW25=EW$2),3,IF(AND(EV$2&gt;EW$2,EV25&gt;EW25),1,IF(AND(EW$2&gt;EV$2,EW25&gt;EV25),1,IF(AND(EV$2=EW$2,EV25=EW25),1,0)))))</f>
        <v/>
      </c>
      <c r="EY25" s="1" t="n">
        <f aca="false">Participantes!DA24</f>
        <v>0</v>
      </c>
      <c r="EZ25" s="1" t="n">
        <f aca="false">Participantes!DB24</f>
        <v>0</v>
      </c>
      <c r="FA25" s="82" t="str">
        <f aca="false">IF(EY$2="","",IF(AND(EY25=EY$2,EZ25=EZ$2),3,IF(AND(EY$2&gt;EZ$2,EY25&gt;EZ25),1,IF(AND(EZ$2&gt;EY$2,EZ25&gt;EY25),1,IF(AND(EY$2=EZ$2,EY25=EZ25),1,0)))))</f>
        <v/>
      </c>
      <c r="FB25" s="1" t="n">
        <f aca="false">Participantes!DC24</f>
        <v>0</v>
      </c>
      <c r="FC25" s="1" t="n">
        <f aca="false">Participantes!DD24</f>
        <v>0</v>
      </c>
      <c r="FD25" s="82" t="str">
        <f aca="false">IF(FB$2="","",IF(AND(FB25=FB$2,FC25=FC$2),3,IF(AND(FB$2&gt;FC$2,FB25&gt;FC25),1,IF(AND(FC$2&gt;FB$2,FC25&gt;FB25),1,IF(AND(FB$2=FC$2,FB25=FC25),1,0)))))</f>
        <v/>
      </c>
      <c r="FE25" s="1" t="n">
        <f aca="false">Participantes!DE24</f>
        <v>0</v>
      </c>
      <c r="FF25" s="1" t="n">
        <f aca="false">Participantes!DF24</f>
        <v>0</v>
      </c>
      <c r="FG25" s="82" t="str">
        <f aca="false">IF(FE$2="","",IF(AND(FE25=FE$2,FF25=FF$2),3,IF(AND(FE$2&gt;FF$2,FE25&gt;FF25),1,IF(AND(FF$2&gt;FE$2,FF25&gt;FE25),1,IF(AND(FE$2=FF$2,FE25=FF25),1,0)))))</f>
        <v/>
      </c>
      <c r="FH25" s="1" t="n">
        <f aca="false">Participantes!DG24</f>
        <v>0</v>
      </c>
      <c r="FI25" s="1" t="n">
        <f aca="false">Participantes!DH24</f>
        <v>0</v>
      </c>
      <c r="FJ25" s="82" t="str">
        <f aca="false">IF(FH$2="","",IF(AND(FH25=FH$2,FI25=FI$2),3,IF(AND(FH$2&gt;FI$2,FH25&gt;FI25),1,IF(AND(FI$2&gt;FH$2,FI25&gt;FH25),1,IF(AND(FH$2=FI$2,FH25=FI25),1,0)))))</f>
        <v/>
      </c>
      <c r="FK25" s="1" t="n">
        <f aca="false">Participantes!DI24</f>
        <v>0</v>
      </c>
      <c r="FL25" s="1" t="n">
        <f aca="false">Participantes!DJ24</f>
        <v>0</v>
      </c>
      <c r="FM25" s="82" t="str">
        <f aca="false">IF(FK$2="","",IF(AND(FK25=FK$2,FL25=FL$2),3,IF(AND(FK$2&gt;FL$2,FK25&gt;FL25),1,IF(AND(FL$2&gt;FK$2,FL25&gt;FK25),1,IF(AND(FK$2=FL$2,FK25=FL25),1,0)))))</f>
        <v/>
      </c>
      <c r="FN25" s="1" t="n">
        <f aca="false">Participantes!DK24</f>
        <v>0</v>
      </c>
      <c r="FO25" s="1" t="n">
        <f aca="false">Participantes!DL24</f>
        <v>0</v>
      </c>
      <c r="FP25" s="82" t="str">
        <f aca="false">IF(FN$2="","",IF(AND(FN25=FN$2,FO25=FO$2),3,IF(AND(FN$2&gt;FO$2,FN25&gt;FO25),1,IF(AND(FO$2&gt;FN$2,FO25&gt;FN25),1,IF(AND(FN$2=FO$2,FN25=FO25),1,0)))))</f>
        <v/>
      </c>
      <c r="FQ25" s="1" t="n">
        <f aca="false">Participantes!DM24</f>
        <v>0</v>
      </c>
      <c r="FR25" s="1" t="n">
        <f aca="false">Participantes!DN24</f>
        <v>0</v>
      </c>
      <c r="FS25" s="82" t="str">
        <f aca="false">IF(FQ$2="","",IF(AND(FQ25=FQ$2,FR25=FR$2),3,IF(AND(FQ$2&gt;FR$2,FQ25&gt;FR25),1,IF(AND(FR$2&gt;FQ$2,FR25&gt;FQ25),1,IF(AND(FQ$2=FR$2,FQ25=FR25),1,0)))))</f>
        <v/>
      </c>
      <c r="FT25" s="1" t="n">
        <f aca="false">Participantes!DO24</f>
        <v>0</v>
      </c>
      <c r="FU25" s="1" t="n">
        <f aca="false">Participantes!DP24</f>
        <v>0</v>
      </c>
      <c r="FV25" s="82" t="str">
        <f aca="false">IF(FT$2="","",IF(AND(FT25=FT$2,FU25=FU$2),3,IF(AND(FT$2&gt;FU$2,FT25&gt;FU25),1,IF(AND(FU$2&gt;FT$2,FU25&gt;FT25),1,IF(AND(FT$2=FU$2,FT25=FU25),1,0)))))</f>
        <v/>
      </c>
      <c r="FW25" s="1" t="n">
        <f aca="false">Participantes!DQ24</f>
        <v>0</v>
      </c>
      <c r="FX25" s="1" t="n">
        <f aca="false">Participantes!DR24</f>
        <v>0</v>
      </c>
      <c r="FY25" s="82" t="str">
        <f aca="false">IF(FW$2="","",IF(AND(FW25=FW$2,FX25=FX$2),3,IF(AND(FW$2&gt;FX$2,FW25&gt;FX25),1,IF(AND(FX$2&gt;FW$2,FX25&gt;FW25),1,IF(AND(FW$2=FX$2,FW25=FX25),1,0)))))</f>
        <v/>
      </c>
      <c r="FZ25" s="1" t="n">
        <f aca="false">Participantes!DS24</f>
        <v>0</v>
      </c>
      <c r="GA25" s="1" t="n">
        <f aca="false">Participantes!DT24</f>
        <v>0</v>
      </c>
      <c r="GB25" s="82" t="str">
        <f aca="false">IF(FZ$2="","",IF(AND(FZ25=FZ$2,GA25=GA$2),3,IF(AND(FZ$2&gt;GA$2,FZ25&gt;GA25),1,IF(AND(GA$2&gt;FZ$2,GA25&gt;FZ25),1,IF(AND(FZ$2=GA$2,FZ25=GA25),1,0)))))</f>
        <v/>
      </c>
      <c r="GC25" s="1" t="n">
        <f aca="false">Participantes!DU24</f>
        <v>0</v>
      </c>
      <c r="GD25" s="1" t="n">
        <f aca="false">Participantes!DV24</f>
        <v>0</v>
      </c>
      <c r="GE25" s="82" t="str">
        <f aca="false">IF(GC$2="","",IF(AND(GC25=GC$2,GD25=GD$2),3,IF(AND(GC$2&gt;GD$2,GC25&gt;GD25),1,IF(AND(GD$2&gt;GC$2,GD25&gt;GC25),1,IF(AND(GC$2=GD$2,GC25=GD25),1,0)))))</f>
        <v/>
      </c>
      <c r="GF25" s="1" t="n">
        <f aca="false">Participantes!DW24</f>
        <v>0</v>
      </c>
      <c r="GG25" s="1" t="n">
        <f aca="false">Participantes!DX24</f>
        <v>0</v>
      </c>
      <c r="GH25" s="82" t="str">
        <f aca="false">IF(GF$2="","",IF(AND(GF25=GF$2,GG25=GG$2),3,IF(AND(GF$2&gt;GG$2,GF25&gt;GG25),1,IF(AND(GG$2&gt;GF$2,GG25&gt;GF25),1,IF(AND(GF$2=GG$2,GF25=GG25),1,0)))))</f>
        <v/>
      </c>
      <c r="GI25" s="1" t="n">
        <f aca="false">Participantes!DY24</f>
        <v>0</v>
      </c>
      <c r="GJ25" s="1" t="n">
        <f aca="false">Participantes!DZ24</f>
        <v>0</v>
      </c>
      <c r="GK25" s="82" t="str">
        <f aca="false">IF(GI$2="","",IF(AND(GI25=GI$2,GJ25=GJ$2),3,IF(AND(GI$2&gt;GJ$2,GI25&gt;GJ25),1,IF(AND(GJ$2&gt;GI$2,GJ25&gt;GI25),1,IF(AND(GI$2=GJ$2,GI25=GJ25),1,0)))))</f>
        <v/>
      </c>
      <c r="GL25" s="1" t="n">
        <f aca="false">Participantes!EA24</f>
        <v>0</v>
      </c>
      <c r="GM25" s="1" t="n">
        <f aca="false">Participantes!EB24</f>
        <v>0</v>
      </c>
      <c r="GN25" s="82" t="str">
        <f aca="false">IF(GL$2="","",IF(AND(GL25=GL$2,GM25=GM$2),3,IF(AND(GL$2&gt;GM$2,GL25&gt;GM25),1,IF(AND(GM$2&gt;GL$2,GM25&gt;GL25),1,IF(AND(GL$2=GM$2,GL25=GM25),1,0)))))</f>
        <v/>
      </c>
      <c r="GO25" s="1" t="n">
        <f aca="false">Participantes!EC24</f>
        <v>0</v>
      </c>
      <c r="GP25" s="1" t="n">
        <f aca="false">Participantes!ED24</f>
        <v>0</v>
      </c>
      <c r="GQ25" s="82" t="str">
        <f aca="false">IF(GO$2="","",IF(AND(GO25=GO$2,GP25=GP$2),3,IF(AND(GO$2&gt;GP$2,GO25&gt;GP25),1,IF(AND(GP$2&gt;GO$2,GP25&gt;GO25),1,IF(AND(GO$2=GP$2,GO25=GP25),1,0)))))</f>
        <v/>
      </c>
      <c r="GR25" s="1" t="n">
        <f aca="false">Participantes!EE24</f>
        <v>0</v>
      </c>
      <c r="GS25" s="1" t="n">
        <f aca="false">Participantes!EF24</f>
        <v>0</v>
      </c>
      <c r="GT25" s="82" t="str">
        <f aca="false">IF(GR$2="","",IF(AND(GR25=GR$2,GS25=GS$2),3,IF(AND(GR$2&gt;GS$2,GR25&gt;GS25),1,IF(AND(GS$2&gt;GR$2,GS25&gt;GR25),1,IF(AND(GR$2=GS$2,GR25=GS25),1,0)))))</f>
        <v/>
      </c>
      <c r="GU25" s="1" t="n">
        <f aca="false">Participantes!EG24</f>
        <v>0</v>
      </c>
      <c r="GV25" s="1" t="n">
        <f aca="false">Participantes!EH24</f>
        <v>0</v>
      </c>
      <c r="GW25" s="82" t="str">
        <f aca="false">IF(GU$2="","",IF(AND(GU25=GU$2,GV25=GV$2),3,IF(AND(GU$2&gt;GV$2,GU25&gt;GV25),1,IF(AND(GV$2&gt;GU$2,GV25&gt;GU25),1,IF(AND(GU$2=GV$2,GU25=GV25),1,0)))))</f>
        <v/>
      </c>
      <c r="GX25" s="1" t="n">
        <f aca="false">Participantes!EI24</f>
        <v>0</v>
      </c>
      <c r="GY25" s="1" t="n">
        <f aca="false">Participantes!EJ24</f>
        <v>0</v>
      </c>
      <c r="GZ25" s="82" t="str">
        <f aca="false">IF(GX$2="","",IF(AND(GX25=GX$2,GY25=GY$2),3,IF(AND(GX$2&gt;GY$2,GX25&gt;GY25),1,IF(AND(GY$2&gt;GX$2,GY25&gt;GX25),1,IF(AND(GX$2=GY$2,GX25=GY25),1,0)))))</f>
        <v/>
      </c>
      <c r="HA25" s="1" t="n">
        <f aca="false">Participantes!EK24</f>
        <v>0</v>
      </c>
      <c r="HB25" s="1" t="n">
        <f aca="false">Participantes!EL24</f>
        <v>0</v>
      </c>
      <c r="HC25" s="82" t="str">
        <f aca="false">IF(HA$2="","",IF(AND(HA25=HA$2,HB25=HB$2),3,IF(AND(HA$2&gt;HB$2,HA25&gt;HB25),1,IF(AND(HB$2&gt;HA$2,HB25&gt;HA25),1,IF(AND(HA$2=HB$2,HA25=HB25),1,0)))))</f>
        <v/>
      </c>
      <c r="HD25" s="1" t="n">
        <f aca="false">Participantes!EM24</f>
        <v>0</v>
      </c>
      <c r="HE25" s="1" t="n">
        <f aca="false">Participantes!EN24</f>
        <v>0</v>
      </c>
      <c r="HF25" s="82" t="str">
        <f aca="false">IF(HD$2="","",IF(AND(HD25=HD$2,HE25=HE$2),3,IF(AND(HD$2&gt;HE$2,HD25&gt;HE25),1,IF(AND(HE$2&gt;HD$2,HE25&gt;HD25),1,IF(AND(HD$2=HE$2,HD25=HE25),1,0)))))</f>
        <v/>
      </c>
      <c r="HG25" s="1" t="n">
        <f aca="false">Participantes!EO24</f>
        <v>0</v>
      </c>
      <c r="HH25" s="1" t="n">
        <f aca="false">Participantes!EP24</f>
        <v>0</v>
      </c>
      <c r="HI25" s="82" t="str">
        <f aca="false">IF(HG$2="","",IF(AND(HG25=HG$2,HH25=HH$2),3,IF(AND(HG$2&gt;HH$2,HG25&gt;HH25),1,IF(AND(HH$2&gt;HG$2,HH25&gt;HG25),1,IF(AND(HG$2=HH$2,HG25=HH25),1,0)))))</f>
        <v/>
      </c>
      <c r="HJ25" s="83" t="n">
        <f aca="false">SUM(D25,G25,J25,M25,P25,S25,V25,Y25,AB25,AE25,AH25,AK25,AN25,AQ25,AT25,AW25,AZ25,BC25,BF25,BI25,BL25,BO25,BR25,BU25,BX25,CA25,CD25,CG25,CJ25,CM25,CP25,CS25,CV25,CY25,DB25,DE25,DH25,DK25,DN25,DQ25,DT25,DW25,DZ25,EC25,EF25,EI25,EL25,EO25,ER25,EU25,EX25,FA25,FD25,FG25,FJ25,FM25,FP25,FS25,FV25,FY25,GB25,GE25,GH25,GK25,GN25,GQ25,GT25,GW25,GZ25,HC25,HF25,HI25)</f>
        <v>1</v>
      </c>
    </row>
    <row r="26" customFormat="false" ht="15" hidden="false" customHeight="true" outlineLevel="0" collapsed="false">
      <c r="A26" s="81" t="str">
        <f aca="false">Participantes!B25</f>
        <v>Karina</v>
      </c>
      <c r="B26" s="1" t="n">
        <f aca="false">Participantes!C25</f>
        <v>3</v>
      </c>
      <c r="C26" s="1" t="n">
        <f aca="false">Participantes!D25</f>
        <v>1</v>
      </c>
      <c r="D26" s="82" t="n">
        <f aca="false">IF(B$2="","",IF(AND(B26=B$2,C26=C$2),3,IF(AND(B$2&gt;C$2,B26&gt;C26),1,IF(AND(C$2&gt;B$2,C26&gt;B26),1,IF(AND(B$2=C$2,B26=C26),1,0)))))</f>
        <v>1</v>
      </c>
      <c r="E26" s="1" t="n">
        <f aca="false">Participantes!E25</f>
        <v>1</v>
      </c>
      <c r="F26" s="1" t="n">
        <f aca="false">Participantes!F25</f>
        <v>2</v>
      </c>
      <c r="G26" s="82" t="str">
        <f aca="false">IF(E$2="","",IF(AND(E26=E$2,F26=F$2),3,IF(AND(E$2&gt;F$2,E26&gt;F26),1,IF(AND(F$2&gt;E$2,F26&gt;E26),1,IF(AND(E$2=F$2,E26=F26),1,0)))))</f>
        <v/>
      </c>
      <c r="H26" s="1" t="n">
        <f aca="false">Participantes!G25</f>
        <v>2</v>
      </c>
      <c r="I26" s="1" t="n">
        <f aca="false">Participantes!H25</f>
        <v>1</v>
      </c>
      <c r="J26" s="82" t="str">
        <f aca="false">IF(H$2="","",IF(AND(H26=H$2,I26=I$2),3,IF(AND(H$2&gt;I$2,H26&gt;I26),1,IF(AND(I$2&gt;H$2,I26&gt;H26),1,IF(AND(H$2=I$2,H26=I26),1,0)))))</f>
        <v/>
      </c>
      <c r="K26" s="1" t="n">
        <f aca="false">Participantes!I25</f>
        <v>2</v>
      </c>
      <c r="L26" s="1" t="n">
        <f aca="false">Participantes!J25</f>
        <v>1</v>
      </c>
      <c r="M26" s="82" t="str">
        <f aca="false">IF(K$2="","",IF(AND(K26=K$2,L26=L$2),3,IF(AND(K$2&gt;L$2,K26&gt;L26),1,IF(AND(L$2&gt;K$2,L26&gt;K26),1,IF(AND(K$2=L$2,K26=L26),1,0)))))</f>
        <v/>
      </c>
      <c r="N26" s="1" t="n">
        <f aca="false">Participantes!K25</f>
        <v>1</v>
      </c>
      <c r="O26" s="1" t="n">
        <f aca="false">Participantes!L25</f>
        <v>3</v>
      </c>
      <c r="P26" s="82" t="str">
        <f aca="false">IF(N$2="","",IF(AND(N26=N$2,O26=O$2),3,IF(AND(N$2&gt;O$2,N26&gt;O26),1,IF(AND(O$2&gt;N$2,O26&gt;N26),1,IF(AND(N$2=O$2,N26=O26),1,0)))))</f>
        <v/>
      </c>
      <c r="Q26" s="1" t="n">
        <f aca="false">Participantes!M25</f>
        <v>1</v>
      </c>
      <c r="R26" s="1" t="n">
        <f aca="false">Participantes!N25</f>
        <v>1</v>
      </c>
      <c r="S26" s="82" t="str">
        <f aca="false">IF(Q$2="","",IF(AND(Q26=Q$2,R26=R$2),3,IF(AND(Q$2&gt;R$2,Q26&gt;R26),1,IF(AND(R$2&gt;Q$2,R26&gt;Q26),1,IF(AND(Q$2=R$2,Q26=R26),1,0)))))</f>
        <v/>
      </c>
      <c r="T26" s="1" t="n">
        <f aca="false">Participantes!O25</f>
        <v>3</v>
      </c>
      <c r="U26" s="1" t="n">
        <f aca="false">Participantes!P25</f>
        <v>2</v>
      </c>
      <c r="V26" s="82" t="str">
        <f aca="false">IF(T$2="","",IF(AND(T26=T$2,U26=U$2),3,IF(AND(T$2&gt;U$2,T26&gt;U26),1,IF(AND(U$2&gt;T$2,U26&gt;T26),1,IF(AND(T$2=U$2,T26=U26),1,0)))))</f>
        <v/>
      </c>
      <c r="W26" s="1" t="n">
        <f aca="false">Participantes!Q25</f>
        <v>1</v>
      </c>
      <c r="X26" s="1" t="n">
        <f aca="false">Participantes!R25</f>
        <v>2</v>
      </c>
      <c r="Y26" s="82" t="str">
        <f aca="false">IF(W$2="","",IF(AND(W26=W$2,X26=X$2),3,IF(AND(W$2&gt;X$2,W26&gt;X26),1,IF(AND(X$2&gt;W$2,X26&gt;W26),1,IF(AND(W$2=X$2,W26=X26),1,0)))))</f>
        <v/>
      </c>
      <c r="Z26" s="1" t="n">
        <f aca="false">Participantes!S25</f>
        <v>2</v>
      </c>
      <c r="AA26" s="1" t="n">
        <f aca="false">Participantes!T25</f>
        <v>2</v>
      </c>
      <c r="AB26" s="82" t="str">
        <f aca="false">IF(Z$2="","",IF(AND(Z26=Z$2,AA26=AA$2),3,IF(AND(Z$2&gt;AA$2,Z26&gt;AA26),1,IF(AND(AA$2&gt;Z$2,AA26&gt;Z26),1,IF(AND(Z$2=AA$2,Z26=AA26),1,0)))))</f>
        <v/>
      </c>
      <c r="AC26" s="1" t="n">
        <f aca="false">Participantes!U25</f>
        <v>3</v>
      </c>
      <c r="AD26" s="1" t="n">
        <f aca="false">Participantes!V25</f>
        <v>1</v>
      </c>
      <c r="AE26" s="82" t="str">
        <f aca="false">IF(AC$2="","",IF(AND(AC26=AC$2,AD26=AD$2),3,IF(AND(AC$2&gt;AD$2,AC26&gt;AD26),1,IF(AND(AD$2&gt;AC$2,AD26&gt;AC26),1,IF(AND(AC$2=AD$2,AC26=AD26),1,0)))))</f>
        <v/>
      </c>
      <c r="AF26" s="1" t="n">
        <f aca="false">Participantes!W25</f>
        <v>3</v>
      </c>
      <c r="AG26" s="1" t="n">
        <f aca="false">Participantes!X25</f>
        <v>1</v>
      </c>
      <c r="AH26" s="82" t="str">
        <f aca="false">IF(AF$2="","",IF(AND(AF26=AF$2,AG26=AG$2),3,IF(AND(AF$2&gt;AG$2,AF26&gt;AG26),1,IF(AND(AG$2&gt;AF$2,AG26&gt;AF26),1,IF(AND(AF$2=AG$2,AF26=AG26),1,0)))))</f>
        <v/>
      </c>
      <c r="AI26" s="1" t="n">
        <f aca="false">Participantes!Y25</f>
        <v>2</v>
      </c>
      <c r="AJ26" s="1" t="n">
        <f aca="false">Participantes!Z25</f>
        <v>1</v>
      </c>
      <c r="AK26" s="82" t="str">
        <f aca="false">IF(AI$2="","",IF(AND(AI26=AI$2,AJ26=AJ$2),3,IF(AND(AI$2&gt;AJ$2,AI26&gt;AJ26),1,IF(AND(AJ$2&gt;AI$2,AJ26&gt;AI26),1,IF(AND(AI$2=AJ$2,AI26=AJ26),1,0)))))</f>
        <v/>
      </c>
      <c r="AL26" s="1" t="n">
        <f aca="false">Participantes!AA25</f>
        <v>1</v>
      </c>
      <c r="AM26" s="1" t="n">
        <f aca="false">Participantes!AB25</f>
        <v>3</v>
      </c>
      <c r="AN26" s="82" t="str">
        <f aca="false">IF(AL$2="","",IF(AND(AL26=AL$2,AM26=AM$2),3,IF(AND(AL$2&gt;AM$2,AL26&gt;AM26),1,IF(AND(AM$2&gt;AL$2,AM26&gt;AL26),1,IF(AND(AL$2=AM$2,AL26=AM26),1,0)))))</f>
        <v/>
      </c>
      <c r="AO26" s="1" t="n">
        <f aca="false">Participantes!AC25</f>
        <v>5</v>
      </c>
      <c r="AP26" s="1" t="n">
        <f aca="false">Participantes!AD25</f>
        <v>1</v>
      </c>
      <c r="AQ26" s="82" t="str">
        <f aca="false">IF(AO$2="","",IF(AND(AO26=AO$2,AP26=AP$2),3,IF(AND(AO$2&gt;AP$2,AO26&gt;AP26),1,IF(AND(AP$2&gt;AO$2,AP26&gt;AO26),1,IF(AND(AO$2=AP$2,AO26=AP26),1,0)))))</f>
        <v/>
      </c>
      <c r="AR26" s="1" t="n">
        <f aca="false">Participantes!AE25</f>
        <v>0</v>
      </c>
      <c r="AS26" s="1" t="n">
        <f aca="false">Participantes!AF25</f>
        <v>0</v>
      </c>
      <c r="AT26" s="82" t="str">
        <f aca="false">IF(AR$2="","",IF(AND(AR26=AR$2,AS26=AS$2),3,IF(AND(AR$2&gt;AS$2,AR26&gt;AS26),1,IF(AND(AS$2&gt;AR$2,AS26&gt;AR26),1,IF(AND(AR$2=AS$2,AR26=AS26),1,0)))))</f>
        <v/>
      </c>
      <c r="AU26" s="1" t="n">
        <f aca="false">Participantes!AG25</f>
        <v>0</v>
      </c>
      <c r="AV26" s="1" t="n">
        <f aca="false">Participantes!AH25</f>
        <v>0</v>
      </c>
      <c r="AW26" s="82" t="str">
        <f aca="false">IF(AU$2="","",IF(AND(AU26=AU$2,AV26=AV$2),3,IF(AND(AU$2&gt;AV$2,AU26&gt;AV26),1,IF(AND(AV$2&gt;AU$2,AV26&gt;AU26),1,IF(AND(AU$2=AV$2,AU26=AV26),1,0)))))</f>
        <v/>
      </c>
      <c r="AX26" s="1" t="n">
        <f aca="false">Participantes!AI25</f>
        <v>0</v>
      </c>
      <c r="AY26" s="1" t="n">
        <f aca="false">Participantes!AJ25</f>
        <v>0</v>
      </c>
      <c r="AZ26" s="82" t="str">
        <f aca="false">IF(AX$2="","",IF(AND(AX26=AX$2,AY26=AY$2),3,IF(AND(AX$2&gt;AY$2,AX26&gt;AY26),1,IF(AND(AY$2&gt;AX$2,AY26&gt;AX26),1,IF(AND(AX$2=AY$2,AX26=AY26),1,0)))))</f>
        <v/>
      </c>
      <c r="BA26" s="1" t="n">
        <f aca="false">Participantes!AK25</f>
        <v>0</v>
      </c>
      <c r="BB26" s="1" t="n">
        <f aca="false">Participantes!AL25</f>
        <v>0</v>
      </c>
      <c r="BC26" s="82" t="str">
        <f aca="false">IF(BA$2="","",IF(AND(BA26=BA$2,BB26=BB$2),3,IF(AND(BA$2&gt;BB$2,BA26&gt;BB26),1,IF(AND(BB$2&gt;BA$2,BB26&gt;BA26),1,IF(AND(BA$2=BB$2,BA26=BB26),1,0)))))</f>
        <v/>
      </c>
      <c r="BD26" s="1" t="n">
        <f aca="false">Participantes!AM25</f>
        <v>0</v>
      </c>
      <c r="BE26" s="1" t="n">
        <f aca="false">Participantes!AN25</f>
        <v>0</v>
      </c>
      <c r="BF26" s="82" t="str">
        <f aca="false">IF(BD$2="","",IF(AND(BD26=BD$2,BE26=BE$2),3,IF(AND(BD$2&gt;BE$2,BD26&gt;BE26),1,IF(AND(BE$2&gt;BD$2,BE26&gt;BD26),1,IF(AND(BD$2=BE$2,BD26=BE26),1,0)))))</f>
        <v/>
      </c>
      <c r="BG26" s="1" t="n">
        <f aca="false">Participantes!AO25</f>
        <v>0</v>
      </c>
      <c r="BH26" s="1" t="n">
        <f aca="false">Participantes!AP25</f>
        <v>0</v>
      </c>
      <c r="BI26" s="82" t="str">
        <f aca="false">IF(BG$2="","",IF(AND(BG26=BG$2,BH26=BH$2),3,IF(AND(BG$2&gt;BH$2,BG26&gt;BH26),1,IF(AND(BH$2&gt;BG$2,BH26&gt;BG26),1,IF(AND(BG$2=BH$2,BG26=BH26),1,0)))))</f>
        <v/>
      </c>
      <c r="BJ26" s="1" t="n">
        <f aca="false">Participantes!AQ25</f>
        <v>0</v>
      </c>
      <c r="BK26" s="1" t="n">
        <f aca="false">Participantes!AR25</f>
        <v>0</v>
      </c>
      <c r="BL26" s="82" t="str">
        <f aca="false">IF(BJ$2="","",IF(AND(BJ26=BJ$2,BK26=BK$2),3,IF(AND(BJ$2&gt;BK$2,BJ26&gt;BK26),1,IF(AND(BK$2&gt;BJ$2,BK26&gt;BJ26),1,IF(AND(BJ$2=BK$2,BJ26=BK26),1,0)))))</f>
        <v/>
      </c>
      <c r="BM26" s="1" t="n">
        <f aca="false">Participantes!AS25</f>
        <v>0</v>
      </c>
      <c r="BN26" s="1" t="n">
        <f aca="false">Participantes!AT25</f>
        <v>0</v>
      </c>
      <c r="BO26" s="82" t="str">
        <f aca="false">IF(BM$2="","",IF(AND(BM26=BM$2,BN26=BN$2),3,IF(AND(BM$2&gt;BN$2,BM26&gt;BN26),1,IF(AND(BN$2&gt;BM$2,BN26&gt;BM26),1,IF(AND(BM$2=BN$2,BM26=BN26),1,0)))))</f>
        <v/>
      </c>
      <c r="BP26" s="1" t="n">
        <f aca="false">Participantes!AU25</f>
        <v>0</v>
      </c>
      <c r="BQ26" s="1" t="n">
        <f aca="false">Participantes!AV25</f>
        <v>0</v>
      </c>
      <c r="BR26" s="82" t="str">
        <f aca="false">IF(BP$2="","",IF(AND(BP26=BP$2,BQ26=BQ$2),3,IF(AND(BP$2&gt;BQ$2,BP26&gt;BQ26),1,IF(AND(BQ$2&gt;BP$2,BQ26&gt;BP26),1,IF(AND(BP$2=BQ$2,BP26=BQ26),1,0)))))</f>
        <v/>
      </c>
      <c r="BS26" s="1" t="n">
        <f aca="false">Participantes!AW25</f>
        <v>0</v>
      </c>
      <c r="BT26" s="1" t="n">
        <f aca="false">Participantes!AX25</f>
        <v>0</v>
      </c>
      <c r="BU26" s="82" t="str">
        <f aca="false">IF(BS$2="","",IF(AND(BS26=BS$2,BT26=BT$2),3,IF(AND(BS$2&gt;BT$2,BS26&gt;BT26),1,IF(AND(BT$2&gt;BS$2,BT26&gt;BS26),1,IF(AND(BS$2=BT$2,BS26=BT26),1,0)))))</f>
        <v/>
      </c>
      <c r="BV26" s="1" t="n">
        <f aca="false">Participantes!AY25</f>
        <v>0</v>
      </c>
      <c r="BW26" s="1" t="n">
        <f aca="false">Participantes!AZ25</f>
        <v>0</v>
      </c>
      <c r="BX26" s="82" t="str">
        <f aca="false">IF(BV$2="","",IF(AND(BV26=BV$2,BW26=BW$2),3,IF(AND(BV$2&gt;BW$2,BV26&gt;BW26),1,IF(AND(BW$2&gt;BV$2,BW26&gt;BV26),1,IF(AND(BV$2=BW$2,BV26=BW26),1,0)))))</f>
        <v/>
      </c>
      <c r="BY26" s="1" t="n">
        <f aca="false">Participantes!BA25</f>
        <v>0</v>
      </c>
      <c r="BZ26" s="1" t="n">
        <f aca="false">Participantes!BB25</f>
        <v>0</v>
      </c>
      <c r="CA26" s="82" t="str">
        <f aca="false">IF(BY$2="","",IF(AND(BY26=BY$2,BZ26=BZ$2),3,IF(AND(BY$2&gt;BZ$2,BY26&gt;BZ26),1,IF(AND(BZ$2&gt;BY$2,BZ26&gt;BY26),1,IF(AND(BY$2=BZ$2,BY26=BZ26),1,0)))))</f>
        <v/>
      </c>
      <c r="CB26" s="1" t="n">
        <f aca="false">Participantes!BC25</f>
        <v>0</v>
      </c>
      <c r="CC26" s="1" t="n">
        <f aca="false">Participantes!BD25</f>
        <v>0</v>
      </c>
      <c r="CD26" s="82" t="str">
        <f aca="false">IF(CB$2="","",IF(AND(CB26=CB$2,CC26=CC$2),3,IF(AND(CB$2&gt;CC$2,CB26&gt;CC26),1,IF(AND(CC$2&gt;CB$2,CC26&gt;CB26),1,IF(AND(CB$2=CC$2,CB26=CC26),1,0)))))</f>
        <v/>
      </c>
      <c r="CE26" s="1" t="n">
        <f aca="false">Participantes!BE25</f>
        <v>0</v>
      </c>
      <c r="CF26" s="1" t="n">
        <f aca="false">Participantes!BF25</f>
        <v>0</v>
      </c>
      <c r="CG26" s="82" t="str">
        <f aca="false">IF(CE$2="","",IF(AND(CE26=CE$2,CF26=CF$2),3,IF(AND(CE$2&gt;CF$2,CE26&gt;CF26),1,IF(AND(CF$2&gt;CE$2,CF26&gt;CE26),1,IF(AND(CE$2=CF$2,CE26=CF26),1,0)))))</f>
        <v/>
      </c>
      <c r="CH26" s="1" t="n">
        <f aca="false">Participantes!BG25</f>
        <v>0</v>
      </c>
      <c r="CI26" s="1" t="n">
        <f aca="false">Participantes!BH25</f>
        <v>0</v>
      </c>
      <c r="CJ26" s="82" t="str">
        <f aca="false">IF(CH$2="","",IF(AND(CH26=CH$2,CI26=CI$2),3,IF(AND(CH$2&gt;CI$2,CH26&gt;CI26),1,IF(AND(CI$2&gt;CH$2,CI26&gt;CH26),1,IF(AND(CH$2=CI$2,CH26=CI26),1,0)))))</f>
        <v/>
      </c>
      <c r="CK26" s="1" t="n">
        <f aca="false">Participantes!BI25</f>
        <v>0</v>
      </c>
      <c r="CL26" s="1" t="n">
        <f aca="false">Participantes!BJ25</f>
        <v>0</v>
      </c>
      <c r="CM26" s="82" t="str">
        <f aca="false">IF(CK$2="","",IF(AND(CK26=CK$2,CL26=CL$2),3,IF(AND(CK$2&gt;CL$2,CK26&gt;CL26),1,IF(AND(CL$2&gt;CK$2,CL26&gt;CK26),1,IF(AND(CK$2=CL$2,CK26=CL26),1,0)))))</f>
        <v/>
      </c>
      <c r="CN26" s="1" t="n">
        <f aca="false">Participantes!BK25</f>
        <v>0</v>
      </c>
      <c r="CO26" s="1" t="n">
        <f aca="false">Participantes!BL25</f>
        <v>0</v>
      </c>
      <c r="CP26" s="82" t="str">
        <f aca="false">IF(CN$2="","",IF(AND(CN26=CN$2,CO26=CO$2),3,IF(AND(CN$2&gt;CO$2,CN26&gt;CO26),1,IF(AND(CO$2&gt;CN$2,CO26&gt;CN26),1,IF(AND(CN$2=CO$2,CN26=CO26),1,0)))))</f>
        <v/>
      </c>
      <c r="CQ26" s="1" t="n">
        <f aca="false">Participantes!BM25</f>
        <v>0</v>
      </c>
      <c r="CR26" s="1" t="n">
        <f aca="false">Participantes!BN25</f>
        <v>0</v>
      </c>
      <c r="CS26" s="82" t="str">
        <f aca="false">IF(CQ$2="","",IF(AND(CQ26=CQ$2,CR26=CR$2),3,IF(AND(CQ$2&gt;CR$2,CQ26&gt;CR26),1,IF(AND(CR$2&gt;CQ$2,CR26&gt;CQ26),1,IF(AND(CQ$2=CR$2,CQ26=CR26),1,0)))))</f>
        <v/>
      </c>
      <c r="CT26" s="1" t="n">
        <f aca="false">Participantes!BO25</f>
        <v>0</v>
      </c>
      <c r="CU26" s="1" t="n">
        <f aca="false">Participantes!BP25</f>
        <v>0</v>
      </c>
      <c r="CV26" s="82" t="str">
        <f aca="false">IF(CT$2="","",IF(AND(CT26=CT$2,CU26=CU$2),3,IF(AND(CT$2&gt;CU$2,CT26&gt;CU26),1,IF(AND(CU$2&gt;CT$2,CU26&gt;CT26),1,IF(AND(CT$2=CU$2,CT26=CU26),1,0)))))</f>
        <v/>
      </c>
      <c r="CW26" s="1" t="n">
        <f aca="false">Participantes!BQ25</f>
        <v>0</v>
      </c>
      <c r="CX26" s="1" t="n">
        <f aca="false">Participantes!BR25</f>
        <v>0</v>
      </c>
      <c r="CY26" s="82" t="str">
        <f aca="false">IF(CW$2="","",IF(AND(CW26=CW$2,CX26=CX$2),3,IF(AND(CW$2&gt;CX$2,CW26&gt;CX26),1,IF(AND(CX$2&gt;CW$2,CX26&gt;CW26),1,IF(AND(CW$2=CX$2,CW26=CX26),1,0)))))</f>
        <v/>
      </c>
      <c r="CZ26" s="1" t="n">
        <f aca="false">Participantes!BS25</f>
        <v>0</v>
      </c>
      <c r="DA26" s="1" t="n">
        <f aca="false">Participantes!BT25</f>
        <v>0</v>
      </c>
      <c r="DB26" s="82" t="str">
        <f aca="false">IF(CZ$2="","",IF(AND(CZ26=CZ$2,DA26=DA$2),3,IF(AND(CZ$2&gt;DA$2,CZ26&gt;DA26),1,IF(AND(DA$2&gt;CZ$2,DA26&gt;CZ26),1,IF(AND(CZ$2=DA$2,CZ26=DA26),1,0)))))</f>
        <v/>
      </c>
      <c r="DC26" s="1" t="n">
        <f aca="false">Participantes!BU25</f>
        <v>0</v>
      </c>
      <c r="DD26" s="1" t="n">
        <f aca="false">Participantes!BV25</f>
        <v>0</v>
      </c>
      <c r="DE26" s="82" t="str">
        <f aca="false">IF(DC$2="","",IF(AND(DC26=DC$2,DD26=DD$2),3,IF(AND(DC$2&gt;DD$2,DC26&gt;DD26),1,IF(AND(DD$2&gt;DC$2,DD26&gt;DC26),1,IF(AND(DC$2=DD$2,DC26=DD26),1,0)))))</f>
        <v/>
      </c>
      <c r="DF26" s="1" t="n">
        <f aca="false">Participantes!BW25</f>
        <v>0</v>
      </c>
      <c r="DG26" s="1" t="n">
        <f aca="false">Participantes!BX25</f>
        <v>0</v>
      </c>
      <c r="DH26" s="82" t="str">
        <f aca="false">IF(DF$2="","",IF(AND(DF26=DF$2,DG26=DG$2),3,IF(AND(DF$2&gt;DG$2,DF26&gt;DG26),1,IF(AND(DG$2&gt;DF$2,DG26&gt;DF26),1,IF(AND(DF$2=DG$2,DF26=DG26),1,0)))))</f>
        <v/>
      </c>
      <c r="DI26" s="1" t="n">
        <f aca="false">Participantes!BY25</f>
        <v>0</v>
      </c>
      <c r="DJ26" s="1" t="n">
        <f aca="false">Participantes!BZ25</f>
        <v>0</v>
      </c>
      <c r="DK26" s="82" t="str">
        <f aca="false">IF(DI$2="","",IF(AND(DI26=DI$2,DJ26=DJ$2),3,IF(AND(DI$2&gt;DJ$2,DI26&gt;DJ26),1,IF(AND(DJ$2&gt;DI$2,DJ26&gt;DI26),1,IF(AND(DI$2=DJ$2,DI26=DJ26),1,0)))))</f>
        <v/>
      </c>
      <c r="DL26" s="1" t="n">
        <f aca="false">Participantes!CA25</f>
        <v>0</v>
      </c>
      <c r="DM26" s="1" t="n">
        <f aca="false">Participantes!CB25</f>
        <v>0</v>
      </c>
      <c r="DN26" s="82" t="str">
        <f aca="false">IF(DL$2="","",IF(AND(DL26=DL$2,DM26=DM$2),3,IF(AND(DL$2&gt;DM$2,DL26&gt;DM26),1,IF(AND(DM$2&gt;DL$2,DM26&gt;DL26),1,IF(AND(DL$2=DM$2,DL26=DM26),1,0)))))</f>
        <v/>
      </c>
      <c r="DO26" s="1" t="n">
        <f aca="false">Participantes!CC25</f>
        <v>0</v>
      </c>
      <c r="DP26" s="1" t="n">
        <f aca="false">Participantes!CD25</f>
        <v>0</v>
      </c>
      <c r="DQ26" s="82" t="str">
        <f aca="false">IF(DO$2="","",IF(AND(DO26=DO$2,DP26=DP$2),3,IF(AND(DO$2&gt;DP$2,DO26&gt;DP26),1,IF(AND(DP$2&gt;DO$2,DP26&gt;DO26),1,IF(AND(DO$2=DP$2,DO26=DP26),1,0)))))</f>
        <v/>
      </c>
      <c r="DR26" s="1" t="n">
        <f aca="false">Participantes!CE25</f>
        <v>0</v>
      </c>
      <c r="DS26" s="1" t="n">
        <f aca="false">Participantes!CF25</f>
        <v>0</v>
      </c>
      <c r="DT26" s="82" t="str">
        <f aca="false">IF(DR$2="","",IF(AND(DR26=DR$2,DS26=DS$2),3,IF(AND(DR$2&gt;DS$2,DR26&gt;DS26),1,IF(AND(DS$2&gt;DR$2,DS26&gt;DR26),1,IF(AND(DR$2=DS$2,DR26=DS26),1,0)))))</f>
        <v/>
      </c>
      <c r="DU26" s="1" t="n">
        <f aca="false">Participantes!CG25</f>
        <v>0</v>
      </c>
      <c r="DV26" s="1" t="n">
        <f aca="false">Participantes!CH25</f>
        <v>0</v>
      </c>
      <c r="DW26" s="82" t="str">
        <f aca="false">IF(DU$2="","",IF(AND(DU26=DU$2,DV26=DV$2),3,IF(AND(DU$2&gt;DV$2,DU26&gt;DV26),1,IF(AND(DV$2&gt;DU$2,DV26&gt;DU26),1,IF(AND(DU$2=DV$2,DU26=DV26),1,0)))))</f>
        <v/>
      </c>
      <c r="DX26" s="1" t="n">
        <f aca="false">Participantes!CI25</f>
        <v>0</v>
      </c>
      <c r="DY26" s="1" t="n">
        <f aca="false">Participantes!CJ25</f>
        <v>0</v>
      </c>
      <c r="DZ26" s="82" t="str">
        <f aca="false">IF(DX$2="","",IF(AND(DX26=DX$2,DY26=DY$2),3,IF(AND(DX$2&gt;DY$2,DX26&gt;DY26),1,IF(AND(DY$2&gt;DX$2,DY26&gt;DX26),1,IF(AND(DX$2=DY$2,DX26=DY26),1,0)))))</f>
        <v/>
      </c>
      <c r="EA26" s="1" t="n">
        <f aca="false">Participantes!CK25</f>
        <v>0</v>
      </c>
      <c r="EB26" s="1" t="n">
        <f aca="false">Participantes!CL25</f>
        <v>0</v>
      </c>
      <c r="EC26" s="82" t="str">
        <f aca="false">IF(EA$2="","",IF(AND(EA26=EA$2,EB26=EB$2),3,IF(AND(EA$2&gt;EB$2,EA26&gt;EB26),1,IF(AND(EB$2&gt;EA$2,EB26&gt;EA26),1,IF(AND(EA$2=EB$2,EA26=EB26),1,0)))))</f>
        <v/>
      </c>
      <c r="ED26" s="1" t="n">
        <f aca="false">Participantes!CM25</f>
        <v>0</v>
      </c>
      <c r="EE26" s="1" t="n">
        <f aca="false">Participantes!CN25</f>
        <v>0</v>
      </c>
      <c r="EF26" s="82" t="str">
        <f aca="false">IF(ED$2="","",IF(AND(ED26=ED$2,EE26=EE$2),3,IF(AND(ED$2&gt;EE$2,ED26&gt;EE26),1,IF(AND(EE$2&gt;ED$2,EE26&gt;ED26),1,IF(AND(ED$2=EE$2,ED26=EE26),1,0)))))</f>
        <v/>
      </c>
      <c r="EG26" s="1" t="n">
        <f aca="false">Participantes!CO25</f>
        <v>0</v>
      </c>
      <c r="EH26" s="1" t="n">
        <f aca="false">Participantes!CP25</f>
        <v>0</v>
      </c>
      <c r="EI26" s="82" t="str">
        <f aca="false">IF(EG$2="","",IF(AND(EG26=EG$2,EH26=EH$2),3,IF(AND(EG$2&gt;EH$2,EG26&gt;EH26),1,IF(AND(EH$2&gt;EG$2,EH26&gt;EG26),1,IF(AND(EG$2=EH$2,EG26=EH26),1,0)))))</f>
        <v/>
      </c>
      <c r="EJ26" s="1" t="n">
        <f aca="false">Participantes!CQ25</f>
        <v>0</v>
      </c>
      <c r="EK26" s="1" t="n">
        <f aca="false">Participantes!CR25</f>
        <v>0</v>
      </c>
      <c r="EL26" s="82" t="str">
        <f aca="false">IF(EJ$2="","",IF(AND(EJ26=EJ$2,EK26=EK$2),3,IF(AND(EJ$2&gt;EK$2,EJ26&gt;EK26),1,IF(AND(EK$2&gt;EJ$2,EK26&gt;EJ26),1,IF(AND(EJ$2=EK$2,EJ26=EK26),1,0)))))</f>
        <v/>
      </c>
      <c r="EM26" s="1" t="n">
        <f aca="false">Participantes!CS25</f>
        <v>0</v>
      </c>
      <c r="EN26" s="1" t="n">
        <f aca="false">Participantes!CT25</f>
        <v>0</v>
      </c>
      <c r="EO26" s="82" t="str">
        <f aca="false">IF(EM$2="","",IF(AND(EM26=EM$2,EN26=EN$2),3,IF(AND(EM$2&gt;EN$2,EM26&gt;EN26),1,IF(AND(EN$2&gt;EM$2,EN26&gt;EM26),1,IF(AND(EM$2=EN$2,EM26=EN26),1,0)))))</f>
        <v/>
      </c>
      <c r="EP26" s="1" t="n">
        <f aca="false">Participantes!CU25</f>
        <v>0</v>
      </c>
      <c r="EQ26" s="1" t="n">
        <f aca="false">Participantes!CV25</f>
        <v>0</v>
      </c>
      <c r="ER26" s="82" t="str">
        <f aca="false">IF(EP$2="","",IF(AND(EP26=EP$2,EQ26=EQ$2),3,IF(AND(EP$2&gt;EQ$2,EP26&gt;EQ26),1,IF(AND(EQ$2&gt;EP$2,EQ26&gt;EP26),1,IF(AND(EP$2=EQ$2,EP26=EQ26),1,0)))))</f>
        <v/>
      </c>
      <c r="ES26" s="1" t="n">
        <f aca="false">Participantes!CW25</f>
        <v>0</v>
      </c>
      <c r="ET26" s="1" t="n">
        <f aca="false">Participantes!CX25</f>
        <v>0</v>
      </c>
      <c r="EU26" s="82" t="str">
        <f aca="false">IF(ES$2="","",IF(AND(ES26=ES$2,ET26=ET$2),3,IF(AND(ES$2&gt;ET$2,ES26&gt;ET26),1,IF(AND(ET$2&gt;ES$2,ET26&gt;ES26),1,IF(AND(ES$2=ET$2,ES26=ET26),1,0)))))</f>
        <v/>
      </c>
      <c r="EV26" s="1" t="n">
        <f aca="false">Participantes!CY25</f>
        <v>0</v>
      </c>
      <c r="EW26" s="1" t="n">
        <f aca="false">Participantes!CZ25</f>
        <v>0</v>
      </c>
      <c r="EX26" s="82" t="str">
        <f aca="false">IF(EV$2="","",IF(AND(EV26=EV$2,EW26=EW$2),3,IF(AND(EV$2&gt;EW$2,EV26&gt;EW26),1,IF(AND(EW$2&gt;EV$2,EW26&gt;EV26),1,IF(AND(EV$2=EW$2,EV26=EW26),1,0)))))</f>
        <v/>
      </c>
      <c r="EY26" s="1" t="n">
        <f aca="false">Participantes!DA25</f>
        <v>0</v>
      </c>
      <c r="EZ26" s="1" t="n">
        <f aca="false">Participantes!DB25</f>
        <v>0</v>
      </c>
      <c r="FA26" s="82" t="str">
        <f aca="false">IF(EY$2="","",IF(AND(EY26=EY$2,EZ26=EZ$2),3,IF(AND(EY$2&gt;EZ$2,EY26&gt;EZ26),1,IF(AND(EZ$2&gt;EY$2,EZ26&gt;EY26),1,IF(AND(EY$2=EZ$2,EY26=EZ26),1,0)))))</f>
        <v/>
      </c>
      <c r="FB26" s="1" t="n">
        <f aca="false">Participantes!DC25</f>
        <v>0</v>
      </c>
      <c r="FC26" s="1" t="n">
        <f aca="false">Participantes!DD25</f>
        <v>0</v>
      </c>
      <c r="FD26" s="82" t="str">
        <f aca="false">IF(FB$2="","",IF(AND(FB26=FB$2,FC26=FC$2),3,IF(AND(FB$2&gt;FC$2,FB26&gt;FC26),1,IF(AND(FC$2&gt;FB$2,FC26&gt;FB26),1,IF(AND(FB$2=FC$2,FB26=FC26),1,0)))))</f>
        <v/>
      </c>
      <c r="FE26" s="1" t="n">
        <f aca="false">Participantes!DE25</f>
        <v>0</v>
      </c>
      <c r="FF26" s="1" t="n">
        <f aca="false">Participantes!DF25</f>
        <v>0</v>
      </c>
      <c r="FG26" s="82" t="str">
        <f aca="false">IF(FE$2="","",IF(AND(FE26=FE$2,FF26=FF$2),3,IF(AND(FE$2&gt;FF$2,FE26&gt;FF26),1,IF(AND(FF$2&gt;FE$2,FF26&gt;FE26),1,IF(AND(FE$2=FF$2,FE26=FF26),1,0)))))</f>
        <v/>
      </c>
      <c r="FH26" s="1" t="n">
        <f aca="false">Participantes!DG25</f>
        <v>0</v>
      </c>
      <c r="FI26" s="1" t="n">
        <f aca="false">Participantes!DH25</f>
        <v>0</v>
      </c>
      <c r="FJ26" s="82" t="str">
        <f aca="false">IF(FH$2="","",IF(AND(FH26=FH$2,FI26=FI$2),3,IF(AND(FH$2&gt;FI$2,FH26&gt;FI26),1,IF(AND(FI$2&gt;FH$2,FI26&gt;FH26),1,IF(AND(FH$2=FI$2,FH26=FI26),1,0)))))</f>
        <v/>
      </c>
      <c r="FK26" s="1" t="n">
        <f aca="false">Participantes!DI25</f>
        <v>0</v>
      </c>
      <c r="FL26" s="1" t="n">
        <f aca="false">Participantes!DJ25</f>
        <v>0</v>
      </c>
      <c r="FM26" s="82" t="str">
        <f aca="false">IF(FK$2="","",IF(AND(FK26=FK$2,FL26=FL$2),3,IF(AND(FK$2&gt;FL$2,FK26&gt;FL26),1,IF(AND(FL$2&gt;FK$2,FL26&gt;FK26),1,IF(AND(FK$2=FL$2,FK26=FL26),1,0)))))</f>
        <v/>
      </c>
      <c r="FN26" s="1" t="n">
        <f aca="false">Participantes!DK25</f>
        <v>0</v>
      </c>
      <c r="FO26" s="1" t="n">
        <f aca="false">Participantes!DL25</f>
        <v>0</v>
      </c>
      <c r="FP26" s="82" t="str">
        <f aca="false">IF(FN$2="","",IF(AND(FN26=FN$2,FO26=FO$2),3,IF(AND(FN$2&gt;FO$2,FN26&gt;FO26),1,IF(AND(FO$2&gt;FN$2,FO26&gt;FN26),1,IF(AND(FN$2=FO$2,FN26=FO26),1,0)))))</f>
        <v/>
      </c>
      <c r="FQ26" s="1" t="n">
        <f aca="false">Participantes!DM25</f>
        <v>0</v>
      </c>
      <c r="FR26" s="1" t="n">
        <f aca="false">Participantes!DN25</f>
        <v>0</v>
      </c>
      <c r="FS26" s="82" t="str">
        <f aca="false">IF(FQ$2="","",IF(AND(FQ26=FQ$2,FR26=FR$2),3,IF(AND(FQ$2&gt;FR$2,FQ26&gt;FR26),1,IF(AND(FR$2&gt;FQ$2,FR26&gt;FQ26),1,IF(AND(FQ$2=FR$2,FQ26=FR26),1,0)))))</f>
        <v/>
      </c>
      <c r="FT26" s="1" t="n">
        <f aca="false">Participantes!DO25</f>
        <v>0</v>
      </c>
      <c r="FU26" s="1" t="n">
        <f aca="false">Participantes!DP25</f>
        <v>0</v>
      </c>
      <c r="FV26" s="82" t="str">
        <f aca="false">IF(FT$2="","",IF(AND(FT26=FT$2,FU26=FU$2),3,IF(AND(FT$2&gt;FU$2,FT26&gt;FU26),1,IF(AND(FU$2&gt;FT$2,FU26&gt;FT26),1,IF(AND(FT$2=FU$2,FT26=FU26),1,0)))))</f>
        <v/>
      </c>
      <c r="FW26" s="1" t="n">
        <f aca="false">Participantes!DQ25</f>
        <v>0</v>
      </c>
      <c r="FX26" s="1" t="n">
        <f aca="false">Participantes!DR25</f>
        <v>0</v>
      </c>
      <c r="FY26" s="82" t="str">
        <f aca="false">IF(FW$2="","",IF(AND(FW26=FW$2,FX26=FX$2),3,IF(AND(FW$2&gt;FX$2,FW26&gt;FX26),1,IF(AND(FX$2&gt;FW$2,FX26&gt;FW26),1,IF(AND(FW$2=FX$2,FW26=FX26),1,0)))))</f>
        <v/>
      </c>
      <c r="FZ26" s="1" t="n">
        <f aca="false">Participantes!DS25</f>
        <v>0</v>
      </c>
      <c r="GA26" s="1" t="n">
        <f aca="false">Participantes!DT25</f>
        <v>0</v>
      </c>
      <c r="GB26" s="82" t="str">
        <f aca="false">IF(FZ$2="","",IF(AND(FZ26=FZ$2,GA26=GA$2),3,IF(AND(FZ$2&gt;GA$2,FZ26&gt;GA26),1,IF(AND(GA$2&gt;FZ$2,GA26&gt;FZ26),1,IF(AND(FZ$2=GA$2,FZ26=GA26),1,0)))))</f>
        <v/>
      </c>
      <c r="GC26" s="1" t="n">
        <f aca="false">Participantes!DU25</f>
        <v>0</v>
      </c>
      <c r="GD26" s="1" t="n">
        <f aca="false">Participantes!DV25</f>
        <v>0</v>
      </c>
      <c r="GE26" s="82" t="str">
        <f aca="false">IF(GC$2="","",IF(AND(GC26=GC$2,GD26=GD$2),3,IF(AND(GC$2&gt;GD$2,GC26&gt;GD26),1,IF(AND(GD$2&gt;GC$2,GD26&gt;GC26),1,IF(AND(GC$2=GD$2,GC26=GD26),1,0)))))</f>
        <v/>
      </c>
      <c r="GF26" s="1" t="n">
        <f aca="false">Participantes!DW25</f>
        <v>0</v>
      </c>
      <c r="GG26" s="1" t="n">
        <f aca="false">Participantes!DX25</f>
        <v>0</v>
      </c>
      <c r="GH26" s="82" t="str">
        <f aca="false">IF(GF$2="","",IF(AND(GF26=GF$2,GG26=GG$2),3,IF(AND(GF$2&gt;GG$2,GF26&gt;GG26),1,IF(AND(GG$2&gt;GF$2,GG26&gt;GF26),1,IF(AND(GF$2=GG$2,GF26=GG26),1,0)))))</f>
        <v/>
      </c>
      <c r="GI26" s="1" t="n">
        <f aca="false">Participantes!DY25</f>
        <v>0</v>
      </c>
      <c r="GJ26" s="1" t="n">
        <f aca="false">Participantes!DZ25</f>
        <v>0</v>
      </c>
      <c r="GK26" s="82" t="str">
        <f aca="false">IF(GI$2="","",IF(AND(GI26=GI$2,GJ26=GJ$2),3,IF(AND(GI$2&gt;GJ$2,GI26&gt;GJ26),1,IF(AND(GJ$2&gt;GI$2,GJ26&gt;GI26),1,IF(AND(GI$2=GJ$2,GI26=GJ26),1,0)))))</f>
        <v/>
      </c>
      <c r="GL26" s="1" t="n">
        <f aca="false">Participantes!EA25</f>
        <v>0</v>
      </c>
      <c r="GM26" s="1" t="n">
        <f aca="false">Participantes!EB25</f>
        <v>0</v>
      </c>
      <c r="GN26" s="82" t="str">
        <f aca="false">IF(GL$2="","",IF(AND(GL26=GL$2,GM26=GM$2),3,IF(AND(GL$2&gt;GM$2,GL26&gt;GM26),1,IF(AND(GM$2&gt;GL$2,GM26&gt;GL26),1,IF(AND(GL$2=GM$2,GL26=GM26),1,0)))))</f>
        <v/>
      </c>
      <c r="GO26" s="1" t="n">
        <f aca="false">Participantes!EC25</f>
        <v>0</v>
      </c>
      <c r="GP26" s="1" t="n">
        <f aca="false">Participantes!ED25</f>
        <v>0</v>
      </c>
      <c r="GQ26" s="82" t="str">
        <f aca="false">IF(GO$2="","",IF(AND(GO26=GO$2,GP26=GP$2),3,IF(AND(GO$2&gt;GP$2,GO26&gt;GP26),1,IF(AND(GP$2&gt;GO$2,GP26&gt;GO26),1,IF(AND(GO$2=GP$2,GO26=GP26),1,0)))))</f>
        <v/>
      </c>
      <c r="GR26" s="1" t="n">
        <f aca="false">Participantes!EE25</f>
        <v>0</v>
      </c>
      <c r="GS26" s="1" t="n">
        <f aca="false">Participantes!EF25</f>
        <v>0</v>
      </c>
      <c r="GT26" s="82" t="str">
        <f aca="false">IF(GR$2="","",IF(AND(GR26=GR$2,GS26=GS$2),3,IF(AND(GR$2&gt;GS$2,GR26&gt;GS26),1,IF(AND(GS$2&gt;GR$2,GS26&gt;GR26),1,IF(AND(GR$2=GS$2,GR26=GS26),1,0)))))</f>
        <v/>
      </c>
      <c r="GU26" s="1" t="n">
        <f aca="false">Participantes!EG25</f>
        <v>0</v>
      </c>
      <c r="GV26" s="1" t="n">
        <f aca="false">Participantes!EH25</f>
        <v>0</v>
      </c>
      <c r="GW26" s="82" t="str">
        <f aca="false">IF(GU$2="","",IF(AND(GU26=GU$2,GV26=GV$2),3,IF(AND(GU$2&gt;GV$2,GU26&gt;GV26),1,IF(AND(GV$2&gt;GU$2,GV26&gt;GU26),1,IF(AND(GU$2=GV$2,GU26=GV26),1,0)))))</f>
        <v/>
      </c>
      <c r="GX26" s="1" t="n">
        <f aca="false">Participantes!EI25</f>
        <v>0</v>
      </c>
      <c r="GY26" s="1" t="n">
        <f aca="false">Participantes!EJ25</f>
        <v>0</v>
      </c>
      <c r="GZ26" s="82" t="str">
        <f aca="false">IF(GX$2="","",IF(AND(GX26=GX$2,GY26=GY$2),3,IF(AND(GX$2&gt;GY$2,GX26&gt;GY26),1,IF(AND(GY$2&gt;GX$2,GY26&gt;GX26),1,IF(AND(GX$2=GY$2,GX26=GY26),1,0)))))</f>
        <v/>
      </c>
      <c r="HA26" s="1" t="n">
        <f aca="false">Participantes!EK25</f>
        <v>0</v>
      </c>
      <c r="HB26" s="1" t="n">
        <f aca="false">Participantes!EL25</f>
        <v>0</v>
      </c>
      <c r="HC26" s="82" t="str">
        <f aca="false">IF(HA$2="","",IF(AND(HA26=HA$2,HB26=HB$2),3,IF(AND(HA$2&gt;HB$2,HA26&gt;HB26),1,IF(AND(HB$2&gt;HA$2,HB26&gt;HA26),1,IF(AND(HA$2=HB$2,HA26=HB26),1,0)))))</f>
        <v/>
      </c>
      <c r="HD26" s="1" t="n">
        <f aca="false">Participantes!EM25</f>
        <v>0</v>
      </c>
      <c r="HE26" s="1" t="n">
        <f aca="false">Participantes!EN25</f>
        <v>0</v>
      </c>
      <c r="HF26" s="82" t="str">
        <f aca="false">IF(HD$2="","",IF(AND(HD26=HD$2,HE26=HE$2),3,IF(AND(HD$2&gt;HE$2,HD26&gt;HE26),1,IF(AND(HE$2&gt;HD$2,HE26&gt;HD26),1,IF(AND(HD$2=HE$2,HD26=HE26),1,0)))))</f>
        <v/>
      </c>
      <c r="HG26" s="1" t="n">
        <f aca="false">Participantes!EO25</f>
        <v>0</v>
      </c>
      <c r="HH26" s="1" t="n">
        <f aca="false">Participantes!EP25</f>
        <v>0</v>
      </c>
      <c r="HI26" s="82" t="str">
        <f aca="false">IF(HG$2="","",IF(AND(HG26=HG$2,HH26=HH$2),3,IF(AND(HG$2&gt;HH$2,HG26&gt;HH26),1,IF(AND(HH$2&gt;HG$2,HH26&gt;HG26),1,IF(AND(HG$2=HH$2,HG26=HH26),1,0)))))</f>
        <v/>
      </c>
      <c r="HJ26" s="83" t="n">
        <f aca="false">SUM(D26,G26,J26,M26,P26,S26,V26,Y26,AB26,AE26,AH26,AK26,AN26,AQ26,AT26,AW26,AZ26,BC26,BF26,BI26,BL26,BO26,BR26,BU26,BX26,CA26,CD26,CG26,CJ26,CM26,CP26,CS26,CV26,CY26,DB26,DE26,DH26,DK26,DN26,DQ26,DT26,DW26,DZ26,EC26,EF26,EI26,EL26,EO26,ER26,EU26,EX26,FA26,FD26,FG26,FJ26,FM26,FP26,FS26,FV26,FY26,GB26,GE26,GH26,GK26,GN26,GQ26,GT26,GW26,GZ26,HC26,HF26,HI26)</f>
        <v>1</v>
      </c>
    </row>
    <row r="27" customFormat="false" ht="15" hidden="false" customHeight="true" outlineLevel="0" collapsed="false">
      <c r="A27" s="81" t="str">
        <f aca="false">Participantes!B26</f>
        <v>Kattia 1</v>
      </c>
      <c r="B27" s="1" t="n">
        <f aca="false">Participantes!C26</f>
        <v>2</v>
      </c>
      <c r="C27" s="1" t="n">
        <f aca="false">Participantes!D26</f>
        <v>1</v>
      </c>
      <c r="D27" s="82" t="n">
        <f aca="false">IF(B$2="","",IF(AND(B27=B$2,C27=C$2),3,IF(AND(B$2&gt;C$2,B27&gt;C27),1,IF(AND(C$2&gt;B$2,C27&gt;B27),1,IF(AND(B$2=C$2,B27=C27),1,0)))))</f>
        <v>1</v>
      </c>
      <c r="E27" s="1" t="n">
        <f aca="false">Participantes!E26</f>
        <v>2</v>
      </c>
      <c r="F27" s="1" t="n">
        <f aca="false">Participantes!F26</f>
        <v>0</v>
      </c>
      <c r="G27" s="82" t="str">
        <f aca="false">IF(E$2="","",IF(AND(E27=E$2,F27=F$2),3,IF(AND(E$2&gt;F$2,E27&gt;F27),1,IF(AND(F$2&gt;E$2,F27&gt;E27),1,IF(AND(E$2=F$2,E27=F27),1,0)))))</f>
        <v/>
      </c>
      <c r="H27" s="1" t="n">
        <f aca="false">Participantes!G26</f>
        <v>3</v>
      </c>
      <c r="I27" s="1" t="n">
        <f aca="false">Participantes!H26</f>
        <v>0</v>
      </c>
      <c r="J27" s="82" t="str">
        <f aca="false">IF(H$2="","",IF(AND(H27=H$2,I27=I$2),3,IF(AND(H$2&gt;I$2,H27&gt;I27),1,IF(AND(I$2&gt;H$2,I27&gt;H27),1,IF(AND(H$2=I$2,H27=I27),1,0)))))</f>
        <v/>
      </c>
      <c r="K27" s="1" t="n">
        <f aca="false">Participantes!I26</f>
        <v>2</v>
      </c>
      <c r="L27" s="1" t="n">
        <f aca="false">Participantes!J26</f>
        <v>1</v>
      </c>
      <c r="M27" s="82" t="str">
        <f aca="false">IF(K$2="","",IF(AND(K27=K$2,L27=L$2),3,IF(AND(K$2&gt;L$2,K27&gt;L27),1,IF(AND(L$2&gt;K$2,L27&gt;K27),1,IF(AND(K$2=L$2,K27=L27),1,0)))))</f>
        <v/>
      </c>
      <c r="N27" s="1" t="n">
        <f aca="false">Participantes!K26</f>
        <v>0</v>
      </c>
      <c r="O27" s="1" t="n">
        <f aca="false">Participantes!L26</f>
        <v>2</v>
      </c>
      <c r="P27" s="82" t="str">
        <f aca="false">IF(N$2="","",IF(AND(N27=N$2,O27=O$2),3,IF(AND(N$2&gt;O$2,N27&gt;O27),1,IF(AND(O$2&gt;N$2,O27&gt;N27),1,IF(AND(N$2=O$2,N27=O27),1,0)))))</f>
        <v/>
      </c>
      <c r="Q27" s="1" t="n">
        <f aca="false">Participantes!M26</f>
        <v>2</v>
      </c>
      <c r="R27" s="1" t="n">
        <f aca="false">Participantes!N26</f>
        <v>0</v>
      </c>
      <c r="S27" s="82" t="str">
        <f aca="false">IF(Q$2="","",IF(AND(Q27=Q$2,R27=R$2),3,IF(AND(Q$2&gt;R$2,Q27&gt;R27),1,IF(AND(R$2&gt;Q$2,R27&gt;Q27),1,IF(AND(Q$2=R$2,Q27=R27),1,0)))))</f>
        <v/>
      </c>
      <c r="T27" s="1" t="n">
        <f aca="false">Participantes!O26</f>
        <v>2</v>
      </c>
      <c r="U27" s="1" t="n">
        <f aca="false">Participantes!P26</f>
        <v>2</v>
      </c>
      <c r="V27" s="82" t="str">
        <f aca="false">IF(T$2="","",IF(AND(T27=T$2,U27=U$2),3,IF(AND(T$2&gt;U$2,T27&gt;U27),1,IF(AND(U$2&gt;T$2,U27&gt;T27),1,IF(AND(T$2=U$2,T27=U27),1,0)))))</f>
        <v/>
      </c>
      <c r="W27" s="1" t="n">
        <f aca="false">Participantes!Q26</f>
        <v>0</v>
      </c>
      <c r="X27" s="1" t="n">
        <f aca="false">Participantes!R26</f>
        <v>2</v>
      </c>
      <c r="Y27" s="82" t="str">
        <f aca="false">IF(W$2="","",IF(AND(W27=W$2,X27=X$2),3,IF(AND(W$2&gt;X$2,W27&gt;X27),1,IF(AND(X$2&gt;W$2,X27&gt;W27),1,IF(AND(W$2=X$2,W27=X27),1,0)))))</f>
        <v/>
      </c>
      <c r="Z27" s="1" t="n">
        <f aca="false">Participantes!S26</f>
        <v>2</v>
      </c>
      <c r="AA27" s="1" t="n">
        <f aca="false">Participantes!T26</f>
        <v>1</v>
      </c>
      <c r="AB27" s="82" t="str">
        <f aca="false">IF(Z$2="","",IF(AND(Z27=Z$2,AA27=AA$2),3,IF(AND(Z$2&gt;AA$2,Z27&gt;AA27),1,IF(AND(AA$2&gt;Z$2,AA27&gt;Z27),1,IF(AND(Z$2=AA$2,Z27=AA27),1,0)))))</f>
        <v/>
      </c>
      <c r="AC27" s="1" t="n">
        <f aca="false">Participantes!U26</f>
        <v>3</v>
      </c>
      <c r="AD27" s="1" t="n">
        <f aca="false">Participantes!V26</f>
        <v>1</v>
      </c>
      <c r="AE27" s="82" t="str">
        <f aca="false">IF(AC$2="","",IF(AND(AC27=AC$2,AD27=AD$2),3,IF(AND(AC$2&gt;AD$2,AC27&gt;AD27),1,IF(AND(AD$2&gt;AC$2,AD27&gt;AC27),1,IF(AND(AC$2=AD$2,AC27=AD27),1,0)))))</f>
        <v/>
      </c>
      <c r="AF27" s="1" t="n">
        <f aca="false">Participantes!W26</f>
        <v>4</v>
      </c>
      <c r="AG27" s="1" t="n">
        <f aca="false">Participantes!X26</f>
        <v>0</v>
      </c>
      <c r="AH27" s="82" t="str">
        <f aca="false">IF(AF$2="","",IF(AND(AF27=AF$2,AG27=AG$2),3,IF(AND(AF$2&gt;AG$2,AF27&gt;AG27),1,IF(AND(AG$2&gt;AF$2,AG27&gt;AF27),1,IF(AND(AF$2=AG$2,AF27=AG27),1,0)))))</f>
        <v/>
      </c>
      <c r="AI27" s="1" t="n">
        <f aca="false">Participantes!Y26</f>
        <v>2</v>
      </c>
      <c r="AJ27" s="1" t="n">
        <f aca="false">Participantes!Z26</f>
        <v>0</v>
      </c>
      <c r="AK27" s="82" t="str">
        <f aca="false">IF(AI$2="","",IF(AND(AI27=AI$2,AJ27=AJ$2),3,IF(AND(AI$2&gt;AJ$2,AI27&gt;AJ27),1,IF(AND(AJ$2&gt;AI$2,AJ27&gt;AI27),1,IF(AND(AI$2=AJ$2,AI27=AJ27),1,0)))))</f>
        <v/>
      </c>
      <c r="AL27" s="1" t="n">
        <f aca="false">Participantes!AA26</f>
        <v>1</v>
      </c>
      <c r="AM27" s="1" t="n">
        <f aca="false">Participantes!AB26</f>
        <v>3</v>
      </c>
      <c r="AN27" s="82" t="str">
        <f aca="false">IF(AL$2="","",IF(AND(AL27=AL$2,AM27=AM$2),3,IF(AND(AL$2&gt;AM$2,AL27&gt;AM27),1,IF(AND(AM$2&gt;AL$2,AM27&gt;AL27),1,IF(AND(AL$2=AM$2,AL27=AM27),1,0)))))</f>
        <v/>
      </c>
      <c r="AO27" s="1" t="n">
        <f aca="false">Participantes!AC26</f>
        <v>3</v>
      </c>
      <c r="AP27" s="1" t="n">
        <f aca="false">Participantes!AD26</f>
        <v>1</v>
      </c>
      <c r="AQ27" s="82" t="str">
        <f aca="false">IF(AO$2="","",IF(AND(AO27=AO$2,AP27=AP$2),3,IF(AND(AO$2&gt;AP$2,AO27&gt;AP27),1,IF(AND(AP$2&gt;AO$2,AP27&gt;AO27),1,IF(AND(AO$2=AP$2,AO27=AP27),1,0)))))</f>
        <v/>
      </c>
      <c r="AR27" s="1" t="n">
        <f aca="false">Participantes!AE26</f>
        <v>0</v>
      </c>
      <c r="AS27" s="1" t="n">
        <f aca="false">Participantes!AF26</f>
        <v>0</v>
      </c>
      <c r="AT27" s="82" t="str">
        <f aca="false">IF(AR$2="","",IF(AND(AR27=AR$2,AS27=AS$2),3,IF(AND(AR$2&gt;AS$2,AR27&gt;AS27),1,IF(AND(AS$2&gt;AR$2,AS27&gt;AR27),1,IF(AND(AR$2=AS$2,AR27=AS27),1,0)))))</f>
        <v/>
      </c>
      <c r="AU27" s="1" t="n">
        <f aca="false">Participantes!AG26</f>
        <v>0</v>
      </c>
      <c r="AV27" s="1" t="n">
        <f aca="false">Participantes!AH26</f>
        <v>0</v>
      </c>
      <c r="AW27" s="82" t="str">
        <f aca="false">IF(AU$2="","",IF(AND(AU27=AU$2,AV27=AV$2),3,IF(AND(AU$2&gt;AV$2,AU27&gt;AV27),1,IF(AND(AV$2&gt;AU$2,AV27&gt;AU27),1,IF(AND(AU$2=AV$2,AU27=AV27),1,0)))))</f>
        <v/>
      </c>
      <c r="AX27" s="1" t="n">
        <f aca="false">Participantes!AI26</f>
        <v>0</v>
      </c>
      <c r="AY27" s="1" t="n">
        <f aca="false">Participantes!AJ26</f>
        <v>0</v>
      </c>
      <c r="AZ27" s="82" t="str">
        <f aca="false">IF(AX$2="","",IF(AND(AX27=AX$2,AY27=AY$2),3,IF(AND(AX$2&gt;AY$2,AX27&gt;AY27),1,IF(AND(AY$2&gt;AX$2,AY27&gt;AX27),1,IF(AND(AX$2=AY$2,AX27=AY27),1,0)))))</f>
        <v/>
      </c>
      <c r="BA27" s="1" t="n">
        <f aca="false">Participantes!AK26</f>
        <v>0</v>
      </c>
      <c r="BB27" s="1" t="n">
        <f aca="false">Participantes!AL26</f>
        <v>0</v>
      </c>
      <c r="BC27" s="82" t="str">
        <f aca="false">IF(BA$2="","",IF(AND(BA27=BA$2,BB27=BB$2),3,IF(AND(BA$2&gt;BB$2,BA27&gt;BB27),1,IF(AND(BB$2&gt;BA$2,BB27&gt;BA27),1,IF(AND(BA$2=BB$2,BA27=BB27),1,0)))))</f>
        <v/>
      </c>
      <c r="BD27" s="1" t="n">
        <f aca="false">Participantes!AM26</f>
        <v>0</v>
      </c>
      <c r="BE27" s="1" t="n">
        <f aca="false">Participantes!AN26</f>
        <v>0</v>
      </c>
      <c r="BF27" s="82" t="str">
        <f aca="false">IF(BD$2="","",IF(AND(BD27=BD$2,BE27=BE$2),3,IF(AND(BD$2&gt;BE$2,BD27&gt;BE27),1,IF(AND(BE$2&gt;BD$2,BE27&gt;BD27),1,IF(AND(BD$2=BE$2,BD27=BE27),1,0)))))</f>
        <v/>
      </c>
      <c r="BG27" s="1" t="n">
        <f aca="false">Participantes!AO26</f>
        <v>0</v>
      </c>
      <c r="BH27" s="1" t="n">
        <f aca="false">Participantes!AP26</f>
        <v>0</v>
      </c>
      <c r="BI27" s="82" t="str">
        <f aca="false">IF(BG$2="","",IF(AND(BG27=BG$2,BH27=BH$2),3,IF(AND(BG$2&gt;BH$2,BG27&gt;BH27),1,IF(AND(BH$2&gt;BG$2,BH27&gt;BG27),1,IF(AND(BG$2=BH$2,BG27=BH27),1,0)))))</f>
        <v/>
      </c>
      <c r="BJ27" s="1" t="n">
        <f aca="false">Participantes!AQ26</f>
        <v>0</v>
      </c>
      <c r="BK27" s="1" t="n">
        <f aca="false">Participantes!AR26</f>
        <v>0</v>
      </c>
      <c r="BL27" s="82" t="str">
        <f aca="false">IF(BJ$2="","",IF(AND(BJ27=BJ$2,BK27=BK$2),3,IF(AND(BJ$2&gt;BK$2,BJ27&gt;BK27),1,IF(AND(BK$2&gt;BJ$2,BK27&gt;BJ27),1,IF(AND(BJ$2=BK$2,BJ27=BK27),1,0)))))</f>
        <v/>
      </c>
      <c r="BM27" s="1" t="n">
        <f aca="false">Participantes!AS26</f>
        <v>0</v>
      </c>
      <c r="BN27" s="1" t="n">
        <f aca="false">Participantes!AT26</f>
        <v>0</v>
      </c>
      <c r="BO27" s="82" t="str">
        <f aca="false">IF(BM$2="","",IF(AND(BM27=BM$2,BN27=BN$2),3,IF(AND(BM$2&gt;BN$2,BM27&gt;BN27),1,IF(AND(BN$2&gt;BM$2,BN27&gt;BM27),1,IF(AND(BM$2=BN$2,BM27=BN27),1,0)))))</f>
        <v/>
      </c>
      <c r="BP27" s="1" t="n">
        <f aca="false">Participantes!AU26</f>
        <v>0</v>
      </c>
      <c r="BQ27" s="1" t="n">
        <f aca="false">Participantes!AV26</f>
        <v>0</v>
      </c>
      <c r="BR27" s="82" t="str">
        <f aca="false">IF(BP$2="","",IF(AND(BP27=BP$2,BQ27=BQ$2),3,IF(AND(BP$2&gt;BQ$2,BP27&gt;BQ27),1,IF(AND(BQ$2&gt;BP$2,BQ27&gt;BP27),1,IF(AND(BP$2=BQ$2,BP27=BQ27),1,0)))))</f>
        <v/>
      </c>
      <c r="BS27" s="1" t="n">
        <f aca="false">Participantes!AW26</f>
        <v>0</v>
      </c>
      <c r="BT27" s="1" t="n">
        <f aca="false">Participantes!AX26</f>
        <v>0</v>
      </c>
      <c r="BU27" s="82" t="str">
        <f aca="false">IF(BS$2="","",IF(AND(BS27=BS$2,BT27=BT$2),3,IF(AND(BS$2&gt;BT$2,BS27&gt;BT27),1,IF(AND(BT$2&gt;BS$2,BT27&gt;BS27),1,IF(AND(BS$2=BT$2,BS27=BT27),1,0)))))</f>
        <v/>
      </c>
      <c r="BV27" s="1" t="n">
        <f aca="false">Participantes!AY26</f>
        <v>0</v>
      </c>
      <c r="BW27" s="1" t="n">
        <f aca="false">Participantes!AZ26</f>
        <v>0</v>
      </c>
      <c r="BX27" s="82" t="str">
        <f aca="false">IF(BV$2="","",IF(AND(BV27=BV$2,BW27=BW$2),3,IF(AND(BV$2&gt;BW$2,BV27&gt;BW27),1,IF(AND(BW$2&gt;BV$2,BW27&gt;BV27),1,IF(AND(BV$2=BW$2,BV27=BW27),1,0)))))</f>
        <v/>
      </c>
      <c r="BY27" s="1" t="n">
        <f aca="false">Participantes!BA26</f>
        <v>0</v>
      </c>
      <c r="BZ27" s="1" t="n">
        <f aca="false">Participantes!BB26</f>
        <v>0</v>
      </c>
      <c r="CA27" s="82" t="str">
        <f aca="false">IF(BY$2="","",IF(AND(BY27=BY$2,BZ27=BZ$2),3,IF(AND(BY$2&gt;BZ$2,BY27&gt;BZ27),1,IF(AND(BZ$2&gt;BY$2,BZ27&gt;BY27),1,IF(AND(BY$2=BZ$2,BY27=BZ27),1,0)))))</f>
        <v/>
      </c>
      <c r="CB27" s="1" t="n">
        <f aca="false">Participantes!BC26</f>
        <v>0</v>
      </c>
      <c r="CC27" s="1" t="n">
        <f aca="false">Participantes!BD26</f>
        <v>0</v>
      </c>
      <c r="CD27" s="82" t="str">
        <f aca="false">IF(CB$2="","",IF(AND(CB27=CB$2,CC27=CC$2),3,IF(AND(CB$2&gt;CC$2,CB27&gt;CC27),1,IF(AND(CC$2&gt;CB$2,CC27&gt;CB27),1,IF(AND(CB$2=CC$2,CB27=CC27),1,0)))))</f>
        <v/>
      </c>
      <c r="CE27" s="1" t="n">
        <f aca="false">Participantes!BE26</f>
        <v>0</v>
      </c>
      <c r="CF27" s="1" t="n">
        <f aca="false">Participantes!BF26</f>
        <v>0</v>
      </c>
      <c r="CG27" s="82" t="str">
        <f aca="false">IF(CE$2="","",IF(AND(CE27=CE$2,CF27=CF$2),3,IF(AND(CE$2&gt;CF$2,CE27&gt;CF27),1,IF(AND(CF$2&gt;CE$2,CF27&gt;CE27),1,IF(AND(CE$2=CF$2,CE27=CF27),1,0)))))</f>
        <v/>
      </c>
      <c r="CH27" s="1" t="n">
        <f aca="false">Participantes!BG26</f>
        <v>0</v>
      </c>
      <c r="CI27" s="1" t="n">
        <f aca="false">Participantes!BH26</f>
        <v>0</v>
      </c>
      <c r="CJ27" s="82" t="str">
        <f aca="false">IF(CH$2="","",IF(AND(CH27=CH$2,CI27=CI$2),3,IF(AND(CH$2&gt;CI$2,CH27&gt;CI27),1,IF(AND(CI$2&gt;CH$2,CI27&gt;CH27),1,IF(AND(CH$2=CI$2,CH27=CI27),1,0)))))</f>
        <v/>
      </c>
      <c r="CK27" s="1" t="n">
        <f aca="false">Participantes!BI26</f>
        <v>0</v>
      </c>
      <c r="CL27" s="1" t="n">
        <f aca="false">Participantes!BJ26</f>
        <v>0</v>
      </c>
      <c r="CM27" s="82" t="str">
        <f aca="false">IF(CK$2="","",IF(AND(CK27=CK$2,CL27=CL$2),3,IF(AND(CK$2&gt;CL$2,CK27&gt;CL27),1,IF(AND(CL$2&gt;CK$2,CL27&gt;CK27),1,IF(AND(CK$2=CL$2,CK27=CL27),1,0)))))</f>
        <v/>
      </c>
      <c r="CN27" s="1" t="n">
        <f aca="false">Participantes!BK26</f>
        <v>0</v>
      </c>
      <c r="CO27" s="1" t="n">
        <f aca="false">Participantes!BL26</f>
        <v>0</v>
      </c>
      <c r="CP27" s="82" t="str">
        <f aca="false">IF(CN$2="","",IF(AND(CN27=CN$2,CO27=CO$2),3,IF(AND(CN$2&gt;CO$2,CN27&gt;CO27),1,IF(AND(CO$2&gt;CN$2,CO27&gt;CN27),1,IF(AND(CN$2=CO$2,CN27=CO27),1,0)))))</f>
        <v/>
      </c>
      <c r="CQ27" s="1" t="n">
        <f aca="false">Participantes!BM26</f>
        <v>0</v>
      </c>
      <c r="CR27" s="1" t="n">
        <f aca="false">Participantes!BN26</f>
        <v>0</v>
      </c>
      <c r="CS27" s="82" t="str">
        <f aca="false">IF(CQ$2="","",IF(AND(CQ27=CQ$2,CR27=CR$2),3,IF(AND(CQ$2&gt;CR$2,CQ27&gt;CR27),1,IF(AND(CR$2&gt;CQ$2,CR27&gt;CQ27),1,IF(AND(CQ$2=CR$2,CQ27=CR27),1,0)))))</f>
        <v/>
      </c>
      <c r="CT27" s="1" t="n">
        <f aca="false">Participantes!BO26</f>
        <v>0</v>
      </c>
      <c r="CU27" s="1" t="n">
        <f aca="false">Participantes!BP26</f>
        <v>0</v>
      </c>
      <c r="CV27" s="82" t="str">
        <f aca="false">IF(CT$2="","",IF(AND(CT27=CT$2,CU27=CU$2),3,IF(AND(CT$2&gt;CU$2,CT27&gt;CU27),1,IF(AND(CU$2&gt;CT$2,CU27&gt;CT27),1,IF(AND(CT$2=CU$2,CT27=CU27),1,0)))))</f>
        <v/>
      </c>
      <c r="CW27" s="1" t="n">
        <f aca="false">Participantes!BQ26</f>
        <v>0</v>
      </c>
      <c r="CX27" s="1" t="n">
        <f aca="false">Participantes!BR26</f>
        <v>0</v>
      </c>
      <c r="CY27" s="82" t="str">
        <f aca="false">IF(CW$2="","",IF(AND(CW27=CW$2,CX27=CX$2),3,IF(AND(CW$2&gt;CX$2,CW27&gt;CX27),1,IF(AND(CX$2&gt;CW$2,CX27&gt;CW27),1,IF(AND(CW$2=CX$2,CW27=CX27),1,0)))))</f>
        <v/>
      </c>
      <c r="CZ27" s="1" t="n">
        <f aca="false">Participantes!BS26</f>
        <v>0</v>
      </c>
      <c r="DA27" s="1" t="n">
        <f aca="false">Participantes!BT26</f>
        <v>0</v>
      </c>
      <c r="DB27" s="82" t="str">
        <f aca="false">IF(CZ$2="","",IF(AND(CZ27=CZ$2,DA27=DA$2),3,IF(AND(CZ$2&gt;DA$2,CZ27&gt;DA27),1,IF(AND(DA$2&gt;CZ$2,DA27&gt;CZ27),1,IF(AND(CZ$2=DA$2,CZ27=DA27),1,0)))))</f>
        <v/>
      </c>
      <c r="DC27" s="1" t="n">
        <f aca="false">Participantes!BU26</f>
        <v>0</v>
      </c>
      <c r="DD27" s="1" t="n">
        <f aca="false">Participantes!BV26</f>
        <v>0</v>
      </c>
      <c r="DE27" s="82" t="str">
        <f aca="false">IF(DC$2="","",IF(AND(DC27=DC$2,DD27=DD$2),3,IF(AND(DC$2&gt;DD$2,DC27&gt;DD27),1,IF(AND(DD$2&gt;DC$2,DD27&gt;DC27),1,IF(AND(DC$2=DD$2,DC27=DD27),1,0)))))</f>
        <v/>
      </c>
      <c r="DF27" s="1" t="n">
        <f aca="false">Participantes!BW26</f>
        <v>0</v>
      </c>
      <c r="DG27" s="1" t="n">
        <f aca="false">Participantes!BX26</f>
        <v>0</v>
      </c>
      <c r="DH27" s="82" t="str">
        <f aca="false">IF(DF$2="","",IF(AND(DF27=DF$2,DG27=DG$2),3,IF(AND(DF$2&gt;DG$2,DF27&gt;DG27),1,IF(AND(DG$2&gt;DF$2,DG27&gt;DF27),1,IF(AND(DF$2=DG$2,DF27=DG27),1,0)))))</f>
        <v/>
      </c>
      <c r="DI27" s="1" t="n">
        <f aca="false">Participantes!BY26</f>
        <v>0</v>
      </c>
      <c r="DJ27" s="1" t="n">
        <f aca="false">Participantes!BZ26</f>
        <v>0</v>
      </c>
      <c r="DK27" s="82" t="str">
        <f aca="false">IF(DI$2="","",IF(AND(DI27=DI$2,DJ27=DJ$2),3,IF(AND(DI$2&gt;DJ$2,DI27&gt;DJ27),1,IF(AND(DJ$2&gt;DI$2,DJ27&gt;DI27),1,IF(AND(DI$2=DJ$2,DI27=DJ27),1,0)))))</f>
        <v/>
      </c>
      <c r="DL27" s="1" t="n">
        <f aca="false">Participantes!CA26</f>
        <v>0</v>
      </c>
      <c r="DM27" s="1" t="n">
        <f aca="false">Participantes!CB26</f>
        <v>0</v>
      </c>
      <c r="DN27" s="82" t="str">
        <f aca="false">IF(DL$2="","",IF(AND(DL27=DL$2,DM27=DM$2),3,IF(AND(DL$2&gt;DM$2,DL27&gt;DM27),1,IF(AND(DM$2&gt;DL$2,DM27&gt;DL27),1,IF(AND(DL$2=DM$2,DL27=DM27),1,0)))))</f>
        <v/>
      </c>
      <c r="DO27" s="1" t="n">
        <f aca="false">Participantes!CC26</f>
        <v>0</v>
      </c>
      <c r="DP27" s="1" t="n">
        <f aca="false">Participantes!CD26</f>
        <v>0</v>
      </c>
      <c r="DQ27" s="82" t="str">
        <f aca="false">IF(DO$2="","",IF(AND(DO27=DO$2,DP27=DP$2),3,IF(AND(DO$2&gt;DP$2,DO27&gt;DP27),1,IF(AND(DP$2&gt;DO$2,DP27&gt;DO27),1,IF(AND(DO$2=DP$2,DO27=DP27),1,0)))))</f>
        <v/>
      </c>
      <c r="DR27" s="1" t="n">
        <f aca="false">Participantes!CE26</f>
        <v>0</v>
      </c>
      <c r="DS27" s="1" t="n">
        <f aca="false">Participantes!CF26</f>
        <v>0</v>
      </c>
      <c r="DT27" s="82" t="str">
        <f aca="false">IF(DR$2="","",IF(AND(DR27=DR$2,DS27=DS$2),3,IF(AND(DR$2&gt;DS$2,DR27&gt;DS27),1,IF(AND(DS$2&gt;DR$2,DS27&gt;DR27),1,IF(AND(DR$2=DS$2,DR27=DS27),1,0)))))</f>
        <v/>
      </c>
      <c r="DU27" s="1" t="n">
        <f aca="false">Participantes!CG26</f>
        <v>0</v>
      </c>
      <c r="DV27" s="1" t="n">
        <f aca="false">Participantes!CH26</f>
        <v>0</v>
      </c>
      <c r="DW27" s="82" t="str">
        <f aca="false">IF(DU$2="","",IF(AND(DU27=DU$2,DV27=DV$2),3,IF(AND(DU$2&gt;DV$2,DU27&gt;DV27),1,IF(AND(DV$2&gt;DU$2,DV27&gt;DU27),1,IF(AND(DU$2=DV$2,DU27=DV27),1,0)))))</f>
        <v/>
      </c>
      <c r="DX27" s="1" t="n">
        <f aca="false">Participantes!CI26</f>
        <v>0</v>
      </c>
      <c r="DY27" s="1" t="n">
        <f aca="false">Participantes!CJ26</f>
        <v>0</v>
      </c>
      <c r="DZ27" s="82" t="str">
        <f aca="false">IF(DX$2="","",IF(AND(DX27=DX$2,DY27=DY$2),3,IF(AND(DX$2&gt;DY$2,DX27&gt;DY27),1,IF(AND(DY$2&gt;DX$2,DY27&gt;DX27),1,IF(AND(DX$2=DY$2,DX27=DY27),1,0)))))</f>
        <v/>
      </c>
      <c r="EA27" s="1" t="n">
        <f aca="false">Participantes!CK26</f>
        <v>0</v>
      </c>
      <c r="EB27" s="1" t="n">
        <f aca="false">Participantes!CL26</f>
        <v>0</v>
      </c>
      <c r="EC27" s="82" t="str">
        <f aca="false">IF(EA$2="","",IF(AND(EA27=EA$2,EB27=EB$2),3,IF(AND(EA$2&gt;EB$2,EA27&gt;EB27),1,IF(AND(EB$2&gt;EA$2,EB27&gt;EA27),1,IF(AND(EA$2=EB$2,EA27=EB27),1,0)))))</f>
        <v/>
      </c>
      <c r="ED27" s="1" t="n">
        <f aca="false">Participantes!CM26</f>
        <v>0</v>
      </c>
      <c r="EE27" s="1" t="n">
        <f aca="false">Participantes!CN26</f>
        <v>0</v>
      </c>
      <c r="EF27" s="82" t="str">
        <f aca="false">IF(ED$2="","",IF(AND(ED27=ED$2,EE27=EE$2),3,IF(AND(ED$2&gt;EE$2,ED27&gt;EE27),1,IF(AND(EE$2&gt;ED$2,EE27&gt;ED27),1,IF(AND(ED$2=EE$2,ED27=EE27),1,0)))))</f>
        <v/>
      </c>
      <c r="EG27" s="1" t="n">
        <f aca="false">Participantes!CO26</f>
        <v>0</v>
      </c>
      <c r="EH27" s="1" t="n">
        <f aca="false">Participantes!CP26</f>
        <v>0</v>
      </c>
      <c r="EI27" s="82" t="str">
        <f aca="false">IF(EG$2="","",IF(AND(EG27=EG$2,EH27=EH$2),3,IF(AND(EG$2&gt;EH$2,EG27&gt;EH27),1,IF(AND(EH$2&gt;EG$2,EH27&gt;EG27),1,IF(AND(EG$2=EH$2,EG27=EH27),1,0)))))</f>
        <v/>
      </c>
      <c r="EJ27" s="1" t="n">
        <f aca="false">Participantes!CQ26</f>
        <v>0</v>
      </c>
      <c r="EK27" s="1" t="n">
        <f aca="false">Participantes!CR26</f>
        <v>0</v>
      </c>
      <c r="EL27" s="82" t="str">
        <f aca="false">IF(EJ$2="","",IF(AND(EJ27=EJ$2,EK27=EK$2),3,IF(AND(EJ$2&gt;EK$2,EJ27&gt;EK27),1,IF(AND(EK$2&gt;EJ$2,EK27&gt;EJ27),1,IF(AND(EJ$2=EK$2,EJ27=EK27),1,0)))))</f>
        <v/>
      </c>
      <c r="EM27" s="1" t="n">
        <f aca="false">Participantes!CS26</f>
        <v>0</v>
      </c>
      <c r="EN27" s="1" t="n">
        <f aca="false">Participantes!CT26</f>
        <v>0</v>
      </c>
      <c r="EO27" s="82" t="str">
        <f aca="false">IF(EM$2="","",IF(AND(EM27=EM$2,EN27=EN$2),3,IF(AND(EM$2&gt;EN$2,EM27&gt;EN27),1,IF(AND(EN$2&gt;EM$2,EN27&gt;EM27),1,IF(AND(EM$2=EN$2,EM27=EN27),1,0)))))</f>
        <v/>
      </c>
      <c r="EP27" s="1" t="n">
        <f aca="false">Participantes!CU26</f>
        <v>0</v>
      </c>
      <c r="EQ27" s="1" t="n">
        <f aca="false">Participantes!CV26</f>
        <v>0</v>
      </c>
      <c r="ER27" s="82" t="str">
        <f aca="false">IF(EP$2="","",IF(AND(EP27=EP$2,EQ27=EQ$2),3,IF(AND(EP$2&gt;EQ$2,EP27&gt;EQ27),1,IF(AND(EQ$2&gt;EP$2,EQ27&gt;EP27),1,IF(AND(EP$2=EQ$2,EP27=EQ27),1,0)))))</f>
        <v/>
      </c>
      <c r="ES27" s="1" t="n">
        <f aca="false">Participantes!CW26</f>
        <v>0</v>
      </c>
      <c r="ET27" s="1" t="n">
        <f aca="false">Participantes!CX26</f>
        <v>0</v>
      </c>
      <c r="EU27" s="82" t="str">
        <f aca="false">IF(ES$2="","",IF(AND(ES27=ES$2,ET27=ET$2),3,IF(AND(ES$2&gt;ET$2,ES27&gt;ET27),1,IF(AND(ET$2&gt;ES$2,ET27&gt;ES27),1,IF(AND(ES$2=ET$2,ES27=ET27),1,0)))))</f>
        <v/>
      </c>
      <c r="EV27" s="1" t="n">
        <f aca="false">Participantes!CY26</f>
        <v>0</v>
      </c>
      <c r="EW27" s="1" t="n">
        <f aca="false">Participantes!CZ26</f>
        <v>0</v>
      </c>
      <c r="EX27" s="82" t="str">
        <f aca="false">IF(EV$2="","",IF(AND(EV27=EV$2,EW27=EW$2),3,IF(AND(EV$2&gt;EW$2,EV27&gt;EW27),1,IF(AND(EW$2&gt;EV$2,EW27&gt;EV27),1,IF(AND(EV$2=EW$2,EV27=EW27),1,0)))))</f>
        <v/>
      </c>
      <c r="EY27" s="1" t="n">
        <f aca="false">Participantes!DA26</f>
        <v>0</v>
      </c>
      <c r="EZ27" s="1" t="n">
        <f aca="false">Participantes!DB26</f>
        <v>0</v>
      </c>
      <c r="FA27" s="82" t="str">
        <f aca="false">IF(EY$2="","",IF(AND(EY27=EY$2,EZ27=EZ$2),3,IF(AND(EY$2&gt;EZ$2,EY27&gt;EZ27),1,IF(AND(EZ$2&gt;EY$2,EZ27&gt;EY27),1,IF(AND(EY$2=EZ$2,EY27=EZ27),1,0)))))</f>
        <v/>
      </c>
      <c r="FB27" s="1" t="n">
        <f aca="false">Participantes!DC26</f>
        <v>0</v>
      </c>
      <c r="FC27" s="1" t="n">
        <f aca="false">Participantes!DD26</f>
        <v>0</v>
      </c>
      <c r="FD27" s="82" t="str">
        <f aca="false">IF(FB$2="","",IF(AND(FB27=FB$2,FC27=FC$2),3,IF(AND(FB$2&gt;FC$2,FB27&gt;FC27),1,IF(AND(FC$2&gt;FB$2,FC27&gt;FB27),1,IF(AND(FB$2=FC$2,FB27=FC27),1,0)))))</f>
        <v/>
      </c>
      <c r="FE27" s="1" t="n">
        <f aca="false">Participantes!DE26</f>
        <v>0</v>
      </c>
      <c r="FF27" s="1" t="n">
        <f aca="false">Participantes!DF26</f>
        <v>0</v>
      </c>
      <c r="FG27" s="82" t="str">
        <f aca="false">IF(FE$2="","",IF(AND(FE27=FE$2,FF27=FF$2),3,IF(AND(FE$2&gt;FF$2,FE27&gt;FF27),1,IF(AND(FF$2&gt;FE$2,FF27&gt;FE27),1,IF(AND(FE$2=FF$2,FE27=FF27),1,0)))))</f>
        <v/>
      </c>
      <c r="FH27" s="1" t="n">
        <f aca="false">Participantes!DG26</f>
        <v>0</v>
      </c>
      <c r="FI27" s="1" t="n">
        <f aca="false">Participantes!DH26</f>
        <v>0</v>
      </c>
      <c r="FJ27" s="82" t="str">
        <f aca="false">IF(FH$2="","",IF(AND(FH27=FH$2,FI27=FI$2),3,IF(AND(FH$2&gt;FI$2,FH27&gt;FI27),1,IF(AND(FI$2&gt;FH$2,FI27&gt;FH27),1,IF(AND(FH$2=FI$2,FH27=FI27),1,0)))))</f>
        <v/>
      </c>
      <c r="FK27" s="1" t="n">
        <f aca="false">Participantes!DI26</f>
        <v>0</v>
      </c>
      <c r="FL27" s="1" t="n">
        <f aca="false">Participantes!DJ26</f>
        <v>0</v>
      </c>
      <c r="FM27" s="82" t="str">
        <f aca="false">IF(FK$2="","",IF(AND(FK27=FK$2,FL27=FL$2),3,IF(AND(FK$2&gt;FL$2,FK27&gt;FL27),1,IF(AND(FL$2&gt;FK$2,FL27&gt;FK27),1,IF(AND(FK$2=FL$2,FK27=FL27),1,0)))))</f>
        <v/>
      </c>
      <c r="FN27" s="1" t="n">
        <f aca="false">Participantes!DK26</f>
        <v>0</v>
      </c>
      <c r="FO27" s="1" t="n">
        <f aca="false">Participantes!DL26</f>
        <v>0</v>
      </c>
      <c r="FP27" s="82" t="str">
        <f aca="false">IF(FN$2="","",IF(AND(FN27=FN$2,FO27=FO$2),3,IF(AND(FN$2&gt;FO$2,FN27&gt;FO27),1,IF(AND(FO$2&gt;FN$2,FO27&gt;FN27),1,IF(AND(FN$2=FO$2,FN27=FO27),1,0)))))</f>
        <v/>
      </c>
      <c r="FQ27" s="1" t="n">
        <f aca="false">Participantes!DM26</f>
        <v>0</v>
      </c>
      <c r="FR27" s="1" t="n">
        <f aca="false">Participantes!DN26</f>
        <v>0</v>
      </c>
      <c r="FS27" s="82" t="str">
        <f aca="false">IF(FQ$2="","",IF(AND(FQ27=FQ$2,FR27=FR$2),3,IF(AND(FQ$2&gt;FR$2,FQ27&gt;FR27),1,IF(AND(FR$2&gt;FQ$2,FR27&gt;FQ27),1,IF(AND(FQ$2=FR$2,FQ27=FR27),1,0)))))</f>
        <v/>
      </c>
      <c r="FT27" s="1" t="n">
        <f aca="false">Participantes!DO26</f>
        <v>0</v>
      </c>
      <c r="FU27" s="1" t="n">
        <f aca="false">Participantes!DP26</f>
        <v>0</v>
      </c>
      <c r="FV27" s="82" t="str">
        <f aca="false">IF(FT$2="","",IF(AND(FT27=FT$2,FU27=FU$2),3,IF(AND(FT$2&gt;FU$2,FT27&gt;FU27),1,IF(AND(FU$2&gt;FT$2,FU27&gt;FT27),1,IF(AND(FT$2=FU$2,FT27=FU27),1,0)))))</f>
        <v/>
      </c>
      <c r="FW27" s="1" t="n">
        <f aca="false">Participantes!DQ26</f>
        <v>0</v>
      </c>
      <c r="FX27" s="1" t="n">
        <f aca="false">Participantes!DR26</f>
        <v>0</v>
      </c>
      <c r="FY27" s="82" t="str">
        <f aca="false">IF(FW$2="","",IF(AND(FW27=FW$2,FX27=FX$2),3,IF(AND(FW$2&gt;FX$2,FW27&gt;FX27),1,IF(AND(FX$2&gt;FW$2,FX27&gt;FW27),1,IF(AND(FW$2=FX$2,FW27=FX27),1,0)))))</f>
        <v/>
      </c>
      <c r="FZ27" s="1" t="n">
        <f aca="false">Participantes!DS26</f>
        <v>0</v>
      </c>
      <c r="GA27" s="1" t="n">
        <f aca="false">Participantes!DT26</f>
        <v>0</v>
      </c>
      <c r="GB27" s="82" t="str">
        <f aca="false">IF(FZ$2="","",IF(AND(FZ27=FZ$2,GA27=GA$2),3,IF(AND(FZ$2&gt;GA$2,FZ27&gt;GA27),1,IF(AND(GA$2&gt;FZ$2,GA27&gt;FZ27),1,IF(AND(FZ$2=GA$2,FZ27=GA27),1,0)))))</f>
        <v/>
      </c>
      <c r="GC27" s="1" t="n">
        <f aca="false">Participantes!DU26</f>
        <v>0</v>
      </c>
      <c r="GD27" s="1" t="n">
        <f aca="false">Participantes!DV26</f>
        <v>0</v>
      </c>
      <c r="GE27" s="82" t="str">
        <f aca="false">IF(GC$2="","",IF(AND(GC27=GC$2,GD27=GD$2),3,IF(AND(GC$2&gt;GD$2,GC27&gt;GD27),1,IF(AND(GD$2&gt;GC$2,GD27&gt;GC27),1,IF(AND(GC$2=GD$2,GC27=GD27),1,0)))))</f>
        <v/>
      </c>
      <c r="GF27" s="1" t="n">
        <f aca="false">Participantes!DW26</f>
        <v>0</v>
      </c>
      <c r="GG27" s="1" t="n">
        <f aca="false">Participantes!DX26</f>
        <v>0</v>
      </c>
      <c r="GH27" s="82" t="str">
        <f aca="false">IF(GF$2="","",IF(AND(GF27=GF$2,GG27=GG$2),3,IF(AND(GF$2&gt;GG$2,GF27&gt;GG27),1,IF(AND(GG$2&gt;GF$2,GG27&gt;GF27),1,IF(AND(GF$2=GG$2,GF27=GG27),1,0)))))</f>
        <v/>
      </c>
      <c r="GI27" s="1" t="n">
        <f aca="false">Participantes!DY26</f>
        <v>0</v>
      </c>
      <c r="GJ27" s="1" t="n">
        <f aca="false">Participantes!DZ26</f>
        <v>0</v>
      </c>
      <c r="GK27" s="82" t="str">
        <f aca="false">IF(GI$2="","",IF(AND(GI27=GI$2,GJ27=GJ$2),3,IF(AND(GI$2&gt;GJ$2,GI27&gt;GJ27),1,IF(AND(GJ$2&gt;GI$2,GJ27&gt;GI27),1,IF(AND(GI$2=GJ$2,GI27=GJ27),1,0)))))</f>
        <v/>
      </c>
      <c r="GL27" s="1" t="n">
        <f aca="false">Participantes!EA26</f>
        <v>0</v>
      </c>
      <c r="GM27" s="1" t="n">
        <f aca="false">Participantes!EB26</f>
        <v>0</v>
      </c>
      <c r="GN27" s="82" t="str">
        <f aca="false">IF(GL$2="","",IF(AND(GL27=GL$2,GM27=GM$2),3,IF(AND(GL$2&gt;GM$2,GL27&gt;GM27),1,IF(AND(GM$2&gt;GL$2,GM27&gt;GL27),1,IF(AND(GL$2=GM$2,GL27=GM27),1,0)))))</f>
        <v/>
      </c>
      <c r="GO27" s="1" t="n">
        <f aca="false">Participantes!EC26</f>
        <v>0</v>
      </c>
      <c r="GP27" s="1" t="n">
        <f aca="false">Participantes!ED26</f>
        <v>0</v>
      </c>
      <c r="GQ27" s="82" t="str">
        <f aca="false">IF(GO$2="","",IF(AND(GO27=GO$2,GP27=GP$2),3,IF(AND(GO$2&gt;GP$2,GO27&gt;GP27),1,IF(AND(GP$2&gt;GO$2,GP27&gt;GO27),1,IF(AND(GO$2=GP$2,GO27=GP27),1,0)))))</f>
        <v/>
      </c>
      <c r="GR27" s="1" t="n">
        <f aca="false">Participantes!EE26</f>
        <v>0</v>
      </c>
      <c r="GS27" s="1" t="n">
        <f aca="false">Participantes!EF26</f>
        <v>0</v>
      </c>
      <c r="GT27" s="82" t="str">
        <f aca="false">IF(GR$2="","",IF(AND(GR27=GR$2,GS27=GS$2),3,IF(AND(GR$2&gt;GS$2,GR27&gt;GS27),1,IF(AND(GS$2&gt;GR$2,GS27&gt;GR27),1,IF(AND(GR$2=GS$2,GR27=GS27),1,0)))))</f>
        <v/>
      </c>
      <c r="GU27" s="1" t="n">
        <f aca="false">Participantes!EG26</f>
        <v>0</v>
      </c>
      <c r="GV27" s="1" t="n">
        <f aca="false">Participantes!EH26</f>
        <v>0</v>
      </c>
      <c r="GW27" s="82" t="str">
        <f aca="false">IF(GU$2="","",IF(AND(GU27=GU$2,GV27=GV$2),3,IF(AND(GU$2&gt;GV$2,GU27&gt;GV27),1,IF(AND(GV$2&gt;GU$2,GV27&gt;GU27),1,IF(AND(GU$2=GV$2,GU27=GV27),1,0)))))</f>
        <v/>
      </c>
      <c r="GX27" s="1" t="n">
        <f aca="false">Participantes!EI26</f>
        <v>0</v>
      </c>
      <c r="GY27" s="1" t="n">
        <f aca="false">Participantes!EJ26</f>
        <v>0</v>
      </c>
      <c r="GZ27" s="82" t="str">
        <f aca="false">IF(GX$2="","",IF(AND(GX27=GX$2,GY27=GY$2),3,IF(AND(GX$2&gt;GY$2,GX27&gt;GY27),1,IF(AND(GY$2&gt;GX$2,GY27&gt;GX27),1,IF(AND(GX$2=GY$2,GX27=GY27),1,0)))))</f>
        <v/>
      </c>
      <c r="HA27" s="1" t="n">
        <f aca="false">Participantes!EK26</f>
        <v>0</v>
      </c>
      <c r="HB27" s="1" t="n">
        <f aca="false">Participantes!EL26</f>
        <v>0</v>
      </c>
      <c r="HC27" s="82" t="str">
        <f aca="false">IF(HA$2="","",IF(AND(HA27=HA$2,HB27=HB$2),3,IF(AND(HA$2&gt;HB$2,HA27&gt;HB27),1,IF(AND(HB$2&gt;HA$2,HB27&gt;HA27),1,IF(AND(HA$2=HB$2,HA27=HB27),1,0)))))</f>
        <v/>
      </c>
      <c r="HD27" s="1" t="n">
        <f aca="false">Participantes!EM26</f>
        <v>0</v>
      </c>
      <c r="HE27" s="1" t="n">
        <f aca="false">Participantes!EN26</f>
        <v>0</v>
      </c>
      <c r="HF27" s="82" t="str">
        <f aca="false">IF(HD$2="","",IF(AND(HD27=HD$2,HE27=HE$2),3,IF(AND(HD$2&gt;HE$2,HD27&gt;HE27),1,IF(AND(HE$2&gt;HD$2,HE27&gt;HD27),1,IF(AND(HD$2=HE$2,HD27=HE27),1,0)))))</f>
        <v/>
      </c>
      <c r="HG27" s="1" t="n">
        <f aca="false">Participantes!EO26</f>
        <v>0</v>
      </c>
      <c r="HH27" s="1" t="n">
        <f aca="false">Participantes!EP26</f>
        <v>0</v>
      </c>
      <c r="HI27" s="82" t="str">
        <f aca="false">IF(HG$2="","",IF(AND(HG27=HG$2,HH27=HH$2),3,IF(AND(HG$2&gt;HH$2,HG27&gt;HH27),1,IF(AND(HH$2&gt;HG$2,HH27&gt;HG27),1,IF(AND(HG$2=HH$2,HG27=HH27),1,0)))))</f>
        <v/>
      </c>
      <c r="HJ27" s="83" t="n">
        <f aca="false">SUM(D27,G27,J27,M27,P27,S27,V27,Y27,AB27,AE27,AH27,AK27,AN27,AQ27,AT27,AW27,AZ27,BC27,BF27,BI27,BL27,BO27,BR27,BU27,BX27,CA27,CD27,CG27,CJ27,CM27,CP27,CS27,CV27,CY27,DB27,DE27,DH27,DK27,DN27,DQ27,DT27,DW27,DZ27,EC27,EF27,EI27,EL27,EO27,ER27,EU27,EX27,FA27,FD27,FG27,FJ27,FM27,FP27,FS27,FV27,FY27,GB27,GE27,GH27,GK27,GN27,GQ27,GT27,GW27,GZ27,HC27,HF27,HI27)</f>
        <v>1</v>
      </c>
    </row>
    <row r="28" customFormat="false" ht="15" hidden="false" customHeight="true" outlineLevel="0" collapsed="false">
      <c r="A28" s="81" t="str">
        <f aca="false">Participantes!B27</f>
        <v>Kattia 2</v>
      </c>
      <c r="B28" s="1" t="n">
        <f aca="false">Participantes!C27</f>
        <v>2</v>
      </c>
      <c r="C28" s="1" t="n">
        <f aca="false">Participantes!D27</f>
        <v>0</v>
      </c>
      <c r="D28" s="82" t="n">
        <f aca="false">IF(B$2="","",IF(AND(B28=B$2,C28=C$2),3,IF(AND(B$2&gt;C$2,B28&gt;C28),1,IF(AND(C$2&gt;B$2,C28&gt;B28),1,IF(AND(B$2=C$2,B28=C28),1,0)))))</f>
        <v>3</v>
      </c>
      <c r="E28" s="1" t="n">
        <f aca="false">Participantes!E27</f>
        <v>1</v>
      </c>
      <c r="F28" s="1" t="n">
        <f aca="false">Participantes!F27</f>
        <v>1</v>
      </c>
      <c r="G28" s="82" t="str">
        <f aca="false">IF(E$2="","",IF(AND(E28=E$2,F28=F$2),3,IF(AND(E$2&gt;F$2,E28&gt;F28),1,IF(AND(F$2&gt;E$2,F28&gt;E28),1,IF(AND(E$2=F$2,E28=F28),1,0)))))</f>
        <v/>
      </c>
      <c r="H28" s="1" t="n">
        <f aca="false">Participantes!G27</f>
        <v>2</v>
      </c>
      <c r="I28" s="1" t="n">
        <f aca="false">Participantes!H27</f>
        <v>1</v>
      </c>
      <c r="J28" s="82" t="str">
        <f aca="false">IF(H$2="","",IF(AND(H28=H$2,I28=I$2),3,IF(AND(H$2&gt;I$2,H28&gt;I28),1,IF(AND(I$2&gt;H$2,I28&gt;H28),1,IF(AND(H$2=I$2,H28=I28),1,0)))))</f>
        <v/>
      </c>
      <c r="K28" s="1" t="n">
        <f aca="false">Participantes!I27</f>
        <v>2</v>
      </c>
      <c r="L28" s="1" t="n">
        <f aca="false">Participantes!J27</f>
        <v>1</v>
      </c>
      <c r="M28" s="82" t="str">
        <f aca="false">IF(K$2="","",IF(AND(K28=K$2,L28=L$2),3,IF(AND(K$2&gt;L$2,K28&gt;L28),1,IF(AND(L$2&gt;K$2,L28&gt;K28),1,IF(AND(K$2=L$2,K28=L28),1,0)))))</f>
        <v/>
      </c>
      <c r="N28" s="1" t="n">
        <f aca="false">Participantes!K27</f>
        <v>0</v>
      </c>
      <c r="O28" s="1" t="n">
        <f aca="false">Participantes!L27</f>
        <v>3</v>
      </c>
      <c r="P28" s="82" t="str">
        <f aca="false">IF(N$2="","",IF(AND(N28=N$2,O28=O$2),3,IF(AND(N$2&gt;O$2,N28&gt;O28),1,IF(AND(O$2&gt;N$2,O28&gt;N28),1,IF(AND(N$2=O$2,N28=O28),1,0)))))</f>
        <v/>
      </c>
      <c r="Q28" s="1" t="n">
        <f aca="false">Participantes!M27</f>
        <v>1</v>
      </c>
      <c r="R28" s="1" t="n">
        <f aca="false">Participantes!N27</f>
        <v>1</v>
      </c>
      <c r="S28" s="82" t="str">
        <f aca="false">IF(Q$2="","",IF(AND(Q28=Q$2,R28=R$2),3,IF(AND(Q$2&gt;R$2,Q28&gt;R28),1,IF(AND(R$2&gt;Q$2,R28&gt;Q28),1,IF(AND(Q$2=R$2,Q28=R28),1,0)))))</f>
        <v/>
      </c>
      <c r="T28" s="1" t="n">
        <f aca="false">Participantes!O27</f>
        <v>3</v>
      </c>
      <c r="U28" s="1" t="n">
        <f aca="false">Participantes!P27</f>
        <v>2</v>
      </c>
      <c r="V28" s="82" t="str">
        <f aca="false">IF(T$2="","",IF(AND(T28=T$2,U28=U$2),3,IF(AND(T$2&gt;U$2,T28&gt;U28),1,IF(AND(U$2&gt;T$2,U28&gt;T28),1,IF(AND(T$2=U$2,T28=U28),1,0)))))</f>
        <v/>
      </c>
      <c r="W28" s="1" t="n">
        <f aca="false">Participantes!Q27</f>
        <v>0</v>
      </c>
      <c r="X28" s="1" t="n">
        <f aca="false">Participantes!R27</f>
        <v>2</v>
      </c>
      <c r="Y28" s="82" t="str">
        <f aca="false">IF(W$2="","",IF(AND(W28=W$2,X28=X$2),3,IF(AND(W$2&gt;X$2,W28&gt;X28),1,IF(AND(X$2&gt;W$2,X28&gt;W28),1,IF(AND(W$2=X$2,W28=X28),1,0)))))</f>
        <v/>
      </c>
      <c r="Z28" s="1" t="n">
        <f aca="false">Participantes!S27</f>
        <v>2</v>
      </c>
      <c r="AA28" s="1" t="n">
        <f aca="false">Participantes!T27</f>
        <v>2</v>
      </c>
      <c r="AB28" s="82" t="str">
        <f aca="false">IF(Z$2="","",IF(AND(Z28=Z$2,AA28=AA$2),3,IF(AND(Z$2&gt;AA$2,Z28&gt;AA28),1,IF(AND(AA$2&gt;Z$2,AA28&gt;Z28),1,IF(AND(Z$2=AA$2,Z28=AA28),1,0)))))</f>
        <v/>
      </c>
      <c r="AC28" s="1" t="n">
        <f aca="false">Participantes!U27</f>
        <v>4</v>
      </c>
      <c r="AD28" s="1" t="n">
        <f aca="false">Participantes!V27</f>
        <v>0</v>
      </c>
      <c r="AE28" s="82" t="str">
        <f aca="false">IF(AC$2="","",IF(AND(AC28=AC$2,AD28=AD$2),3,IF(AND(AC$2&gt;AD$2,AC28&gt;AD28),1,IF(AND(AD$2&gt;AC$2,AD28&gt;AC28),1,IF(AND(AC$2=AD$2,AC28=AD28),1,0)))))</f>
        <v/>
      </c>
      <c r="AF28" s="1" t="n">
        <f aca="false">Participantes!W27</f>
        <v>2</v>
      </c>
      <c r="AG28" s="1" t="n">
        <f aca="false">Participantes!X27</f>
        <v>2</v>
      </c>
      <c r="AH28" s="82" t="str">
        <f aca="false">IF(AF$2="","",IF(AND(AF28=AF$2,AG28=AG$2),3,IF(AND(AF$2&gt;AG$2,AF28&gt;AG28),1,IF(AND(AG$2&gt;AF$2,AG28&gt;AF28),1,IF(AND(AF$2=AG$2,AF28=AG28),1,0)))))</f>
        <v/>
      </c>
      <c r="AI28" s="1" t="n">
        <f aca="false">Participantes!Y27</f>
        <v>2</v>
      </c>
      <c r="AJ28" s="1" t="n">
        <f aca="false">Participantes!Z27</f>
        <v>0</v>
      </c>
      <c r="AK28" s="82" t="str">
        <f aca="false">IF(AI$2="","",IF(AND(AI28=AI$2,AJ28=AJ$2),3,IF(AND(AI$2&gt;AJ$2,AI28&gt;AJ28),1,IF(AND(AJ$2&gt;AI$2,AJ28&gt;AI28),1,IF(AND(AI$2=AJ$2,AI28=AJ28),1,0)))))</f>
        <v/>
      </c>
      <c r="AL28" s="1" t="n">
        <f aca="false">Participantes!AA27</f>
        <v>0</v>
      </c>
      <c r="AM28" s="1" t="n">
        <f aca="false">Participantes!AB27</f>
        <v>2</v>
      </c>
      <c r="AN28" s="82" t="str">
        <f aca="false">IF(AL$2="","",IF(AND(AL28=AL$2,AM28=AM$2),3,IF(AND(AL$2&gt;AM$2,AL28&gt;AM28),1,IF(AND(AM$2&gt;AL$2,AM28&gt;AL28),1,IF(AND(AL$2=AM$2,AL28=AM28),1,0)))))</f>
        <v/>
      </c>
      <c r="AO28" s="1" t="n">
        <f aca="false">Participantes!AC27</f>
        <v>3</v>
      </c>
      <c r="AP28" s="1" t="n">
        <f aca="false">Participantes!AD27</f>
        <v>0</v>
      </c>
      <c r="AQ28" s="82" t="str">
        <f aca="false">IF(AO$2="","",IF(AND(AO28=AO$2,AP28=AP$2),3,IF(AND(AO$2&gt;AP$2,AO28&gt;AP28),1,IF(AND(AP$2&gt;AO$2,AP28&gt;AO28),1,IF(AND(AO$2=AP$2,AO28=AP28),1,0)))))</f>
        <v/>
      </c>
      <c r="AR28" s="1" t="n">
        <f aca="false">Participantes!AE27</f>
        <v>0</v>
      </c>
      <c r="AS28" s="1" t="n">
        <f aca="false">Participantes!AF27</f>
        <v>0</v>
      </c>
      <c r="AT28" s="82" t="str">
        <f aca="false">IF(AR$2="","",IF(AND(AR28=AR$2,AS28=AS$2),3,IF(AND(AR$2&gt;AS$2,AR28&gt;AS28),1,IF(AND(AS$2&gt;AR$2,AS28&gt;AR28),1,IF(AND(AR$2=AS$2,AR28=AS28),1,0)))))</f>
        <v/>
      </c>
      <c r="AU28" s="1" t="n">
        <f aca="false">Participantes!AG27</f>
        <v>0</v>
      </c>
      <c r="AV28" s="1" t="n">
        <f aca="false">Participantes!AH27</f>
        <v>0</v>
      </c>
      <c r="AW28" s="82" t="str">
        <f aca="false">IF(AU$2="","",IF(AND(AU28=AU$2,AV28=AV$2),3,IF(AND(AU$2&gt;AV$2,AU28&gt;AV28),1,IF(AND(AV$2&gt;AU$2,AV28&gt;AU28),1,IF(AND(AU$2=AV$2,AU28=AV28),1,0)))))</f>
        <v/>
      </c>
      <c r="AX28" s="1" t="n">
        <f aca="false">Participantes!AI27</f>
        <v>0</v>
      </c>
      <c r="AY28" s="1" t="n">
        <f aca="false">Participantes!AJ27</f>
        <v>0</v>
      </c>
      <c r="AZ28" s="82" t="str">
        <f aca="false">IF(AX$2="","",IF(AND(AX28=AX$2,AY28=AY$2),3,IF(AND(AX$2&gt;AY$2,AX28&gt;AY28),1,IF(AND(AY$2&gt;AX$2,AY28&gt;AX28),1,IF(AND(AX$2=AY$2,AX28=AY28),1,0)))))</f>
        <v/>
      </c>
      <c r="BA28" s="1" t="n">
        <f aca="false">Participantes!AK27</f>
        <v>0</v>
      </c>
      <c r="BB28" s="1" t="n">
        <f aca="false">Participantes!AL27</f>
        <v>0</v>
      </c>
      <c r="BC28" s="82" t="str">
        <f aca="false">IF(BA$2="","",IF(AND(BA28=BA$2,BB28=BB$2),3,IF(AND(BA$2&gt;BB$2,BA28&gt;BB28),1,IF(AND(BB$2&gt;BA$2,BB28&gt;BA28),1,IF(AND(BA$2=BB$2,BA28=BB28),1,0)))))</f>
        <v/>
      </c>
      <c r="BD28" s="1" t="n">
        <f aca="false">Participantes!AM27</f>
        <v>0</v>
      </c>
      <c r="BE28" s="1" t="n">
        <f aca="false">Participantes!AN27</f>
        <v>0</v>
      </c>
      <c r="BF28" s="82" t="str">
        <f aca="false">IF(BD$2="","",IF(AND(BD28=BD$2,BE28=BE$2),3,IF(AND(BD$2&gt;BE$2,BD28&gt;BE28),1,IF(AND(BE$2&gt;BD$2,BE28&gt;BD28),1,IF(AND(BD$2=BE$2,BD28=BE28),1,0)))))</f>
        <v/>
      </c>
      <c r="BG28" s="1" t="n">
        <f aca="false">Participantes!AO27</f>
        <v>0</v>
      </c>
      <c r="BH28" s="1" t="n">
        <f aca="false">Participantes!AP27</f>
        <v>0</v>
      </c>
      <c r="BI28" s="82" t="str">
        <f aca="false">IF(BG$2="","",IF(AND(BG28=BG$2,BH28=BH$2),3,IF(AND(BG$2&gt;BH$2,BG28&gt;BH28),1,IF(AND(BH$2&gt;BG$2,BH28&gt;BG28),1,IF(AND(BG$2=BH$2,BG28=BH28),1,0)))))</f>
        <v/>
      </c>
      <c r="BJ28" s="1" t="n">
        <f aca="false">Participantes!AQ27</f>
        <v>0</v>
      </c>
      <c r="BK28" s="1" t="n">
        <f aca="false">Participantes!AR27</f>
        <v>0</v>
      </c>
      <c r="BL28" s="82" t="str">
        <f aca="false">IF(BJ$2="","",IF(AND(BJ28=BJ$2,BK28=BK$2),3,IF(AND(BJ$2&gt;BK$2,BJ28&gt;BK28),1,IF(AND(BK$2&gt;BJ$2,BK28&gt;BJ28),1,IF(AND(BJ$2=BK$2,BJ28=BK28),1,0)))))</f>
        <v/>
      </c>
      <c r="BM28" s="1" t="n">
        <f aca="false">Participantes!AS27</f>
        <v>0</v>
      </c>
      <c r="BN28" s="1" t="n">
        <f aca="false">Participantes!AT27</f>
        <v>0</v>
      </c>
      <c r="BO28" s="82" t="str">
        <f aca="false">IF(BM$2="","",IF(AND(BM28=BM$2,BN28=BN$2),3,IF(AND(BM$2&gt;BN$2,BM28&gt;BN28),1,IF(AND(BN$2&gt;BM$2,BN28&gt;BM28),1,IF(AND(BM$2=BN$2,BM28=BN28),1,0)))))</f>
        <v/>
      </c>
      <c r="BP28" s="1" t="n">
        <f aca="false">Participantes!AU27</f>
        <v>0</v>
      </c>
      <c r="BQ28" s="1" t="n">
        <f aca="false">Participantes!AV27</f>
        <v>0</v>
      </c>
      <c r="BR28" s="82" t="str">
        <f aca="false">IF(BP$2="","",IF(AND(BP28=BP$2,BQ28=BQ$2),3,IF(AND(BP$2&gt;BQ$2,BP28&gt;BQ28),1,IF(AND(BQ$2&gt;BP$2,BQ28&gt;BP28),1,IF(AND(BP$2=BQ$2,BP28=BQ28),1,0)))))</f>
        <v/>
      </c>
      <c r="BS28" s="1" t="n">
        <f aca="false">Participantes!AW27</f>
        <v>0</v>
      </c>
      <c r="BT28" s="1" t="n">
        <f aca="false">Participantes!AX27</f>
        <v>0</v>
      </c>
      <c r="BU28" s="82" t="str">
        <f aca="false">IF(BS$2="","",IF(AND(BS28=BS$2,BT28=BT$2),3,IF(AND(BS$2&gt;BT$2,BS28&gt;BT28),1,IF(AND(BT$2&gt;BS$2,BT28&gt;BS28),1,IF(AND(BS$2=BT$2,BS28=BT28),1,0)))))</f>
        <v/>
      </c>
      <c r="BV28" s="1" t="n">
        <f aca="false">Participantes!AY27</f>
        <v>0</v>
      </c>
      <c r="BW28" s="1" t="n">
        <f aca="false">Participantes!AZ27</f>
        <v>0</v>
      </c>
      <c r="BX28" s="82" t="str">
        <f aca="false">IF(BV$2="","",IF(AND(BV28=BV$2,BW28=BW$2),3,IF(AND(BV$2&gt;BW$2,BV28&gt;BW28),1,IF(AND(BW$2&gt;BV$2,BW28&gt;BV28),1,IF(AND(BV$2=BW$2,BV28=BW28),1,0)))))</f>
        <v/>
      </c>
      <c r="BY28" s="1" t="n">
        <f aca="false">Participantes!BA27</f>
        <v>0</v>
      </c>
      <c r="BZ28" s="1" t="n">
        <f aca="false">Participantes!BB27</f>
        <v>0</v>
      </c>
      <c r="CA28" s="82" t="str">
        <f aca="false">IF(BY$2="","",IF(AND(BY28=BY$2,BZ28=BZ$2),3,IF(AND(BY$2&gt;BZ$2,BY28&gt;BZ28),1,IF(AND(BZ$2&gt;BY$2,BZ28&gt;BY28),1,IF(AND(BY$2=BZ$2,BY28=BZ28),1,0)))))</f>
        <v/>
      </c>
      <c r="CB28" s="1" t="n">
        <f aca="false">Participantes!BC27</f>
        <v>0</v>
      </c>
      <c r="CC28" s="1" t="n">
        <f aca="false">Participantes!BD27</f>
        <v>0</v>
      </c>
      <c r="CD28" s="82" t="str">
        <f aca="false">IF(CB$2="","",IF(AND(CB28=CB$2,CC28=CC$2),3,IF(AND(CB$2&gt;CC$2,CB28&gt;CC28),1,IF(AND(CC$2&gt;CB$2,CC28&gt;CB28),1,IF(AND(CB$2=CC$2,CB28=CC28),1,0)))))</f>
        <v/>
      </c>
      <c r="CE28" s="1" t="n">
        <f aca="false">Participantes!BE27</f>
        <v>0</v>
      </c>
      <c r="CF28" s="1" t="n">
        <f aca="false">Participantes!BF27</f>
        <v>0</v>
      </c>
      <c r="CG28" s="82" t="str">
        <f aca="false">IF(CE$2="","",IF(AND(CE28=CE$2,CF28=CF$2),3,IF(AND(CE$2&gt;CF$2,CE28&gt;CF28),1,IF(AND(CF$2&gt;CE$2,CF28&gt;CE28),1,IF(AND(CE$2=CF$2,CE28=CF28),1,0)))))</f>
        <v/>
      </c>
      <c r="CH28" s="1" t="n">
        <f aca="false">Participantes!BG27</f>
        <v>0</v>
      </c>
      <c r="CI28" s="1" t="n">
        <f aca="false">Participantes!BH27</f>
        <v>0</v>
      </c>
      <c r="CJ28" s="82" t="str">
        <f aca="false">IF(CH$2="","",IF(AND(CH28=CH$2,CI28=CI$2),3,IF(AND(CH$2&gt;CI$2,CH28&gt;CI28),1,IF(AND(CI$2&gt;CH$2,CI28&gt;CH28),1,IF(AND(CH$2=CI$2,CH28=CI28),1,0)))))</f>
        <v/>
      </c>
      <c r="CK28" s="1" t="n">
        <f aca="false">Participantes!BI27</f>
        <v>0</v>
      </c>
      <c r="CL28" s="1" t="n">
        <f aca="false">Participantes!BJ27</f>
        <v>0</v>
      </c>
      <c r="CM28" s="82" t="str">
        <f aca="false">IF(CK$2="","",IF(AND(CK28=CK$2,CL28=CL$2),3,IF(AND(CK$2&gt;CL$2,CK28&gt;CL28),1,IF(AND(CL$2&gt;CK$2,CL28&gt;CK28),1,IF(AND(CK$2=CL$2,CK28=CL28),1,0)))))</f>
        <v/>
      </c>
      <c r="CN28" s="1" t="n">
        <f aca="false">Participantes!BK27</f>
        <v>0</v>
      </c>
      <c r="CO28" s="1" t="n">
        <f aca="false">Participantes!BL27</f>
        <v>0</v>
      </c>
      <c r="CP28" s="82" t="str">
        <f aca="false">IF(CN$2="","",IF(AND(CN28=CN$2,CO28=CO$2),3,IF(AND(CN$2&gt;CO$2,CN28&gt;CO28),1,IF(AND(CO$2&gt;CN$2,CO28&gt;CN28),1,IF(AND(CN$2=CO$2,CN28=CO28),1,0)))))</f>
        <v/>
      </c>
      <c r="CQ28" s="1" t="n">
        <f aca="false">Participantes!BM27</f>
        <v>0</v>
      </c>
      <c r="CR28" s="1" t="n">
        <f aca="false">Participantes!BN27</f>
        <v>0</v>
      </c>
      <c r="CS28" s="82" t="str">
        <f aca="false">IF(CQ$2="","",IF(AND(CQ28=CQ$2,CR28=CR$2),3,IF(AND(CQ$2&gt;CR$2,CQ28&gt;CR28),1,IF(AND(CR$2&gt;CQ$2,CR28&gt;CQ28),1,IF(AND(CQ$2=CR$2,CQ28=CR28),1,0)))))</f>
        <v/>
      </c>
      <c r="CT28" s="1" t="n">
        <f aca="false">Participantes!BO27</f>
        <v>0</v>
      </c>
      <c r="CU28" s="1" t="n">
        <f aca="false">Participantes!BP27</f>
        <v>0</v>
      </c>
      <c r="CV28" s="82" t="str">
        <f aca="false">IF(CT$2="","",IF(AND(CT28=CT$2,CU28=CU$2),3,IF(AND(CT$2&gt;CU$2,CT28&gt;CU28),1,IF(AND(CU$2&gt;CT$2,CU28&gt;CT28),1,IF(AND(CT$2=CU$2,CT28=CU28),1,0)))))</f>
        <v/>
      </c>
      <c r="CW28" s="1" t="n">
        <f aca="false">Participantes!BQ27</f>
        <v>0</v>
      </c>
      <c r="CX28" s="1" t="n">
        <f aca="false">Participantes!BR27</f>
        <v>0</v>
      </c>
      <c r="CY28" s="82" t="str">
        <f aca="false">IF(CW$2="","",IF(AND(CW28=CW$2,CX28=CX$2),3,IF(AND(CW$2&gt;CX$2,CW28&gt;CX28),1,IF(AND(CX$2&gt;CW$2,CX28&gt;CW28),1,IF(AND(CW$2=CX$2,CW28=CX28),1,0)))))</f>
        <v/>
      </c>
      <c r="CZ28" s="1" t="n">
        <f aca="false">Participantes!BS27</f>
        <v>0</v>
      </c>
      <c r="DA28" s="1" t="n">
        <f aca="false">Participantes!BT27</f>
        <v>0</v>
      </c>
      <c r="DB28" s="82" t="str">
        <f aca="false">IF(CZ$2="","",IF(AND(CZ28=CZ$2,DA28=DA$2),3,IF(AND(CZ$2&gt;DA$2,CZ28&gt;DA28),1,IF(AND(DA$2&gt;CZ$2,DA28&gt;CZ28),1,IF(AND(CZ$2=DA$2,CZ28=DA28),1,0)))))</f>
        <v/>
      </c>
      <c r="DC28" s="1" t="n">
        <f aca="false">Participantes!BU27</f>
        <v>0</v>
      </c>
      <c r="DD28" s="1" t="n">
        <f aca="false">Participantes!BV27</f>
        <v>0</v>
      </c>
      <c r="DE28" s="82" t="str">
        <f aca="false">IF(DC$2="","",IF(AND(DC28=DC$2,DD28=DD$2),3,IF(AND(DC$2&gt;DD$2,DC28&gt;DD28),1,IF(AND(DD$2&gt;DC$2,DD28&gt;DC28),1,IF(AND(DC$2=DD$2,DC28=DD28),1,0)))))</f>
        <v/>
      </c>
      <c r="DF28" s="1" t="n">
        <f aca="false">Participantes!BW27</f>
        <v>0</v>
      </c>
      <c r="DG28" s="1" t="n">
        <f aca="false">Participantes!BX27</f>
        <v>0</v>
      </c>
      <c r="DH28" s="82" t="str">
        <f aca="false">IF(DF$2="","",IF(AND(DF28=DF$2,DG28=DG$2),3,IF(AND(DF$2&gt;DG$2,DF28&gt;DG28),1,IF(AND(DG$2&gt;DF$2,DG28&gt;DF28),1,IF(AND(DF$2=DG$2,DF28=DG28),1,0)))))</f>
        <v/>
      </c>
      <c r="DI28" s="1" t="n">
        <f aca="false">Participantes!BY27</f>
        <v>0</v>
      </c>
      <c r="DJ28" s="1" t="n">
        <f aca="false">Participantes!BZ27</f>
        <v>0</v>
      </c>
      <c r="DK28" s="82" t="str">
        <f aca="false">IF(DI$2="","",IF(AND(DI28=DI$2,DJ28=DJ$2),3,IF(AND(DI$2&gt;DJ$2,DI28&gt;DJ28),1,IF(AND(DJ$2&gt;DI$2,DJ28&gt;DI28),1,IF(AND(DI$2=DJ$2,DI28=DJ28),1,0)))))</f>
        <v/>
      </c>
      <c r="DL28" s="1" t="n">
        <f aca="false">Participantes!CA27</f>
        <v>0</v>
      </c>
      <c r="DM28" s="1" t="n">
        <f aca="false">Participantes!CB27</f>
        <v>0</v>
      </c>
      <c r="DN28" s="82" t="str">
        <f aca="false">IF(DL$2="","",IF(AND(DL28=DL$2,DM28=DM$2),3,IF(AND(DL$2&gt;DM$2,DL28&gt;DM28),1,IF(AND(DM$2&gt;DL$2,DM28&gt;DL28),1,IF(AND(DL$2=DM$2,DL28=DM28),1,0)))))</f>
        <v/>
      </c>
      <c r="DO28" s="1" t="n">
        <f aca="false">Participantes!CC27</f>
        <v>0</v>
      </c>
      <c r="DP28" s="1" t="n">
        <f aca="false">Participantes!CD27</f>
        <v>0</v>
      </c>
      <c r="DQ28" s="82" t="str">
        <f aca="false">IF(DO$2="","",IF(AND(DO28=DO$2,DP28=DP$2),3,IF(AND(DO$2&gt;DP$2,DO28&gt;DP28),1,IF(AND(DP$2&gt;DO$2,DP28&gt;DO28),1,IF(AND(DO$2=DP$2,DO28=DP28),1,0)))))</f>
        <v/>
      </c>
      <c r="DR28" s="1" t="n">
        <f aca="false">Participantes!CE27</f>
        <v>0</v>
      </c>
      <c r="DS28" s="1" t="n">
        <f aca="false">Participantes!CF27</f>
        <v>0</v>
      </c>
      <c r="DT28" s="82" t="str">
        <f aca="false">IF(DR$2="","",IF(AND(DR28=DR$2,DS28=DS$2),3,IF(AND(DR$2&gt;DS$2,DR28&gt;DS28),1,IF(AND(DS$2&gt;DR$2,DS28&gt;DR28),1,IF(AND(DR$2=DS$2,DR28=DS28),1,0)))))</f>
        <v/>
      </c>
      <c r="DU28" s="1" t="n">
        <f aca="false">Participantes!CG27</f>
        <v>0</v>
      </c>
      <c r="DV28" s="1" t="n">
        <f aca="false">Participantes!CH27</f>
        <v>0</v>
      </c>
      <c r="DW28" s="82" t="str">
        <f aca="false">IF(DU$2="","",IF(AND(DU28=DU$2,DV28=DV$2),3,IF(AND(DU$2&gt;DV$2,DU28&gt;DV28),1,IF(AND(DV$2&gt;DU$2,DV28&gt;DU28),1,IF(AND(DU$2=DV$2,DU28=DV28),1,0)))))</f>
        <v/>
      </c>
      <c r="DX28" s="1" t="n">
        <f aca="false">Participantes!CI27</f>
        <v>0</v>
      </c>
      <c r="DY28" s="1" t="n">
        <f aca="false">Participantes!CJ27</f>
        <v>0</v>
      </c>
      <c r="DZ28" s="82" t="str">
        <f aca="false">IF(DX$2="","",IF(AND(DX28=DX$2,DY28=DY$2),3,IF(AND(DX$2&gt;DY$2,DX28&gt;DY28),1,IF(AND(DY$2&gt;DX$2,DY28&gt;DX28),1,IF(AND(DX$2=DY$2,DX28=DY28),1,0)))))</f>
        <v/>
      </c>
      <c r="EA28" s="1" t="n">
        <f aca="false">Participantes!CK27</f>
        <v>0</v>
      </c>
      <c r="EB28" s="1" t="n">
        <f aca="false">Participantes!CL27</f>
        <v>0</v>
      </c>
      <c r="EC28" s="82" t="str">
        <f aca="false">IF(EA$2="","",IF(AND(EA28=EA$2,EB28=EB$2),3,IF(AND(EA$2&gt;EB$2,EA28&gt;EB28),1,IF(AND(EB$2&gt;EA$2,EB28&gt;EA28),1,IF(AND(EA$2=EB$2,EA28=EB28),1,0)))))</f>
        <v/>
      </c>
      <c r="ED28" s="1" t="n">
        <f aca="false">Participantes!CM27</f>
        <v>0</v>
      </c>
      <c r="EE28" s="1" t="n">
        <f aca="false">Participantes!CN27</f>
        <v>0</v>
      </c>
      <c r="EF28" s="82" t="str">
        <f aca="false">IF(ED$2="","",IF(AND(ED28=ED$2,EE28=EE$2),3,IF(AND(ED$2&gt;EE$2,ED28&gt;EE28),1,IF(AND(EE$2&gt;ED$2,EE28&gt;ED28),1,IF(AND(ED$2=EE$2,ED28=EE28),1,0)))))</f>
        <v/>
      </c>
      <c r="EG28" s="1" t="n">
        <f aca="false">Participantes!CO27</f>
        <v>0</v>
      </c>
      <c r="EH28" s="1" t="n">
        <f aca="false">Participantes!CP27</f>
        <v>0</v>
      </c>
      <c r="EI28" s="82" t="str">
        <f aca="false">IF(EG$2="","",IF(AND(EG28=EG$2,EH28=EH$2),3,IF(AND(EG$2&gt;EH$2,EG28&gt;EH28),1,IF(AND(EH$2&gt;EG$2,EH28&gt;EG28),1,IF(AND(EG$2=EH$2,EG28=EH28),1,0)))))</f>
        <v/>
      </c>
      <c r="EJ28" s="1" t="n">
        <f aca="false">Participantes!CQ27</f>
        <v>0</v>
      </c>
      <c r="EK28" s="1" t="n">
        <f aca="false">Participantes!CR27</f>
        <v>0</v>
      </c>
      <c r="EL28" s="82" t="str">
        <f aca="false">IF(EJ$2="","",IF(AND(EJ28=EJ$2,EK28=EK$2),3,IF(AND(EJ$2&gt;EK$2,EJ28&gt;EK28),1,IF(AND(EK$2&gt;EJ$2,EK28&gt;EJ28),1,IF(AND(EJ$2=EK$2,EJ28=EK28),1,0)))))</f>
        <v/>
      </c>
      <c r="EM28" s="1" t="n">
        <f aca="false">Participantes!CS27</f>
        <v>0</v>
      </c>
      <c r="EN28" s="1" t="n">
        <f aca="false">Participantes!CT27</f>
        <v>0</v>
      </c>
      <c r="EO28" s="82" t="str">
        <f aca="false">IF(EM$2="","",IF(AND(EM28=EM$2,EN28=EN$2),3,IF(AND(EM$2&gt;EN$2,EM28&gt;EN28),1,IF(AND(EN$2&gt;EM$2,EN28&gt;EM28),1,IF(AND(EM$2=EN$2,EM28=EN28),1,0)))))</f>
        <v/>
      </c>
      <c r="EP28" s="1" t="n">
        <f aca="false">Participantes!CU27</f>
        <v>0</v>
      </c>
      <c r="EQ28" s="1" t="n">
        <f aca="false">Participantes!CV27</f>
        <v>0</v>
      </c>
      <c r="ER28" s="82" t="str">
        <f aca="false">IF(EP$2="","",IF(AND(EP28=EP$2,EQ28=EQ$2),3,IF(AND(EP$2&gt;EQ$2,EP28&gt;EQ28),1,IF(AND(EQ$2&gt;EP$2,EQ28&gt;EP28),1,IF(AND(EP$2=EQ$2,EP28=EQ28),1,0)))))</f>
        <v/>
      </c>
      <c r="ES28" s="1" t="n">
        <f aca="false">Participantes!CW27</f>
        <v>0</v>
      </c>
      <c r="ET28" s="1" t="n">
        <f aca="false">Participantes!CX27</f>
        <v>0</v>
      </c>
      <c r="EU28" s="82" t="str">
        <f aca="false">IF(ES$2="","",IF(AND(ES28=ES$2,ET28=ET$2),3,IF(AND(ES$2&gt;ET$2,ES28&gt;ET28),1,IF(AND(ET$2&gt;ES$2,ET28&gt;ES28),1,IF(AND(ES$2=ET$2,ES28=ET28),1,0)))))</f>
        <v/>
      </c>
      <c r="EV28" s="1" t="n">
        <f aca="false">Participantes!CY27</f>
        <v>0</v>
      </c>
      <c r="EW28" s="1" t="n">
        <f aca="false">Participantes!CZ27</f>
        <v>0</v>
      </c>
      <c r="EX28" s="82" t="str">
        <f aca="false">IF(EV$2="","",IF(AND(EV28=EV$2,EW28=EW$2),3,IF(AND(EV$2&gt;EW$2,EV28&gt;EW28),1,IF(AND(EW$2&gt;EV$2,EW28&gt;EV28),1,IF(AND(EV$2=EW$2,EV28=EW28),1,0)))))</f>
        <v/>
      </c>
      <c r="EY28" s="1" t="n">
        <f aca="false">Participantes!DA27</f>
        <v>0</v>
      </c>
      <c r="EZ28" s="1" t="n">
        <f aca="false">Participantes!DB27</f>
        <v>0</v>
      </c>
      <c r="FA28" s="82" t="str">
        <f aca="false">IF(EY$2="","",IF(AND(EY28=EY$2,EZ28=EZ$2),3,IF(AND(EY$2&gt;EZ$2,EY28&gt;EZ28),1,IF(AND(EZ$2&gt;EY$2,EZ28&gt;EY28),1,IF(AND(EY$2=EZ$2,EY28=EZ28),1,0)))))</f>
        <v/>
      </c>
      <c r="FB28" s="1" t="n">
        <f aca="false">Participantes!DC27</f>
        <v>0</v>
      </c>
      <c r="FC28" s="1" t="n">
        <f aca="false">Participantes!DD27</f>
        <v>0</v>
      </c>
      <c r="FD28" s="82" t="str">
        <f aca="false">IF(FB$2="","",IF(AND(FB28=FB$2,FC28=FC$2),3,IF(AND(FB$2&gt;FC$2,FB28&gt;FC28),1,IF(AND(FC$2&gt;FB$2,FC28&gt;FB28),1,IF(AND(FB$2=FC$2,FB28=FC28),1,0)))))</f>
        <v/>
      </c>
      <c r="FE28" s="1" t="n">
        <f aca="false">Participantes!DE27</f>
        <v>0</v>
      </c>
      <c r="FF28" s="1" t="n">
        <f aca="false">Participantes!DF27</f>
        <v>0</v>
      </c>
      <c r="FG28" s="82" t="str">
        <f aca="false">IF(FE$2="","",IF(AND(FE28=FE$2,FF28=FF$2),3,IF(AND(FE$2&gt;FF$2,FE28&gt;FF28),1,IF(AND(FF$2&gt;FE$2,FF28&gt;FE28),1,IF(AND(FE$2=FF$2,FE28=FF28),1,0)))))</f>
        <v/>
      </c>
      <c r="FH28" s="1" t="n">
        <f aca="false">Participantes!DG27</f>
        <v>0</v>
      </c>
      <c r="FI28" s="1" t="n">
        <f aca="false">Participantes!DH27</f>
        <v>0</v>
      </c>
      <c r="FJ28" s="82" t="str">
        <f aca="false">IF(FH$2="","",IF(AND(FH28=FH$2,FI28=FI$2),3,IF(AND(FH$2&gt;FI$2,FH28&gt;FI28),1,IF(AND(FI$2&gt;FH$2,FI28&gt;FH28),1,IF(AND(FH$2=FI$2,FH28=FI28),1,0)))))</f>
        <v/>
      </c>
      <c r="FK28" s="1" t="n">
        <f aca="false">Participantes!DI27</f>
        <v>0</v>
      </c>
      <c r="FL28" s="1" t="n">
        <f aca="false">Participantes!DJ27</f>
        <v>0</v>
      </c>
      <c r="FM28" s="82" t="str">
        <f aca="false">IF(FK$2="","",IF(AND(FK28=FK$2,FL28=FL$2),3,IF(AND(FK$2&gt;FL$2,FK28&gt;FL28),1,IF(AND(FL$2&gt;FK$2,FL28&gt;FK28),1,IF(AND(FK$2=FL$2,FK28=FL28),1,0)))))</f>
        <v/>
      </c>
      <c r="FN28" s="1" t="n">
        <f aca="false">Participantes!DK27</f>
        <v>0</v>
      </c>
      <c r="FO28" s="1" t="n">
        <f aca="false">Participantes!DL27</f>
        <v>0</v>
      </c>
      <c r="FP28" s="82" t="str">
        <f aca="false">IF(FN$2="","",IF(AND(FN28=FN$2,FO28=FO$2),3,IF(AND(FN$2&gt;FO$2,FN28&gt;FO28),1,IF(AND(FO$2&gt;FN$2,FO28&gt;FN28),1,IF(AND(FN$2=FO$2,FN28=FO28),1,0)))))</f>
        <v/>
      </c>
      <c r="FQ28" s="1" t="n">
        <f aca="false">Participantes!DM27</f>
        <v>0</v>
      </c>
      <c r="FR28" s="1" t="n">
        <f aca="false">Participantes!DN27</f>
        <v>0</v>
      </c>
      <c r="FS28" s="82" t="str">
        <f aca="false">IF(FQ$2="","",IF(AND(FQ28=FQ$2,FR28=FR$2),3,IF(AND(FQ$2&gt;FR$2,FQ28&gt;FR28),1,IF(AND(FR$2&gt;FQ$2,FR28&gt;FQ28),1,IF(AND(FQ$2=FR$2,FQ28=FR28),1,0)))))</f>
        <v/>
      </c>
      <c r="FT28" s="1" t="n">
        <f aca="false">Participantes!DO27</f>
        <v>0</v>
      </c>
      <c r="FU28" s="1" t="n">
        <f aca="false">Participantes!DP27</f>
        <v>0</v>
      </c>
      <c r="FV28" s="82" t="str">
        <f aca="false">IF(FT$2="","",IF(AND(FT28=FT$2,FU28=FU$2),3,IF(AND(FT$2&gt;FU$2,FT28&gt;FU28),1,IF(AND(FU$2&gt;FT$2,FU28&gt;FT28),1,IF(AND(FT$2=FU$2,FT28=FU28),1,0)))))</f>
        <v/>
      </c>
      <c r="FW28" s="1" t="n">
        <f aca="false">Participantes!DQ27</f>
        <v>0</v>
      </c>
      <c r="FX28" s="1" t="n">
        <f aca="false">Participantes!DR27</f>
        <v>0</v>
      </c>
      <c r="FY28" s="82" t="str">
        <f aca="false">IF(FW$2="","",IF(AND(FW28=FW$2,FX28=FX$2),3,IF(AND(FW$2&gt;FX$2,FW28&gt;FX28),1,IF(AND(FX$2&gt;FW$2,FX28&gt;FW28),1,IF(AND(FW$2=FX$2,FW28=FX28),1,0)))))</f>
        <v/>
      </c>
      <c r="FZ28" s="1" t="n">
        <f aca="false">Participantes!DS27</f>
        <v>0</v>
      </c>
      <c r="GA28" s="1" t="n">
        <f aca="false">Participantes!DT27</f>
        <v>0</v>
      </c>
      <c r="GB28" s="82" t="str">
        <f aca="false">IF(FZ$2="","",IF(AND(FZ28=FZ$2,GA28=GA$2),3,IF(AND(FZ$2&gt;GA$2,FZ28&gt;GA28),1,IF(AND(GA$2&gt;FZ$2,GA28&gt;FZ28),1,IF(AND(FZ$2=GA$2,FZ28=GA28),1,0)))))</f>
        <v/>
      </c>
      <c r="GC28" s="1" t="n">
        <f aca="false">Participantes!DU27</f>
        <v>0</v>
      </c>
      <c r="GD28" s="1" t="n">
        <f aca="false">Participantes!DV27</f>
        <v>0</v>
      </c>
      <c r="GE28" s="82" t="str">
        <f aca="false">IF(GC$2="","",IF(AND(GC28=GC$2,GD28=GD$2),3,IF(AND(GC$2&gt;GD$2,GC28&gt;GD28),1,IF(AND(GD$2&gt;GC$2,GD28&gt;GC28),1,IF(AND(GC$2=GD$2,GC28=GD28),1,0)))))</f>
        <v/>
      </c>
      <c r="GF28" s="1" t="n">
        <f aca="false">Participantes!DW27</f>
        <v>0</v>
      </c>
      <c r="GG28" s="1" t="n">
        <f aca="false">Participantes!DX27</f>
        <v>0</v>
      </c>
      <c r="GH28" s="82" t="str">
        <f aca="false">IF(GF$2="","",IF(AND(GF28=GF$2,GG28=GG$2),3,IF(AND(GF$2&gt;GG$2,GF28&gt;GG28),1,IF(AND(GG$2&gt;GF$2,GG28&gt;GF28),1,IF(AND(GF$2=GG$2,GF28=GG28),1,0)))))</f>
        <v/>
      </c>
      <c r="GI28" s="1" t="n">
        <f aca="false">Participantes!DY27</f>
        <v>0</v>
      </c>
      <c r="GJ28" s="1" t="n">
        <f aca="false">Participantes!DZ27</f>
        <v>0</v>
      </c>
      <c r="GK28" s="82" t="str">
        <f aca="false">IF(GI$2="","",IF(AND(GI28=GI$2,GJ28=GJ$2),3,IF(AND(GI$2&gt;GJ$2,GI28&gt;GJ28),1,IF(AND(GJ$2&gt;GI$2,GJ28&gt;GI28),1,IF(AND(GI$2=GJ$2,GI28=GJ28),1,0)))))</f>
        <v/>
      </c>
      <c r="GL28" s="1" t="n">
        <f aca="false">Participantes!EA27</f>
        <v>0</v>
      </c>
      <c r="GM28" s="1" t="n">
        <f aca="false">Participantes!EB27</f>
        <v>0</v>
      </c>
      <c r="GN28" s="82" t="str">
        <f aca="false">IF(GL$2="","",IF(AND(GL28=GL$2,GM28=GM$2),3,IF(AND(GL$2&gt;GM$2,GL28&gt;GM28),1,IF(AND(GM$2&gt;GL$2,GM28&gt;GL28),1,IF(AND(GL$2=GM$2,GL28=GM28),1,0)))))</f>
        <v/>
      </c>
      <c r="GO28" s="1" t="n">
        <f aca="false">Participantes!EC27</f>
        <v>0</v>
      </c>
      <c r="GP28" s="1" t="n">
        <f aca="false">Participantes!ED27</f>
        <v>0</v>
      </c>
      <c r="GQ28" s="82" t="str">
        <f aca="false">IF(GO$2="","",IF(AND(GO28=GO$2,GP28=GP$2),3,IF(AND(GO$2&gt;GP$2,GO28&gt;GP28),1,IF(AND(GP$2&gt;GO$2,GP28&gt;GO28),1,IF(AND(GO$2=GP$2,GO28=GP28),1,0)))))</f>
        <v/>
      </c>
      <c r="GR28" s="1" t="n">
        <f aca="false">Participantes!EE27</f>
        <v>0</v>
      </c>
      <c r="GS28" s="1" t="n">
        <f aca="false">Participantes!EF27</f>
        <v>0</v>
      </c>
      <c r="GT28" s="82" t="str">
        <f aca="false">IF(GR$2="","",IF(AND(GR28=GR$2,GS28=GS$2),3,IF(AND(GR$2&gt;GS$2,GR28&gt;GS28),1,IF(AND(GS$2&gt;GR$2,GS28&gt;GR28),1,IF(AND(GR$2=GS$2,GR28=GS28),1,0)))))</f>
        <v/>
      </c>
      <c r="GU28" s="1" t="n">
        <f aca="false">Participantes!EG27</f>
        <v>0</v>
      </c>
      <c r="GV28" s="1" t="n">
        <f aca="false">Participantes!EH27</f>
        <v>0</v>
      </c>
      <c r="GW28" s="82" t="str">
        <f aca="false">IF(GU$2="","",IF(AND(GU28=GU$2,GV28=GV$2),3,IF(AND(GU$2&gt;GV$2,GU28&gt;GV28),1,IF(AND(GV$2&gt;GU$2,GV28&gt;GU28),1,IF(AND(GU$2=GV$2,GU28=GV28),1,0)))))</f>
        <v/>
      </c>
      <c r="GX28" s="1" t="n">
        <f aca="false">Participantes!EI27</f>
        <v>0</v>
      </c>
      <c r="GY28" s="1" t="n">
        <f aca="false">Participantes!EJ27</f>
        <v>0</v>
      </c>
      <c r="GZ28" s="82" t="str">
        <f aca="false">IF(GX$2="","",IF(AND(GX28=GX$2,GY28=GY$2),3,IF(AND(GX$2&gt;GY$2,GX28&gt;GY28),1,IF(AND(GY$2&gt;GX$2,GY28&gt;GX28),1,IF(AND(GX$2=GY$2,GX28=GY28),1,0)))))</f>
        <v/>
      </c>
      <c r="HA28" s="1" t="n">
        <f aca="false">Participantes!EK27</f>
        <v>0</v>
      </c>
      <c r="HB28" s="1" t="n">
        <f aca="false">Participantes!EL27</f>
        <v>0</v>
      </c>
      <c r="HC28" s="82" t="str">
        <f aca="false">IF(HA$2="","",IF(AND(HA28=HA$2,HB28=HB$2),3,IF(AND(HA$2&gt;HB$2,HA28&gt;HB28),1,IF(AND(HB$2&gt;HA$2,HB28&gt;HA28),1,IF(AND(HA$2=HB$2,HA28=HB28),1,0)))))</f>
        <v/>
      </c>
      <c r="HD28" s="1" t="n">
        <f aca="false">Participantes!EM27</f>
        <v>0</v>
      </c>
      <c r="HE28" s="1" t="n">
        <f aca="false">Participantes!EN27</f>
        <v>0</v>
      </c>
      <c r="HF28" s="82" t="str">
        <f aca="false">IF(HD$2="","",IF(AND(HD28=HD$2,HE28=HE$2),3,IF(AND(HD$2&gt;HE$2,HD28&gt;HE28),1,IF(AND(HE$2&gt;HD$2,HE28&gt;HD28),1,IF(AND(HD$2=HE$2,HD28=HE28),1,0)))))</f>
        <v/>
      </c>
      <c r="HG28" s="1" t="n">
        <f aca="false">Participantes!EO27</f>
        <v>0</v>
      </c>
      <c r="HH28" s="1" t="n">
        <f aca="false">Participantes!EP27</f>
        <v>0</v>
      </c>
      <c r="HI28" s="82" t="str">
        <f aca="false">IF(HG$2="","",IF(AND(HG28=HG$2,HH28=HH$2),3,IF(AND(HG$2&gt;HH$2,HG28&gt;HH28),1,IF(AND(HH$2&gt;HG$2,HH28&gt;HG28),1,IF(AND(HG$2=HH$2,HG28=HH28),1,0)))))</f>
        <v/>
      </c>
      <c r="HJ28" s="83" t="n">
        <f aca="false">SUM(D28,G28,J28,M28,P28,S28,V28,Y28,AB28,AE28,AH28,AK28,AN28,AQ28,AT28,AW28,AZ28,BC28,BF28,BI28,BL28,BO28,BR28,BU28,BX28,CA28,CD28,CG28,CJ28,CM28,CP28,CS28,CV28,CY28,DB28,DE28,DH28,DK28,DN28,DQ28,DT28,DW28,DZ28,EC28,EF28,EI28,EL28,EO28,ER28,EU28,EX28,FA28,FD28,FG28,FJ28,FM28,FP28,FS28,FV28,FY28,GB28,GE28,GH28,GK28,GN28,GQ28,GT28,GW28,GZ28,HC28,HF28,HI28)</f>
        <v>3</v>
      </c>
    </row>
    <row r="29" customFormat="false" ht="15" hidden="false" customHeight="true" outlineLevel="0" collapsed="false">
      <c r="A29" s="81" t="str">
        <f aca="false">Participantes!B28</f>
        <v>Kevin</v>
      </c>
      <c r="B29" s="1" t="n">
        <f aca="false">Participantes!C28</f>
        <v>2</v>
      </c>
      <c r="C29" s="1" t="n">
        <f aca="false">Participantes!D28</f>
        <v>0</v>
      </c>
      <c r="D29" s="82" t="n">
        <f aca="false">IF(B$2="","",IF(AND(B29=B$2,C29=C$2),3,IF(AND(B$2&gt;C$2,B29&gt;C29),1,IF(AND(C$2&gt;B$2,C29&gt;B29),1,IF(AND(B$2=C$2,B29=C29),1,0)))))</f>
        <v>3</v>
      </c>
      <c r="E29" s="1" t="n">
        <f aca="false">Participantes!E28</f>
        <v>1</v>
      </c>
      <c r="F29" s="1" t="n">
        <f aca="false">Participantes!F28</f>
        <v>1</v>
      </c>
      <c r="G29" s="82" t="str">
        <f aca="false">IF(E$2="","",IF(AND(E29=E$2,F29=F$2),3,IF(AND(E$2&gt;F$2,E29&gt;F29),1,IF(AND(F$2&gt;E$2,F29&gt;E29),1,IF(AND(E$2=F$2,E29=F29),1,0)))))</f>
        <v/>
      </c>
      <c r="H29" s="1" t="n">
        <f aca="false">Participantes!G28</f>
        <v>1</v>
      </c>
      <c r="I29" s="1" t="n">
        <f aca="false">Participantes!H28</f>
        <v>2</v>
      </c>
      <c r="J29" s="82" t="str">
        <f aca="false">IF(H$2="","",IF(AND(H29=H$2,I29=I$2),3,IF(AND(H$2&gt;I$2,H29&gt;I29),1,IF(AND(I$2&gt;H$2,I29&gt;H29),1,IF(AND(H$2=I$2,H29=I29),1,0)))))</f>
        <v/>
      </c>
      <c r="K29" s="1" t="n">
        <f aca="false">Participantes!I28</f>
        <v>2</v>
      </c>
      <c r="L29" s="1" t="n">
        <f aca="false">Participantes!J28</f>
        <v>1</v>
      </c>
      <c r="M29" s="82" t="str">
        <f aca="false">IF(K$2="","",IF(AND(K29=K$2,L29=L$2),3,IF(AND(K$2&gt;L$2,K29&gt;L29),1,IF(AND(L$2&gt;K$2,L29&gt;K29),1,IF(AND(K$2=L$2,K29=L29),1,0)))))</f>
        <v/>
      </c>
      <c r="N29" s="1" t="n">
        <f aca="false">Participantes!K28</f>
        <v>0</v>
      </c>
      <c r="O29" s="1" t="n">
        <f aca="false">Participantes!L28</f>
        <v>2</v>
      </c>
      <c r="P29" s="82" t="str">
        <f aca="false">IF(N$2="","",IF(AND(N29=N$2,O29=O$2),3,IF(AND(N$2&gt;O$2,N29&gt;O29),1,IF(AND(O$2&gt;N$2,O29&gt;N29),1,IF(AND(N$2=O$2,N29=O29),1,0)))))</f>
        <v/>
      </c>
      <c r="Q29" s="1" t="n">
        <f aca="false">Participantes!M28</f>
        <v>1</v>
      </c>
      <c r="R29" s="1" t="n">
        <f aca="false">Participantes!N28</f>
        <v>1</v>
      </c>
      <c r="S29" s="82" t="str">
        <f aca="false">IF(Q$2="","",IF(AND(Q29=Q$2,R29=R$2),3,IF(AND(Q$2&gt;R$2,Q29&gt;R29),1,IF(AND(R$2&gt;Q$2,R29&gt;Q29),1,IF(AND(Q$2=R$2,Q29=R29),1,0)))))</f>
        <v/>
      </c>
      <c r="T29" s="1" t="n">
        <f aca="false">Participantes!O28</f>
        <v>3</v>
      </c>
      <c r="U29" s="1" t="n">
        <f aca="false">Participantes!P28</f>
        <v>1</v>
      </c>
      <c r="V29" s="82" t="str">
        <f aca="false">IF(T$2="","",IF(AND(T29=T$2,U29=U$2),3,IF(AND(T$2&gt;U$2,T29&gt;U29),1,IF(AND(U$2&gt;T$2,U29&gt;T29),1,IF(AND(T$2=U$2,T29=U29),1,0)))))</f>
        <v/>
      </c>
      <c r="W29" s="1" t="n">
        <f aca="false">Participantes!Q28</f>
        <v>0</v>
      </c>
      <c r="X29" s="1" t="n">
        <f aca="false">Participantes!R28</f>
        <v>2</v>
      </c>
      <c r="Y29" s="82" t="str">
        <f aca="false">IF(W$2="","",IF(AND(W29=W$2,X29=X$2),3,IF(AND(W$2&gt;X$2,W29&gt;X29),1,IF(AND(X$2&gt;W$2,X29&gt;W29),1,IF(AND(W$2=X$2,W29=X29),1,0)))))</f>
        <v/>
      </c>
      <c r="Z29" s="1" t="n">
        <f aca="false">Participantes!S28</f>
        <v>2</v>
      </c>
      <c r="AA29" s="1" t="n">
        <f aca="false">Participantes!T28</f>
        <v>2</v>
      </c>
      <c r="AB29" s="82" t="str">
        <f aca="false">IF(Z$2="","",IF(AND(Z29=Z$2,AA29=AA$2),3,IF(AND(Z$2&gt;AA$2,Z29&gt;AA29),1,IF(AND(AA$2&gt;Z$2,AA29&gt;Z29),1,IF(AND(Z$2=AA$2,Z29=AA29),1,0)))))</f>
        <v/>
      </c>
      <c r="AC29" s="1" t="n">
        <f aca="false">Participantes!U28</f>
        <v>4</v>
      </c>
      <c r="AD29" s="1" t="n">
        <f aca="false">Participantes!V28</f>
        <v>0</v>
      </c>
      <c r="AE29" s="82" t="str">
        <f aca="false">IF(AC$2="","",IF(AND(AC29=AC$2,AD29=AD$2),3,IF(AND(AC$2&gt;AD$2,AC29&gt;AD29),1,IF(AND(AD$2&gt;AC$2,AD29&gt;AC29),1,IF(AND(AC$2=AD$2,AC29=AD29),1,0)))))</f>
        <v/>
      </c>
      <c r="AF29" s="1" t="n">
        <f aca="false">Participantes!W28</f>
        <v>2</v>
      </c>
      <c r="AG29" s="1" t="n">
        <f aca="false">Participantes!X28</f>
        <v>1</v>
      </c>
      <c r="AH29" s="82" t="str">
        <f aca="false">IF(AF$2="","",IF(AND(AF29=AF$2,AG29=AG$2),3,IF(AND(AF$2&gt;AG$2,AF29&gt;AG29),1,IF(AND(AG$2&gt;AF$2,AG29&gt;AF29),1,IF(AND(AF$2=AG$2,AF29=AG29),1,0)))))</f>
        <v/>
      </c>
      <c r="AI29" s="1" t="n">
        <f aca="false">Participantes!Y28</f>
        <v>1</v>
      </c>
      <c r="AJ29" s="1" t="n">
        <f aca="false">Participantes!Z28</f>
        <v>0</v>
      </c>
      <c r="AK29" s="82" t="str">
        <f aca="false">IF(AI$2="","",IF(AND(AI29=AI$2,AJ29=AJ$2),3,IF(AND(AI$2&gt;AJ$2,AI29&gt;AJ29),1,IF(AND(AJ$2&gt;AI$2,AJ29&gt;AI29),1,IF(AND(AI$2=AJ$2,AI29=AJ29),1,0)))))</f>
        <v/>
      </c>
      <c r="AL29" s="1" t="n">
        <f aca="false">Participantes!AA28</f>
        <v>0</v>
      </c>
      <c r="AM29" s="1" t="n">
        <f aca="false">Participantes!AB28</f>
        <v>2</v>
      </c>
      <c r="AN29" s="82" t="str">
        <f aca="false">IF(AL$2="","",IF(AND(AL29=AL$2,AM29=AM$2),3,IF(AND(AL$2&gt;AM$2,AL29&gt;AM29),1,IF(AND(AM$2&gt;AL$2,AM29&gt;AL29),1,IF(AND(AL$2=AM$2,AL29=AM29),1,0)))))</f>
        <v/>
      </c>
      <c r="AO29" s="1" t="n">
        <f aca="false">Participantes!AC28</f>
        <v>3</v>
      </c>
      <c r="AP29" s="1" t="n">
        <f aca="false">Participantes!AD28</f>
        <v>0</v>
      </c>
      <c r="AQ29" s="82" t="str">
        <f aca="false">IF(AO$2="","",IF(AND(AO29=AO$2,AP29=AP$2),3,IF(AND(AO$2&gt;AP$2,AO29&gt;AP29),1,IF(AND(AP$2&gt;AO$2,AP29&gt;AO29),1,IF(AND(AO$2=AP$2,AO29=AP29),1,0)))))</f>
        <v/>
      </c>
      <c r="AR29" s="1" t="n">
        <f aca="false">Participantes!AE28</f>
        <v>0</v>
      </c>
      <c r="AS29" s="1" t="n">
        <f aca="false">Participantes!AF28</f>
        <v>0</v>
      </c>
      <c r="AT29" s="82" t="str">
        <f aca="false">IF(AR$2="","",IF(AND(AR29=AR$2,AS29=AS$2),3,IF(AND(AR$2&gt;AS$2,AR29&gt;AS29),1,IF(AND(AS$2&gt;AR$2,AS29&gt;AR29),1,IF(AND(AR$2=AS$2,AR29=AS29),1,0)))))</f>
        <v/>
      </c>
      <c r="AU29" s="1" t="n">
        <f aca="false">Participantes!AG28</f>
        <v>0</v>
      </c>
      <c r="AV29" s="1" t="n">
        <f aca="false">Participantes!AH28</f>
        <v>0</v>
      </c>
      <c r="AW29" s="82" t="str">
        <f aca="false">IF(AU$2="","",IF(AND(AU29=AU$2,AV29=AV$2),3,IF(AND(AU$2&gt;AV$2,AU29&gt;AV29),1,IF(AND(AV$2&gt;AU$2,AV29&gt;AU29),1,IF(AND(AU$2=AV$2,AU29=AV29),1,0)))))</f>
        <v/>
      </c>
      <c r="AX29" s="1" t="n">
        <f aca="false">Participantes!AI28</f>
        <v>0</v>
      </c>
      <c r="AY29" s="1" t="n">
        <f aca="false">Participantes!AJ28</f>
        <v>0</v>
      </c>
      <c r="AZ29" s="82" t="str">
        <f aca="false">IF(AX$2="","",IF(AND(AX29=AX$2,AY29=AY$2),3,IF(AND(AX$2&gt;AY$2,AX29&gt;AY29),1,IF(AND(AY$2&gt;AX$2,AY29&gt;AX29),1,IF(AND(AX$2=AY$2,AX29=AY29),1,0)))))</f>
        <v/>
      </c>
      <c r="BA29" s="1" t="n">
        <f aca="false">Participantes!AK28</f>
        <v>0</v>
      </c>
      <c r="BB29" s="1" t="n">
        <f aca="false">Participantes!AL28</f>
        <v>0</v>
      </c>
      <c r="BC29" s="82" t="str">
        <f aca="false">IF(BA$2="","",IF(AND(BA29=BA$2,BB29=BB$2),3,IF(AND(BA$2&gt;BB$2,BA29&gt;BB29),1,IF(AND(BB$2&gt;BA$2,BB29&gt;BA29),1,IF(AND(BA$2=BB$2,BA29=BB29),1,0)))))</f>
        <v/>
      </c>
      <c r="BD29" s="1" t="n">
        <f aca="false">Participantes!AM28</f>
        <v>0</v>
      </c>
      <c r="BE29" s="1" t="n">
        <f aca="false">Participantes!AN28</f>
        <v>0</v>
      </c>
      <c r="BF29" s="82" t="str">
        <f aca="false">IF(BD$2="","",IF(AND(BD29=BD$2,BE29=BE$2),3,IF(AND(BD$2&gt;BE$2,BD29&gt;BE29),1,IF(AND(BE$2&gt;BD$2,BE29&gt;BD29),1,IF(AND(BD$2=BE$2,BD29=BE29),1,0)))))</f>
        <v/>
      </c>
      <c r="BG29" s="1" t="n">
        <f aca="false">Participantes!AO28</f>
        <v>0</v>
      </c>
      <c r="BH29" s="1" t="n">
        <f aca="false">Participantes!AP28</f>
        <v>0</v>
      </c>
      <c r="BI29" s="82" t="str">
        <f aca="false">IF(BG$2="","",IF(AND(BG29=BG$2,BH29=BH$2),3,IF(AND(BG$2&gt;BH$2,BG29&gt;BH29),1,IF(AND(BH$2&gt;BG$2,BH29&gt;BG29),1,IF(AND(BG$2=BH$2,BG29=BH29),1,0)))))</f>
        <v/>
      </c>
      <c r="BJ29" s="1" t="n">
        <f aca="false">Participantes!AQ28</f>
        <v>0</v>
      </c>
      <c r="BK29" s="1" t="n">
        <f aca="false">Participantes!AR28</f>
        <v>0</v>
      </c>
      <c r="BL29" s="82" t="str">
        <f aca="false">IF(BJ$2="","",IF(AND(BJ29=BJ$2,BK29=BK$2),3,IF(AND(BJ$2&gt;BK$2,BJ29&gt;BK29),1,IF(AND(BK$2&gt;BJ$2,BK29&gt;BJ29),1,IF(AND(BJ$2=BK$2,BJ29=BK29),1,0)))))</f>
        <v/>
      </c>
      <c r="BM29" s="1" t="n">
        <f aca="false">Participantes!AS28</f>
        <v>0</v>
      </c>
      <c r="BN29" s="1" t="n">
        <f aca="false">Participantes!AT28</f>
        <v>0</v>
      </c>
      <c r="BO29" s="82" t="str">
        <f aca="false">IF(BM$2="","",IF(AND(BM29=BM$2,BN29=BN$2),3,IF(AND(BM$2&gt;BN$2,BM29&gt;BN29),1,IF(AND(BN$2&gt;BM$2,BN29&gt;BM29),1,IF(AND(BM$2=BN$2,BM29=BN29),1,0)))))</f>
        <v/>
      </c>
      <c r="BP29" s="1" t="n">
        <f aca="false">Participantes!AU28</f>
        <v>0</v>
      </c>
      <c r="BQ29" s="1" t="n">
        <f aca="false">Participantes!AV28</f>
        <v>0</v>
      </c>
      <c r="BR29" s="82" t="str">
        <f aca="false">IF(BP$2="","",IF(AND(BP29=BP$2,BQ29=BQ$2),3,IF(AND(BP$2&gt;BQ$2,BP29&gt;BQ29),1,IF(AND(BQ$2&gt;BP$2,BQ29&gt;BP29),1,IF(AND(BP$2=BQ$2,BP29=BQ29),1,0)))))</f>
        <v/>
      </c>
      <c r="BS29" s="1" t="n">
        <f aca="false">Participantes!AW28</f>
        <v>0</v>
      </c>
      <c r="BT29" s="1" t="n">
        <f aca="false">Participantes!AX28</f>
        <v>0</v>
      </c>
      <c r="BU29" s="82" t="str">
        <f aca="false">IF(BS$2="","",IF(AND(BS29=BS$2,BT29=BT$2),3,IF(AND(BS$2&gt;BT$2,BS29&gt;BT29),1,IF(AND(BT$2&gt;BS$2,BT29&gt;BS29),1,IF(AND(BS$2=BT$2,BS29=BT29),1,0)))))</f>
        <v/>
      </c>
      <c r="BV29" s="1" t="n">
        <f aca="false">Participantes!AY28</f>
        <v>0</v>
      </c>
      <c r="BW29" s="1" t="n">
        <f aca="false">Participantes!AZ28</f>
        <v>0</v>
      </c>
      <c r="BX29" s="82" t="str">
        <f aca="false">IF(BV$2="","",IF(AND(BV29=BV$2,BW29=BW$2),3,IF(AND(BV$2&gt;BW$2,BV29&gt;BW29),1,IF(AND(BW$2&gt;BV$2,BW29&gt;BV29),1,IF(AND(BV$2=BW$2,BV29=BW29),1,0)))))</f>
        <v/>
      </c>
      <c r="BY29" s="1" t="n">
        <f aca="false">Participantes!BA28</f>
        <v>0</v>
      </c>
      <c r="BZ29" s="1" t="n">
        <f aca="false">Participantes!BB28</f>
        <v>0</v>
      </c>
      <c r="CA29" s="82" t="str">
        <f aca="false">IF(BY$2="","",IF(AND(BY29=BY$2,BZ29=BZ$2),3,IF(AND(BY$2&gt;BZ$2,BY29&gt;BZ29),1,IF(AND(BZ$2&gt;BY$2,BZ29&gt;BY29),1,IF(AND(BY$2=BZ$2,BY29=BZ29),1,0)))))</f>
        <v/>
      </c>
      <c r="CB29" s="1" t="n">
        <f aca="false">Participantes!BC28</f>
        <v>0</v>
      </c>
      <c r="CC29" s="1" t="n">
        <f aca="false">Participantes!BD28</f>
        <v>0</v>
      </c>
      <c r="CD29" s="82" t="str">
        <f aca="false">IF(CB$2="","",IF(AND(CB29=CB$2,CC29=CC$2),3,IF(AND(CB$2&gt;CC$2,CB29&gt;CC29),1,IF(AND(CC$2&gt;CB$2,CC29&gt;CB29),1,IF(AND(CB$2=CC$2,CB29=CC29),1,0)))))</f>
        <v/>
      </c>
      <c r="CE29" s="1" t="n">
        <f aca="false">Participantes!BE28</f>
        <v>0</v>
      </c>
      <c r="CF29" s="1" t="n">
        <f aca="false">Participantes!BF28</f>
        <v>0</v>
      </c>
      <c r="CG29" s="82" t="str">
        <f aca="false">IF(CE$2="","",IF(AND(CE29=CE$2,CF29=CF$2),3,IF(AND(CE$2&gt;CF$2,CE29&gt;CF29),1,IF(AND(CF$2&gt;CE$2,CF29&gt;CE29),1,IF(AND(CE$2=CF$2,CE29=CF29),1,0)))))</f>
        <v/>
      </c>
      <c r="CH29" s="1" t="n">
        <f aca="false">Participantes!BG28</f>
        <v>0</v>
      </c>
      <c r="CI29" s="1" t="n">
        <f aca="false">Participantes!BH28</f>
        <v>0</v>
      </c>
      <c r="CJ29" s="82" t="str">
        <f aca="false">IF(CH$2="","",IF(AND(CH29=CH$2,CI29=CI$2),3,IF(AND(CH$2&gt;CI$2,CH29&gt;CI29),1,IF(AND(CI$2&gt;CH$2,CI29&gt;CH29),1,IF(AND(CH$2=CI$2,CH29=CI29),1,0)))))</f>
        <v/>
      </c>
      <c r="CK29" s="1" t="n">
        <f aca="false">Participantes!BI28</f>
        <v>0</v>
      </c>
      <c r="CL29" s="1" t="n">
        <f aca="false">Participantes!BJ28</f>
        <v>0</v>
      </c>
      <c r="CM29" s="82" t="str">
        <f aca="false">IF(CK$2="","",IF(AND(CK29=CK$2,CL29=CL$2),3,IF(AND(CK$2&gt;CL$2,CK29&gt;CL29),1,IF(AND(CL$2&gt;CK$2,CL29&gt;CK29),1,IF(AND(CK$2=CL$2,CK29=CL29),1,0)))))</f>
        <v/>
      </c>
      <c r="CN29" s="1" t="n">
        <f aca="false">Participantes!BK28</f>
        <v>0</v>
      </c>
      <c r="CO29" s="1" t="n">
        <f aca="false">Participantes!BL28</f>
        <v>0</v>
      </c>
      <c r="CP29" s="82" t="str">
        <f aca="false">IF(CN$2="","",IF(AND(CN29=CN$2,CO29=CO$2),3,IF(AND(CN$2&gt;CO$2,CN29&gt;CO29),1,IF(AND(CO$2&gt;CN$2,CO29&gt;CN29),1,IF(AND(CN$2=CO$2,CN29=CO29),1,0)))))</f>
        <v/>
      </c>
      <c r="CQ29" s="1" t="n">
        <f aca="false">Participantes!BM28</f>
        <v>0</v>
      </c>
      <c r="CR29" s="1" t="n">
        <f aca="false">Participantes!BN28</f>
        <v>0</v>
      </c>
      <c r="CS29" s="82" t="str">
        <f aca="false">IF(CQ$2="","",IF(AND(CQ29=CQ$2,CR29=CR$2),3,IF(AND(CQ$2&gt;CR$2,CQ29&gt;CR29),1,IF(AND(CR$2&gt;CQ$2,CR29&gt;CQ29),1,IF(AND(CQ$2=CR$2,CQ29=CR29),1,0)))))</f>
        <v/>
      </c>
      <c r="CT29" s="1" t="n">
        <f aca="false">Participantes!BO28</f>
        <v>0</v>
      </c>
      <c r="CU29" s="1" t="n">
        <f aca="false">Participantes!BP28</f>
        <v>0</v>
      </c>
      <c r="CV29" s="82" t="str">
        <f aca="false">IF(CT$2="","",IF(AND(CT29=CT$2,CU29=CU$2),3,IF(AND(CT$2&gt;CU$2,CT29&gt;CU29),1,IF(AND(CU$2&gt;CT$2,CU29&gt;CT29),1,IF(AND(CT$2=CU$2,CT29=CU29),1,0)))))</f>
        <v/>
      </c>
      <c r="CW29" s="1" t="n">
        <f aca="false">Participantes!BQ28</f>
        <v>0</v>
      </c>
      <c r="CX29" s="1" t="n">
        <f aca="false">Participantes!BR28</f>
        <v>0</v>
      </c>
      <c r="CY29" s="82" t="str">
        <f aca="false">IF(CW$2="","",IF(AND(CW29=CW$2,CX29=CX$2),3,IF(AND(CW$2&gt;CX$2,CW29&gt;CX29),1,IF(AND(CX$2&gt;CW$2,CX29&gt;CW29),1,IF(AND(CW$2=CX$2,CW29=CX29),1,0)))))</f>
        <v/>
      </c>
      <c r="CZ29" s="1" t="n">
        <f aca="false">Participantes!BS28</f>
        <v>0</v>
      </c>
      <c r="DA29" s="1" t="n">
        <f aca="false">Participantes!BT28</f>
        <v>0</v>
      </c>
      <c r="DB29" s="82" t="str">
        <f aca="false">IF(CZ$2="","",IF(AND(CZ29=CZ$2,DA29=DA$2),3,IF(AND(CZ$2&gt;DA$2,CZ29&gt;DA29),1,IF(AND(DA$2&gt;CZ$2,DA29&gt;CZ29),1,IF(AND(CZ$2=DA$2,CZ29=DA29),1,0)))))</f>
        <v/>
      </c>
      <c r="DC29" s="1" t="n">
        <f aca="false">Participantes!BU28</f>
        <v>0</v>
      </c>
      <c r="DD29" s="1" t="n">
        <f aca="false">Participantes!BV28</f>
        <v>0</v>
      </c>
      <c r="DE29" s="82" t="str">
        <f aca="false">IF(DC$2="","",IF(AND(DC29=DC$2,DD29=DD$2),3,IF(AND(DC$2&gt;DD$2,DC29&gt;DD29),1,IF(AND(DD$2&gt;DC$2,DD29&gt;DC29),1,IF(AND(DC$2=DD$2,DC29=DD29),1,0)))))</f>
        <v/>
      </c>
      <c r="DF29" s="1" t="n">
        <f aca="false">Participantes!BW28</f>
        <v>0</v>
      </c>
      <c r="DG29" s="1" t="n">
        <f aca="false">Participantes!BX28</f>
        <v>0</v>
      </c>
      <c r="DH29" s="82" t="str">
        <f aca="false">IF(DF$2="","",IF(AND(DF29=DF$2,DG29=DG$2),3,IF(AND(DF$2&gt;DG$2,DF29&gt;DG29),1,IF(AND(DG$2&gt;DF$2,DG29&gt;DF29),1,IF(AND(DF$2=DG$2,DF29=DG29),1,0)))))</f>
        <v/>
      </c>
      <c r="DI29" s="1" t="n">
        <f aca="false">Participantes!BY28</f>
        <v>0</v>
      </c>
      <c r="DJ29" s="1" t="n">
        <f aca="false">Participantes!BZ28</f>
        <v>0</v>
      </c>
      <c r="DK29" s="82" t="str">
        <f aca="false">IF(DI$2="","",IF(AND(DI29=DI$2,DJ29=DJ$2),3,IF(AND(DI$2&gt;DJ$2,DI29&gt;DJ29),1,IF(AND(DJ$2&gt;DI$2,DJ29&gt;DI29),1,IF(AND(DI$2=DJ$2,DI29=DJ29),1,0)))))</f>
        <v/>
      </c>
      <c r="DL29" s="1" t="n">
        <f aca="false">Participantes!CA28</f>
        <v>0</v>
      </c>
      <c r="DM29" s="1" t="n">
        <f aca="false">Participantes!CB28</f>
        <v>0</v>
      </c>
      <c r="DN29" s="82" t="str">
        <f aca="false">IF(DL$2="","",IF(AND(DL29=DL$2,DM29=DM$2),3,IF(AND(DL$2&gt;DM$2,DL29&gt;DM29),1,IF(AND(DM$2&gt;DL$2,DM29&gt;DL29),1,IF(AND(DL$2=DM$2,DL29=DM29),1,0)))))</f>
        <v/>
      </c>
      <c r="DO29" s="1" t="n">
        <f aca="false">Participantes!CC28</f>
        <v>0</v>
      </c>
      <c r="DP29" s="1" t="n">
        <f aca="false">Participantes!CD28</f>
        <v>0</v>
      </c>
      <c r="DQ29" s="82" t="str">
        <f aca="false">IF(DO$2="","",IF(AND(DO29=DO$2,DP29=DP$2),3,IF(AND(DO$2&gt;DP$2,DO29&gt;DP29),1,IF(AND(DP$2&gt;DO$2,DP29&gt;DO29),1,IF(AND(DO$2=DP$2,DO29=DP29),1,0)))))</f>
        <v/>
      </c>
      <c r="DR29" s="1" t="n">
        <f aca="false">Participantes!CE28</f>
        <v>0</v>
      </c>
      <c r="DS29" s="1" t="n">
        <f aca="false">Participantes!CF28</f>
        <v>0</v>
      </c>
      <c r="DT29" s="82" t="str">
        <f aca="false">IF(DR$2="","",IF(AND(DR29=DR$2,DS29=DS$2),3,IF(AND(DR$2&gt;DS$2,DR29&gt;DS29),1,IF(AND(DS$2&gt;DR$2,DS29&gt;DR29),1,IF(AND(DR$2=DS$2,DR29=DS29),1,0)))))</f>
        <v/>
      </c>
      <c r="DU29" s="1" t="n">
        <f aca="false">Participantes!CG28</f>
        <v>0</v>
      </c>
      <c r="DV29" s="1" t="n">
        <f aca="false">Participantes!CH28</f>
        <v>0</v>
      </c>
      <c r="DW29" s="82" t="str">
        <f aca="false">IF(DU$2="","",IF(AND(DU29=DU$2,DV29=DV$2),3,IF(AND(DU$2&gt;DV$2,DU29&gt;DV29),1,IF(AND(DV$2&gt;DU$2,DV29&gt;DU29),1,IF(AND(DU$2=DV$2,DU29=DV29),1,0)))))</f>
        <v/>
      </c>
      <c r="DX29" s="1" t="n">
        <f aca="false">Participantes!CI28</f>
        <v>0</v>
      </c>
      <c r="DY29" s="1" t="n">
        <f aca="false">Participantes!CJ28</f>
        <v>0</v>
      </c>
      <c r="DZ29" s="82" t="str">
        <f aca="false">IF(DX$2="","",IF(AND(DX29=DX$2,DY29=DY$2),3,IF(AND(DX$2&gt;DY$2,DX29&gt;DY29),1,IF(AND(DY$2&gt;DX$2,DY29&gt;DX29),1,IF(AND(DX$2=DY$2,DX29=DY29),1,0)))))</f>
        <v/>
      </c>
      <c r="EA29" s="1" t="n">
        <f aca="false">Participantes!CK28</f>
        <v>0</v>
      </c>
      <c r="EB29" s="1" t="n">
        <f aca="false">Participantes!CL28</f>
        <v>0</v>
      </c>
      <c r="EC29" s="82" t="str">
        <f aca="false">IF(EA$2="","",IF(AND(EA29=EA$2,EB29=EB$2),3,IF(AND(EA$2&gt;EB$2,EA29&gt;EB29),1,IF(AND(EB$2&gt;EA$2,EB29&gt;EA29),1,IF(AND(EA$2=EB$2,EA29=EB29),1,0)))))</f>
        <v/>
      </c>
      <c r="ED29" s="1" t="n">
        <f aca="false">Participantes!CM28</f>
        <v>0</v>
      </c>
      <c r="EE29" s="1" t="n">
        <f aca="false">Participantes!CN28</f>
        <v>0</v>
      </c>
      <c r="EF29" s="82" t="str">
        <f aca="false">IF(ED$2="","",IF(AND(ED29=ED$2,EE29=EE$2),3,IF(AND(ED$2&gt;EE$2,ED29&gt;EE29),1,IF(AND(EE$2&gt;ED$2,EE29&gt;ED29),1,IF(AND(ED$2=EE$2,ED29=EE29),1,0)))))</f>
        <v/>
      </c>
      <c r="EG29" s="1" t="n">
        <f aca="false">Participantes!CO28</f>
        <v>0</v>
      </c>
      <c r="EH29" s="1" t="n">
        <f aca="false">Participantes!CP28</f>
        <v>0</v>
      </c>
      <c r="EI29" s="82" t="str">
        <f aca="false">IF(EG$2="","",IF(AND(EG29=EG$2,EH29=EH$2),3,IF(AND(EG$2&gt;EH$2,EG29&gt;EH29),1,IF(AND(EH$2&gt;EG$2,EH29&gt;EG29),1,IF(AND(EG$2=EH$2,EG29=EH29),1,0)))))</f>
        <v/>
      </c>
      <c r="EJ29" s="1" t="n">
        <f aca="false">Participantes!CQ28</f>
        <v>0</v>
      </c>
      <c r="EK29" s="1" t="n">
        <f aca="false">Participantes!CR28</f>
        <v>0</v>
      </c>
      <c r="EL29" s="82" t="str">
        <f aca="false">IF(EJ$2="","",IF(AND(EJ29=EJ$2,EK29=EK$2),3,IF(AND(EJ$2&gt;EK$2,EJ29&gt;EK29),1,IF(AND(EK$2&gt;EJ$2,EK29&gt;EJ29),1,IF(AND(EJ$2=EK$2,EJ29=EK29),1,0)))))</f>
        <v/>
      </c>
      <c r="EM29" s="1" t="n">
        <f aca="false">Participantes!CS28</f>
        <v>0</v>
      </c>
      <c r="EN29" s="1" t="n">
        <f aca="false">Participantes!CT28</f>
        <v>0</v>
      </c>
      <c r="EO29" s="82" t="str">
        <f aca="false">IF(EM$2="","",IF(AND(EM29=EM$2,EN29=EN$2),3,IF(AND(EM$2&gt;EN$2,EM29&gt;EN29),1,IF(AND(EN$2&gt;EM$2,EN29&gt;EM29),1,IF(AND(EM$2=EN$2,EM29=EN29),1,0)))))</f>
        <v/>
      </c>
      <c r="EP29" s="1" t="n">
        <f aca="false">Participantes!CU28</f>
        <v>0</v>
      </c>
      <c r="EQ29" s="1" t="n">
        <f aca="false">Participantes!CV28</f>
        <v>0</v>
      </c>
      <c r="ER29" s="82" t="str">
        <f aca="false">IF(EP$2="","",IF(AND(EP29=EP$2,EQ29=EQ$2),3,IF(AND(EP$2&gt;EQ$2,EP29&gt;EQ29),1,IF(AND(EQ$2&gt;EP$2,EQ29&gt;EP29),1,IF(AND(EP$2=EQ$2,EP29=EQ29),1,0)))))</f>
        <v/>
      </c>
      <c r="ES29" s="1" t="n">
        <f aca="false">Participantes!CW28</f>
        <v>0</v>
      </c>
      <c r="ET29" s="1" t="n">
        <f aca="false">Participantes!CX28</f>
        <v>0</v>
      </c>
      <c r="EU29" s="82" t="str">
        <f aca="false">IF(ES$2="","",IF(AND(ES29=ES$2,ET29=ET$2),3,IF(AND(ES$2&gt;ET$2,ES29&gt;ET29),1,IF(AND(ET$2&gt;ES$2,ET29&gt;ES29),1,IF(AND(ES$2=ET$2,ES29=ET29),1,0)))))</f>
        <v/>
      </c>
      <c r="EV29" s="1" t="n">
        <f aca="false">Participantes!CY28</f>
        <v>0</v>
      </c>
      <c r="EW29" s="1" t="n">
        <f aca="false">Participantes!CZ28</f>
        <v>0</v>
      </c>
      <c r="EX29" s="82" t="str">
        <f aca="false">IF(EV$2="","",IF(AND(EV29=EV$2,EW29=EW$2),3,IF(AND(EV$2&gt;EW$2,EV29&gt;EW29),1,IF(AND(EW$2&gt;EV$2,EW29&gt;EV29),1,IF(AND(EV$2=EW$2,EV29=EW29),1,0)))))</f>
        <v/>
      </c>
      <c r="EY29" s="1" t="n">
        <f aca="false">Participantes!DA28</f>
        <v>0</v>
      </c>
      <c r="EZ29" s="1" t="n">
        <f aca="false">Participantes!DB28</f>
        <v>0</v>
      </c>
      <c r="FA29" s="82" t="str">
        <f aca="false">IF(EY$2="","",IF(AND(EY29=EY$2,EZ29=EZ$2),3,IF(AND(EY$2&gt;EZ$2,EY29&gt;EZ29),1,IF(AND(EZ$2&gt;EY$2,EZ29&gt;EY29),1,IF(AND(EY$2=EZ$2,EY29=EZ29),1,0)))))</f>
        <v/>
      </c>
      <c r="FB29" s="1" t="n">
        <f aca="false">Participantes!DC28</f>
        <v>0</v>
      </c>
      <c r="FC29" s="1" t="n">
        <f aca="false">Participantes!DD28</f>
        <v>0</v>
      </c>
      <c r="FD29" s="82" t="str">
        <f aca="false">IF(FB$2="","",IF(AND(FB29=FB$2,FC29=FC$2),3,IF(AND(FB$2&gt;FC$2,FB29&gt;FC29),1,IF(AND(FC$2&gt;FB$2,FC29&gt;FB29),1,IF(AND(FB$2=FC$2,FB29=FC29),1,0)))))</f>
        <v/>
      </c>
      <c r="FE29" s="1" t="n">
        <f aca="false">Participantes!DE28</f>
        <v>0</v>
      </c>
      <c r="FF29" s="1" t="n">
        <f aca="false">Participantes!DF28</f>
        <v>0</v>
      </c>
      <c r="FG29" s="82" t="str">
        <f aca="false">IF(FE$2="","",IF(AND(FE29=FE$2,FF29=FF$2),3,IF(AND(FE$2&gt;FF$2,FE29&gt;FF29),1,IF(AND(FF$2&gt;FE$2,FF29&gt;FE29),1,IF(AND(FE$2=FF$2,FE29=FF29),1,0)))))</f>
        <v/>
      </c>
      <c r="FH29" s="1" t="n">
        <f aca="false">Participantes!DG28</f>
        <v>0</v>
      </c>
      <c r="FI29" s="1" t="n">
        <f aca="false">Participantes!DH28</f>
        <v>0</v>
      </c>
      <c r="FJ29" s="82" t="str">
        <f aca="false">IF(FH$2="","",IF(AND(FH29=FH$2,FI29=FI$2),3,IF(AND(FH$2&gt;FI$2,FH29&gt;FI29),1,IF(AND(FI$2&gt;FH$2,FI29&gt;FH29),1,IF(AND(FH$2=FI$2,FH29=FI29),1,0)))))</f>
        <v/>
      </c>
      <c r="FK29" s="1" t="n">
        <f aca="false">Participantes!DI28</f>
        <v>0</v>
      </c>
      <c r="FL29" s="1" t="n">
        <f aca="false">Participantes!DJ28</f>
        <v>0</v>
      </c>
      <c r="FM29" s="82" t="str">
        <f aca="false">IF(FK$2="","",IF(AND(FK29=FK$2,FL29=FL$2),3,IF(AND(FK$2&gt;FL$2,FK29&gt;FL29),1,IF(AND(FL$2&gt;FK$2,FL29&gt;FK29),1,IF(AND(FK$2=FL$2,FK29=FL29),1,0)))))</f>
        <v/>
      </c>
      <c r="FN29" s="1" t="n">
        <f aca="false">Participantes!DK28</f>
        <v>0</v>
      </c>
      <c r="FO29" s="1" t="n">
        <f aca="false">Participantes!DL28</f>
        <v>0</v>
      </c>
      <c r="FP29" s="82" t="str">
        <f aca="false">IF(FN$2="","",IF(AND(FN29=FN$2,FO29=FO$2),3,IF(AND(FN$2&gt;FO$2,FN29&gt;FO29),1,IF(AND(FO$2&gt;FN$2,FO29&gt;FN29),1,IF(AND(FN$2=FO$2,FN29=FO29),1,0)))))</f>
        <v/>
      </c>
      <c r="FQ29" s="1" t="n">
        <f aca="false">Participantes!DM28</f>
        <v>0</v>
      </c>
      <c r="FR29" s="1" t="n">
        <f aca="false">Participantes!DN28</f>
        <v>0</v>
      </c>
      <c r="FS29" s="82" t="str">
        <f aca="false">IF(FQ$2="","",IF(AND(FQ29=FQ$2,FR29=FR$2),3,IF(AND(FQ$2&gt;FR$2,FQ29&gt;FR29),1,IF(AND(FR$2&gt;FQ$2,FR29&gt;FQ29),1,IF(AND(FQ$2=FR$2,FQ29=FR29),1,0)))))</f>
        <v/>
      </c>
      <c r="FT29" s="1" t="n">
        <f aca="false">Participantes!DO28</f>
        <v>0</v>
      </c>
      <c r="FU29" s="1" t="n">
        <f aca="false">Participantes!DP28</f>
        <v>0</v>
      </c>
      <c r="FV29" s="82" t="str">
        <f aca="false">IF(FT$2="","",IF(AND(FT29=FT$2,FU29=FU$2),3,IF(AND(FT$2&gt;FU$2,FT29&gt;FU29),1,IF(AND(FU$2&gt;FT$2,FU29&gt;FT29),1,IF(AND(FT$2=FU$2,FT29=FU29),1,0)))))</f>
        <v/>
      </c>
      <c r="FW29" s="1" t="n">
        <f aca="false">Participantes!DQ28</f>
        <v>0</v>
      </c>
      <c r="FX29" s="1" t="n">
        <f aca="false">Participantes!DR28</f>
        <v>0</v>
      </c>
      <c r="FY29" s="82" t="str">
        <f aca="false">IF(FW$2="","",IF(AND(FW29=FW$2,FX29=FX$2),3,IF(AND(FW$2&gt;FX$2,FW29&gt;FX29),1,IF(AND(FX$2&gt;FW$2,FX29&gt;FW29),1,IF(AND(FW$2=FX$2,FW29=FX29),1,0)))))</f>
        <v/>
      </c>
      <c r="FZ29" s="1" t="n">
        <f aca="false">Participantes!DS28</f>
        <v>0</v>
      </c>
      <c r="GA29" s="1" t="n">
        <f aca="false">Participantes!DT28</f>
        <v>0</v>
      </c>
      <c r="GB29" s="82" t="str">
        <f aca="false">IF(FZ$2="","",IF(AND(FZ29=FZ$2,GA29=GA$2),3,IF(AND(FZ$2&gt;GA$2,FZ29&gt;GA29),1,IF(AND(GA$2&gt;FZ$2,GA29&gt;FZ29),1,IF(AND(FZ$2=GA$2,FZ29=GA29),1,0)))))</f>
        <v/>
      </c>
      <c r="GC29" s="1" t="n">
        <f aca="false">Participantes!DU28</f>
        <v>0</v>
      </c>
      <c r="GD29" s="1" t="n">
        <f aca="false">Participantes!DV28</f>
        <v>0</v>
      </c>
      <c r="GE29" s="82" t="str">
        <f aca="false">IF(GC$2="","",IF(AND(GC29=GC$2,GD29=GD$2),3,IF(AND(GC$2&gt;GD$2,GC29&gt;GD29),1,IF(AND(GD$2&gt;GC$2,GD29&gt;GC29),1,IF(AND(GC$2=GD$2,GC29=GD29),1,0)))))</f>
        <v/>
      </c>
      <c r="GF29" s="1" t="n">
        <f aca="false">Participantes!DW28</f>
        <v>0</v>
      </c>
      <c r="GG29" s="1" t="n">
        <f aca="false">Participantes!DX28</f>
        <v>0</v>
      </c>
      <c r="GH29" s="82" t="str">
        <f aca="false">IF(GF$2="","",IF(AND(GF29=GF$2,GG29=GG$2),3,IF(AND(GF$2&gt;GG$2,GF29&gt;GG29),1,IF(AND(GG$2&gt;GF$2,GG29&gt;GF29),1,IF(AND(GF$2=GG$2,GF29=GG29),1,0)))))</f>
        <v/>
      </c>
      <c r="GI29" s="1" t="n">
        <f aca="false">Participantes!DY28</f>
        <v>0</v>
      </c>
      <c r="GJ29" s="1" t="n">
        <f aca="false">Participantes!DZ28</f>
        <v>0</v>
      </c>
      <c r="GK29" s="82" t="str">
        <f aca="false">IF(GI$2="","",IF(AND(GI29=GI$2,GJ29=GJ$2),3,IF(AND(GI$2&gt;GJ$2,GI29&gt;GJ29),1,IF(AND(GJ$2&gt;GI$2,GJ29&gt;GI29),1,IF(AND(GI$2=GJ$2,GI29=GJ29),1,0)))))</f>
        <v/>
      </c>
      <c r="GL29" s="1" t="n">
        <f aca="false">Participantes!EA28</f>
        <v>0</v>
      </c>
      <c r="GM29" s="1" t="n">
        <f aca="false">Participantes!EB28</f>
        <v>0</v>
      </c>
      <c r="GN29" s="82" t="str">
        <f aca="false">IF(GL$2="","",IF(AND(GL29=GL$2,GM29=GM$2),3,IF(AND(GL$2&gt;GM$2,GL29&gt;GM29),1,IF(AND(GM$2&gt;GL$2,GM29&gt;GL29),1,IF(AND(GL$2=GM$2,GL29=GM29),1,0)))))</f>
        <v/>
      </c>
      <c r="GO29" s="1" t="n">
        <f aca="false">Participantes!EC28</f>
        <v>0</v>
      </c>
      <c r="GP29" s="1" t="n">
        <f aca="false">Participantes!ED28</f>
        <v>0</v>
      </c>
      <c r="GQ29" s="82" t="str">
        <f aca="false">IF(GO$2="","",IF(AND(GO29=GO$2,GP29=GP$2),3,IF(AND(GO$2&gt;GP$2,GO29&gt;GP29),1,IF(AND(GP$2&gt;GO$2,GP29&gt;GO29),1,IF(AND(GO$2=GP$2,GO29=GP29),1,0)))))</f>
        <v/>
      </c>
      <c r="GR29" s="1" t="n">
        <f aca="false">Participantes!EE28</f>
        <v>0</v>
      </c>
      <c r="GS29" s="1" t="n">
        <f aca="false">Participantes!EF28</f>
        <v>0</v>
      </c>
      <c r="GT29" s="82" t="str">
        <f aca="false">IF(GR$2="","",IF(AND(GR29=GR$2,GS29=GS$2),3,IF(AND(GR$2&gt;GS$2,GR29&gt;GS29),1,IF(AND(GS$2&gt;GR$2,GS29&gt;GR29),1,IF(AND(GR$2=GS$2,GR29=GS29),1,0)))))</f>
        <v/>
      </c>
      <c r="GU29" s="1" t="n">
        <f aca="false">Participantes!EG28</f>
        <v>0</v>
      </c>
      <c r="GV29" s="1" t="n">
        <f aca="false">Participantes!EH28</f>
        <v>0</v>
      </c>
      <c r="GW29" s="82" t="str">
        <f aca="false">IF(GU$2="","",IF(AND(GU29=GU$2,GV29=GV$2),3,IF(AND(GU$2&gt;GV$2,GU29&gt;GV29),1,IF(AND(GV$2&gt;GU$2,GV29&gt;GU29),1,IF(AND(GU$2=GV$2,GU29=GV29),1,0)))))</f>
        <v/>
      </c>
      <c r="GX29" s="1" t="n">
        <f aca="false">Participantes!EI28</f>
        <v>0</v>
      </c>
      <c r="GY29" s="1" t="n">
        <f aca="false">Participantes!EJ28</f>
        <v>0</v>
      </c>
      <c r="GZ29" s="82" t="str">
        <f aca="false">IF(GX$2="","",IF(AND(GX29=GX$2,GY29=GY$2),3,IF(AND(GX$2&gt;GY$2,GX29&gt;GY29),1,IF(AND(GY$2&gt;GX$2,GY29&gt;GX29),1,IF(AND(GX$2=GY$2,GX29=GY29),1,0)))))</f>
        <v/>
      </c>
      <c r="HA29" s="1" t="n">
        <f aca="false">Participantes!EK28</f>
        <v>0</v>
      </c>
      <c r="HB29" s="1" t="n">
        <f aca="false">Participantes!EL28</f>
        <v>0</v>
      </c>
      <c r="HC29" s="82" t="str">
        <f aca="false">IF(HA$2="","",IF(AND(HA29=HA$2,HB29=HB$2),3,IF(AND(HA$2&gt;HB$2,HA29&gt;HB29),1,IF(AND(HB$2&gt;HA$2,HB29&gt;HA29),1,IF(AND(HA$2=HB$2,HA29=HB29),1,0)))))</f>
        <v/>
      </c>
      <c r="HD29" s="1" t="n">
        <f aca="false">Participantes!EM28</f>
        <v>0</v>
      </c>
      <c r="HE29" s="1" t="n">
        <f aca="false">Participantes!EN28</f>
        <v>0</v>
      </c>
      <c r="HF29" s="82" t="str">
        <f aca="false">IF(HD$2="","",IF(AND(HD29=HD$2,HE29=HE$2),3,IF(AND(HD$2&gt;HE$2,HD29&gt;HE29),1,IF(AND(HE$2&gt;HD$2,HE29&gt;HD29),1,IF(AND(HD$2=HE$2,HD29=HE29),1,0)))))</f>
        <v/>
      </c>
      <c r="HG29" s="1" t="n">
        <f aca="false">Participantes!EO28</f>
        <v>0</v>
      </c>
      <c r="HH29" s="1" t="n">
        <f aca="false">Participantes!EP28</f>
        <v>0</v>
      </c>
      <c r="HI29" s="82" t="str">
        <f aca="false">IF(HG$2="","",IF(AND(HG29=HG$2,HH29=HH$2),3,IF(AND(HG$2&gt;HH$2,HG29&gt;HH29),1,IF(AND(HH$2&gt;HG$2,HH29&gt;HG29),1,IF(AND(HG$2=HH$2,HG29=HH29),1,0)))))</f>
        <v/>
      </c>
      <c r="HJ29" s="83" t="n">
        <f aca="false">SUM(D29,G29,J29,M29,P29,S29,V29,Y29,AB29,AE29,AH29,AK29,AN29,AQ29,AT29,AW29,AZ29,BC29,BF29,BI29,BL29,BO29,BR29,BU29,BX29,CA29,CD29,CG29,CJ29,CM29,CP29,CS29,CV29,CY29,DB29,DE29,DH29,DK29,DN29,DQ29,DT29,DW29,DZ29,EC29,EF29,EI29,EL29,EO29,ER29,EU29,EX29,FA29,FD29,FG29,FJ29,FM29,FP29,FS29,FV29,FY29,GB29,GE29,GH29,GK29,GN29,GQ29,GT29,GW29,GZ29,HC29,HF29,HI29)</f>
        <v>3</v>
      </c>
    </row>
    <row r="30" customFormat="false" ht="15" hidden="false" customHeight="true" outlineLevel="0" collapsed="false">
      <c r="A30" s="81" t="str">
        <f aca="false">Participantes!B29</f>
        <v>Lizka</v>
      </c>
      <c r="B30" s="1" t="n">
        <f aca="false">Participantes!C29</f>
        <v>2</v>
      </c>
      <c r="C30" s="1" t="n">
        <f aca="false">Participantes!D29</f>
        <v>0</v>
      </c>
      <c r="D30" s="82" t="n">
        <f aca="false">IF(B$2="","",IF(AND(B30=B$2,C30=C$2),3,IF(AND(B$2&gt;C$2,B30&gt;C30),1,IF(AND(C$2&gt;B$2,C30&gt;B30),1,IF(AND(B$2=C$2,B30=C30),1,0)))))</f>
        <v>3</v>
      </c>
      <c r="E30" s="1" t="n">
        <f aca="false">Participantes!E29</f>
        <v>1</v>
      </c>
      <c r="F30" s="1" t="n">
        <f aca="false">Participantes!F29</f>
        <v>1</v>
      </c>
      <c r="G30" s="82" t="str">
        <f aca="false">IF(E$2="","",IF(AND(E30=E$2,F30=F$2),3,IF(AND(E$2&gt;F$2,E30&gt;F30),1,IF(AND(F$2&gt;E$2,F30&gt;E30),1,IF(AND(E$2=F$2,E30=F30),1,0)))))</f>
        <v/>
      </c>
      <c r="H30" s="1" t="n">
        <f aca="false">Participantes!G29</f>
        <v>2</v>
      </c>
      <c r="I30" s="1" t="n">
        <f aca="false">Participantes!H29</f>
        <v>1</v>
      </c>
      <c r="J30" s="82" t="str">
        <f aca="false">IF(H$2="","",IF(AND(H30=H$2,I30=I$2),3,IF(AND(H$2&gt;I$2,H30&gt;I30),1,IF(AND(I$2&gt;H$2,I30&gt;H30),1,IF(AND(H$2=I$2,H30=I30),1,0)))))</f>
        <v/>
      </c>
      <c r="K30" s="1" t="n">
        <f aca="false">Participantes!I29</f>
        <v>2</v>
      </c>
      <c r="L30" s="1" t="n">
        <f aca="false">Participantes!J29</f>
        <v>1</v>
      </c>
      <c r="M30" s="82" t="str">
        <f aca="false">IF(K$2="","",IF(AND(K30=K$2,L30=L$2),3,IF(AND(K$2&gt;L$2,K30&gt;L30),1,IF(AND(L$2&gt;K$2,L30&gt;K30),1,IF(AND(K$2=L$2,K30=L30),1,0)))))</f>
        <v/>
      </c>
      <c r="N30" s="1" t="n">
        <f aca="false">Participantes!K29</f>
        <v>1</v>
      </c>
      <c r="O30" s="1" t="n">
        <f aca="false">Participantes!L29</f>
        <v>2</v>
      </c>
      <c r="P30" s="82" t="str">
        <f aca="false">IF(N$2="","",IF(AND(N30=N$2,O30=O$2),3,IF(AND(N$2&gt;O$2,N30&gt;O30),1,IF(AND(O$2&gt;N$2,O30&gt;N30),1,IF(AND(N$2=O$2,N30=O30),1,0)))))</f>
        <v/>
      </c>
      <c r="Q30" s="1" t="n">
        <f aca="false">Participantes!M29</f>
        <v>1</v>
      </c>
      <c r="R30" s="1" t="n">
        <f aca="false">Participantes!N29</f>
        <v>2</v>
      </c>
      <c r="S30" s="82" t="str">
        <f aca="false">IF(Q$2="","",IF(AND(Q30=Q$2,R30=R$2),3,IF(AND(Q$2&gt;R$2,Q30&gt;R30),1,IF(AND(R$2&gt;Q$2,R30&gt;Q30),1,IF(AND(Q$2=R$2,Q30=R30),1,0)))))</f>
        <v/>
      </c>
      <c r="T30" s="1" t="n">
        <f aca="false">Participantes!O29</f>
        <v>2</v>
      </c>
      <c r="U30" s="1" t="n">
        <f aca="false">Participantes!P29</f>
        <v>1</v>
      </c>
      <c r="V30" s="82" t="str">
        <f aca="false">IF(T$2="","",IF(AND(T30=T$2,U30=U$2),3,IF(AND(T$2&gt;U$2,T30&gt;U30),1,IF(AND(U$2&gt;T$2,U30&gt;T30),1,IF(AND(T$2=U$2,T30=U30),1,0)))))</f>
        <v/>
      </c>
      <c r="W30" s="1" t="n">
        <f aca="false">Participantes!Q29</f>
        <v>0</v>
      </c>
      <c r="X30" s="1" t="n">
        <f aca="false">Participantes!R29</f>
        <v>2</v>
      </c>
      <c r="Y30" s="82" t="str">
        <f aca="false">IF(W$2="","",IF(AND(W30=W$2,X30=X$2),3,IF(AND(W$2&gt;X$2,W30&gt;X30),1,IF(AND(X$2&gt;W$2,X30&gt;W30),1,IF(AND(W$2=X$2,W30=X30),1,0)))))</f>
        <v/>
      </c>
      <c r="Z30" s="1" t="n">
        <f aca="false">Participantes!S29</f>
        <v>1</v>
      </c>
      <c r="AA30" s="1" t="n">
        <f aca="false">Participantes!T29</f>
        <v>1</v>
      </c>
      <c r="AB30" s="82" t="str">
        <f aca="false">IF(Z$2="","",IF(AND(Z30=Z$2,AA30=AA$2),3,IF(AND(Z$2&gt;AA$2,Z30&gt;AA30),1,IF(AND(AA$2&gt;Z$2,AA30&gt;Z30),1,IF(AND(Z$2=AA$2,Z30=AA30),1,0)))))</f>
        <v/>
      </c>
      <c r="AC30" s="1" t="n">
        <f aca="false">Participantes!U29</f>
        <v>3</v>
      </c>
      <c r="AD30" s="1" t="n">
        <f aca="false">Participantes!V29</f>
        <v>1</v>
      </c>
      <c r="AE30" s="82" t="str">
        <f aca="false">IF(AC$2="","",IF(AND(AC30=AC$2,AD30=AD$2),3,IF(AND(AC$2&gt;AD$2,AC30&gt;AD30),1,IF(AND(AD$2&gt;AC$2,AD30&gt;AC30),1,IF(AND(AC$2=AD$2,AC30=AD30),1,0)))))</f>
        <v/>
      </c>
      <c r="AF30" s="1" t="n">
        <f aca="false">Participantes!W29</f>
        <v>2</v>
      </c>
      <c r="AG30" s="1" t="n">
        <f aca="false">Participantes!X29</f>
        <v>1</v>
      </c>
      <c r="AH30" s="82" t="str">
        <f aca="false">IF(AF$2="","",IF(AND(AF30=AF$2,AG30=AG$2),3,IF(AND(AF$2&gt;AG$2,AF30&gt;AG30),1,IF(AND(AG$2&gt;AF$2,AG30&gt;AF30),1,IF(AND(AF$2=AG$2,AF30=AG30),1,0)))))</f>
        <v/>
      </c>
      <c r="AI30" s="1" t="n">
        <f aca="false">Participantes!Y29</f>
        <v>2</v>
      </c>
      <c r="AJ30" s="1" t="n">
        <f aca="false">Participantes!Z29</f>
        <v>1</v>
      </c>
      <c r="AK30" s="82" t="str">
        <f aca="false">IF(AI$2="","",IF(AND(AI30=AI$2,AJ30=AJ$2),3,IF(AND(AI$2&gt;AJ$2,AI30&gt;AJ30),1,IF(AND(AJ$2&gt;AI$2,AJ30&gt;AI30),1,IF(AND(AI$2=AJ$2,AI30=AJ30),1,0)))))</f>
        <v/>
      </c>
      <c r="AL30" s="1" t="n">
        <f aca="false">Participantes!AA29</f>
        <v>0</v>
      </c>
      <c r="AM30" s="1" t="n">
        <f aca="false">Participantes!AB29</f>
        <v>3</v>
      </c>
      <c r="AN30" s="82" t="str">
        <f aca="false">IF(AL$2="","",IF(AND(AL30=AL$2,AM30=AM$2),3,IF(AND(AL$2&gt;AM$2,AL30&gt;AM30),1,IF(AND(AM$2&gt;AL$2,AM30&gt;AL30),1,IF(AND(AL$2=AM$2,AL30=AM30),1,0)))))</f>
        <v/>
      </c>
      <c r="AO30" s="1" t="n">
        <f aca="false">Participantes!AC29</f>
        <v>4</v>
      </c>
      <c r="AP30" s="1" t="n">
        <f aca="false">Participantes!AD29</f>
        <v>0</v>
      </c>
      <c r="AQ30" s="82" t="str">
        <f aca="false">IF(AO$2="","",IF(AND(AO30=AO$2,AP30=AP$2),3,IF(AND(AO$2&gt;AP$2,AO30&gt;AP30),1,IF(AND(AP$2&gt;AO$2,AP30&gt;AO30),1,IF(AND(AO$2=AP$2,AO30=AP30),1,0)))))</f>
        <v/>
      </c>
      <c r="AR30" s="1" t="n">
        <f aca="false">Participantes!AE29</f>
        <v>0</v>
      </c>
      <c r="AS30" s="1" t="n">
        <f aca="false">Participantes!AF29</f>
        <v>0</v>
      </c>
      <c r="AT30" s="82" t="str">
        <f aca="false">IF(AR$2="","",IF(AND(AR30=AR$2,AS30=AS$2),3,IF(AND(AR$2&gt;AS$2,AR30&gt;AS30),1,IF(AND(AS$2&gt;AR$2,AS30&gt;AR30),1,IF(AND(AR$2=AS$2,AR30=AS30),1,0)))))</f>
        <v/>
      </c>
      <c r="AU30" s="1" t="n">
        <f aca="false">Participantes!AG29</f>
        <v>0</v>
      </c>
      <c r="AV30" s="1" t="n">
        <f aca="false">Participantes!AH29</f>
        <v>0</v>
      </c>
      <c r="AW30" s="82" t="str">
        <f aca="false">IF(AU$2="","",IF(AND(AU30=AU$2,AV30=AV$2),3,IF(AND(AU$2&gt;AV$2,AU30&gt;AV30),1,IF(AND(AV$2&gt;AU$2,AV30&gt;AU30),1,IF(AND(AU$2=AV$2,AU30=AV30),1,0)))))</f>
        <v/>
      </c>
      <c r="AX30" s="1" t="n">
        <f aca="false">Participantes!AI29</f>
        <v>0</v>
      </c>
      <c r="AY30" s="1" t="n">
        <f aca="false">Participantes!AJ29</f>
        <v>0</v>
      </c>
      <c r="AZ30" s="82" t="str">
        <f aca="false">IF(AX$2="","",IF(AND(AX30=AX$2,AY30=AY$2),3,IF(AND(AX$2&gt;AY$2,AX30&gt;AY30),1,IF(AND(AY$2&gt;AX$2,AY30&gt;AX30),1,IF(AND(AX$2=AY$2,AX30=AY30),1,0)))))</f>
        <v/>
      </c>
      <c r="BA30" s="1" t="n">
        <f aca="false">Participantes!AK29</f>
        <v>0</v>
      </c>
      <c r="BB30" s="1" t="n">
        <f aca="false">Participantes!AL29</f>
        <v>0</v>
      </c>
      <c r="BC30" s="82" t="str">
        <f aca="false">IF(BA$2="","",IF(AND(BA30=BA$2,BB30=BB$2),3,IF(AND(BA$2&gt;BB$2,BA30&gt;BB30),1,IF(AND(BB$2&gt;BA$2,BB30&gt;BA30),1,IF(AND(BA$2=BB$2,BA30=BB30),1,0)))))</f>
        <v/>
      </c>
      <c r="BD30" s="1" t="n">
        <f aca="false">Participantes!AM29</f>
        <v>0</v>
      </c>
      <c r="BE30" s="1" t="n">
        <f aca="false">Participantes!AN29</f>
        <v>0</v>
      </c>
      <c r="BF30" s="82" t="str">
        <f aca="false">IF(BD$2="","",IF(AND(BD30=BD$2,BE30=BE$2),3,IF(AND(BD$2&gt;BE$2,BD30&gt;BE30),1,IF(AND(BE$2&gt;BD$2,BE30&gt;BD30),1,IF(AND(BD$2=BE$2,BD30=BE30),1,0)))))</f>
        <v/>
      </c>
      <c r="BG30" s="1" t="n">
        <f aca="false">Participantes!AO29</f>
        <v>0</v>
      </c>
      <c r="BH30" s="1" t="n">
        <f aca="false">Participantes!AP29</f>
        <v>0</v>
      </c>
      <c r="BI30" s="82" t="str">
        <f aca="false">IF(BG$2="","",IF(AND(BG30=BG$2,BH30=BH$2),3,IF(AND(BG$2&gt;BH$2,BG30&gt;BH30),1,IF(AND(BH$2&gt;BG$2,BH30&gt;BG30),1,IF(AND(BG$2=BH$2,BG30=BH30),1,0)))))</f>
        <v/>
      </c>
      <c r="BJ30" s="1" t="n">
        <f aca="false">Participantes!AQ29</f>
        <v>0</v>
      </c>
      <c r="BK30" s="1" t="n">
        <f aca="false">Participantes!AR29</f>
        <v>0</v>
      </c>
      <c r="BL30" s="82" t="str">
        <f aca="false">IF(BJ$2="","",IF(AND(BJ30=BJ$2,BK30=BK$2),3,IF(AND(BJ$2&gt;BK$2,BJ30&gt;BK30),1,IF(AND(BK$2&gt;BJ$2,BK30&gt;BJ30),1,IF(AND(BJ$2=BK$2,BJ30=BK30),1,0)))))</f>
        <v/>
      </c>
      <c r="BM30" s="1" t="n">
        <f aca="false">Participantes!AS29</f>
        <v>0</v>
      </c>
      <c r="BN30" s="1" t="n">
        <f aca="false">Participantes!AT29</f>
        <v>0</v>
      </c>
      <c r="BO30" s="82" t="str">
        <f aca="false">IF(BM$2="","",IF(AND(BM30=BM$2,BN30=BN$2),3,IF(AND(BM$2&gt;BN$2,BM30&gt;BN30),1,IF(AND(BN$2&gt;BM$2,BN30&gt;BM30),1,IF(AND(BM$2=BN$2,BM30=BN30),1,0)))))</f>
        <v/>
      </c>
      <c r="BP30" s="1" t="n">
        <f aca="false">Participantes!AU29</f>
        <v>0</v>
      </c>
      <c r="BQ30" s="1" t="n">
        <f aca="false">Participantes!AV29</f>
        <v>0</v>
      </c>
      <c r="BR30" s="82" t="str">
        <f aca="false">IF(BP$2="","",IF(AND(BP30=BP$2,BQ30=BQ$2),3,IF(AND(BP$2&gt;BQ$2,BP30&gt;BQ30),1,IF(AND(BQ$2&gt;BP$2,BQ30&gt;BP30),1,IF(AND(BP$2=BQ$2,BP30=BQ30),1,0)))))</f>
        <v/>
      </c>
      <c r="BS30" s="1" t="n">
        <f aca="false">Participantes!AW29</f>
        <v>0</v>
      </c>
      <c r="BT30" s="1" t="n">
        <f aca="false">Participantes!AX29</f>
        <v>0</v>
      </c>
      <c r="BU30" s="82" t="str">
        <f aca="false">IF(BS$2="","",IF(AND(BS30=BS$2,BT30=BT$2),3,IF(AND(BS$2&gt;BT$2,BS30&gt;BT30),1,IF(AND(BT$2&gt;BS$2,BT30&gt;BS30),1,IF(AND(BS$2=BT$2,BS30=BT30),1,0)))))</f>
        <v/>
      </c>
      <c r="BV30" s="1" t="n">
        <f aca="false">Participantes!AY29</f>
        <v>0</v>
      </c>
      <c r="BW30" s="1" t="n">
        <f aca="false">Participantes!AZ29</f>
        <v>0</v>
      </c>
      <c r="BX30" s="82" t="str">
        <f aca="false">IF(BV$2="","",IF(AND(BV30=BV$2,BW30=BW$2),3,IF(AND(BV$2&gt;BW$2,BV30&gt;BW30),1,IF(AND(BW$2&gt;BV$2,BW30&gt;BV30),1,IF(AND(BV$2=BW$2,BV30=BW30),1,0)))))</f>
        <v/>
      </c>
      <c r="BY30" s="1" t="n">
        <f aca="false">Participantes!BA29</f>
        <v>0</v>
      </c>
      <c r="BZ30" s="1" t="n">
        <f aca="false">Participantes!BB29</f>
        <v>0</v>
      </c>
      <c r="CA30" s="82" t="str">
        <f aca="false">IF(BY$2="","",IF(AND(BY30=BY$2,BZ30=BZ$2),3,IF(AND(BY$2&gt;BZ$2,BY30&gt;BZ30),1,IF(AND(BZ$2&gt;BY$2,BZ30&gt;BY30),1,IF(AND(BY$2=BZ$2,BY30=BZ30),1,0)))))</f>
        <v/>
      </c>
      <c r="CB30" s="1" t="n">
        <f aca="false">Participantes!BC29</f>
        <v>0</v>
      </c>
      <c r="CC30" s="1" t="n">
        <f aca="false">Participantes!BD29</f>
        <v>0</v>
      </c>
      <c r="CD30" s="82" t="str">
        <f aca="false">IF(CB$2="","",IF(AND(CB30=CB$2,CC30=CC$2),3,IF(AND(CB$2&gt;CC$2,CB30&gt;CC30),1,IF(AND(CC$2&gt;CB$2,CC30&gt;CB30),1,IF(AND(CB$2=CC$2,CB30=CC30),1,0)))))</f>
        <v/>
      </c>
      <c r="CE30" s="1" t="n">
        <f aca="false">Participantes!BE29</f>
        <v>0</v>
      </c>
      <c r="CF30" s="1" t="n">
        <f aca="false">Participantes!BF29</f>
        <v>0</v>
      </c>
      <c r="CG30" s="82" t="str">
        <f aca="false">IF(CE$2="","",IF(AND(CE30=CE$2,CF30=CF$2),3,IF(AND(CE$2&gt;CF$2,CE30&gt;CF30),1,IF(AND(CF$2&gt;CE$2,CF30&gt;CE30),1,IF(AND(CE$2=CF$2,CE30=CF30),1,0)))))</f>
        <v/>
      </c>
      <c r="CH30" s="1" t="n">
        <f aca="false">Participantes!BG29</f>
        <v>0</v>
      </c>
      <c r="CI30" s="1" t="n">
        <f aca="false">Participantes!BH29</f>
        <v>0</v>
      </c>
      <c r="CJ30" s="82" t="str">
        <f aca="false">IF(CH$2="","",IF(AND(CH30=CH$2,CI30=CI$2),3,IF(AND(CH$2&gt;CI$2,CH30&gt;CI30),1,IF(AND(CI$2&gt;CH$2,CI30&gt;CH30),1,IF(AND(CH$2=CI$2,CH30=CI30),1,0)))))</f>
        <v/>
      </c>
      <c r="CK30" s="1" t="n">
        <f aca="false">Participantes!BI29</f>
        <v>0</v>
      </c>
      <c r="CL30" s="1" t="n">
        <f aca="false">Participantes!BJ29</f>
        <v>0</v>
      </c>
      <c r="CM30" s="82" t="str">
        <f aca="false">IF(CK$2="","",IF(AND(CK30=CK$2,CL30=CL$2),3,IF(AND(CK$2&gt;CL$2,CK30&gt;CL30),1,IF(AND(CL$2&gt;CK$2,CL30&gt;CK30),1,IF(AND(CK$2=CL$2,CK30=CL30),1,0)))))</f>
        <v/>
      </c>
      <c r="CN30" s="1" t="n">
        <f aca="false">Participantes!BK29</f>
        <v>0</v>
      </c>
      <c r="CO30" s="1" t="n">
        <f aca="false">Participantes!BL29</f>
        <v>0</v>
      </c>
      <c r="CP30" s="82" t="str">
        <f aca="false">IF(CN$2="","",IF(AND(CN30=CN$2,CO30=CO$2),3,IF(AND(CN$2&gt;CO$2,CN30&gt;CO30),1,IF(AND(CO$2&gt;CN$2,CO30&gt;CN30),1,IF(AND(CN$2=CO$2,CN30=CO30),1,0)))))</f>
        <v/>
      </c>
      <c r="CQ30" s="1" t="n">
        <f aca="false">Participantes!BM29</f>
        <v>0</v>
      </c>
      <c r="CR30" s="1" t="n">
        <f aca="false">Participantes!BN29</f>
        <v>0</v>
      </c>
      <c r="CS30" s="82" t="str">
        <f aca="false">IF(CQ$2="","",IF(AND(CQ30=CQ$2,CR30=CR$2),3,IF(AND(CQ$2&gt;CR$2,CQ30&gt;CR30),1,IF(AND(CR$2&gt;CQ$2,CR30&gt;CQ30),1,IF(AND(CQ$2=CR$2,CQ30=CR30),1,0)))))</f>
        <v/>
      </c>
      <c r="CT30" s="1" t="n">
        <f aca="false">Participantes!BO29</f>
        <v>0</v>
      </c>
      <c r="CU30" s="1" t="n">
        <f aca="false">Participantes!BP29</f>
        <v>0</v>
      </c>
      <c r="CV30" s="82" t="str">
        <f aca="false">IF(CT$2="","",IF(AND(CT30=CT$2,CU30=CU$2),3,IF(AND(CT$2&gt;CU$2,CT30&gt;CU30),1,IF(AND(CU$2&gt;CT$2,CU30&gt;CT30),1,IF(AND(CT$2=CU$2,CT30=CU30),1,0)))))</f>
        <v/>
      </c>
      <c r="CW30" s="1" t="n">
        <f aca="false">Participantes!BQ29</f>
        <v>0</v>
      </c>
      <c r="CX30" s="1" t="n">
        <f aca="false">Participantes!BR29</f>
        <v>0</v>
      </c>
      <c r="CY30" s="82" t="str">
        <f aca="false">IF(CW$2="","",IF(AND(CW30=CW$2,CX30=CX$2),3,IF(AND(CW$2&gt;CX$2,CW30&gt;CX30),1,IF(AND(CX$2&gt;CW$2,CX30&gt;CW30),1,IF(AND(CW$2=CX$2,CW30=CX30),1,0)))))</f>
        <v/>
      </c>
      <c r="CZ30" s="1" t="n">
        <f aca="false">Participantes!BS29</f>
        <v>0</v>
      </c>
      <c r="DA30" s="1" t="n">
        <f aca="false">Participantes!BT29</f>
        <v>0</v>
      </c>
      <c r="DB30" s="82" t="str">
        <f aca="false">IF(CZ$2="","",IF(AND(CZ30=CZ$2,DA30=DA$2),3,IF(AND(CZ$2&gt;DA$2,CZ30&gt;DA30),1,IF(AND(DA$2&gt;CZ$2,DA30&gt;CZ30),1,IF(AND(CZ$2=DA$2,CZ30=DA30),1,0)))))</f>
        <v/>
      </c>
      <c r="DC30" s="1" t="n">
        <f aca="false">Participantes!BU29</f>
        <v>0</v>
      </c>
      <c r="DD30" s="1" t="n">
        <f aca="false">Participantes!BV29</f>
        <v>0</v>
      </c>
      <c r="DE30" s="82" t="str">
        <f aca="false">IF(DC$2="","",IF(AND(DC30=DC$2,DD30=DD$2),3,IF(AND(DC$2&gt;DD$2,DC30&gt;DD30),1,IF(AND(DD$2&gt;DC$2,DD30&gt;DC30),1,IF(AND(DC$2=DD$2,DC30=DD30),1,0)))))</f>
        <v/>
      </c>
      <c r="DF30" s="1" t="n">
        <f aca="false">Participantes!BW29</f>
        <v>0</v>
      </c>
      <c r="DG30" s="1" t="n">
        <f aca="false">Participantes!BX29</f>
        <v>0</v>
      </c>
      <c r="DH30" s="82" t="str">
        <f aca="false">IF(DF$2="","",IF(AND(DF30=DF$2,DG30=DG$2),3,IF(AND(DF$2&gt;DG$2,DF30&gt;DG30),1,IF(AND(DG$2&gt;DF$2,DG30&gt;DF30),1,IF(AND(DF$2=DG$2,DF30=DG30),1,0)))))</f>
        <v/>
      </c>
      <c r="DI30" s="1" t="n">
        <f aca="false">Participantes!BY29</f>
        <v>0</v>
      </c>
      <c r="DJ30" s="1" t="n">
        <f aca="false">Participantes!BZ29</f>
        <v>0</v>
      </c>
      <c r="DK30" s="82" t="str">
        <f aca="false">IF(DI$2="","",IF(AND(DI30=DI$2,DJ30=DJ$2),3,IF(AND(DI$2&gt;DJ$2,DI30&gt;DJ30),1,IF(AND(DJ$2&gt;DI$2,DJ30&gt;DI30),1,IF(AND(DI$2=DJ$2,DI30=DJ30),1,0)))))</f>
        <v/>
      </c>
      <c r="DL30" s="1" t="n">
        <f aca="false">Participantes!CA29</f>
        <v>0</v>
      </c>
      <c r="DM30" s="1" t="n">
        <f aca="false">Participantes!CB29</f>
        <v>0</v>
      </c>
      <c r="DN30" s="82" t="str">
        <f aca="false">IF(DL$2="","",IF(AND(DL30=DL$2,DM30=DM$2),3,IF(AND(DL$2&gt;DM$2,DL30&gt;DM30),1,IF(AND(DM$2&gt;DL$2,DM30&gt;DL30),1,IF(AND(DL$2=DM$2,DL30=DM30),1,0)))))</f>
        <v/>
      </c>
      <c r="DO30" s="1" t="n">
        <f aca="false">Participantes!CC29</f>
        <v>0</v>
      </c>
      <c r="DP30" s="1" t="n">
        <f aca="false">Participantes!CD29</f>
        <v>0</v>
      </c>
      <c r="DQ30" s="82" t="str">
        <f aca="false">IF(DO$2="","",IF(AND(DO30=DO$2,DP30=DP$2),3,IF(AND(DO$2&gt;DP$2,DO30&gt;DP30),1,IF(AND(DP$2&gt;DO$2,DP30&gt;DO30),1,IF(AND(DO$2=DP$2,DO30=DP30),1,0)))))</f>
        <v/>
      </c>
      <c r="DR30" s="1" t="n">
        <f aca="false">Participantes!CE29</f>
        <v>0</v>
      </c>
      <c r="DS30" s="1" t="n">
        <f aca="false">Participantes!CF29</f>
        <v>0</v>
      </c>
      <c r="DT30" s="82" t="str">
        <f aca="false">IF(DR$2="","",IF(AND(DR30=DR$2,DS30=DS$2),3,IF(AND(DR$2&gt;DS$2,DR30&gt;DS30),1,IF(AND(DS$2&gt;DR$2,DS30&gt;DR30),1,IF(AND(DR$2=DS$2,DR30=DS30),1,0)))))</f>
        <v/>
      </c>
      <c r="DU30" s="1" t="n">
        <f aca="false">Participantes!CG29</f>
        <v>0</v>
      </c>
      <c r="DV30" s="1" t="n">
        <f aca="false">Participantes!CH29</f>
        <v>0</v>
      </c>
      <c r="DW30" s="82" t="str">
        <f aca="false">IF(DU$2="","",IF(AND(DU30=DU$2,DV30=DV$2),3,IF(AND(DU$2&gt;DV$2,DU30&gt;DV30),1,IF(AND(DV$2&gt;DU$2,DV30&gt;DU30),1,IF(AND(DU$2=DV$2,DU30=DV30),1,0)))))</f>
        <v/>
      </c>
      <c r="DX30" s="1" t="n">
        <f aca="false">Participantes!CI29</f>
        <v>0</v>
      </c>
      <c r="DY30" s="1" t="n">
        <f aca="false">Participantes!CJ29</f>
        <v>0</v>
      </c>
      <c r="DZ30" s="82" t="str">
        <f aca="false">IF(DX$2="","",IF(AND(DX30=DX$2,DY30=DY$2),3,IF(AND(DX$2&gt;DY$2,DX30&gt;DY30),1,IF(AND(DY$2&gt;DX$2,DY30&gt;DX30),1,IF(AND(DX$2=DY$2,DX30=DY30),1,0)))))</f>
        <v/>
      </c>
      <c r="EA30" s="1" t="n">
        <f aca="false">Participantes!CK29</f>
        <v>0</v>
      </c>
      <c r="EB30" s="1" t="n">
        <f aca="false">Participantes!CL29</f>
        <v>0</v>
      </c>
      <c r="EC30" s="82" t="str">
        <f aca="false">IF(EA$2="","",IF(AND(EA30=EA$2,EB30=EB$2),3,IF(AND(EA$2&gt;EB$2,EA30&gt;EB30),1,IF(AND(EB$2&gt;EA$2,EB30&gt;EA30),1,IF(AND(EA$2=EB$2,EA30=EB30),1,0)))))</f>
        <v/>
      </c>
      <c r="ED30" s="1" t="n">
        <f aca="false">Participantes!CM29</f>
        <v>0</v>
      </c>
      <c r="EE30" s="1" t="n">
        <f aca="false">Participantes!CN29</f>
        <v>0</v>
      </c>
      <c r="EF30" s="82" t="str">
        <f aca="false">IF(ED$2="","",IF(AND(ED30=ED$2,EE30=EE$2),3,IF(AND(ED$2&gt;EE$2,ED30&gt;EE30),1,IF(AND(EE$2&gt;ED$2,EE30&gt;ED30),1,IF(AND(ED$2=EE$2,ED30=EE30),1,0)))))</f>
        <v/>
      </c>
      <c r="EG30" s="1" t="n">
        <f aca="false">Participantes!CO29</f>
        <v>0</v>
      </c>
      <c r="EH30" s="1" t="n">
        <f aca="false">Participantes!CP29</f>
        <v>0</v>
      </c>
      <c r="EI30" s="82" t="str">
        <f aca="false">IF(EG$2="","",IF(AND(EG30=EG$2,EH30=EH$2),3,IF(AND(EG$2&gt;EH$2,EG30&gt;EH30),1,IF(AND(EH$2&gt;EG$2,EH30&gt;EG30),1,IF(AND(EG$2=EH$2,EG30=EH30),1,0)))))</f>
        <v/>
      </c>
      <c r="EJ30" s="1" t="n">
        <f aca="false">Participantes!CQ29</f>
        <v>0</v>
      </c>
      <c r="EK30" s="1" t="n">
        <f aca="false">Participantes!CR29</f>
        <v>0</v>
      </c>
      <c r="EL30" s="82" t="str">
        <f aca="false">IF(EJ$2="","",IF(AND(EJ30=EJ$2,EK30=EK$2),3,IF(AND(EJ$2&gt;EK$2,EJ30&gt;EK30),1,IF(AND(EK$2&gt;EJ$2,EK30&gt;EJ30),1,IF(AND(EJ$2=EK$2,EJ30=EK30),1,0)))))</f>
        <v/>
      </c>
      <c r="EM30" s="1" t="n">
        <f aca="false">Participantes!CS29</f>
        <v>0</v>
      </c>
      <c r="EN30" s="1" t="n">
        <f aca="false">Participantes!CT29</f>
        <v>0</v>
      </c>
      <c r="EO30" s="82" t="str">
        <f aca="false">IF(EM$2="","",IF(AND(EM30=EM$2,EN30=EN$2),3,IF(AND(EM$2&gt;EN$2,EM30&gt;EN30),1,IF(AND(EN$2&gt;EM$2,EN30&gt;EM30),1,IF(AND(EM$2=EN$2,EM30=EN30),1,0)))))</f>
        <v/>
      </c>
      <c r="EP30" s="1" t="n">
        <f aca="false">Participantes!CU29</f>
        <v>0</v>
      </c>
      <c r="EQ30" s="1" t="n">
        <f aca="false">Participantes!CV29</f>
        <v>0</v>
      </c>
      <c r="ER30" s="82" t="str">
        <f aca="false">IF(EP$2="","",IF(AND(EP30=EP$2,EQ30=EQ$2),3,IF(AND(EP$2&gt;EQ$2,EP30&gt;EQ30),1,IF(AND(EQ$2&gt;EP$2,EQ30&gt;EP30),1,IF(AND(EP$2=EQ$2,EP30=EQ30),1,0)))))</f>
        <v/>
      </c>
      <c r="ES30" s="1" t="n">
        <f aca="false">Participantes!CW29</f>
        <v>0</v>
      </c>
      <c r="ET30" s="1" t="n">
        <f aca="false">Participantes!CX29</f>
        <v>0</v>
      </c>
      <c r="EU30" s="82" t="str">
        <f aca="false">IF(ES$2="","",IF(AND(ES30=ES$2,ET30=ET$2),3,IF(AND(ES$2&gt;ET$2,ES30&gt;ET30),1,IF(AND(ET$2&gt;ES$2,ET30&gt;ES30),1,IF(AND(ES$2=ET$2,ES30=ET30),1,0)))))</f>
        <v/>
      </c>
      <c r="EV30" s="1" t="n">
        <f aca="false">Participantes!CY29</f>
        <v>0</v>
      </c>
      <c r="EW30" s="1" t="n">
        <f aca="false">Participantes!CZ29</f>
        <v>0</v>
      </c>
      <c r="EX30" s="82" t="str">
        <f aca="false">IF(EV$2="","",IF(AND(EV30=EV$2,EW30=EW$2),3,IF(AND(EV$2&gt;EW$2,EV30&gt;EW30),1,IF(AND(EW$2&gt;EV$2,EW30&gt;EV30),1,IF(AND(EV$2=EW$2,EV30=EW30),1,0)))))</f>
        <v/>
      </c>
      <c r="EY30" s="1" t="n">
        <f aca="false">Participantes!DA29</f>
        <v>0</v>
      </c>
      <c r="EZ30" s="1" t="n">
        <f aca="false">Participantes!DB29</f>
        <v>0</v>
      </c>
      <c r="FA30" s="82" t="str">
        <f aca="false">IF(EY$2="","",IF(AND(EY30=EY$2,EZ30=EZ$2),3,IF(AND(EY$2&gt;EZ$2,EY30&gt;EZ30),1,IF(AND(EZ$2&gt;EY$2,EZ30&gt;EY30),1,IF(AND(EY$2=EZ$2,EY30=EZ30),1,0)))))</f>
        <v/>
      </c>
      <c r="FB30" s="1" t="n">
        <f aca="false">Participantes!DC29</f>
        <v>0</v>
      </c>
      <c r="FC30" s="1" t="n">
        <f aca="false">Participantes!DD29</f>
        <v>0</v>
      </c>
      <c r="FD30" s="82" t="str">
        <f aca="false">IF(FB$2="","",IF(AND(FB30=FB$2,FC30=FC$2),3,IF(AND(FB$2&gt;FC$2,FB30&gt;FC30),1,IF(AND(FC$2&gt;FB$2,FC30&gt;FB30),1,IF(AND(FB$2=FC$2,FB30=FC30),1,0)))))</f>
        <v/>
      </c>
      <c r="FE30" s="1" t="n">
        <f aca="false">Participantes!DE29</f>
        <v>0</v>
      </c>
      <c r="FF30" s="1" t="n">
        <f aca="false">Participantes!DF29</f>
        <v>0</v>
      </c>
      <c r="FG30" s="82" t="str">
        <f aca="false">IF(FE$2="","",IF(AND(FE30=FE$2,FF30=FF$2),3,IF(AND(FE$2&gt;FF$2,FE30&gt;FF30),1,IF(AND(FF$2&gt;FE$2,FF30&gt;FE30),1,IF(AND(FE$2=FF$2,FE30=FF30),1,0)))))</f>
        <v/>
      </c>
      <c r="FH30" s="1" t="n">
        <f aca="false">Participantes!DG29</f>
        <v>0</v>
      </c>
      <c r="FI30" s="1" t="n">
        <f aca="false">Participantes!DH29</f>
        <v>0</v>
      </c>
      <c r="FJ30" s="82" t="str">
        <f aca="false">IF(FH$2="","",IF(AND(FH30=FH$2,FI30=FI$2),3,IF(AND(FH$2&gt;FI$2,FH30&gt;FI30),1,IF(AND(FI$2&gt;FH$2,FI30&gt;FH30),1,IF(AND(FH$2=FI$2,FH30=FI30),1,0)))))</f>
        <v/>
      </c>
      <c r="FK30" s="1" t="n">
        <f aca="false">Participantes!DI29</f>
        <v>0</v>
      </c>
      <c r="FL30" s="1" t="n">
        <f aca="false">Participantes!DJ29</f>
        <v>0</v>
      </c>
      <c r="FM30" s="82" t="str">
        <f aca="false">IF(FK$2="","",IF(AND(FK30=FK$2,FL30=FL$2),3,IF(AND(FK$2&gt;FL$2,FK30&gt;FL30),1,IF(AND(FL$2&gt;FK$2,FL30&gt;FK30),1,IF(AND(FK$2=FL$2,FK30=FL30),1,0)))))</f>
        <v/>
      </c>
      <c r="FN30" s="1" t="n">
        <f aca="false">Participantes!DK29</f>
        <v>0</v>
      </c>
      <c r="FO30" s="1" t="n">
        <f aca="false">Participantes!DL29</f>
        <v>0</v>
      </c>
      <c r="FP30" s="82" t="str">
        <f aca="false">IF(FN$2="","",IF(AND(FN30=FN$2,FO30=FO$2),3,IF(AND(FN$2&gt;FO$2,FN30&gt;FO30),1,IF(AND(FO$2&gt;FN$2,FO30&gt;FN30),1,IF(AND(FN$2=FO$2,FN30=FO30),1,0)))))</f>
        <v/>
      </c>
      <c r="FQ30" s="1" t="n">
        <f aca="false">Participantes!DM29</f>
        <v>0</v>
      </c>
      <c r="FR30" s="1" t="n">
        <f aca="false">Participantes!DN29</f>
        <v>0</v>
      </c>
      <c r="FS30" s="82" t="str">
        <f aca="false">IF(FQ$2="","",IF(AND(FQ30=FQ$2,FR30=FR$2),3,IF(AND(FQ$2&gt;FR$2,FQ30&gt;FR30),1,IF(AND(FR$2&gt;FQ$2,FR30&gt;FQ30),1,IF(AND(FQ$2=FR$2,FQ30=FR30),1,0)))))</f>
        <v/>
      </c>
      <c r="FT30" s="1" t="n">
        <f aca="false">Participantes!DO29</f>
        <v>0</v>
      </c>
      <c r="FU30" s="1" t="n">
        <f aca="false">Participantes!DP29</f>
        <v>0</v>
      </c>
      <c r="FV30" s="82" t="str">
        <f aca="false">IF(FT$2="","",IF(AND(FT30=FT$2,FU30=FU$2),3,IF(AND(FT$2&gt;FU$2,FT30&gt;FU30),1,IF(AND(FU$2&gt;FT$2,FU30&gt;FT30),1,IF(AND(FT$2=FU$2,FT30=FU30),1,0)))))</f>
        <v/>
      </c>
      <c r="FW30" s="1" t="n">
        <f aca="false">Participantes!DQ29</f>
        <v>0</v>
      </c>
      <c r="FX30" s="1" t="n">
        <f aca="false">Participantes!DR29</f>
        <v>0</v>
      </c>
      <c r="FY30" s="82" t="str">
        <f aca="false">IF(FW$2="","",IF(AND(FW30=FW$2,FX30=FX$2),3,IF(AND(FW$2&gt;FX$2,FW30&gt;FX30),1,IF(AND(FX$2&gt;FW$2,FX30&gt;FW30),1,IF(AND(FW$2=FX$2,FW30=FX30),1,0)))))</f>
        <v/>
      </c>
      <c r="FZ30" s="1" t="n">
        <f aca="false">Participantes!DS29</f>
        <v>0</v>
      </c>
      <c r="GA30" s="1" t="n">
        <f aca="false">Participantes!DT29</f>
        <v>0</v>
      </c>
      <c r="GB30" s="82" t="str">
        <f aca="false">IF(FZ$2="","",IF(AND(FZ30=FZ$2,GA30=GA$2),3,IF(AND(FZ$2&gt;GA$2,FZ30&gt;GA30),1,IF(AND(GA$2&gt;FZ$2,GA30&gt;FZ30),1,IF(AND(FZ$2=GA$2,FZ30=GA30),1,0)))))</f>
        <v/>
      </c>
      <c r="GC30" s="1" t="n">
        <f aca="false">Participantes!DU29</f>
        <v>0</v>
      </c>
      <c r="GD30" s="1" t="n">
        <f aca="false">Participantes!DV29</f>
        <v>0</v>
      </c>
      <c r="GE30" s="82" t="str">
        <f aca="false">IF(GC$2="","",IF(AND(GC30=GC$2,GD30=GD$2),3,IF(AND(GC$2&gt;GD$2,GC30&gt;GD30),1,IF(AND(GD$2&gt;GC$2,GD30&gt;GC30),1,IF(AND(GC$2=GD$2,GC30=GD30),1,0)))))</f>
        <v/>
      </c>
      <c r="GF30" s="1" t="n">
        <f aca="false">Participantes!DW29</f>
        <v>0</v>
      </c>
      <c r="GG30" s="1" t="n">
        <f aca="false">Participantes!DX29</f>
        <v>0</v>
      </c>
      <c r="GH30" s="82" t="str">
        <f aca="false">IF(GF$2="","",IF(AND(GF30=GF$2,GG30=GG$2),3,IF(AND(GF$2&gt;GG$2,GF30&gt;GG30),1,IF(AND(GG$2&gt;GF$2,GG30&gt;GF30),1,IF(AND(GF$2=GG$2,GF30=GG30),1,0)))))</f>
        <v/>
      </c>
      <c r="GI30" s="1" t="n">
        <f aca="false">Participantes!DY29</f>
        <v>0</v>
      </c>
      <c r="GJ30" s="1" t="n">
        <f aca="false">Participantes!DZ29</f>
        <v>0</v>
      </c>
      <c r="GK30" s="82" t="str">
        <f aca="false">IF(GI$2="","",IF(AND(GI30=GI$2,GJ30=GJ$2),3,IF(AND(GI$2&gt;GJ$2,GI30&gt;GJ30),1,IF(AND(GJ$2&gt;GI$2,GJ30&gt;GI30),1,IF(AND(GI$2=GJ$2,GI30=GJ30),1,0)))))</f>
        <v/>
      </c>
      <c r="GL30" s="1" t="n">
        <f aca="false">Participantes!EA29</f>
        <v>0</v>
      </c>
      <c r="GM30" s="1" t="n">
        <f aca="false">Participantes!EB29</f>
        <v>0</v>
      </c>
      <c r="GN30" s="82" t="str">
        <f aca="false">IF(GL$2="","",IF(AND(GL30=GL$2,GM30=GM$2),3,IF(AND(GL$2&gt;GM$2,GL30&gt;GM30),1,IF(AND(GM$2&gt;GL$2,GM30&gt;GL30),1,IF(AND(GL$2=GM$2,GL30=GM30),1,0)))))</f>
        <v/>
      </c>
      <c r="GO30" s="1" t="n">
        <f aca="false">Participantes!EC29</f>
        <v>0</v>
      </c>
      <c r="GP30" s="1" t="n">
        <f aca="false">Participantes!ED29</f>
        <v>0</v>
      </c>
      <c r="GQ30" s="82" t="str">
        <f aca="false">IF(GO$2="","",IF(AND(GO30=GO$2,GP30=GP$2),3,IF(AND(GO$2&gt;GP$2,GO30&gt;GP30),1,IF(AND(GP$2&gt;GO$2,GP30&gt;GO30),1,IF(AND(GO$2=GP$2,GO30=GP30),1,0)))))</f>
        <v/>
      </c>
      <c r="GR30" s="1" t="n">
        <f aca="false">Participantes!EE29</f>
        <v>0</v>
      </c>
      <c r="GS30" s="1" t="n">
        <f aca="false">Participantes!EF29</f>
        <v>0</v>
      </c>
      <c r="GT30" s="82" t="str">
        <f aca="false">IF(GR$2="","",IF(AND(GR30=GR$2,GS30=GS$2),3,IF(AND(GR$2&gt;GS$2,GR30&gt;GS30),1,IF(AND(GS$2&gt;GR$2,GS30&gt;GR30),1,IF(AND(GR$2=GS$2,GR30=GS30),1,0)))))</f>
        <v/>
      </c>
      <c r="GU30" s="1" t="n">
        <f aca="false">Participantes!EG29</f>
        <v>0</v>
      </c>
      <c r="GV30" s="1" t="n">
        <f aca="false">Participantes!EH29</f>
        <v>0</v>
      </c>
      <c r="GW30" s="82" t="str">
        <f aca="false">IF(GU$2="","",IF(AND(GU30=GU$2,GV30=GV$2),3,IF(AND(GU$2&gt;GV$2,GU30&gt;GV30),1,IF(AND(GV$2&gt;GU$2,GV30&gt;GU30),1,IF(AND(GU$2=GV$2,GU30=GV30),1,0)))))</f>
        <v/>
      </c>
      <c r="GX30" s="1" t="n">
        <f aca="false">Participantes!EI29</f>
        <v>0</v>
      </c>
      <c r="GY30" s="1" t="n">
        <f aca="false">Participantes!EJ29</f>
        <v>0</v>
      </c>
      <c r="GZ30" s="82" t="str">
        <f aca="false">IF(GX$2="","",IF(AND(GX30=GX$2,GY30=GY$2),3,IF(AND(GX$2&gt;GY$2,GX30&gt;GY30),1,IF(AND(GY$2&gt;GX$2,GY30&gt;GX30),1,IF(AND(GX$2=GY$2,GX30=GY30),1,0)))))</f>
        <v/>
      </c>
      <c r="HA30" s="1" t="n">
        <f aca="false">Participantes!EK29</f>
        <v>0</v>
      </c>
      <c r="HB30" s="1" t="n">
        <f aca="false">Participantes!EL29</f>
        <v>0</v>
      </c>
      <c r="HC30" s="82" t="str">
        <f aca="false">IF(HA$2="","",IF(AND(HA30=HA$2,HB30=HB$2),3,IF(AND(HA$2&gt;HB$2,HA30&gt;HB30),1,IF(AND(HB$2&gt;HA$2,HB30&gt;HA30),1,IF(AND(HA$2=HB$2,HA30=HB30),1,0)))))</f>
        <v/>
      </c>
      <c r="HD30" s="1" t="n">
        <f aca="false">Participantes!EM29</f>
        <v>0</v>
      </c>
      <c r="HE30" s="1" t="n">
        <f aca="false">Participantes!EN29</f>
        <v>0</v>
      </c>
      <c r="HF30" s="82" t="str">
        <f aca="false">IF(HD$2="","",IF(AND(HD30=HD$2,HE30=HE$2),3,IF(AND(HD$2&gt;HE$2,HD30&gt;HE30),1,IF(AND(HE$2&gt;HD$2,HE30&gt;HD30),1,IF(AND(HD$2=HE$2,HD30=HE30),1,0)))))</f>
        <v/>
      </c>
      <c r="HG30" s="1" t="n">
        <f aca="false">Participantes!EO29</f>
        <v>0</v>
      </c>
      <c r="HH30" s="1" t="n">
        <f aca="false">Participantes!EP29</f>
        <v>0</v>
      </c>
      <c r="HI30" s="82" t="str">
        <f aca="false">IF(HG$2="","",IF(AND(HG30=HG$2,HH30=HH$2),3,IF(AND(HG$2&gt;HH$2,HG30&gt;HH30),1,IF(AND(HH$2&gt;HG$2,HH30&gt;HG30),1,IF(AND(HG$2=HH$2,HG30=HH30),1,0)))))</f>
        <v/>
      </c>
      <c r="HJ30" s="83" t="n">
        <f aca="false">SUM(D30,G30,J30,M30,P30,S30,V30,Y30,AB30,AE30,AH30,AK30,AN30,AQ30,AT30,AW30,AZ30,BC30,BF30,BI30,BL30,BO30,BR30,BU30,BX30,CA30,CD30,CG30,CJ30,CM30,CP30,CS30,CV30,CY30,DB30,DE30,DH30,DK30,DN30,DQ30,DT30,DW30,DZ30,EC30,EF30,EI30,EL30,EO30,ER30,EU30,EX30,FA30,FD30,FG30,FJ30,FM30,FP30,FS30,FV30,FY30,GB30,GE30,GH30,GK30,GN30,GQ30,GT30,GW30,GZ30,HC30,HF30,HI30)</f>
        <v>3</v>
      </c>
    </row>
    <row r="31" customFormat="false" ht="15" hidden="false" customHeight="true" outlineLevel="0" collapsed="false">
      <c r="A31" s="81" t="str">
        <f aca="false">Participantes!B30</f>
        <v>Luis Peña</v>
      </c>
      <c r="B31" s="1" t="n">
        <f aca="false">Participantes!C30</f>
        <v>2</v>
      </c>
      <c r="C31" s="1" t="n">
        <f aca="false">Participantes!D30</f>
        <v>0</v>
      </c>
      <c r="D31" s="82" t="n">
        <f aca="false">IF(B$2="","",IF(AND(B31=B$2,C31=C$2),3,IF(AND(B$2&gt;C$2,B31&gt;C31),1,IF(AND(C$2&gt;B$2,C31&gt;B31),1,IF(AND(B$2=C$2,B31=C31),1,0)))))</f>
        <v>3</v>
      </c>
      <c r="E31" s="1" t="n">
        <f aca="false">Participantes!E30</f>
        <v>2</v>
      </c>
      <c r="F31" s="1" t="n">
        <f aca="false">Participantes!F30</f>
        <v>1</v>
      </c>
      <c r="G31" s="82" t="str">
        <f aca="false">IF(E$2="","",IF(AND(E31=E$2,F31=F$2),3,IF(AND(E$2&gt;F$2,E31&gt;F31),1,IF(AND(F$2&gt;E$2,F31&gt;E31),1,IF(AND(E$2=F$2,E31=F31),1,0)))))</f>
        <v/>
      </c>
      <c r="H31" s="1" t="n">
        <f aca="false">Participantes!G30</f>
        <v>1</v>
      </c>
      <c r="I31" s="1" t="n">
        <f aca="false">Participantes!H30</f>
        <v>0</v>
      </c>
      <c r="J31" s="82" t="str">
        <f aca="false">IF(H$2="","",IF(AND(H31=H$2,I31=I$2),3,IF(AND(H$2&gt;I$2,H31&gt;I31),1,IF(AND(I$2&gt;H$2,I31&gt;H31),1,IF(AND(H$2=I$2,H31=I31),1,0)))))</f>
        <v/>
      </c>
      <c r="K31" s="1" t="n">
        <f aca="false">Participantes!I30</f>
        <v>2</v>
      </c>
      <c r="L31" s="1" t="n">
        <f aca="false">Participantes!J30</f>
        <v>1</v>
      </c>
      <c r="M31" s="82" t="str">
        <f aca="false">IF(K$2="","",IF(AND(K31=K$2,L31=L$2),3,IF(AND(K$2&gt;L$2,K31&gt;L31),1,IF(AND(L$2&gt;K$2,L31&gt;K31),1,IF(AND(K$2=L$2,K31=L31),1,0)))))</f>
        <v/>
      </c>
      <c r="N31" s="1" t="n">
        <f aca="false">Participantes!K30</f>
        <v>1</v>
      </c>
      <c r="O31" s="1" t="n">
        <f aca="false">Participantes!L30</f>
        <v>3</v>
      </c>
      <c r="P31" s="82" t="str">
        <f aca="false">IF(N$2="","",IF(AND(N31=N$2,O31=O$2),3,IF(AND(N$2&gt;O$2,N31&gt;O31),1,IF(AND(O$2&gt;N$2,O31&gt;N31),1,IF(AND(N$2=O$2,N31=O31),1,0)))))</f>
        <v/>
      </c>
      <c r="Q31" s="1" t="n">
        <f aca="false">Participantes!M30</f>
        <v>0</v>
      </c>
      <c r="R31" s="1" t="n">
        <f aca="false">Participantes!N30</f>
        <v>2</v>
      </c>
      <c r="S31" s="82" t="str">
        <f aca="false">IF(Q$2="","",IF(AND(Q31=Q$2,R31=R$2),3,IF(AND(Q$2&gt;R$2,Q31&gt;R31),1,IF(AND(R$2&gt;Q$2,R31&gt;Q31),1,IF(AND(Q$2=R$2,Q31=R31),1,0)))))</f>
        <v/>
      </c>
      <c r="T31" s="1" t="n">
        <f aca="false">Participantes!O30</f>
        <v>2</v>
      </c>
      <c r="U31" s="1" t="n">
        <f aca="false">Participantes!P30</f>
        <v>1</v>
      </c>
      <c r="V31" s="82" t="str">
        <f aca="false">IF(T$2="","",IF(AND(T31=T$2,U31=U$2),3,IF(AND(T$2&gt;U$2,T31&gt;U31),1,IF(AND(U$2&gt;T$2,U31&gt;T31),1,IF(AND(T$2=U$2,T31=U31),1,0)))))</f>
        <v/>
      </c>
      <c r="W31" s="1" t="n">
        <f aca="false">Participantes!Q30</f>
        <v>0</v>
      </c>
      <c r="X31" s="1" t="n">
        <f aca="false">Participantes!R30</f>
        <v>4</v>
      </c>
      <c r="Y31" s="82" t="str">
        <f aca="false">IF(W$2="","",IF(AND(W31=W$2,X31=X$2),3,IF(AND(W$2&gt;X$2,W31&gt;X31),1,IF(AND(X$2&gt;W$2,X31&gt;W31),1,IF(AND(W$2=X$2,W31=X31),1,0)))))</f>
        <v/>
      </c>
      <c r="Z31" s="1" t="n">
        <f aca="false">Participantes!S30</f>
        <v>0</v>
      </c>
      <c r="AA31" s="1" t="n">
        <f aca="false">Participantes!T30</f>
        <v>2</v>
      </c>
      <c r="AB31" s="82" t="str">
        <f aca="false">IF(Z$2="","",IF(AND(Z31=Z$2,AA31=AA$2),3,IF(AND(Z$2&gt;AA$2,Z31&gt;AA31),1,IF(AND(AA$2&gt;Z$2,AA31&gt;Z31),1,IF(AND(Z$2=AA$2,Z31=AA31),1,0)))))</f>
        <v/>
      </c>
      <c r="AC31" s="1" t="n">
        <f aca="false">Participantes!U30</f>
        <v>4</v>
      </c>
      <c r="AD31" s="1" t="n">
        <f aca="false">Participantes!V30</f>
        <v>0</v>
      </c>
      <c r="AE31" s="82" t="str">
        <f aca="false">IF(AC$2="","",IF(AND(AC31=AC$2,AD31=AD$2),3,IF(AND(AC$2&gt;AD$2,AC31&gt;AD31),1,IF(AND(AD$2&gt;AC$2,AD31&gt;AC31),1,IF(AND(AC$2=AD$2,AC31=AD31),1,0)))))</f>
        <v/>
      </c>
      <c r="AF31" s="1" t="n">
        <f aca="false">Participantes!W30</f>
        <v>2</v>
      </c>
      <c r="AG31" s="1" t="n">
        <f aca="false">Participantes!X30</f>
        <v>2</v>
      </c>
      <c r="AH31" s="82" t="str">
        <f aca="false">IF(AF$2="","",IF(AND(AF31=AF$2,AG31=AG$2),3,IF(AND(AF$2&gt;AG$2,AF31&gt;AG31),1,IF(AND(AG$2&gt;AF$2,AG31&gt;AF31),1,IF(AND(AF$2=AG$2,AF31=AG31),1,0)))))</f>
        <v/>
      </c>
      <c r="AI31" s="1" t="n">
        <f aca="false">Participantes!Y30</f>
        <v>2</v>
      </c>
      <c r="AJ31" s="1" t="n">
        <f aca="false">Participantes!Z30</f>
        <v>0</v>
      </c>
      <c r="AK31" s="82" t="str">
        <f aca="false">IF(AI$2="","",IF(AND(AI31=AI$2,AJ31=AJ$2),3,IF(AND(AI$2&gt;AJ$2,AI31&gt;AJ31),1,IF(AND(AJ$2&gt;AI$2,AJ31&gt;AI31),1,IF(AND(AI$2=AJ$2,AI31=AJ31),1,0)))))</f>
        <v/>
      </c>
      <c r="AL31" s="1" t="n">
        <f aca="false">Participantes!AA30</f>
        <v>0</v>
      </c>
      <c r="AM31" s="1" t="n">
        <f aca="false">Participantes!AB30</f>
        <v>2</v>
      </c>
      <c r="AN31" s="82" t="str">
        <f aca="false">IF(AL$2="","",IF(AND(AL31=AL$2,AM31=AM$2),3,IF(AND(AL$2&gt;AM$2,AL31&gt;AM31),1,IF(AND(AM$2&gt;AL$2,AM31&gt;AL31),1,IF(AND(AL$2=AM$2,AL31=AM31),1,0)))))</f>
        <v/>
      </c>
      <c r="AO31" s="1" t="n">
        <f aca="false">Participantes!AC30</f>
        <v>7</v>
      </c>
      <c r="AP31" s="1" t="n">
        <f aca="false">Participantes!AD30</f>
        <v>0</v>
      </c>
      <c r="AQ31" s="82" t="str">
        <f aca="false">IF(AO$2="","",IF(AND(AO31=AO$2,AP31=AP$2),3,IF(AND(AO$2&gt;AP$2,AO31&gt;AP31),1,IF(AND(AP$2&gt;AO$2,AP31&gt;AO31),1,IF(AND(AO$2=AP$2,AO31=AP31),1,0)))))</f>
        <v/>
      </c>
      <c r="AR31" s="1" t="n">
        <f aca="false">Participantes!AE30</f>
        <v>0</v>
      </c>
      <c r="AS31" s="1" t="n">
        <f aca="false">Participantes!AF30</f>
        <v>0</v>
      </c>
      <c r="AT31" s="82" t="str">
        <f aca="false">IF(AR$2="","",IF(AND(AR31=AR$2,AS31=AS$2),3,IF(AND(AR$2&gt;AS$2,AR31&gt;AS31),1,IF(AND(AS$2&gt;AR$2,AS31&gt;AR31),1,IF(AND(AR$2=AS$2,AR31=AS31),1,0)))))</f>
        <v/>
      </c>
      <c r="AU31" s="1" t="n">
        <f aca="false">Participantes!AG30</f>
        <v>0</v>
      </c>
      <c r="AV31" s="1" t="n">
        <f aca="false">Participantes!AH30</f>
        <v>0</v>
      </c>
      <c r="AW31" s="82" t="str">
        <f aca="false">IF(AU$2="","",IF(AND(AU31=AU$2,AV31=AV$2),3,IF(AND(AU$2&gt;AV$2,AU31&gt;AV31),1,IF(AND(AV$2&gt;AU$2,AV31&gt;AU31),1,IF(AND(AU$2=AV$2,AU31=AV31),1,0)))))</f>
        <v/>
      </c>
      <c r="AX31" s="1" t="n">
        <f aca="false">Participantes!AI30</f>
        <v>0</v>
      </c>
      <c r="AY31" s="1" t="n">
        <f aca="false">Participantes!AJ30</f>
        <v>0</v>
      </c>
      <c r="AZ31" s="82" t="str">
        <f aca="false">IF(AX$2="","",IF(AND(AX31=AX$2,AY31=AY$2),3,IF(AND(AX$2&gt;AY$2,AX31&gt;AY31),1,IF(AND(AY$2&gt;AX$2,AY31&gt;AX31),1,IF(AND(AX$2=AY$2,AX31=AY31),1,0)))))</f>
        <v/>
      </c>
      <c r="BA31" s="1" t="n">
        <f aca="false">Participantes!AK30</f>
        <v>0</v>
      </c>
      <c r="BB31" s="1" t="n">
        <f aca="false">Participantes!AL30</f>
        <v>0</v>
      </c>
      <c r="BC31" s="82" t="str">
        <f aca="false">IF(BA$2="","",IF(AND(BA31=BA$2,BB31=BB$2),3,IF(AND(BA$2&gt;BB$2,BA31&gt;BB31),1,IF(AND(BB$2&gt;BA$2,BB31&gt;BA31),1,IF(AND(BA$2=BB$2,BA31=BB31),1,0)))))</f>
        <v/>
      </c>
      <c r="BD31" s="1" t="n">
        <f aca="false">Participantes!AM30</f>
        <v>0</v>
      </c>
      <c r="BE31" s="1" t="n">
        <f aca="false">Participantes!AN30</f>
        <v>0</v>
      </c>
      <c r="BF31" s="82" t="str">
        <f aca="false">IF(BD$2="","",IF(AND(BD31=BD$2,BE31=BE$2),3,IF(AND(BD$2&gt;BE$2,BD31&gt;BE31),1,IF(AND(BE$2&gt;BD$2,BE31&gt;BD31),1,IF(AND(BD$2=BE$2,BD31=BE31),1,0)))))</f>
        <v/>
      </c>
      <c r="BG31" s="1" t="n">
        <f aca="false">Participantes!AO30</f>
        <v>0</v>
      </c>
      <c r="BH31" s="1" t="n">
        <f aca="false">Participantes!AP30</f>
        <v>0</v>
      </c>
      <c r="BI31" s="82" t="str">
        <f aca="false">IF(BG$2="","",IF(AND(BG31=BG$2,BH31=BH$2),3,IF(AND(BG$2&gt;BH$2,BG31&gt;BH31),1,IF(AND(BH$2&gt;BG$2,BH31&gt;BG31),1,IF(AND(BG$2=BH$2,BG31=BH31),1,0)))))</f>
        <v/>
      </c>
      <c r="BJ31" s="1" t="n">
        <f aca="false">Participantes!AQ30</f>
        <v>0</v>
      </c>
      <c r="BK31" s="1" t="n">
        <f aca="false">Participantes!AR30</f>
        <v>0</v>
      </c>
      <c r="BL31" s="82" t="str">
        <f aca="false">IF(BJ$2="","",IF(AND(BJ31=BJ$2,BK31=BK$2),3,IF(AND(BJ$2&gt;BK$2,BJ31&gt;BK31),1,IF(AND(BK$2&gt;BJ$2,BK31&gt;BJ31),1,IF(AND(BJ$2=BK$2,BJ31=BK31),1,0)))))</f>
        <v/>
      </c>
      <c r="BM31" s="1" t="n">
        <f aca="false">Participantes!AS30</f>
        <v>0</v>
      </c>
      <c r="BN31" s="1" t="n">
        <f aca="false">Participantes!AT30</f>
        <v>0</v>
      </c>
      <c r="BO31" s="82" t="str">
        <f aca="false">IF(BM$2="","",IF(AND(BM31=BM$2,BN31=BN$2),3,IF(AND(BM$2&gt;BN$2,BM31&gt;BN31),1,IF(AND(BN$2&gt;BM$2,BN31&gt;BM31),1,IF(AND(BM$2=BN$2,BM31=BN31),1,0)))))</f>
        <v/>
      </c>
      <c r="BP31" s="1" t="n">
        <f aca="false">Participantes!AU30</f>
        <v>0</v>
      </c>
      <c r="BQ31" s="1" t="n">
        <f aca="false">Participantes!AV30</f>
        <v>0</v>
      </c>
      <c r="BR31" s="82" t="str">
        <f aca="false">IF(BP$2="","",IF(AND(BP31=BP$2,BQ31=BQ$2),3,IF(AND(BP$2&gt;BQ$2,BP31&gt;BQ31),1,IF(AND(BQ$2&gt;BP$2,BQ31&gt;BP31),1,IF(AND(BP$2=BQ$2,BP31=BQ31),1,0)))))</f>
        <v/>
      </c>
      <c r="BS31" s="1" t="n">
        <f aca="false">Participantes!AW30</f>
        <v>0</v>
      </c>
      <c r="BT31" s="1" t="n">
        <f aca="false">Participantes!AX30</f>
        <v>0</v>
      </c>
      <c r="BU31" s="82" t="str">
        <f aca="false">IF(BS$2="","",IF(AND(BS31=BS$2,BT31=BT$2),3,IF(AND(BS$2&gt;BT$2,BS31&gt;BT31),1,IF(AND(BT$2&gt;BS$2,BT31&gt;BS31),1,IF(AND(BS$2=BT$2,BS31=BT31),1,0)))))</f>
        <v/>
      </c>
      <c r="BV31" s="1" t="n">
        <f aca="false">Participantes!AY30</f>
        <v>0</v>
      </c>
      <c r="BW31" s="1" t="n">
        <f aca="false">Participantes!AZ30</f>
        <v>0</v>
      </c>
      <c r="BX31" s="82" t="str">
        <f aca="false">IF(BV$2="","",IF(AND(BV31=BV$2,BW31=BW$2),3,IF(AND(BV$2&gt;BW$2,BV31&gt;BW31),1,IF(AND(BW$2&gt;BV$2,BW31&gt;BV31),1,IF(AND(BV$2=BW$2,BV31=BW31),1,0)))))</f>
        <v/>
      </c>
      <c r="BY31" s="1" t="n">
        <f aca="false">Participantes!BA30</f>
        <v>0</v>
      </c>
      <c r="BZ31" s="1" t="n">
        <f aca="false">Participantes!BB30</f>
        <v>0</v>
      </c>
      <c r="CA31" s="82" t="str">
        <f aca="false">IF(BY$2="","",IF(AND(BY31=BY$2,BZ31=BZ$2),3,IF(AND(BY$2&gt;BZ$2,BY31&gt;BZ31),1,IF(AND(BZ$2&gt;BY$2,BZ31&gt;BY31),1,IF(AND(BY$2=BZ$2,BY31=BZ31),1,0)))))</f>
        <v/>
      </c>
      <c r="CB31" s="1" t="n">
        <f aca="false">Participantes!BC30</f>
        <v>0</v>
      </c>
      <c r="CC31" s="1" t="n">
        <f aca="false">Participantes!BD30</f>
        <v>0</v>
      </c>
      <c r="CD31" s="82" t="str">
        <f aca="false">IF(CB$2="","",IF(AND(CB31=CB$2,CC31=CC$2),3,IF(AND(CB$2&gt;CC$2,CB31&gt;CC31),1,IF(AND(CC$2&gt;CB$2,CC31&gt;CB31),1,IF(AND(CB$2=CC$2,CB31=CC31),1,0)))))</f>
        <v/>
      </c>
      <c r="CE31" s="1" t="n">
        <f aca="false">Participantes!BE30</f>
        <v>0</v>
      </c>
      <c r="CF31" s="1" t="n">
        <f aca="false">Participantes!BF30</f>
        <v>0</v>
      </c>
      <c r="CG31" s="82" t="str">
        <f aca="false">IF(CE$2="","",IF(AND(CE31=CE$2,CF31=CF$2),3,IF(AND(CE$2&gt;CF$2,CE31&gt;CF31),1,IF(AND(CF$2&gt;CE$2,CF31&gt;CE31),1,IF(AND(CE$2=CF$2,CE31=CF31),1,0)))))</f>
        <v/>
      </c>
      <c r="CH31" s="1" t="n">
        <f aca="false">Participantes!BG30</f>
        <v>0</v>
      </c>
      <c r="CI31" s="1" t="n">
        <f aca="false">Participantes!BH30</f>
        <v>0</v>
      </c>
      <c r="CJ31" s="82" t="str">
        <f aca="false">IF(CH$2="","",IF(AND(CH31=CH$2,CI31=CI$2),3,IF(AND(CH$2&gt;CI$2,CH31&gt;CI31),1,IF(AND(CI$2&gt;CH$2,CI31&gt;CH31),1,IF(AND(CH$2=CI$2,CH31=CI31),1,0)))))</f>
        <v/>
      </c>
      <c r="CK31" s="1" t="n">
        <f aca="false">Participantes!BI30</f>
        <v>0</v>
      </c>
      <c r="CL31" s="1" t="n">
        <f aca="false">Participantes!BJ30</f>
        <v>0</v>
      </c>
      <c r="CM31" s="82" t="str">
        <f aca="false">IF(CK$2="","",IF(AND(CK31=CK$2,CL31=CL$2),3,IF(AND(CK$2&gt;CL$2,CK31&gt;CL31),1,IF(AND(CL$2&gt;CK$2,CL31&gt;CK31),1,IF(AND(CK$2=CL$2,CK31=CL31),1,0)))))</f>
        <v/>
      </c>
      <c r="CN31" s="1" t="n">
        <f aca="false">Participantes!BK30</f>
        <v>0</v>
      </c>
      <c r="CO31" s="1" t="n">
        <f aca="false">Participantes!BL30</f>
        <v>0</v>
      </c>
      <c r="CP31" s="82" t="str">
        <f aca="false">IF(CN$2="","",IF(AND(CN31=CN$2,CO31=CO$2),3,IF(AND(CN$2&gt;CO$2,CN31&gt;CO31),1,IF(AND(CO$2&gt;CN$2,CO31&gt;CN31),1,IF(AND(CN$2=CO$2,CN31=CO31),1,0)))))</f>
        <v/>
      </c>
      <c r="CQ31" s="1" t="n">
        <f aca="false">Participantes!BM30</f>
        <v>0</v>
      </c>
      <c r="CR31" s="1" t="n">
        <f aca="false">Participantes!BN30</f>
        <v>0</v>
      </c>
      <c r="CS31" s="82" t="str">
        <f aca="false">IF(CQ$2="","",IF(AND(CQ31=CQ$2,CR31=CR$2),3,IF(AND(CQ$2&gt;CR$2,CQ31&gt;CR31),1,IF(AND(CR$2&gt;CQ$2,CR31&gt;CQ31),1,IF(AND(CQ$2=CR$2,CQ31=CR31),1,0)))))</f>
        <v/>
      </c>
      <c r="CT31" s="1" t="n">
        <f aca="false">Participantes!BO30</f>
        <v>0</v>
      </c>
      <c r="CU31" s="1" t="n">
        <f aca="false">Participantes!BP30</f>
        <v>0</v>
      </c>
      <c r="CV31" s="82" t="str">
        <f aca="false">IF(CT$2="","",IF(AND(CT31=CT$2,CU31=CU$2),3,IF(AND(CT$2&gt;CU$2,CT31&gt;CU31),1,IF(AND(CU$2&gt;CT$2,CU31&gt;CT31),1,IF(AND(CT$2=CU$2,CT31=CU31),1,0)))))</f>
        <v/>
      </c>
      <c r="CW31" s="1" t="n">
        <f aca="false">Participantes!BQ30</f>
        <v>0</v>
      </c>
      <c r="CX31" s="1" t="n">
        <f aca="false">Participantes!BR30</f>
        <v>0</v>
      </c>
      <c r="CY31" s="82" t="str">
        <f aca="false">IF(CW$2="","",IF(AND(CW31=CW$2,CX31=CX$2),3,IF(AND(CW$2&gt;CX$2,CW31&gt;CX31),1,IF(AND(CX$2&gt;CW$2,CX31&gt;CW31),1,IF(AND(CW$2=CX$2,CW31=CX31),1,0)))))</f>
        <v/>
      </c>
      <c r="CZ31" s="1" t="n">
        <f aca="false">Participantes!BS30</f>
        <v>0</v>
      </c>
      <c r="DA31" s="1" t="n">
        <f aca="false">Participantes!BT30</f>
        <v>0</v>
      </c>
      <c r="DB31" s="82" t="str">
        <f aca="false">IF(CZ$2="","",IF(AND(CZ31=CZ$2,DA31=DA$2),3,IF(AND(CZ$2&gt;DA$2,CZ31&gt;DA31),1,IF(AND(DA$2&gt;CZ$2,DA31&gt;CZ31),1,IF(AND(CZ$2=DA$2,CZ31=DA31),1,0)))))</f>
        <v/>
      </c>
      <c r="DC31" s="1" t="n">
        <f aca="false">Participantes!BU30</f>
        <v>0</v>
      </c>
      <c r="DD31" s="1" t="n">
        <f aca="false">Participantes!BV30</f>
        <v>0</v>
      </c>
      <c r="DE31" s="82" t="str">
        <f aca="false">IF(DC$2="","",IF(AND(DC31=DC$2,DD31=DD$2),3,IF(AND(DC$2&gt;DD$2,DC31&gt;DD31),1,IF(AND(DD$2&gt;DC$2,DD31&gt;DC31),1,IF(AND(DC$2=DD$2,DC31=DD31),1,0)))))</f>
        <v/>
      </c>
      <c r="DF31" s="1" t="n">
        <f aca="false">Participantes!BW30</f>
        <v>0</v>
      </c>
      <c r="DG31" s="1" t="n">
        <f aca="false">Participantes!BX30</f>
        <v>0</v>
      </c>
      <c r="DH31" s="82" t="str">
        <f aca="false">IF(DF$2="","",IF(AND(DF31=DF$2,DG31=DG$2),3,IF(AND(DF$2&gt;DG$2,DF31&gt;DG31),1,IF(AND(DG$2&gt;DF$2,DG31&gt;DF31),1,IF(AND(DF$2=DG$2,DF31=DG31),1,0)))))</f>
        <v/>
      </c>
      <c r="DI31" s="1" t="n">
        <f aca="false">Participantes!BY30</f>
        <v>0</v>
      </c>
      <c r="DJ31" s="1" t="n">
        <f aca="false">Participantes!BZ30</f>
        <v>0</v>
      </c>
      <c r="DK31" s="82" t="str">
        <f aca="false">IF(DI$2="","",IF(AND(DI31=DI$2,DJ31=DJ$2),3,IF(AND(DI$2&gt;DJ$2,DI31&gt;DJ31),1,IF(AND(DJ$2&gt;DI$2,DJ31&gt;DI31),1,IF(AND(DI$2=DJ$2,DI31=DJ31),1,0)))))</f>
        <v/>
      </c>
      <c r="DL31" s="1" t="n">
        <f aca="false">Participantes!CA30</f>
        <v>0</v>
      </c>
      <c r="DM31" s="1" t="n">
        <f aca="false">Participantes!CB30</f>
        <v>0</v>
      </c>
      <c r="DN31" s="82" t="str">
        <f aca="false">IF(DL$2="","",IF(AND(DL31=DL$2,DM31=DM$2),3,IF(AND(DL$2&gt;DM$2,DL31&gt;DM31),1,IF(AND(DM$2&gt;DL$2,DM31&gt;DL31),1,IF(AND(DL$2=DM$2,DL31=DM31),1,0)))))</f>
        <v/>
      </c>
      <c r="DO31" s="1" t="n">
        <f aca="false">Participantes!CC30</f>
        <v>0</v>
      </c>
      <c r="DP31" s="1" t="n">
        <f aca="false">Participantes!CD30</f>
        <v>0</v>
      </c>
      <c r="DQ31" s="82" t="str">
        <f aca="false">IF(DO$2="","",IF(AND(DO31=DO$2,DP31=DP$2),3,IF(AND(DO$2&gt;DP$2,DO31&gt;DP31),1,IF(AND(DP$2&gt;DO$2,DP31&gt;DO31),1,IF(AND(DO$2=DP$2,DO31=DP31),1,0)))))</f>
        <v/>
      </c>
      <c r="DR31" s="1" t="n">
        <f aca="false">Participantes!CE30</f>
        <v>0</v>
      </c>
      <c r="DS31" s="1" t="n">
        <f aca="false">Participantes!CF30</f>
        <v>0</v>
      </c>
      <c r="DT31" s="82" t="str">
        <f aca="false">IF(DR$2="","",IF(AND(DR31=DR$2,DS31=DS$2),3,IF(AND(DR$2&gt;DS$2,DR31&gt;DS31),1,IF(AND(DS$2&gt;DR$2,DS31&gt;DR31),1,IF(AND(DR$2=DS$2,DR31=DS31),1,0)))))</f>
        <v/>
      </c>
      <c r="DU31" s="1" t="n">
        <f aca="false">Participantes!CG30</f>
        <v>0</v>
      </c>
      <c r="DV31" s="1" t="n">
        <f aca="false">Participantes!CH30</f>
        <v>0</v>
      </c>
      <c r="DW31" s="82" t="str">
        <f aca="false">IF(DU$2="","",IF(AND(DU31=DU$2,DV31=DV$2),3,IF(AND(DU$2&gt;DV$2,DU31&gt;DV31),1,IF(AND(DV$2&gt;DU$2,DV31&gt;DU31),1,IF(AND(DU$2=DV$2,DU31=DV31),1,0)))))</f>
        <v/>
      </c>
      <c r="DX31" s="1" t="n">
        <f aca="false">Participantes!CI30</f>
        <v>0</v>
      </c>
      <c r="DY31" s="1" t="n">
        <f aca="false">Participantes!CJ30</f>
        <v>0</v>
      </c>
      <c r="DZ31" s="82" t="str">
        <f aca="false">IF(DX$2="","",IF(AND(DX31=DX$2,DY31=DY$2),3,IF(AND(DX$2&gt;DY$2,DX31&gt;DY31),1,IF(AND(DY$2&gt;DX$2,DY31&gt;DX31),1,IF(AND(DX$2=DY$2,DX31=DY31),1,0)))))</f>
        <v/>
      </c>
      <c r="EA31" s="1" t="n">
        <f aca="false">Participantes!CK30</f>
        <v>0</v>
      </c>
      <c r="EB31" s="1" t="n">
        <f aca="false">Participantes!CL30</f>
        <v>0</v>
      </c>
      <c r="EC31" s="82" t="str">
        <f aca="false">IF(EA$2="","",IF(AND(EA31=EA$2,EB31=EB$2),3,IF(AND(EA$2&gt;EB$2,EA31&gt;EB31),1,IF(AND(EB$2&gt;EA$2,EB31&gt;EA31),1,IF(AND(EA$2=EB$2,EA31=EB31),1,0)))))</f>
        <v/>
      </c>
      <c r="ED31" s="1" t="n">
        <f aca="false">Participantes!CM30</f>
        <v>0</v>
      </c>
      <c r="EE31" s="1" t="n">
        <f aca="false">Participantes!CN30</f>
        <v>0</v>
      </c>
      <c r="EF31" s="82" t="str">
        <f aca="false">IF(ED$2="","",IF(AND(ED31=ED$2,EE31=EE$2),3,IF(AND(ED$2&gt;EE$2,ED31&gt;EE31),1,IF(AND(EE$2&gt;ED$2,EE31&gt;ED31),1,IF(AND(ED$2=EE$2,ED31=EE31),1,0)))))</f>
        <v/>
      </c>
      <c r="EG31" s="1" t="n">
        <f aca="false">Participantes!CO30</f>
        <v>0</v>
      </c>
      <c r="EH31" s="1" t="n">
        <f aca="false">Participantes!CP30</f>
        <v>0</v>
      </c>
      <c r="EI31" s="82" t="str">
        <f aca="false">IF(EG$2="","",IF(AND(EG31=EG$2,EH31=EH$2),3,IF(AND(EG$2&gt;EH$2,EG31&gt;EH31),1,IF(AND(EH$2&gt;EG$2,EH31&gt;EG31),1,IF(AND(EG$2=EH$2,EG31=EH31),1,0)))))</f>
        <v/>
      </c>
      <c r="EJ31" s="1" t="n">
        <f aca="false">Participantes!CQ30</f>
        <v>0</v>
      </c>
      <c r="EK31" s="1" t="n">
        <f aca="false">Participantes!CR30</f>
        <v>0</v>
      </c>
      <c r="EL31" s="82" t="str">
        <f aca="false">IF(EJ$2="","",IF(AND(EJ31=EJ$2,EK31=EK$2),3,IF(AND(EJ$2&gt;EK$2,EJ31&gt;EK31),1,IF(AND(EK$2&gt;EJ$2,EK31&gt;EJ31),1,IF(AND(EJ$2=EK$2,EJ31=EK31),1,0)))))</f>
        <v/>
      </c>
      <c r="EM31" s="1" t="n">
        <f aca="false">Participantes!CS30</f>
        <v>0</v>
      </c>
      <c r="EN31" s="1" t="n">
        <f aca="false">Participantes!CT30</f>
        <v>0</v>
      </c>
      <c r="EO31" s="82" t="str">
        <f aca="false">IF(EM$2="","",IF(AND(EM31=EM$2,EN31=EN$2),3,IF(AND(EM$2&gt;EN$2,EM31&gt;EN31),1,IF(AND(EN$2&gt;EM$2,EN31&gt;EM31),1,IF(AND(EM$2=EN$2,EM31=EN31),1,0)))))</f>
        <v/>
      </c>
      <c r="EP31" s="1" t="n">
        <f aca="false">Participantes!CU30</f>
        <v>0</v>
      </c>
      <c r="EQ31" s="1" t="n">
        <f aca="false">Participantes!CV30</f>
        <v>0</v>
      </c>
      <c r="ER31" s="82" t="str">
        <f aca="false">IF(EP$2="","",IF(AND(EP31=EP$2,EQ31=EQ$2),3,IF(AND(EP$2&gt;EQ$2,EP31&gt;EQ31),1,IF(AND(EQ$2&gt;EP$2,EQ31&gt;EP31),1,IF(AND(EP$2=EQ$2,EP31=EQ31),1,0)))))</f>
        <v/>
      </c>
      <c r="ES31" s="1" t="n">
        <f aca="false">Participantes!CW30</f>
        <v>0</v>
      </c>
      <c r="ET31" s="1" t="n">
        <f aca="false">Participantes!CX30</f>
        <v>0</v>
      </c>
      <c r="EU31" s="82" t="str">
        <f aca="false">IF(ES$2="","",IF(AND(ES31=ES$2,ET31=ET$2),3,IF(AND(ES$2&gt;ET$2,ES31&gt;ET31),1,IF(AND(ET$2&gt;ES$2,ET31&gt;ES31),1,IF(AND(ES$2=ET$2,ES31=ET31),1,0)))))</f>
        <v/>
      </c>
      <c r="EV31" s="1" t="n">
        <f aca="false">Participantes!CY30</f>
        <v>0</v>
      </c>
      <c r="EW31" s="1" t="n">
        <f aca="false">Participantes!CZ30</f>
        <v>0</v>
      </c>
      <c r="EX31" s="82" t="str">
        <f aca="false">IF(EV$2="","",IF(AND(EV31=EV$2,EW31=EW$2),3,IF(AND(EV$2&gt;EW$2,EV31&gt;EW31),1,IF(AND(EW$2&gt;EV$2,EW31&gt;EV31),1,IF(AND(EV$2=EW$2,EV31=EW31),1,0)))))</f>
        <v/>
      </c>
      <c r="EY31" s="1" t="n">
        <f aca="false">Participantes!DA30</f>
        <v>0</v>
      </c>
      <c r="EZ31" s="1" t="n">
        <f aca="false">Participantes!DB30</f>
        <v>0</v>
      </c>
      <c r="FA31" s="82" t="str">
        <f aca="false">IF(EY$2="","",IF(AND(EY31=EY$2,EZ31=EZ$2),3,IF(AND(EY$2&gt;EZ$2,EY31&gt;EZ31),1,IF(AND(EZ$2&gt;EY$2,EZ31&gt;EY31),1,IF(AND(EY$2=EZ$2,EY31=EZ31),1,0)))))</f>
        <v/>
      </c>
      <c r="FB31" s="1" t="n">
        <f aca="false">Participantes!DC30</f>
        <v>0</v>
      </c>
      <c r="FC31" s="1" t="n">
        <f aca="false">Participantes!DD30</f>
        <v>0</v>
      </c>
      <c r="FD31" s="82" t="str">
        <f aca="false">IF(FB$2="","",IF(AND(FB31=FB$2,FC31=FC$2),3,IF(AND(FB$2&gt;FC$2,FB31&gt;FC31),1,IF(AND(FC$2&gt;FB$2,FC31&gt;FB31),1,IF(AND(FB$2=FC$2,FB31=FC31),1,0)))))</f>
        <v/>
      </c>
      <c r="FE31" s="1" t="n">
        <f aca="false">Participantes!DE30</f>
        <v>0</v>
      </c>
      <c r="FF31" s="1" t="n">
        <f aca="false">Participantes!DF30</f>
        <v>0</v>
      </c>
      <c r="FG31" s="82" t="str">
        <f aca="false">IF(FE$2="","",IF(AND(FE31=FE$2,FF31=FF$2),3,IF(AND(FE$2&gt;FF$2,FE31&gt;FF31),1,IF(AND(FF$2&gt;FE$2,FF31&gt;FE31),1,IF(AND(FE$2=FF$2,FE31=FF31),1,0)))))</f>
        <v/>
      </c>
      <c r="FH31" s="1" t="n">
        <f aca="false">Participantes!DG30</f>
        <v>0</v>
      </c>
      <c r="FI31" s="1" t="n">
        <f aca="false">Participantes!DH30</f>
        <v>0</v>
      </c>
      <c r="FJ31" s="82" t="str">
        <f aca="false">IF(FH$2="","",IF(AND(FH31=FH$2,FI31=FI$2),3,IF(AND(FH$2&gt;FI$2,FH31&gt;FI31),1,IF(AND(FI$2&gt;FH$2,FI31&gt;FH31),1,IF(AND(FH$2=FI$2,FH31=FI31),1,0)))))</f>
        <v/>
      </c>
      <c r="FK31" s="1" t="n">
        <f aca="false">Participantes!DI30</f>
        <v>0</v>
      </c>
      <c r="FL31" s="1" t="n">
        <f aca="false">Participantes!DJ30</f>
        <v>0</v>
      </c>
      <c r="FM31" s="82" t="str">
        <f aca="false">IF(FK$2="","",IF(AND(FK31=FK$2,FL31=FL$2),3,IF(AND(FK$2&gt;FL$2,FK31&gt;FL31),1,IF(AND(FL$2&gt;FK$2,FL31&gt;FK31),1,IF(AND(FK$2=FL$2,FK31=FL31),1,0)))))</f>
        <v/>
      </c>
      <c r="FN31" s="1" t="n">
        <f aca="false">Participantes!DK30</f>
        <v>0</v>
      </c>
      <c r="FO31" s="1" t="n">
        <f aca="false">Participantes!DL30</f>
        <v>0</v>
      </c>
      <c r="FP31" s="82" t="str">
        <f aca="false">IF(FN$2="","",IF(AND(FN31=FN$2,FO31=FO$2),3,IF(AND(FN$2&gt;FO$2,FN31&gt;FO31),1,IF(AND(FO$2&gt;FN$2,FO31&gt;FN31),1,IF(AND(FN$2=FO$2,FN31=FO31),1,0)))))</f>
        <v/>
      </c>
      <c r="FQ31" s="1" t="n">
        <f aca="false">Participantes!DM30</f>
        <v>0</v>
      </c>
      <c r="FR31" s="1" t="n">
        <f aca="false">Participantes!DN30</f>
        <v>0</v>
      </c>
      <c r="FS31" s="82" t="str">
        <f aca="false">IF(FQ$2="","",IF(AND(FQ31=FQ$2,FR31=FR$2),3,IF(AND(FQ$2&gt;FR$2,FQ31&gt;FR31),1,IF(AND(FR$2&gt;FQ$2,FR31&gt;FQ31),1,IF(AND(FQ$2=FR$2,FQ31=FR31),1,0)))))</f>
        <v/>
      </c>
      <c r="FT31" s="1" t="n">
        <f aca="false">Participantes!DO30</f>
        <v>0</v>
      </c>
      <c r="FU31" s="1" t="n">
        <f aca="false">Participantes!DP30</f>
        <v>0</v>
      </c>
      <c r="FV31" s="82" t="str">
        <f aca="false">IF(FT$2="","",IF(AND(FT31=FT$2,FU31=FU$2),3,IF(AND(FT$2&gt;FU$2,FT31&gt;FU31),1,IF(AND(FU$2&gt;FT$2,FU31&gt;FT31),1,IF(AND(FT$2=FU$2,FT31=FU31),1,0)))))</f>
        <v/>
      </c>
      <c r="FW31" s="1" t="n">
        <f aca="false">Participantes!DQ30</f>
        <v>0</v>
      </c>
      <c r="FX31" s="1" t="n">
        <f aca="false">Participantes!DR30</f>
        <v>0</v>
      </c>
      <c r="FY31" s="82" t="str">
        <f aca="false">IF(FW$2="","",IF(AND(FW31=FW$2,FX31=FX$2),3,IF(AND(FW$2&gt;FX$2,FW31&gt;FX31),1,IF(AND(FX$2&gt;FW$2,FX31&gt;FW31),1,IF(AND(FW$2=FX$2,FW31=FX31),1,0)))))</f>
        <v/>
      </c>
      <c r="FZ31" s="1" t="n">
        <f aca="false">Participantes!DS30</f>
        <v>0</v>
      </c>
      <c r="GA31" s="1" t="n">
        <f aca="false">Participantes!DT30</f>
        <v>0</v>
      </c>
      <c r="GB31" s="82" t="str">
        <f aca="false">IF(FZ$2="","",IF(AND(FZ31=FZ$2,GA31=GA$2),3,IF(AND(FZ$2&gt;GA$2,FZ31&gt;GA31),1,IF(AND(GA$2&gt;FZ$2,GA31&gt;FZ31),1,IF(AND(FZ$2=GA$2,FZ31=GA31),1,0)))))</f>
        <v/>
      </c>
      <c r="GC31" s="1" t="n">
        <f aca="false">Participantes!DU30</f>
        <v>0</v>
      </c>
      <c r="GD31" s="1" t="n">
        <f aca="false">Participantes!DV30</f>
        <v>0</v>
      </c>
      <c r="GE31" s="82" t="str">
        <f aca="false">IF(GC$2="","",IF(AND(GC31=GC$2,GD31=GD$2),3,IF(AND(GC$2&gt;GD$2,GC31&gt;GD31),1,IF(AND(GD$2&gt;GC$2,GD31&gt;GC31),1,IF(AND(GC$2=GD$2,GC31=GD31),1,0)))))</f>
        <v/>
      </c>
      <c r="GF31" s="1" t="n">
        <f aca="false">Participantes!DW30</f>
        <v>0</v>
      </c>
      <c r="GG31" s="1" t="n">
        <f aca="false">Participantes!DX30</f>
        <v>0</v>
      </c>
      <c r="GH31" s="82" t="str">
        <f aca="false">IF(GF$2="","",IF(AND(GF31=GF$2,GG31=GG$2),3,IF(AND(GF$2&gt;GG$2,GF31&gt;GG31),1,IF(AND(GG$2&gt;GF$2,GG31&gt;GF31),1,IF(AND(GF$2=GG$2,GF31=GG31),1,0)))))</f>
        <v/>
      </c>
      <c r="GI31" s="1" t="n">
        <f aca="false">Participantes!DY30</f>
        <v>0</v>
      </c>
      <c r="GJ31" s="1" t="n">
        <f aca="false">Participantes!DZ30</f>
        <v>0</v>
      </c>
      <c r="GK31" s="82" t="str">
        <f aca="false">IF(GI$2="","",IF(AND(GI31=GI$2,GJ31=GJ$2),3,IF(AND(GI$2&gt;GJ$2,GI31&gt;GJ31),1,IF(AND(GJ$2&gt;GI$2,GJ31&gt;GI31),1,IF(AND(GI$2=GJ$2,GI31=GJ31),1,0)))))</f>
        <v/>
      </c>
      <c r="GL31" s="1" t="n">
        <f aca="false">Participantes!EA30</f>
        <v>0</v>
      </c>
      <c r="GM31" s="1" t="n">
        <f aca="false">Participantes!EB30</f>
        <v>0</v>
      </c>
      <c r="GN31" s="82" t="str">
        <f aca="false">IF(GL$2="","",IF(AND(GL31=GL$2,GM31=GM$2),3,IF(AND(GL$2&gt;GM$2,GL31&gt;GM31),1,IF(AND(GM$2&gt;GL$2,GM31&gt;GL31),1,IF(AND(GL$2=GM$2,GL31=GM31),1,0)))))</f>
        <v/>
      </c>
      <c r="GO31" s="1" t="n">
        <f aca="false">Participantes!EC30</f>
        <v>0</v>
      </c>
      <c r="GP31" s="1" t="n">
        <f aca="false">Participantes!ED30</f>
        <v>0</v>
      </c>
      <c r="GQ31" s="82" t="str">
        <f aca="false">IF(GO$2="","",IF(AND(GO31=GO$2,GP31=GP$2),3,IF(AND(GO$2&gt;GP$2,GO31&gt;GP31),1,IF(AND(GP$2&gt;GO$2,GP31&gt;GO31),1,IF(AND(GO$2=GP$2,GO31=GP31),1,0)))))</f>
        <v/>
      </c>
      <c r="GR31" s="1" t="n">
        <f aca="false">Participantes!EE30</f>
        <v>0</v>
      </c>
      <c r="GS31" s="1" t="n">
        <f aca="false">Participantes!EF30</f>
        <v>0</v>
      </c>
      <c r="GT31" s="82" t="str">
        <f aca="false">IF(GR$2="","",IF(AND(GR31=GR$2,GS31=GS$2),3,IF(AND(GR$2&gt;GS$2,GR31&gt;GS31),1,IF(AND(GS$2&gt;GR$2,GS31&gt;GR31),1,IF(AND(GR$2=GS$2,GR31=GS31),1,0)))))</f>
        <v/>
      </c>
      <c r="GU31" s="1" t="n">
        <f aca="false">Participantes!EG30</f>
        <v>0</v>
      </c>
      <c r="GV31" s="1" t="n">
        <f aca="false">Participantes!EH30</f>
        <v>0</v>
      </c>
      <c r="GW31" s="82" t="str">
        <f aca="false">IF(GU$2="","",IF(AND(GU31=GU$2,GV31=GV$2),3,IF(AND(GU$2&gt;GV$2,GU31&gt;GV31),1,IF(AND(GV$2&gt;GU$2,GV31&gt;GU31),1,IF(AND(GU$2=GV$2,GU31=GV31),1,0)))))</f>
        <v/>
      </c>
      <c r="GX31" s="1" t="n">
        <f aca="false">Participantes!EI30</f>
        <v>0</v>
      </c>
      <c r="GY31" s="1" t="n">
        <f aca="false">Participantes!EJ30</f>
        <v>0</v>
      </c>
      <c r="GZ31" s="82" t="str">
        <f aca="false">IF(GX$2="","",IF(AND(GX31=GX$2,GY31=GY$2),3,IF(AND(GX$2&gt;GY$2,GX31&gt;GY31),1,IF(AND(GY$2&gt;GX$2,GY31&gt;GX31),1,IF(AND(GX$2=GY$2,GX31=GY31),1,0)))))</f>
        <v/>
      </c>
      <c r="HA31" s="1" t="n">
        <f aca="false">Participantes!EK30</f>
        <v>0</v>
      </c>
      <c r="HB31" s="1" t="n">
        <f aca="false">Participantes!EL30</f>
        <v>0</v>
      </c>
      <c r="HC31" s="82" t="str">
        <f aca="false">IF(HA$2="","",IF(AND(HA31=HA$2,HB31=HB$2),3,IF(AND(HA$2&gt;HB$2,HA31&gt;HB31),1,IF(AND(HB$2&gt;HA$2,HB31&gt;HA31),1,IF(AND(HA$2=HB$2,HA31=HB31),1,0)))))</f>
        <v/>
      </c>
      <c r="HD31" s="1" t="n">
        <f aca="false">Participantes!EM30</f>
        <v>0</v>
      </c>
      <c r="HE31" s="1" t="n">
        <f aca="false">Participantes!EN30</f>
        <v>0</v>
      </c>
      <c r="HF31" s="82" t="str">
        <f aca="false">IF(HD$2="","",IF(AND(HD31=HD$2,HE31=HE$2),3,IF(AND(HD$2&gt;HE$2,HD31&gt;HE31),1,IF(AND(HE$2&gt;HD$2,HE31&gt;HD31),1,IF(AND(HD$2=HE$2,HD31=HE31),1,0)))))</f>
        <v/>
      </c>
      <c r="HG31" s="1" t="n">
        <f aca="false">Participantes!EO30</f>
        <v>0</v>
      </c>
      <c r="HH31" s="1" t="n">
        <f aca="false">Participantes!EP30</f>
        <v>0</v>
      </c>
      <c r="HI31" s="82" t="str">
        <f aca="false">IF(HG$2="","",IF(AND(HG31=HG$2,HH31=HH$2),3,IF(AND(HG$2&gt;HH$2,HG31&gt;HH31),1,IF(AND(HH$2&gt;HG$2,HH31&gt;HG31),1,IF(AND(HG$2=HH$2,HG31=HH31),1,0)))))</f>
        <v/>
      </c>
      <c r="HJ31" s="83" t="n">
        <f aca="false">SUM(D31,G31,J31,M31,P31,S31,V31,Y31,AB31,AE31,AH31,AK31,AN31,AQ31,AT31,AW31,AZ31,BC31,BF31,BI31,BL31,BO31,BR31,BU31,BX31,CA31,CD31,CG31,CJ31,CM31,CP31,CS31,CV31,CY31,DB31,DE31,DH31,DK31,DN31,DQ31,DT31,DW31,DZ31,EC31,EF31,EI31,EL31,EO31,ER31,EU31,EX31,FA31,FD31,FG31,FJ31,FM31,FP31,FS31,FV31,FY31,GB31,GE31,GH31,GK31,GN31,GQ31,GT31,GW31,GZ31,HC31,HF31,HI31)</f>
        <v>3</v>
      </c>
    </row>
    <row r="32" customFormat="false" ht="15" hidden="false" customHeight="true" outlineLevel="0" collapsed="false">
      <c r="A32" s="81" t="str">
        <f aca="false">Participantes!B31</f>
        <v>Marco R.</v>
      </c>
      <c r="B32" s="1" t="n">
        <f aca="false">Participantes!C31</f>
        <v>2</v>
      </c>
      <c r="C32" s="1" t="n">
        <f aca="false">Participantes!D31</f>
        <v>1</v>
      </c>
      <c r="D32" s="82" t="n">
        <f aca="false">IF(B$2="","",IF(AND(B32=B$2,C32=C$2),3,IF(AND(B$2&gt;C$2,B32&gt;C32),1,IF(AND(C$2&gt;B$2,C32&gt;B32),1,IF(AND(B$2=C$2,B32=C32),1,0)))))</f>
        <v>1</v>
      </c>
      <c r="E32" s="1" t="n">
        <f aca="false">Participantes!E31</f>
        <v>1</v>
      </c>
      <c r="F32" s="1" t="n">
        <f aca="false">Participantes!F31</f>
        <v>1</v>
      </c>
      <c r="G32" s="82" t="str">
        <f aca="false">IF(E$2="","",IF(AND(E32=E$2,F32=F$2),3,IF(AND(E$2&gt;F$2,E32&gt;F32),1,IF(AND(F$2&gt;E$2,F32&gt;E32),1,IF(AND(E$2=F$2,E32=F32),1,0)))))</f>
        <v/>
      </c>
      <c r="H32" s="1" t="n">
        <f aca="false">Participantes!G31</f>
        <v>1</v>
      </c>
      <c r="I32" s="1" t="n">
        <f aca="false">Participantes!H31</f>
        <v>1</v>
      </c>
      <c r="J32" s="82" t="str">
        <f aca="false">IF(H$2="","",IF(AND(H32=H$2,I32=I$2),3,IF(AND(H$2&gt;I$2,H32&gt;I32),1,IF(AND(I$2&gt;H$2,I32&gt;H32),1,IF(AND(H$2=I$2,H32=I32),1,0)))))</f>
        <v/>
      </c>
      <c r="K32" s="1" t="n">
        <f aca="false">Participantes!I31</f>
        <v>2</v>
      </c>
      <c r="L32" s="1" t="n">
        <f aca="false">Participantes!J31</f>
        <v>1</v>
      </c>
      <c r="M32" s="82" t="str">
        <f aca="false">IF(K$2="","",IF(AND(K32=K$2,L32=L$2),3,IF(AND(K$2&gt;L$2,K32&gt;L32),1,IF(AND(L$2&gt;K$2,L32&gt;K32),1,IF(AND(K$2=L$2,K32=L32),1,0)))))</f>
        <v/>
      </c>
      <c r="N32" s="1" t="n">
        <f aca="false">Participantes!K31</f>
        <v>1</v>
      </c>
      <c r="O32" s="1" t="n">
        <f aca="false">Participantes!L31</f>
        <v>2</v>
      </c>
      <c r="P32" s="82" t="str">
        <f aca="false">IF(N$2="","",IF(AND(N32=N$2,O32=O$2),3,IF(AND(N$2&gt;O$2,N32&gt;O32),1,IF(AND(O$2&gt;N$2,O32&gt;N32),1,IF(AND(N$2=O$2,N32=O32),1,0)))))</f>
        <v/>
      </c>
      <c r="Q32" s="1" t="n">
        <f aca="false">Participantes!M31</f>
        <v>0</v>
      </c>
      <c r="R32" s="1" t="n">
        <f aca="false">Participantes!N31</f>
        <v>1</v>
      </c>
      <c r="S32" s="82" t="str">
        <f aca="false">IF(Q$2="","",IF(AND(Q32=Q$2,R32=R$2),3,IF(AND(Q$2&gt;R$2,Q32&gt;R32),1,IF(AND(R$2&gt;Q$2,R32&gt;Q32),1,IF(AND(Q$2=R$2,Q32=R32),1,0)))))</f>
        <v/>
      </c>
      <c r="T32" s="1" t="n">
        <f aca="false">Participantes!O31</f>
        <v>2</v>
      </c>
      <c r="U32" s="1" t="n">
        <f aca="false">Participantes!P31</f>
        <v>1</v>
      </c>
      <c r="V32" s="82" t="str">
        <f aca="false">IF(T$2="","",IF(AND(T32=T$2,U32=U$2),3,IF(AND(T$2&gt;U$2,T32&gt;U32),1,IF(AND(U$2&gt;T$2,U32&gt;T32),1,IF(AND(T$2=U$2,T32=U32),1,0)))))</f>
        <v/>
      </c>
      <c r="W32" s="1" t="n">
        <f aca="false">Participantes!Q31</f>
        <v>0</v>
      </c>
      <c r="X32" s="1" t="n">
        <f aca="false">Participantes!R31</f>
        <v>2</v>
      </c>
      <c r="Y32" s="82" t="str">
        <f aca="false">IF(W$2="","",IF(AND(W32=W$2,X32=X$2),3,IF(AND(W$2&gt;X$2,W32&gt;X32),1,IF(AND(X$2&gt;W$2,X32&gt;W32),1,IF(AND(W$2=X$2,W32=X32),1,0)))))</f>
        <v/>
      </c>
      <c r="Z32" s="1" t="n">
        <f aca="false">Participantes!S31</f>
        <v>1</v>
      </c>
      <c r="AA32" s="1" t="n">
        <f aca="false">Participantes!T31</f>
        <v>1</v>
      </c>
      <c r="AB32" s="82" t="str">
        <f aca="false">IF(Z$2="","",IF(AND(Z32=Z$2,AA32=AA$2),3,IF(AND(Z$2&gt;AA$2,Z32&gt;AA32),1,IF(AND(AA$2&gt;Z$2,AA32&gt;Z32),1,IF(AND(Z$2=AA$2,Z32=AA32),1,0)))))</f>
        <v/>
      </c>
      <c r="AC32" s="1" t="n">
        <f aca="false">Participantes!U31</f>
        <v>4</v>
      </c>
      <c r="AD32" s="1" t="n">
        <f aca="false">Participantes!V31</f>
        <v>0</v>
      </c>
      <c r="AE32" s="82" t="str">
        <f aca="false">IF(AC$2="","",IF(AND(AC32=AC$2,AD32=AD$2),3,IF(AND(AC$2&gt;AD$2,AC32&gt;AD32),1,IF(AND(AD$2&gt;AC$2,AD32&gt;AC32),1,IF(AND(AC$2=AD$2,AC32=AD32),1,0)))))</f>
        <v/>
      </c>
      <c r="AF32" s="1" t="n">
        <f aca="false">Participantes!W31</f>
        <v>1</v>
      </c>
      <c r="AG32" s="1" t="n">
        <f aca="false">Participantes!X31</f>
        <v>1</v>
      </c>
      <c r="AH32" s="82" t="str">
        <f aca="false">IF(AF$2="","",IF(AND(AF32=AF$2,AG32=AG$2),3,IF(AND(AF$2&gt;AG$2,AF32&gt;AG32),1,IF(AND(AG$2&gt;AF$2,AG32&gt;AF32),1,IF(AND(AF$2=AG$2,AF32=AG32),1,0)))))</f>
        <v/>
      </c>
      <c r="AI32" s="1" t="n">
        <f aca="false">Participantes!Y31</f>
        <v>1</v>
      </c>
      <c r="AJ32" s="1" t="n">
        <f aca="false">Participantes!Z31</f>
        <v>1</v>
      </c>
      <c r="AK32" s="82" t="str">
        <f aca="false">IF(AI$2="","",IF(AND(AI32=AI$2,AJ32=AJ$2),3,IF(AND(AI$2&gt;AJ$2,AI32&gt;AJ32),1,IF(AND(AJ$2&gt;AI$2,AJ32&gt;AI32),1,IF(AND(AI$2=AJ$2,AI32=AJ32),1,0)))))</f>
        <v/>
      </c>
      <c r="AL32" s="1" t="n">
        <f aca="false">Participantes!AA31</f>
        <v>0</v>
      </c>
      <c r="AM32" s="1" t="n">
        <f aca="false">Participantes!AB31</f>
        <v>2</v>
      </c>
      <c r="AN32" s="82" t="str">
        <f aca="false">IF(AL$2="","",IF(AND(AL32=AL$2,AM32=AM$2),3,IF(AND(AL$2&gt;AM$2,AL32&gt;AM32),1,IF(AND(AM$2&gt;AL$2,AM32&gt;AL32),1,IF(AND(AL$2=AM$2,AL32=AM32),1,0)))))</f>
        <v/>
      </c>
      <c r="AO32" s="1" t="n">
        <f aca="false">Participantes!AC31</f>
        <v>4</v>
      </c>
      <c r="AP32" s="1" t="n">
        <f aca="false">Participantes!AD31</f>
        <v>0</v>
      </c>
      <c r="AQ32" s="82" t="str">
        <f aca="false">IF(AO$2="","",IF(AND(AO32=AO$2,AP32=AP$2),3,IF(AND(AO$2&gt;AP$2,AO32&gt;AP32),1,IF(AND(AP$2&gt;AO$2,AP32&gt;AO32),1,IF(AND(AO$2=AP$2,AO32=AP32),1,0)))))</f>
        <v/>
      </c>
      <c r="AR32" s="1" t="n">
        <f aca="false">Participantes!AE31</f>
        <v>0</v>
      </c>
      <c r="AS32" s="1" t="n">
        <f aca="false">Participantes!AF31</f>
        <v>0</v>
      </c>
      <c r="AT32" s="82" t="str">
        <f aca="false">IF(AR$2="","",IF(AND(AR32=AR$2,AS32=AS$2),3,IF(AND(AR$2&gt;AS$2,AR32&gt;AS32),1,IF(AND(AS$2&gt;AR$2,AS32&gt;AR32),1,IF(AND(AR$2=AS$2,AR32=AS32),1,0)))))</f>
        <v/>
      </c>
      <c r="AU32" s="1" t="n">
        <f aca="false">Participantes!AG31</f>
        <v>0</v>
      </c>
      <c r="AV32" s="1" t="n">
        <f aca="false">Participantes!AH31</f>
        <v>0</v>
      </c>
      <c r="AW32" s="82" t="str">
        <f aca="false">IF(AU$2="","",IF(AND(AU32=AU$2,AV32=AV$2),3,IF(AND(AU$2&gt;AV$2,AU32&gt;AV32),1,IF(AND(AV$2&gt;AU$2,AV32&gt;AU32),1,IF(AND(AU$2=AV$2,AU32=AV32),1,0)))))</f>
        <v/>
      </c>
      <c r="AX32" s="1" t="n">
        <f aca="false">Participantes!AI31</f>
        <v>0</v>
      </c>
      <c r="AY32" s="1" t="n">
        <f aca="false">Participantes!AJ31</f>
        <v>0</v>
      </c>
      <c r="AZ32" s="82" t="str">
        <f aca="false">IF(AX$2="","",IF(AND(AX32=AX$2,AY32=AY$2),3,IF(AND(AX$2&gt;AY$2,AX32&gt;AY32),1,IF(AND(AY$2&gt;AX$2,AY32&gt;AX32),1,IF(AND(AX$2=AY$2,AX32=AY32),1,0)))))</f>
        <v/>
      </c>
      <c r="BA32" s="1" t="n">
        <f aca="false">Participantes!AK31</f>
        <v>0</v>
      </c>
      <c r="BB32" s="1" t="n">
        <f aca="false">Participantes!AL31</f>
        <v>0</v>
      </c>
      <c r="BC32" s="82" t="str">
        <f aca="false">IF(BA$2="","",IF(AND(BA32=BA$2,BB32=BB$2),3,IF(AND(BA$2&gt;BB$2,BA32&gt;BB32),1,IF(AND(BB$2&gt;BA$2,BB32&gt;BA32),1,IF(AND(BA$2=BB$2,BA32=BB32),1,0)))))</f>
        <v/>
      </c>
      <c r="BD32" s="1" t="n">
        <f aca="false">Participantes!AM31</f>
        <v>0</v>
      </c>
      <c r="BE32" s="1" t="n">
        <f aca="false">Participantes!AN31</f>
        <v>0</v>
      </c>
      <c r="BF32" s="82" t="str">
        <f aca="false">IF(BD$2="","",IF(AND(BD32=BD$2,BE32=BE$2),3,IF(AND(BD$2&gt;BE$2,BD32&gt;BE32),1,IF(AND(BE$2&gt;BD$2,BE32&gt;BD32),1,IF(AND(BD$2=BE$2,BD32=BE32),1,0)))))</f>
        <v/>
      </c>
      <c r="BG32" s="1" t="n">
        <f aca="false">Participantes!AO31</f>
        <v>0</v>
      </c>
      <c r="BH32" s="1" t="n">
        <f aca="false">Participantes!AP31</f>
        <v>0</v>
      </c>
      <c r="BI32" s="82" t="str">
        <f aca="false">IF(BG$2="","",IF(AND(BG32=BG$2,BH32=BH$2),3,IF(AND(BG$2&gt;BH$2,BG32&gt;BH32),1,IF(AND(BH$2&gt;BG$2,BH32&gt;BG32),1,IF(AND(BG$2=BH$2,BG32=BH32),1,0)))))</f>
        <v/>
      </c>
      <c r="BJ32" s="1" t="n">
        <f aca="false">Participantes!AQ31</f>
        <v>0</v>
      </c>
      <c r="BK32" s="1" t="n">
        <f aca="false">Participantes!AR31</f>
        <v>0</v>
      </c>
      <c r="BL32" s="82" t="str">
        <f aca="false">IF(BJ$2="","",IF(AND(BJ32=BJ$2,BK32=BK$2),3,IF(AND(BJ$2&gt;BK$2,BJ32&gt;BK32),1,IF(AND(BK$2&gt;BJ$2,BK32&gt;BJ32),1,IF(AND(BJ$2=BK$2,BJ32=BK32),1,0)))))</f>
        <v/>
      </c>
      <c r="BM32" s="1" t="n">
        <f aca="false">Participantes!AS31</f>
        <v>0</v>
      </c>
      <c r="BN32" s="1" t="n">
        <f aca="false">Participantes!AT31</f>
        <v>0</v>
      </c>
      <c r="BO32" s="82" t="str">
        <f aca="false">IF(BM$2="","",IF(AND(BM32=BM$2,BN32=BN$2),3,IF(AND(BM$2&gt;BN$2,BM32&gt;BN32),1,IF(AND(BN$2&gt;BM$2,BN32&gt;BM32),1,IF(AND(BM$2=BN$2,BM32=BN32),1,0)))))</f>
        <v/>
      </c>
      <c r="BP32" s="1" t="n">
        <f aca="false">Participantes!AU31</f>
        <v>0</v>
      </c>
      <c r="BQ32" s="1" t="n">
        <f aca="false">Participantes!AV31</f>
        <v>0</v>
      </c>
      <c r="BR32" s="82" t="str">
        <f aca="false">IF(BP$2="","",IF(AND(BP32=BP$2,BQ32=BQ$2),3,IF(AND(BP$2&gt;BQ$2,BP32&gt;BQ32),1,IF(AND(BQ$2&gt;BP$2,BQ32&gt;BP32),1,IF(AND(BP$2=BQ$2,BP32=BQ32),1,0)))))</f>
        <v/>
      </c>
      <c r="BS32" s="1" t="n">
        <f aca="false">Participantes!AW31</f>
        <v>0</v>
      </c>
      <c r="BT32" s="1" t="n">
        <f aca="false">Participantes!AX31</f>
        <v>0</v>
      </c>
      <c r="BU32" s="82" t="str">
        <f aca="false">IF(BS$2="","",IF(AND(BS32=BS$2,BT32=BT$2),3,IF(AND(BS$2&gt;BT$2,BS32&gt;BT32),1,IF(AND(BT$2&gt;BS$2,BT32&gt;BS32),1,IF(AND(BS$2=BT$2,BS32=BT32),1,0)))))</f>
        <v/>
      </c>
      <c r="BV32" s="1" t="n">
        <f aca="false">Participantes!AY31</f>
        <v>0</v>
      </c>
      <c r="BW32" s="1" t="n">
        <f aca="false">Participantes!AZ31</f>
        <v>0</v>
      </c>
      <c r="BX32" s="82" t="str">
        <f aca="false">IF(BV$2="","",IF(AND(BV32=BV$2,BW32=BW$2),3,IF(AND(BV$2&gt;BW$2,BV32&gt;BW32),1,IF(AND(BW$2&gt;BV$2,BW32&gt;BV32),1,IF(AND(BV$2=BW$2,BV32=BW32),1,0)))))</f>
        <v/>
      </c>
      <c r="BY32" s="1" t="n">
        <f aca="false">Participantes!BA31</f>
        <v>0</v>
      </c>
      <c r="BZ32" s="1" t="n">
        <f aca="false">Participantes!BB31</f>
        <v>0</v>
      </c>
      <c r="CA32" s="82" t="str">
        <f aca="false">IF(BY$2="","",IF(AND(BY32=BY$2,BZ32=BZ$2),3,IF(AND(BY$2&gt;BZ$2,BY32&gt;BZ32),1,IF(AND(BZ$2&gt;BY$2,BZ32&gt;BY32),1,IF(AND(BY$2=BZ$2,BY32=BZ32),1,0)))))</f>
        <v/>
      </c>
      <c r="CB32" s="1" t="n">
        <f aca="false">Participantes!BC31</f>
        <v>0</v>
      </c>
      <c r="CC32" s="1" t="n">
        <f aca="false">Participantes!BD31</f>
        <v>0</v>
      </c>
      <c r="CD32" s="82" t="str">
        <f aca="false">IF(CB$2="","",IF(AND(CB32=CB$2,CC32=CC$2),3,IF(AND(CB$2&gt;CC$2,CB32&gt;CC32),1,IF(AND(CC$2&gt;CB$2,CC32&gt;CB32),1,IF(AND(CB$2=CC$2,CB32=CC32),1,0)))))</f>
        <v/>
      </c>
      <c r="CE32" s="1" t="n">
        <f aca="false">Participantes!BE31</f>
        <v>0</v>
      </c>
      <c r="CF32" s="1" t="n">
        <f aca="false">Participantes!BF31</f>
        <v>0</v>
      </c>
      <c r="CG32" s="82" t="str">
        <f aca="false">IF(CE$2="","",IF(AND(CE32=CE$2,CF32=CF$2),3,IF(AND(CE$2&gt;CF$2,CE32&gt;CF32),1,IF(AND(CF$2&gt;CE$2,CF32&gt;CE32),1,IF(AND(CE$2=CF$2,CE32=CF32),1,0)))))</f>
        <v/>
      </c>
      <c r="CH32" s="1" t="n">
        <f aca="false">Participantes!BG31</f>
        <v>0</v>
      </c>
      <c r="CI32" s="1" t="n">
        <f aca="false">Participantes!BH31</f>
        <v>0</v>
      </c>
      <c r="CJ32" s="82" t="str">
        <f aca="false">IF(CH$2="","",IF(AND(CH32=CH$2,CI32=CI$2),3,IF(AND(CH$2&gt;CI$2,CH32&gt;CI32),1,IF(AND(CI$2&gt;CH$2,CI32&gt;CH32),1,IF(AND(CH$2=CI$2,CH32=CI32),1,0)))))</f>
        <v/>
      </c>
      <c r="CK32" s="1" t="n">
        <f aca="false">Participantes!BI31</f>
        <v>0</v>
      </c>
      <c r="CL32" s="1" t="n">
        <f aca="false">Participantes!BJ31</f>
        <v>0</v>
      </c>
      <c r="CM32" s="82" t="str">
        <f aca="false">IF(CK$2="","",IF(AND(CK32=CK$2,CL32=CL$2),3,IF(AND(CK$2&gt;CL$2,CK32&gt;CL32),1,IF(AND(CL$2&gt;CK$2,CL32&gt;CK32),1,IF(AND(CK$2=CL$2,CK32=CL32),1,0)))))</f>
        <v/>
      </c>
      <c r="CN32" s="1" t="n">
        <f aca="false">Participantes!BK31</f>
        <v>0</v>
      </c>
      <c r="CO32" s="1" t="n">
        <f aca="false">Participantes!BL31</f>
        <v>0</v>
      </c>
      <c r="CP32" s="82" t="str">
        <f aca="false">IF(CN$2="","",IF(AND(CN32=CN$2,CO32=CO$2),3,IF(AND(CN$2&gt;CO$2,CN32&gt;CO32),1,IF(AND(CO$2&gt;CN$2,CO32&gt;CN32),1,IF(AND(CN$2=CO$2,CN32=CO32),1,0)))))</f>
        <v/>
      </c>
      <c r="CQ32" s="1" t="n">
        <f aca="false">Participantes!BM31</f>
        <v>0</v>
      </c>
      <c r="CR32" s="1" t="n">
        <f aca="false">Participantes!BN31</f>
        <v>0</v>
      </c>
      <c r="CS32" s="82" t="str">
        <f aca="false">IF(CQ$2="","",IF(AND(CQ32=CQ$2,CR32=CR$2),3,IF(AND(CQ$2&gt;CR$2,CQ32&gt;CR32),1,IF(AND(CR$2&gt;CQ$2,CR32&gt;CQ32),1,IF(AND(CQ$2=CR$2,CQ32=CR32),1,0)))))</f>
        <v/>
      </c>
      <c r="CT32" s="1" t="n">
        <f aca="false">Participantes!BO31</f>
        <v>0</v>
      </c>
      <c r="CU32" s="1" t="n">
        <f aca="false">Participantes!BP31</f>
        <v>0</v>
      </c>
      <c r="CV32" s="82" t="str">
        <f aca="false">IF(CT$2="","",IF(AND(CT32=CT$2,CU32=CU$2),3,IF(AND(CT$2&gt;CU$2,CT32&gt;CU32),1,IF(AND(CU$2&gt;CT$2,CU32&gt;CT32),1,IF(AND(CT$2=CU$2,CT32=CU32),1,0)))))</f>
        <v/>
      </c>
      <c r="CW32" s="1" t="n">
        <f aca="false">Participantes!BQ31</f>
        <v>0</v>
      </c>
      <c r="CX32" s="1" t="n">
        <f aca="false">Participantes!BR31</f>
        <v>0</v>
      </c>
      <c r="CY32" s="82" t="str">
        <f aca="false">IF(CW$2="","",IF(AND(CW32=CW$2,CX32=CX$2),3,IF(AND(CW$2&gt;CX$2,CW32&gt;CX32),1,IF(AND(CX$2&gt;CW$2,CX32&gt;CW32),1,IF(AND(CW$2=CX$2,CW32=CX32),1,0)))))</f>
        <v/>
      </c>
      <c r="CZ32" s="1" t="n">
        <f aca="false">Participantes!BS31</f>
        <v>0</v>
      </c>
      <c r="DA32" s="1" t="n">
        <f aca="false">Participantes!BT31</f>
        <v>0</v>
      </c>
      <c r="DB32" s="82" t="str">
        <f aca="false">IF(CZ$2="","",IF(AND(CZ32=CZ$2,DA32=DA$2),3,IF(AND(CZ$2&gt;DA$2,CZ32&gt;DA32),1,IF(AND(DA$2&gt;CZ$2,DA32&gt;CZ32),1,IF(AND(CZ$2=DA$2,CZ32=DA32),1,0)))))</f>
        <v/>
      </c>
      <c r="DC32" s="1" t="n">
        <f aca="false">Participantes!BU31</f>
        <v>0</v>
      </c>
      <c r="DD32" s="1" t="n">
        <f aca="false">Participantes!BV31</f>
        <v>0</v>
      </c>
      <c r="DE32" s="82" t="str">
        <f aca="false">IF(DC$2="","",IF(AND(DC32=DC$2,DD32=DD$2),3,IF(AND(DC$2&gt;DD$2,DC32&gt;DD32),1,IF(AND(DD$2&gt;DC$2,DD32&gt;DC32),1,IF(AND(DC$2=DD$2,DC32=DD32),1,0)))))</f>
        <v/>
      </c>
      <c r="DF32" s="1" t="n">
        <f aca="false">Participantes!BW31</f>
        <v>0</v>
      </c>
      <c r="DG32" s="1" t="n">
        <f aca="false">Participantes!BX31</f>
        <v>0</v>
      </c>
      <c r="DH32" s="82" t="str">
        <f aca="false">IF(DF$2="","",IF(AND(DF32=DF$2,DG32=DG$2),3,IF(AND(DF$2&gt;DG$2,DF32&gt;DG32),1,IF(AND(DG$2&gt;DF$2,DG32&gt;DF32),1,IF(AND(DF$2=DG$2,DF32=DG32),1,0)))))</f>
        <v/>
      </c>
      <c r="DI32" s="1" t="n">
        <f aca="false">Participantes!BY31</f>
        <v>0</v>
      </c>
      <c r="DJ32" s="1" t="n">
        <f aca="false">Participantes!BZ31</f>
        <v>0</v>
      </c>
      <c r="DK32" s="82" t="str">
        <f aca="false">IF(DI$2="","",IF(AND(DI32=DI$2,DJ32=DJ$2),3,IF(AND(DI$2&gt;DJ$2,DI32&gt;DJ32),1,IF(AND(DJ$2&gt;DI$2,DJ32&gt;DI32),1,IF(AND(DI$2=DJ$2,DI32=DJ32),1,0)))))</f>
        <v/>
      </c>
      <c r="DL32" s="1" t="n">
        <f aca="false">Participantes!CA31</f>
        <v>0</v>
      </c>
      <c r="DM32" s="1" t="n">
        <f aca="false">Participantes!CB31</f>
        <v>0</v>
      </c>
      <c r="DN32" s="82" t="str">
        <f aca="false">IF(DL$2="","",IF(AND(DL32=DL$2,DM32=DM$2),3,IF(AND(DL$2&gt;DM$2,DL32&gt;DM32),1,IF(AND(DM$2&gt;DL$2,DM32&gt;DL32),1,IF(AND(DL$2=DM$2,DL32=DM32),1,0)))))</f>
        <v/>
      </c>
      <c r="DO32" s="1" t="n">
        <f aca="false">Participantes!CC31</f>
        <v>0</v>
      </c>
      <c r="DP32" s="1" t="n">
        <f aca="false">Participantes!CD31</f>
        <v>0</v>
      </c>
      <c r="DQ32" s="82" t="str">
        <f aca="false">IF(DO$2="","",IF(AND(DO32=DO$2,DP32=DP$2),3,IF(AND(DO$2&gt;DP$2,DO32&gt;DP32),1,IF(AND(DP$2&gt;DO$2,DP32&gt;DO32),1,IF(AND(DO$2=DP$2,DO32=DP32),1,0)))))</f>
        <v/>
      </c>
      <c r="DR32" s="1" t="n">
        <f aca="false">Participantes!CE31</f>
        <v>0</v>
      </c>
      <c r="DS32" s="1" t="n">
        <f aca="false">Participantes!CF31</f>
        <v>0</v>
      </c>
      <c r="DT32" s="82" t="str">
        <f aca="false">IF(DR$2="","",IF(AND(DR32=DR$2,DS32=DS$2),3,IF(AND(DR$2&gt;DS$2,DR32&gt;DS32),1,IF(AND(DS$2&gt;DR$2,DS32&gt;DR32),1,IF(AND(DR$2=DS$2,DR32=DS32),1,0)))))</f>
        <v/>
      </c>
      <c r="DU32" s="1" t="n">
        <f aca="false">Participantes!CG31</f>
        <v>0</v>
      </c>
      <c r="DV32" s="1" t="n">
        <f aca="false">Participantes!CH31</f>
        <v>0</v>
      </c>
      <c r="DW32" s="82" t="str">
        <f aca="false">IF(DU$2="","",IF(AND(DU32=DU$2,DV32=DV$2),3,IF(AND(DU$2&gt;DV$2,DU32&gt;DV32),1,IF(AND(DV$2&gt;DU$2,DV32&gt;DU32),1,IF(AND(DU$2=DV$2,DU32=DV32),1,0)))))</f>
        <v/>
      </c>
      <c r="DX32" s="1" t="n">
        <f aca="false">Participantes!CI31</f>
        <v>0</v>
      </c>
      <c r="DY32" s="1" t="n">
        <f aca="false">Participantes!CJ31</f>
        <v>0</v>
      </c>
      <c r="DZ32" s="82" t="str">
        <f aca="false">IF(DX$2="","",IF(AND(DX32=DX$2,DY32=DY$2),3,IF(AND(DX$2&gt;DY$2,DX32&gt;DY32),1,IF(AND(DY$2&gt;DX$2,DY32&gt;DX32),1,IF(AND(DX$2=DY$2,DX32=DY32),1,0)))))</f>
        <v/>
      </c>
      <c r="EA32" s="1" t="n">
        <f aca="false">Participantes!CK31</f>
        <v>0</v>
      </c>
      <c r="EB32" s="1" t="n">
        <f aca="false">Participantes!CL31</f>
        <v>0</v>
      </c>
      <c r="EC32" s="82" t="str">
        <f aca="false">IF(EA$2="","",IF(AND(EA32=EA$2,EB32=EB$2),3,IF(AND(EA$2&gt;EB$2,EA32&gt;EB32),1,IF(AND(EB$2&gt;EA$2,EB32&gt;EA32),1,IF(AND(EA$2=EB$2,EA32=EB32),1,0)))))</f>
        <v/>
      </c>
      <c r="ED32" s="1" t="n">
        <f aca="false">Participantes!CM31</f>
        <v>0</v>
      </c>
      <c r="EE32" s="1" t="n">
        <f aca="false">Participantes!CN31</f>
        <v>0</v>
      </c>
      <c r="EF32" s="82" t="str">
        <f aca="false">IF(ED$2="","",IF(AND(ED32=ED$2,EE32=EE$2),3,IF(AND(ED$2&gt;EE$2,ED32&gt;EE32),1,IF(AND(EE$2&gt;ED$2,EE32&gt;ED32),1,IF(AND(ED$2=EE$2,ED32=EE32),1,0)))))</f>
        <v/>
      </c>
      <c r="EG32" s="1" t="n">
        <f aca="false">Participantes!CO31</f>
        <v>0</v>
      </c>
      <c r="EH32" s="1" t="n">
        <f aca="false">Participantes!CP31</f>
        <v>0</v>
      </c>
      <c r="EI32" s="82" t="str">
        <f aca="false">IF(EG$2="","",IF(AND(EG32=EG$2,EH32=EH$2),3,IF(AND(EG$2&gt;EH$2,EG32&gt;EH32),1,IF(AND(EH$2&gt;EG$2,EH32&gt;EG32),1,IF(AND(EG$2=EH$2,EG32=EH32),1,0)))))</f>
        <v/>
      </c>
      <c r="EJ32" s="1" t="n">
        <f aca="false">Participantes!CQ31</f>
        <v>0</v>
      </c>
      <c r="EK32" s="1" t="n">
        <f aca="false">Participantes!CR31</f>
        <v>0</v>
      </c>
      <c r="EL32" s="82" t="str">
        <f aca="false">IF(EJ$2="","",IF(AND(EJ32=EJ$2,EK32=EK$2),3,IF(AND(EJ$2&gt;EK$2,EJ32&gt;EK32),1,IF(AND(EK$2&gt;EJ$2,EK32&gt;EJ32),1,IF(AND(EJ$2=EK$2,EJ32=EK32),1,0)))))</f>
        <v/>
      </c>
      <c r="EM32" s="1" t="n">
        <f aca="false">Participantes!CS31</f>
        <v>0</v>
      </c>
      <c r="EN32" s="1" t="n">
        <f aca="false">Participantes!CT31</f>
        <v>0</v>
      </c>
      <c r="EO32" s="82" t="str">
        <f aca="false">IF(EM$2="","",IF(AND(EM32=EM$2,EN32=EN$2),3,IF(AND(EM$2&gt;EN$2,EM32&gt;EN32),1,IF(AND(EN$2&gt;EM$2,EN32&gt;EM32),1,IF(AND(EM$2=EN$2,EM32=EN32),1,0)))))</f>
        <v/>
      </c>
      <c r="EP32" s="1" t="n">
        <f aca="false">Participantes!CU31</f>
        <v>0</v>
      </c>
      <c r="EQ32" s="1" t="n">
        <f aca="false">Participantes!CV31</f>
        <v>0</v>
      </c>
      <c r="ER32" s="82" t="str">
        <f aca="false">IF(EP$2="","",IF(AND(EP32=EP$2,EQ32=EQ$2),3,IF(AND(EP$2&gt;EQ$2,EP32&gt;EQ32),1,IF(AND(EQ$2&gt;EP$2,EQ32&gt;EP32),1,IF(AND(EP$2=EQ$2,EP32=EQ32),1,0)))))</f>
        <v/>
      </c>
      <c r="ES32" s="1" t="n">
        <f aca="false">Participantes!CW31</f>
        <v>0</v>
      </c>
      <c r="ET32" s="1" t="n">
        <f aca="false">Participantes!CX31</f>
        <v>0</v>
      </c>
      <c r="EU32" s="82" t="str">
        <f aca="false">IF(ES$2="","",IF(AND(ES32=ES$2,ET32=ET$2),3,IF(AND(ES$2&gt;ET$2,ES32&gt;ET32),1,IF(AND(ET$2&gt;ES$2,ET32&gt;ES32),1,IF(AND(ES$2=ET$2,ES32=ET32),1,0)))))</f>
        <v/>
      </c>
      <c r="EV32" s="1" t="n">
        <f aca="false">Participantes!CY31</f>
        <v>0</v>
      </c>
      <c r="EW32" s="1" t="n">
        <f aca="false">Participantes!CZ31</f>
        <v>0</v>
      </c>
      <c r="EX32" s="82" t="str">
        <f aca="false">IF(EV$2="","",IF(AND(EV32=EV$2,EW32=EW$2),3,IF(AND(EV$2&gt;EW$2,EV32&gt;EW32),1,IF(AND(EW$2&gt;EV$2,EW32&gt;EV32),1,IF(AND(EV$2=EW$2,EV32=EW32),1,0)))))</f>
        <v/>
      </c>
      <c r="EY32" s="1" t="n">
        <f aca="false">Participantes!DA31</f>
        <v>0</v>
      </c>
      <c r="EZ32" s="1" t="n">
        <f aca="false">Participantes!DB31</f>
        <v>0</v>
      </c>
      <c r="FA32" s="82" t="str">
        <f aca="false">IF(EY$2="","",IF(AND(EY32=EY$2,EZ32=EZ$2),3,IF(AND(EY$2&gt;EZ$2,EY32&gt;EZ32),1,IF(AND(EZ$2&gt;EY$2,EZ32&gt;EY32),1,IF(AND(EY$2=EZ$2,EY32=EZ32),1,0)))))</f>
        <v/>
      </c>
      <c r="FB32" s="1" t="n">
        <f aca="false">Participantes!DC31</f>
        <v>0</v>
      </c>
      <c r="FC32" s="1" t="n">
        <f aca="false">Participantes!DD31</f>
        <v>0</v>
      </c>
      <c r="FD32" s="82" t="str">
        <f aca="false">IF(FB$2="","",IF(AND(FB32=FB$2,FC32=FC$2),3,IF(AND(FB$2&gt;FC$2,FB32&gt;FC32),1,IF(AND(FC$2&gt;FB$2,FC32&gt;FB32),1,IF(AND(FB$2=FC$2,FB32=FC32),1,0)))))</f>
        <v/>
      </c>
      <c r="FE32" s="1" t="n">
        <f aca="false">Participantes!DE31</f>
        <v>0</v>
      </c>
      <c r="FF32" s="1" t="n">
        <f aca="false">Participantes!DF31</f>
        <v>0</v>
      </c>
      <c r="FG32" s="82" t="str">
        <f aca="false">IF(FE$2="","",IF(AND(FE32=FE$2,FF32=FF$2),3,IF(AND(FE$2&gt;FF$2,FE32&gt;FF32),1,IF(AND(FF$2&gt;FE$2,FF32&gt;FE32),1,IF(AND(FE$2=FF$2,FE32=FF32),1,0)))))</f>
        <v/>
      </c>
      <c r="FH32" s="1" t="n">
        <f aca="false">Participantes!DG31</f>
        <v>0</v>
      </c>
      <c r="FI32" s="1" t="n">
        <f aca="false">Participantes!DH31</f>
        <v>0</v>
      </c>
      <c r="FJ32" s="82" t="str">
        <f aca="false">IF(FH$2="","",IF(AND(FH32=FH$2,FI32=FI$2),3,IF(AND(FH$2&gt;FI$2,FH32&gt;FI32),1,IF(AND(FI$2&gt;FH$2,FI32&gt;FH32),1,IF(AND(FH$2=FI$2,FH32=FI32),1,0)))))</f>
        <v/>
      </c>
      <c r="FK32" s="1" t="n">
        <f aca="false">Participantes!DI31</f>
        <v>0</v>
      </c>
      <c r="FL32" s="1" t="n">
        <f aca="false">Participantes!DJ31</f>
        <v>0</v>
      </c>
      <c r="FM32" s="82" t="str">
        <f aca="false">IF(FK$2="","",IF(AND(FK32=FK$2,FL32=FL$2),3,IF(AND(FK$2&gt;FL$2,FK32&gt;FL32),1,IF(AND(FL$2&gt;FK$2,FL32&gt;FK32),1,IF(AND(FK$2=FL$2,FK32=FL32),1,0)))))</f>
        <v/>
      </c>
      <c r="FN32" s="1" t="n">
        <f aca="false">Participantes!DK31</f>
        <v>0</v>
      </c>
      <c r="FO32" s="1" t="n">
        <f aca="false">Participantes!DL31</f>
        <v>0</v>
      </c>
      <c r="FP32" s="82" t="str">
        <f aca="false">IF(FN$2="","",IF(AND(FN32=FN$2,FO32=FO$2),3,IF(AND(FN$2&gt;FO$2,FN32&gt;FO32),1,IF(AND(FO$2&gt;FN$2,FO32&gt;FN32),1,IF(AND(FN$2=FO$2,FN32=FO32),1,0)))))</f>
        <v/>
      </c>
      <c r="FQ32" s="1" t="n">
        <f aca="false">Participantes!DM31</f>
        <v>0</v>
      </c>
      <c r="FR32" s="1" t="n">
        <f aca="false">Participantes!DN31</f>
        <v>0</v>
      </c>
      <c r="FS32" s="82" t="str">
        <f aca="false">IF(FQ$2="","",IF(AND(FQ32=FQ$2,FR32=FR$2),3,IF(AND(FQ$2&gt;FR$2,FQ32&gt;FR32),1,IF(AND(FR$2&gt;FQ$2,FR32&gt;FQ32),1,IF(AND(FQ$2=FR$2,FQ32=FR32),1,0)))))</f>
        <v/>
      </c>
      <c r="FT32" s="1" t="n">
        <f aca="false">Participantes!DO31</f>
        <v>0</v>
      </c>
      <c r="FU32" s="1" t="n">
        <f aca="false">Participantes!DP31</f>
        <v>0</v>
      </c>
      <c r="FV32" s="82" t="str">
        <f aca="false">IF(FT$2="","",IF(AND(FT32=FT$2,FU32=FU$2),3,IF(AND(FT$2&gt;FU$2,FT32&gt;FU32),1,IF(AND(FU$2&gt;FT$2,FU32&gt;FT32),1,IF(AND(FT$2=FU$2,FT32=FU32),1,0)))))</f>
        <v/>
      </c>
      <c r="FW32" s="1" t="n">
        <f aca="false">Participantes!DQ31</f>
        <v>0</v>
      </c>
      <c r="FX32" s="1" t="n">
        <f aca="false">Participantes!DR31</f>
        <v>0</v>
      </c>
      <c r="FY32" s="82" t="str">
        <f aca="false">IF(FW$2="","",IF(AND(FW32=FW$2,FX32=FX$2),3,IF(AND(FW$2&gt;FX$2,FW32&gt;FX32),1,IF(AND(FX$2&gt;FW$2,FX32&gt;FW32),1,IF(AND(FW$2=FX$2,FW32=FX32),1,0)))))</f>
        <v/>
      </c>
      <c r="FZ32" s="1" t="n">
        <f aca="false">Participantes!DS31</f>
        <v>0</v>
      </c>
      <c r="GA32" s="1" t="n">
        <f aca="false">Participantes!DT31</f>
        <v>0</v>
      </c>
      <c r="GB32" s="82" t="str">
        <f aca="false">IF(FZ$2="","",IF(AND(FZ32=FZ$2,GA32=GA$2),3,IF(AND(FZ$2&gt;GA$2,FZ32&gt;GA32),1,IF(AND(GA$2&gt;FZ$2,GA32&gt;FZ32),1,IF(AND(FZ$2=GA$2,FZ32=GA32),1,0)))))</f>
        <v/>
      </c>
      <c r="GC32" s="1" t="n">
        <f aca="false">Participantes!DU31</f>
        <v>0</v>
      </c>
      <c r="GD32" s="1" t="n">
        <f aca="false">Participantes!DV31</f>
        <v>0</v>
      </c>
      <c r="GE32" s="82" t="str">
        <f aca="false">IF(GC$2="","",IF(AND(GC32=GC$2,GD32=GD$2),3,IF(AND(GC$2&gt;GD$2,GC32&gt;GD32),1,IF(AND(GD$2&gt;GC$2,GD32&gt;GC32),1,IF(AND(GC$2=GD$2,GC32=GD32),1,0)))))</f>
        <v/>
      </c>
      <c r="GF32" s="1" t="n">
        <f aca="false">Participantes!DW31</f>
        <v>0</v>
      </c>
      <c r="GG32" s="1" t="n">
        <f aca="false">Participantes!DX31</f>
        <v>0</v>
      </c>
      <c r="GH32" s="82" t="str">
        <f aca="false">IF(GF$2="","",IF(AND(GF32=GF$2,GG32=GG$2),3,IF(AND(GF$2&gt;GG$2,GF32&gt;GG32),1,IF(AND(GG$2&gt;GF$2,GG32&gt;GF32),1,IF(AND(GF$2=GG$2,GF32=GG32),1,0)))))</f>
        <v/>
      </c>
      <c r="GI32" s="1" t="n">
        <f aca="false">Participantes!DY31</f>
        <v>0</v>
      </c>
      <c r="GJ32" s="1" t="n">
        <f aca="false">Participantes!DZ31</f>
        <v>0</v>
      </c>
      <c r="GK32" s="82" t="str">
        <f aca="false">IF(GI$2="","",IF(AND(GI32=GI$2,GJ32=GJ$2),3,IF(AND(GI$2&gt;GJ$2,GI32&gt;GJ32),1,IF(AND(GJ$2&gt;GI$2,GJ32&gt;GI32),1,IF(AND(GI$2=GJ$2,GI32=GJ32),1,0)))))</f>
        <v/>
      </c>
      <c r="GL32" s="1" t="n">
        <f aca="false">Participantes!EA31</f>
        <v>0</v>
      </c>
      <c r="GM32" s="1" t="n">
        <f aca="false">Participantes!EB31</f>
        <v>0</v>
      </c>
      <c r="GN32" s="82" t="str">
        <f aca="false">IF(GL$2="","",IF(AND(GL32=GL$2,GM32=GM$2),3,IF(AND(GL$2&gt;GM$2,GL32&gt;GM32),1,IF(AND(GM$2&gt;GL$2,GM32&gt;GL32),1,IF(AND(GL$2=GM$2,GL32=GM32),1,0)))))</f>
        <v/>
      </c>
      <c r="GO32" s="1" t="n">
        <f aca="false">Participantes!EC31</f>
        <v>0</v>
      </c>
      <c r="GP32" s="1" t="n">
        <f aca="false">Participantes!ED31</f>
        <v>0</v>
      </c>
      <c r="GQ32" s="82" t="str">
        <f aca="false">IF(GO$2="","",IF(AND(GO32=GO$2,GP32=GP$2),3,IF(AND(GO$2&gt;GP$2,GO32&gt;GP32),1,IF(AND(GP$2&gt;GO$2,GP32&gt;GO32),1,IF(AND(GO$2=GP$2,GO32=GP32),1,0)))))</f>
        <v/>
      </c>
      <c r="GR32" s="1" t="n">
        <f aca="false">Participantes!EE31</f>
        <v>0</v>
      </c>
      <c r="GS32" s="1" t="n">
        <f aca="false">Participantes!EF31</f>
        <v>0</v>
      </c>
      <c r="GT32" s="82" t="str">
        <f aca="false">IF(GR$2="","",IF(AND(GR32=GR$2,GS32=GS$2),3,IF(AND(GR$2&gt;GS$2,GR32&gt;GS32),1,IF(AND(GS$2&gt;GR$2,GS32&gt;GR32),1,IF(AND(GR$2=GS$2,GR32=GS32),1,0)))))</f>
        <v/>
      </c>
      <c r="GU32" s="1" t="n">
        <f aca="false">Participantes!EG31</f>
        <v>0</v>
      </c>
      <c r="GV32" s="1" t="n">
        <f aca="false">Participantes!EH31</f>
        <v>0</v>
      </c>
      <c r="GW32" s="82" t="str">
        <f aca="false">IF(GU$2="","",IF(AND(GU32=GU$2,GV32=GV$2),3,IF(AND(GU$2&gt;GV$2,GU32&gt;GV32),1,IF(AND(GV$2&gt;GU$2,GV32&gt;GU32),1,IF(AND(GU$2=GV$2,GU32=GV32),1,0)))))</f>
        <v/>
      </c>
      <c r="GX32" s="1" t="n">
        <f aca="false">Participantes!EI31</f>
        <v>0</v>
      </c>
      <c r="GY32" s="1" t="n">
        <f aca="false">Participantes!EJ31</f>
        <v>0</v>
      </c>
      <c r="GZ32" s="82" t="str">
        <f aca="false">IF(GX$2="","",IF(AND(GX32=GX$2,GY32=GY$2),3,IF(AND(GX$2&gt;GY$2,GX32&gt;GY32),1,IF(AND(GY$2&gt;GX$2,GY32&gt;GX32),1,IF(AND(GX$2=GY$2,GX32=GY32),1,0)))))</f>
        <v/>
      </c>
      <c r="HA32" s="1" t="n">
        <f aca="false">Participantes!EK31</f>
        <v>0</v>
      </c>
      <c r="HB32" s="1" t="n">
        <f aca="false">Participantes!EL31</f>
        <v>0</v>
      </c>
      <c r="HC32" s="82" t="str">
        <f aca="false">IF(HA$2="","",IF(AND(HA32=HA$2,HB32=HB$2),3,IF(AND(HA$2&gt;HB$2,HA32&gt;HB32),1,IF(AND(HB$2&gt;HA$2,HB32&gt;HA32),1,IF(AND(HA$2=HB$2,HA32=HB32),1,0)))))</f>
        <v/>
      </c>
      <c r="HD32" s="1" t="n">
        <f aca="false">Participantes!EM31</f>
        <v>0</v>
      </c>
      <c r="HE32" s="1" t="n">
        <f aca="false">Participantes!EN31</f>
        <v>0</v>
      </c>
      <c r="HF32" s="82" t="str">
        <f aca="false">IF(HD$2="","",IF(AND(HD32=HD$2,HE32=HE$2),3,IF(AND(HD$2&gt;HE$2,HD32&gt;HE32),1,IF(AND(HE$2&gt;HD$2,HE32&gt;HD32),1,IF(AND(HD$2=HE$2,HD32=HE32),1,0)))))</f>
        <v/>
      </c>
      <c r="HG32" s="1" t="n">
        <f aca="false">Participantes!EO31</f>
        <v>0</v>
      </c>
      <c r="HH32" s="1" t="n">
        <f aca="false">Participantes!EP31</f>
        <v>0</v>
      </c>
      <c r="HI32" s="82" t="str">
        <f aca="false">IF(HG$2="","",IF(AND(HG32=HG$2,HH32=HH$2),3,IF(AND(HG$2&gt;HH$2,HG32&gt;HH32),1,IF(AND(HH$2&gt;HG$2,HH32&gt;HG32),1,IF(AND(HG$2=HH$2,HG32=HH32),1,0)))))</f>
        <v/>
      </c>
      <c r="HJ32" s="83" t="n">
        <f aca="false">SUM(D32,G32,J32,M32,P32,S32,V32,Y32,AB32,AE32,AH32,AK32,AN32,AQ32,AT32,AW32,AZ32,BC32,BF32,BI32,BL32,BO32,BR32,BU32,BX32,CA32,CD32,CG32,CJ32,CM32,CP32,CS32,CV32,CY32,DB32,DE32,DH32,DK32,DN32,DQ32,DT32,DW32,DZ32,EC32,EF32,EI32,EL32,EO32,ER32,EU32,EX32,FA32,FD32,FG32,FJ32,FM32,FP32,FS32,FV32,FY32,GB32,GE32,GH32,GK32,GN32,GQ32,GT32,GW32,GZ32,HC32,HF32,HI32)</f>
        <v>1</v>
      </c>
    </row>
    <row r="33" customFormat="false" ht="15" hidden="false" customHeight="true" outlineLevel="0" collapsed="false">
      <c r="A33" s="81" t="str">
        <f aca="false">Participantes!B32</f>
        <v>Maricela</v>
      </c>
      <c r="B33" s="1" t="n">
        <f aca="false">Participantes!C32</f>
        <v>3</v>
      </c>
      <c r="C33" s="1" t="n">
        <f aca="false">Participantes!D32</f>
        <v>1</v>
      </c>
      <c r="D33" s="82" t="n">
        <f aca="false">IF(B$2="","",IF(AND(B33=B$2,C33=C$2),3,IF(AND(B$2&gt;C$2,B33&gt;C33),1,IF(AND(C$2&gt;B$2,C33&gt;B33),1,IF(AND(B$2=C$2,B33=C33),1,0)))))</f>
        <v>1</v>
      </c>
      <c r="E33" s="1" t="n">
        <f aca="false">Participantes!E32</f>
        <v>2</v>
      </c>
      <c r="F33" s="1" t="n">
        <f aca="false">Participantes!F32</f>
        <v>2</v>
      </c>
      <c r="G33" s="82" t="str">
        <f aca="false">IF(E$2="","",IF(AND(E33=E$2,F33=F$2),3,IF(AND(E$2&gt;F$2,E33&gt;F33),1,IF(AND(F$2&gt;E$2,F33&gt;E33),1,IF(AND(E$2=F$2,E33=F33),1,0)))))</f>
        <v/>
      </c>
      <c r="H33" s="1" t="n">
        <f aca="false">Participantes!G32</f>
        <v>3</v>
      </c>
      <c r="I33" s="1" t="n">
        <f aca="false">Participantes!H32</f>
        <v>1</v>
      </c>
      <c r="J33" s="82" t="str">
        <f aca="false">IF(H$2="","",IF(AND(H33=H$2,I33=I$2),3,IF(AND(H$2&gt;I$2,H33&gt;I33),1,IF(AND(I$2&gt;H$2,I33&gt;H33),1,IF(AND(H$2=I$2,H33=I33),1,0)))))</f>
        <v/>
      </c>
      <c r="K33" s="1" t="n">
        <f aca="false">Participantes!I32</f>
        <v>2</v>
      </c>
      <c r="L33" s="1" t="n">
        <f aca="false">Participantes!J32</f>
        <v>1</v>
      </c>
      <c r="M33" s="82" t="str">
        <f aca="false">IF(K$2="","",IF(AND(K33=K$2,L33=L$2),3,IF(AND(K$2&gt;L$2,K33&gt;L33),1,IF(AND(L$2&gt;K$2,L33&gt;K33),1,IF(AND(K$2=L$2,K33=L33),1,0)))))</f>
        <v/>
      </c>
      <c r="N33" s="1" t="n">
        <f aca="false">Participantes!K32</f>
        <v>0</v>
      </c>
      <c r="O33" s="1" t="n">
        <f aca="false">Participantes!L32</f>
        <v>3</v>
      </c>
      <c r="P33" s="82" t="str">
        <f aca="false">IF(N$2="","",IF(AND(N33=N$2,O33=O$2),3,IF(AND(N$2&gt;O$2,N33&gt;O33),1,IF(AND(O$2&gt;N$2,O33&gt;N33),1,IF(AND(N$2=O$2,N33=O33),1,0)))))</f>
        <v/>
      </c>
      <c r="Q33" s="1" t="n">
        <f aca="false">Participantes!M32</f>
        <v>1</v>
      </c>
      <c r="R33" s="1" t="n">
        <f aca="false">Participantes!N32</f>
        <v>3</v>
      </c>
      <c r="S33" s="82" t="str">
        <f aca="false">IF(Q$2="","",IF(AND(Q33=Q$2,R33=R$2),3,IF(AND(Q$2&gt;R$2,Q33&gt;R33),1,IF(AND(R$2&gt;Q$2,R33&gt;Q33),1,IF(AND(Q$2=R$2,Q33=R33),1,0)))))</f>
        <v/>
      </c>
      <c r="T33" s="1" t="n">
        <f aca="false">Participantes!O32</f>
        <v>4</v>
      </c>
      <c r="U33" s="1" t="n">
        <f aca="false">Participantes!P32</f>
        <v>2</v>
      </c>
      <c r="V33" s="82" t="str">
        <f aca="false">IF(T$2="","",IF(AND(T33=T$2,U33=U$2),3,IF(AND(T$2&gt;U$2,T33&gt;U33),1,IF(AND(U$2&gt;T$2,U33&gt;T33),1,IF(AND(T$2=U$2,T33=U33),1,0)))))</f>
        <v/>
      </c>
      <c r="W33" s="1" t="n">
        <f aca="false">Participantes!Q32</f>
        <v>1</v>
      </c>
      <c r="X33" s="1" t="n">
        <f aca="false">Participantes!R32</f>
        <v>2</v>
      </c>
      <c r="Y33" s="82" t="str">
        <f aca="false">IF(W$2="","",IF(AND(W33=W$2,X33=X$2),3,IF(AND(W$2&gt;X$2,W33&gt;X33),1,IF(AND(X$2&gt;W$2,X33&gt;W33),1,IF(AND(W$2=X$2,W33=X33),1,0)))))</f>
        <v/>
      </c>
      <c r="Z33" s="1" t="n">
        <f aca="false">Participantes!S32</f>
        <v>1</v>
      </c>
      <c r="AA33" s="1" t="n">
        <f aca="false">Participantes!T32</f>
        <v>3</v>
      </c>
      <c r="AB33" s="82" t="str">
        <f aca="false">IF(Z$2="","",IF(AND(Z33=Z$2,AA33=AA$2),3,IF(AND(Z$2&gt;AA$2,Z33&gt;AA33),1,IF(AND(AA$2&gt;Z$2,AA33&gt;Z33),1,IF(AND(Z$2=AA$2,Z33=AA33),1,0)))))</f>
        <v/>
      </c>
      <c r="AC33" s="1" t="n">
        <f aca="false">Participantes!U32</f>
        <v>5</v>
      </c>
      <c r="AD33" s="1" t="n">
        <f aca="false">Participantes!V32</f>
        <v>0</v>
      </c>
      <c r="AE33" s="82" t="str">
        <f aca="false">IF(AC$2="","",IF(AND(AC33=AC$2,AD33=AD$2),3,IF(AND(AC$2&gt;AD$2,AC33&gt;AD33),1,IF(AND(AD$2&gt;AC$2,AD33&gt;AC33),1,IF(AND(AC$2=AD$2,AC33=AD33),1,0)))))</f>
        <v/>
      </c>
      <c r="AF33" s="1" t="n">
        <f aca="false">Participantes!W32</f>
        <v>4</v>
      </c>
      <c r="AG33" s="1" t="n">
        <f aca="false">Participantes!X32</f>
        <v>1</v>
      </c>
      <c r="AH33" s="82" t="str">
        <f aca="false">IF(AF$2="","",IF(AND(AF33=AF$2,AG33=AG$2),3,IF(AND(AF$2&gt;AG$2,AF33&gt;AG33),1,IF(AND(AG$2&gt;AF$2,AG33&gt;AF33),1,IF(AND(AF$2=AG$2,AF33=AG33),1,0)))))</f>
        <v/>
      </c>
      <c r="AI33" s="1" t="n">
        <f aca="false">Participantes!Y32</f>
        <v>2</v>
      </c>
      <c r="AJ33" s="1" t="n">
        <f aca="false">Participantes!Z32</f>
        <v>2</v>
      </c>
      <c r="AK33" s="82" t="str">
        <f aca="false">IF(AI$2="","",IF(AND(AI33=AI$2,AJ33=AJ$2),3,IF(AND(AI$2&gt;AJ$2,AI33&gt;AJ33),1,IF(AND(AJ$2&gt;AI$2,AJ33&gt;AI33),1,IF(AND(AI$2=AJ$2,AI33=AJ33),1,0)))))</f>
        <v/>
      </c>
      <c r="AL33" s="1" t="n">
        <f aca="false">Participantes!AA32</f>
        <v>1</v>
      </c>
      <c r="AM33" s="1" t="n">
        <f aca="false">Participantes!AB32</f>
        <v>3</v>
      </c>
      <c r="AN33" s="82" t="str">
        <f aca="false">IF(AL$2="","",IF(AND(AL33=AL$2,AM33=AM$2),3,IF(AND(AL$2&gt;AM$2,AL33&gt;AM33),1,IF(AND(AM$2&gt;AL$2,AM33&gt;AL33),1,IF(AND(AL$2=AM$2,AL33=AM33),1,0)))))</f>
        <v/>
      </c>
      <c r="AO33" s="1" t="n">
        <f aca="false">Participantes!AC32</f>
        <v>5</v>
      </c>
      <c r="AP33" s="1" t="n">
        <f aca="false">Participantes!AD32</f>
        <v>0</v>
      </c>
      <c r="AQ33" s="82" t="str">
        <f aca="false">IF(AO$2="","",IF(AND(AO33=AO$2,AP33=AP$2),3,IF(AND(AO$2&gt;AP$2,AO33&gt;AP33),1,IF(AND(AP$2&gt;AO$2,AP33&gt;AO33),1,IF(AND(AO$2=AP$2,AO33=AP33),1,0)))))</f>
        <v/>
      </c>
      <c r="AR33" s="1" t="n">
        <f aca="false">Participantes!AE32</f>
        <v>0</v>
      </c>
      <c r="AS33" s="1" t="n">
        <f aca="false">Participantes!AF32</f>
        <v>0</v>
      </c>
      <c r="AT33" s="82" t="str">
        <f aca="false">IF(AR$2="","",IF(AND(AR33=AR$2,AS33=AS$2),3,IF(AND(AR$2&gt;AS$2,AR33&gt;AS33),1,IF(AND(AS$2&gt;AR$2,AS33&gt;AR33),1,IF(AND(AR$2=AS$2,AR33=AS33),1,0)))))</f>
        <v/>
      </c>
      <c r="AU33" s="1" t="n">
        <f aca="false">Participantes!AG32</f>
        <v>0</v>
      </c>
      <c r="AV33" s="1" t="n">
        <f aca="false">Participantes!AH32</f>
        <v>0</v>
      </c>
      <c r="AW33" s="82" t="str">
        <f aca="false">IF(AU$2="","",IF(AND(AU33=AU$2,AV33=AV$2),3,IF(AND(AU$2&gt;AV$2,AU33&gt;AV33),1,IF(AND(AV$2&gt;AU$2,AV33&gt;AU33),1,IF(AND(AU$2=AV$2,AU33=AV33),1,0)))))</f>
        <v/>
      </c>
      <c r="AX33" s="1" t="n">
        <f aca="false">Participantes!AI32</f>
        <v>0</v>
      </c>
      <c r="AY33" s="1" t="n">
        <f aca="false">Participantes!AJ32</f>
        <v>0</v>
      </c>
      <c r="AZ33" s="82" t="str">
        <f aca="false">IF(AX$2="","",IF(AND(AX33=AX$2,AY33=AY$2),3,IF(AND(AX$2&gt;AY$2,AX33&gt;AY33),1,IF(AND(AY$2&gt;AX$2,AY33&gt;AX33),1,IF(AND(AX$2=AY$2,AX33=AY33),1,0)))))</f>
        <v/>
      </c>
      <c r="BA33" s="1" t="n">
        <f aca="false">Participantes!AK32</f>
        <v>0</v>
      </c>
      <c r="BB33" s="1" t="n">
        <f aca="false">Participantes!AL32</f>
        <v>0</v>
      </c>
      <c r="BC33" s="82" t="str">
        <f aca="false">IF(BA$2="","",IF(AND(BA33=BA$2,BB33=BB$2),3,IF(AND(BA$2&gt;BB$2,BA33&gt;BB33),1,IF(AND(BB$2&gt;BA$2,BB33&gt;BA33),1,IF(AND(BA$2=BB$2,BA33=BB33),1,0)))))</f>
        <v/>
      </c>
      <c r="BD33" s="1" t="n">
        <f aca="false">Participantes!AM32</f>
        <v>0</v>
      </c>
      <c r="BE33" s="1" t="n">
        <f aca="false">Participantes!AN32</f>
        <v>0</v>
      </c>
      <c r="BF33" s="82" t="str">
        <f aca="false">IF(BD$2="","",IF(AND(BD33=BD$2,BE33=BE$2),3,IF(AND(BD$2&gt;BE$2,BD33&gt;BE33),1,IF(AND(BE$2&gt;BD$2,BE33&gt;BD33),1,IF(AND(BD$2=BE$2,BD33=BE33),1,0)))))</f>
        <v/>
      </c>
      <c r="BG33" s="1" t="n">
        <f aca="false">Participantes!AO32</f>
        <v>0</v>
      </c>
      <c r="BH33" s="1" t="n">
        <f aca="false">Participantes!AP32</f>
        <v>0</v>
      </c>
      <c r="BI33" s="82" t="str">
        <f aca="false">IF(BG$2="","",IF(AND(BG33=BG$2,BH33=BH$2),3,IF(AND(BG$2&gt;BH$2,BG33&gt;BH33),1,IF(AND(BH$2&gt;BG$2,BH33&gt;BG33),1,IF(AND(BG$2=BH$2,BG33=BH33),1,0)))))</f>
        <v/>
      </c>
      <c r="BJ33" s="1" t="n">
        <f aca="false">Participantes!AQ32</f>
        <v>0</v>
      </c>
      <c r="BK33" s="1" t="n">
        <f aca="false">Participantes!AR32</f>
        <v>0</v>
      </c>
      <c r="BL33" s="82" t="str">
        <f aca="false">IF(BJ$2="","",IF(AND(BJ33=BJ$2,BK33=BK$2),3,IF(AND(BJ$2&gt;BK$2,BJ33&gt;BK33),1,IF(AND(BK$2&gt;BJ$2,BK33&gt;BJ33),1,IF(AND(BJ$2=BK$2,BJ33=BK33),1,0)))))</f>
        <v/>
      </c>
      <c r="BM33" s="1" t="n">
        <f aca="false">Participantes!AS32</f>
        <v>0</v>
      </c>
      <c r="BN33" s="1" t="n">
        <f aca="false">Participantes!AT32</f>
        <v>0</v>
      </c>
      <c r="BO33" s="82" t="str">
        <f aca="false">IF(BM$2="","",IF(AND(BM33=BM$2,BN33=BN$2),3,IF(AND(BM$2&gt;BN$2,BM33&gt;BN33),1,IF(AND(BN$2&gt;BM$2,BN33&gt;BM33),1,IF(AND(BM$2=BN$2,BM33=BN33),1,0)))))</f>
        <v/>
      </c>
      <c r="BP33" s="1" t="n">
        <f aca="false">Participantes!AU32</f>
        <v>0</v>
      </c>
      <c r="BQ33" s="1" t="n">
        <f aca="false">Participantes!AV32</f>
        <v>0</v>
      </c>
      <c r="BR33" s="82" t="str">
        <f aca="false">IF(BP$2="","",IF(AND(BP33=BP$2,BQ33=BQ$2),3,IF(AND(BP$2&gt;BQ$2,BP33&gt;BQ33),1,IF(AND(BQ$2&gt;BP$2,BQ33&gt;BP33),1,IF(AND(BP$2=BQ$2,BP33=BQ33),1,0)))))</f>
        <v/>
      </c>
      <c r="BS33" s="1" t="n">
        <f aca="false">Participantes!AW32</f>
        <v>0</v>
      </c>
      <c r="BT33" s="1" t="n">
        <f aca="false">Participantes!AX32</f>
        <v>0</v>
      </c>
      <c r="BU33" s="82" t="str">
        <f aca="false">IF(BS$2="","",IF(AND(BS33=BS$2,BT33=BT$2),3,IF(AND(BS$2&gt;BT$2,BS33&gt;BT33),1,IF(AND(BT$2&gt;BS$2,BT33&gt;BS33),1,IF(AND(BS$2=BT$2,BS33=BT33),1,0)))))</f>
        <v/>
      </c>
      <c r="BV33" s="1" t="n">
        <f aca="false">Participantes!AY32</f>
        <v>0</v>
      </c>
      <c r="BW33" s="1" t="n">
        <f aca="false">Participantes!AZ32</f>
        <v>0</v>
      </c>
      <c r="BX33" s="82" t="str">
        <f aca="false">IF(BV$2="","",IF(AND(BV33=BV$2,BW33=BW$2),3,IF(AND(BV$2&gt;BW$2,BV33&gt;BW33),1,IF(AND(BW$2&gt;BV$2,BW33&gt;BV33),1,IF(AND(BV$2=BW$2,BV33=BW33),1,0)))))</f>
        <v/>
      </c>
      <c r="BY33" s="1" t="n">
        <f aca="false">Participantes!BA32</f>
        <v>0</v>
      </c>
      <c r="BZ33" s="1" t="n">
        <f aca="false">Participantes!BB32</f>
        <v>0</v>
      </c>
      <c r="CA33" s="82" t="str">
        <f aca="false">IF(BY$2="","",IF(AND(BY33=BY$2,BZ33=BZ$2),3,IF(AND(BY$2&gt;BZ$2,BY33&gt;BZ33),1,IF(AND(BZ$2&gt;BY$2,BZ33&gt;BY33),1,IF(AND(BY$2=BZ$2,BY33=BZ33),1,0)))))</f>
        <v/>
      </c>
      <c r="CB33" s="1" t="n">
        <f aca="false">Participantes!BC32</f>
        <v>0</v>
      </c>
      <c r="CC33" s="1" t="n">
        <f aca="false">Participantes!BD32</f>
        <v>0</v>
      </c>
      <c r="CD33" s="82" t="str">
        <f aca="false">IF(CB$2="","",IF(AND(CB33=CB$2,CC33=CC$2),3,IF(AND(CB$2&gt;CC$2,CB33&gt;CC33),1,IF(AND(CC$2&gt;CB$2,CC33&gt;CB33),1,IF(AND(CB$2=CC$2,CB33=CC33),1,0)))))</f>
        <v/>
      </c>
      <c r="CE33" s="1" t="n">
        <f aca="false">Participantes!BE32</f>
        <v>0</v>
      </c>
      <c r="CF33" s="1" t="n">
        <f aca="false">Participantes!BF32</f>
        <v>0</v>
      </c>
      <c r="CG33" s="82" t="str">
        <f aca="false">IF(CE$2="","",IF(AND(CE33=CE$2,CF33=CF$2),3,IF(AND(CE$2&gt;CF$2,CE33&gt;CF33),1,IF(AND(CF$2&gt;CE$2,CF33&gt;CE33),1,IF(AND(CE$2=CF$2,CE33=CF33),1,0)))))</f>
        <v/>
      </c>
      <c r="CH33" s="1" t="n">
        <f aca="false">Participantes!BG32</f>
        <v>0</v>
      </c>
      <c r="CI33" s="1" t="n">
        <f aca="false">Participantes!BH32</f>
        <v>0</v>
      </c>
      <c r="CJ33" s="82" t="str">
        <f aca="false">IF(CH$2="","",IF(AND(CH33=CH$2,CI33=CI$2),3,IF(AND(CH$2&gt;CI$2,CH33&gt;CI33),1,IF(AND(CI$2&gt;CH$2,CI33&gt;CH33),1,IF(AND(CH$2=CI$2,CH33=CI33),1,0)))))</f>
        <v/>
      </c>
      <c r="CK33" s="1" t="n">
        <f aca="false">Participantes!BI32</f>
        <v>0</v>
      </c>
      <c r="CL33" s="1" t="n">
        <f aca="false">Participantes!BJ32</f>
        <v>0</v>
      </c>
      <c r="CM33" s="82" t="str">
        <f aca="false">IF(CK$2="","",IF(AND(CK33=CK$2,CL33=CL$2),3,IF(AND(CK$2&gt;CL$2,CK33&gt;CL33),1,IF(AND(CL$2&gt;CK$2,CL33&gt;CK33),1,IF(AND(CK$2=CL$2,CK33=CL33),1,0)))))</f>
        <v/>
      </c>
      <c r="CN33" s="1" t="n">
        <f aca="false">Participantes!BK32</f>
        <v>0</v>
      </c>
      <c r="CO33" s="1" t="n">
        <f aca="false">Participantes!BL32</f>
        <v>0</v>
      </c>
      <c r="CP33" s="82" t="str">
        <f aca="false">IF(CN$2="","",IF(AND(CN33=CN$2,CO33=CO$2),3,IF(AND(CN$2&gt;CO$2,CN33&gt;CO33),1,IF(AND(CO$2&gt;CN$2,CO33&gt;CN33),1,IF(AND(CN$2=CO$2,CN33=CO33),1,0)))))</f>
        <v/>
      </c>
      <c r="CQ33" s="1" t="n">
        <f aca="false">Participantes!BM32</f>
        <v>0</v>
      </c>
      <c r="CR33" s="1" t="n">
        <f aca="false">Participantes!BN32</f>
        <v>0</v>
      </c>
      <c r="CS33" s="82" t="str">
        <f aca="false">IF(CQ$2="","",IF(AND(CQ33=CQ$2,CR33=CR$2),3,IF(AND(CQ$2&gt;CR$2,CQ33&gt;CR33),1,IF(AND(CR$2&gt;CQ$2,CR33&gt;CQ33),1,IF(AND(CQ$2=CR$2,CQ33=CR33),1,0)))))</f>
        <v/>
      </c>
      <c r="CT33" s="1" t="n">
        <f aca="false">Participantes!BO32</f>
        <v>0</v>
      </c>
      <c r="CU33" s="1" t="n">
        <f aca="false">Participantes!BP32</f>
        <v>0</v>
      </c>
      <c r="CV33" s="82" t="str">
        <f aca="false">IF(CT$2="","",IF(AND(CT33=CT$2,CU33=CU$2),3,IF(AND(CT$2&gt;CU$2,CT33&gt;CU33),1,IF(AND(CU$2&gt;CT$2,CU33&gt;CT33),1,IF(AND(CT$2=CU$2,CT33=CU33),1,0)))))</f>
        <v/>
      </c>
      <c r="CW33" s="1" t="n">
        <f aca="false">Participantes!BQ32</f>
        <v>0</v>
      </c>
      <c r="CX33" s="1" t="n">
        <f aca="false">Participantes!BR32</f>
        <v>0</v>
      </c>
      <c r="CY33" s="82" t="str">
        <f aca="false">IF(CW$2="","",IF(AND(CW33=CW$2,CX33=CX$2),3,IF(AND(CW$2&gt;CX$2,CW33&gt;CX33),1,IF(AND(CX$2&gt;CW$2,CX33&gt;CW33),1,IF(AND(CW$2=CX$2,CW33=CX33),1,0)))))</f>
        <v/>
      </c>
      <c r="CZ33" s="1" t="n">
        <f aca="false">Participantes!BS32</f>
        <v>0</v>
      </c>
      <c r="DA33" s="1" t="n">
        <f aca="false">Participantes!BT32</f>
        <v>0</v>
      </c>
      <c r="DB33" s="82" t="str">
        <f aca="false">IF(CZ$2="","",IF(AND(CZ33=CZ$2,DA33=DA$2),3,IF(AND(CZ$2&gt;DA$2,CZ33&gt;DA33),1,IF(AND(DA$2&gt;CZ$2,DA33&gt;CZ33),1,IF(AND(CZ$2=DA$2,CZ33=DA33),1,0)))))</f>
        <v/>
      </c>
      <c r="DC33" s="1" t="n">
        <f aca="false">Participantes!BU32</f>
        <v>0</v>
      </c>
      <c r="DD33" s="1" t="n">
        <f aca="false">Participantes!BV32</f>
        <v>0</v>
      </c>
      <c r="DE33" s="82" t="str">
        <f aca="false">IF(DC$2="","",IF(AND(DC33=DC$2,DD33=DD$2),3,IF(AND(DC$2&gt;DD$2,DC33&gt;DD33),1,IF(AND(DD$2&gt;DC$2,DD33&gt;DC33),1,IF(AND(DC$2=DD$2,DC33=DD33),1,0)))))</f>
        <v/>
      </c>
      <c r="DF33" s="1" t="n">
        <f aca="false">Participantes!BW32</f>
        <v>0</v>
      </c>
      <c r="DG33" s="1" t="n">
        <f aca="false">Participantes!BX32</f>
        <v>0</v>
      </c>
      <c r="DH33" s="82" t="str">
        <f aca="false">IF(DF$2="","",IF(AND(DF33=DF$2,DG33=DG$2),3,IF(AND(DF$2&gt;DG$2,DF33&gt;DG33),1,IF(AND(DG$2&gt;DF$2,DG33&gt;DF33),1,IF(AND(DF$2=DG$2,DF33=DG33),1,0)))))</f>
        <v/>
      </c>
      <c r="DI33" s="1" t="n">
        <f aca="false">Participantes!BY32</f>
        <v>0</v>
      </c>
      <c r="DJ33" s="1" t="n">
        <f aca="false">Participantes!BZ32</f>
        <v>0</v>
      </c>
      <c r="DK33" s="82" t="str">
        <f aca="false">IF(DI$2="","",IF(AND(DI33=DI$2,DJ33=DJ$2),3,IF(AND(DI$2&gt;DJ$2,DI33&gt;DJ33),1,IF(AND(DJ$2&gt;DI$2,DJ33&gt;DI33),1,IF(AND(DI$2=DJ$2,DI33=DJ33),1,0)))))</f>
        <v/>
      </c>
      <c r="DL33" s="1" t="n">
        <f aca="false">Participantes!CA32</f>
        <v>0</v>
      </c>
      <c r="DM33" s="1" t="n">
        <f aca="false">Participantes!CB32</f>
        <v>0</v>
      </c>
      <c r="DN33" s="82" t="str">
        <f aca="false">IF(DL$2="","",IF(AND(DL33=DL$2,DM33=DM$2),3,IF(AND(DL$2&gt;DM$2,DL33&gt;DM33),1,IF(AND(DM$2&gt;DL$2,DM33&gt;DL33),1,IF(AND(DL$2=DM$2,DL33=DM33),1,0)))))</f>
        <v/>
      </c>
      <c r="DO33" s="1" t="n">
        <f aca="false">Participantes!CC32</f>
        <v>0</v>
      </c>
      <c r="DP33" s="1" t="n">
        <f aca="false">Participantes!CD32</f>
        <v>0</v>
      </c>
      <c r="DQ33" s="82" t="str">
        <f aca="false">IF(DO$2="","",IF(AND(DO33=DO$2,DP33=DP$2),3,IF(AND(DO$2&gt;DP$2,DO33&gt;DP33),1,IF(AND(DP$2&gt;DO$2,DP33&gt;DO33),1,IF(AND(DO$2=DP$2,DO33=DP33),1,0)))))</f>
        <v/>
      </c>
      <c r="DR33" s="1" t="n">
        <f aca="false">Participantes!CE32</f>
        <v>0</v>
      </c>
      <c r="DS33" s="1" t="n">
        <f aca="false">Participantes!CF32</f>
        <v>0</v>
      </c>
      <c r="DT33" s="82" t="str">
        <f aca="false">IF(DR$2="","",IF(AND(DR33=DR$2,DS33=DS$2),3,IF(AND(DR$2&gt;DS$2,DR33&gt;DS33),1,IF(AND(DS$2&gt;DR$2,DS33&gt;DR33),1,IF(AND(DR$2=DS$2,DR33=DS33),1,0)))))</f>
        <v/>
      </c>
      <c r="DU33" s="1" t="n">
        <f aca="false">Participantes!CG32</f>
        <v>0</v>
      </c>
      <c r="DV33" s="1" t="n">
        <f aca="false">Participantes!CH32</f>
        <v>0</v>
      </c>
      <c r="DW33" s="82" t="str">
        <f aca="false">IF(DU$2="","",IF(AND(DU33=DU$2,DV33=DV$2),3,IF(AND(DU$2&gt;DV$2,DU33&gt;DV33),1,IF(AND(DV$2&gt;DU$2,DV33&gt;DU33),1,IF(AND(DU$2=DV$2,DU33=DV33),1,0)))))</f>
        <v/>
      </c>
      <c r="DX33" s="1" t="n">
        <f aca="false">Participantes!CI32</f>
        <v>0</v>
      </c>
      <c r="DY33" s="1" t="n">
        <f aca="false">Participantes!CJ32</f>
        <v>0</v>
      </c>
      <c r="DZ33" s="82" t="str">
        <f aca="false">IF(DX$2="","",IF(AND(DX33=DX$2,DY33=DY$2),3,IF(AND(DX$2&gt;DY$2,DX33&gt;DY33),1,IF(AND(DY$2&gt;DX$2,DY33&gt;DX33),1,IF(AND(DX$2=DY$2,DX33=DY33),1,0)))))</f>
        <v/>
      </c>
      <c r="EA33" s="1" t="n">
        <f aca="false">Participantes!CK32</f>
        <v>0</v>
      </c>
      <c r="EB33" s="1" t="n">
        <f aca="false">Participantes!CL32</f>
        <v>0</v>
      </c>
      <c r="EC33" s="82" t="str">
        <f aca="false">IF(EA$2="","",IF(AND(EA33=EA$2,EB33=EB$2),3,IF(AND(EA$2&gt;EB$2,EA33&gt;EB33),1,IF(AND(EB$2&gt;EA$2,EB33&gt;EA33),1,IF(AND(EA$2=EB$2,EA33=EB33),1,0)))))</f>
        <v/>
      </c>
      <c r="ED33" s="1" t="n">
        <f aca="false">Participantes!CM32</f>
        <v>0</v>
      </c>
      <c r="EE33" s="1" t="n">
        <f aca="false">Participantes!CN32</f>
        <v>0</v>
      </c>
      <c r="EF33" s="82" t="str">
        <f aca="false">IF(ED$2="","",IF(AND(ED33=ED$2,EE33=EE$2),3,IF(AND(ED$2&gt;EE$2,ED33&gt;EE33),1,IF(AND(EE$2&gt;ED$2,EE33&gt;ED33),1,IF(AND(ED$2=EE$2,ED33=EE33),1,0)))))</f>
        <v/>
      </c>
      <c r="EG33" s="1" t="n">
        <f aca="false">Participantes!CO32</f>
        <v>0</v>
      </c>
      <c r="EH33" s="1" t="n">
        <f aca="false">Participantes!CP32</f>
        <v>0</v>
      </c>
      <c r="EI33" s="82" t="str">
        <f aca="false">IF(EG$2="","",IF(AND(EG33=EG$2,EH33=EH$2),3,IF(AND(EG$2&gt;EH$2,EG33&gt;EH33),1,IF(AND(EH$2&gt;EG$2,EH33&gt;EG33),1,IF(AND(EG$2=EH$2,EG33=EH33),1,0)))))</f>
        <v/>
      </c>
      <c r="EJ33" s="1" t="n">
        <f aca="false">Participantes!CQ32</f>
        <v>0</v>
      </c>
      <c r="EK33" s="1" t="n">
        <f aca="false">Participantes!CR32</f>
        <v>0</v>
      </c>
      <c r="EL33" s="82" t="str">
        <f aca="false">IF(EJ$2="","",IF(AND(EJ33=EJ$2,EK33=EK$2),3,IF(AND(EJ$2&gt;EK$2,EJ33&gt;EK33),1,IF(AND(EK$2&gt;EJ$2,EK33&gt;EJ33),1,IF(AND(EJ$2=EK$2,EJ33=EK33),1,0)))))</f>
        <v/>
      </c>
      <c r="EM33" s="1" t="n">
        <f aca="false">Participantes!CS32</f>
        <v>0</v>
      </c>
      <c r="EN33" s="1" t="n">
        <f aca="false">Participantes!CT32</f>
        <v>0</v>
      </c>
      <c r="EO33" s="82" t="str">
        <f aca="false">IF(EM$2="","",IF(AND(EM33=EM$2,EN33=EN$2),3,IF(AND(EM$2&gt;EN$2,EM33&gt;EN33),1,IF(AND(EN$2&gt;EM$2,EN33&gt;EM33),1,IF(AND(EM$2=EN$2,EM33=EN33),1,0)))))</f>
        <v/>
      </c>
      <c r="EP33" s="1" t="n">
        <f aca="false">Participantes!CU32</f>
        <v>0</v>
      </c>
      <c r="EQ33" s="1" t="n">
        <f aca="false">Participantes!CV32</f>
        <v>0</v>
      </c>
      <c r="ER33" s="82" t="str">
        <f aca="false">IF(EP$2="","",IF(AND(EP33=EP$2,EQ33=EQ$2),3,IF(AND(EP$2&gt;EQ$2,EP33&gt;EQ33),1,IF(AND(EQ$2&gt;EP$2,EQ33&gt;EP33),1,IF(AND(EP$2=EQ$2,EP33=EQ33),1,0)))))</f>
        <v/>
      </c>
      <c r="ES33" s="1" t="n">
        <f aca="false">Participantes!CW32</f>
        <v>0</v>
      </c>
      <c r="ET33" s="1" t="n">
        <f aca="false">Participantes!CX32</f>
        <v>0</v>
      </c>
      <c r="EU33" s="82" t="str">
        <f aca="false">IF(ES$2="","",IF(AND(ES33=ES$2,ET33=ET$2),3,IF(AND(ES$2&gt;ET$2,ES33&gt;ET33),1,IF(AND(ET$2&gt;ES$2,ET33&gt;ES33),1,IF(AND(ES$2=ET$2,ES33=ET33),1,0)))))</f>
        <v/>
      </c>
      <c r="EV33" s="1" t="n">
        <f aca="false">Participantes!CY32</f>
        <v>0</v>
      </c>
      <c r="EW33" s="1" t="n">
        <f aca="false">Participantes!CZ32</f>
        <v>0</v>
      </c>
      <c r="EX33" s="82" t="str">
        <f aca="false">IF(EV$2="","",IF(AND(EV33=EV$2,EW33=EW$2),3,IF(AND(EV$2&gt;EW$2,EV33&gt;EW33),1,IF(AND(EW$2&gt;EV$2,EW33&gt;EV33),1,IF(AND(EV$2=EW$2,EV33=EW33),1,0)))))</f>
        <v/>
      </c>
      <c r="EY33" s="1" t="n">
        <f aca="false">Participantes!DA32</f>
        <v>0</v>
      </c>
      <c r="EZ33" s="1" t="n">
        <f aca="false">Participantes!DB32</f>
        <v>0</v>
      </c>
      <c r="FA33" s="82" t="str">
        <f aca="false">IF(EY$2="","",IF(AND(EY33=EY$2,EZ33=EZ$2),3,IF(AND(EY$2&gt;EZ$2,EY33&gt;EZ33),1,IF(AND(EZ$2&gt;EY$2,EZ33&gt;EY33),1,IF(AND(EY$2=EZ$2,EY33=EZ33),1,0)))))</f>
        <v/>
      </c>
      <c r="FB33" s="1" t="n">
        <f aca="false">Participantes!DC32</f>
        <v>0</v>
      </c>
      <c r="FC33" s="1" t="n">
        <f aca="false">Participantes!DD32</f>
        <v>0</v>
      </c>
      <c r="FD33" s="82" t="str">
        <f aca="false">IF(FB$2="","",IF(AND(FB33=FB$2,FC33=FC$2),3,IF(AND(FB$2&gt;FC$2,FB33&gt;FC33),1,IF(AND(FC$2&gt;FB$2,FC33&gt;FB33),1,IF(AND(FB$2=FC$2,FB33=FC33),1,0)))))</f>
        <v/>
      </c>
      <c r="FE33" s="1" t="n">
        <f aca="false">Participantes!DE32</f>
        <v>0</v>
      </c>
      <c r="FF33" s="1" t="n">
        <f aca="false">Participantes!DF32</f>
        <v>0</v>
      </c>
      <c r="FG33" s="82" t="str">
        <f aca="false">IF(FE$2="","",IF(AND(FE33=FE$2,FF33=FF$2),3,IF(AND(FE$2&gt;FF$2,FE33&gt;FF33),1,IF(AND(FF$2&gt;FE$2,FF33&gt;FE33),1,IF(AND(FE$2=FF$2,FE33=FF33),1,0)))))</f>
        <v/>
      </c>
      <c r="FH33" s="1" t="n">
        <f aca="false">Participantes!DG32</f>
        <v>0</v>
      </c>
      <c r="FI33" s="1" t="n">
        <f aca="false">Participantes!DH32</f>
        <v>0</v>
      </c>
      <c r="FJ33" s="82" t="str">
        <f aca="false">IF(FH$2="","",IF(AND(FH33=FH$2,FI33=FI$2),3,IF(AND(FH$2&gt;FI$2,FH33&gt;FI33),1,IF(AND(FI$2&gt;FH$2,FI33&gt;FH33),1,IF(AND(FH$2=FI$2,FH33=FI33),1,0)))))</f>
        <v/>
      </c>
      <c r="FK33" s="1" t="n">
        <f aca="false">Participantes!DI32</f>
        <v>0</v>
      </c>
      <c r="FL33" s="1" t="n">
        <f aca="false">Participantes!DJ32</f>
        <v>0</v>
      </c>
      <c r="FM33" s="82" t="str">
        <f aca="false">IF(FK$2="","",IF(AND(FK33=FK$2,FL33=FL$2),3,IF(AND(FK$2&gt;FL$2,FK33&gt;FL33),1,IF(AND(FL$2&gt;FK$2,FL33&gt;FK33),1,IF(AND(FK$2=FL$2,FK33=FL33),1,0)))))</f>
        <v/>
      </c>
      <c r="FN33" s="1" t="n">
        <f aca="false">Participantes!DK32</f>
        <v>0</v>
      </c>
      <c r="FO33" s="1" t="n">
        <f aca="false">Participantes!DL32</f>
        <v>0</v>
      </c>
      <c r="FP33" s="82" t="str">
        <f aca="false">IF(FN$2="","",IF(AND(FN33=FN$2,FO33=FO$2),3,IF(AND(FN$2&gt;FO$2,FN33&gt;FO33),1,IF(AND(FO$2&gt;FN$2,FO33&gt;FN33),1,IF(AND(FN$2=FO$2,FN33=FO33),1,0)))))</f>
        <v/>
      </c>
      <c r="FQ33" s="1" t="n">
        <f aca="false">Participantes!DM32</f>
        <v>0</v>
      </c>
      <c r="FR33" s="1" t="n">
        <f aca="false">Participantes!DN32</f>
        <v>0</v>
      </c>
      <c r="FS33" s="82" t="str">
        <f aca="false">IF(FQ$2="","",IF(AND(FQ33=FQ$2,FR33=FR$2),3,IF(AND(FQ$2&gt;FR$2,FQ33&gt;FR33),1,IF(AND(FR$2&gt;FQ$2,FR33&gt;FQ33),1,IF(AND(FQ$2=FR$2,FQ33=FR33),1,0)))))</f>
        <v/>
      </c>
      <c r="FT33" s="1" t="n">
        <f aca="false">Participantes!DO32</f>
        <v>0</v>
      </c>
      <c r="FU33" s="1" t="n">
        <f aca="false">Participantes!DP32</f>
        <v>0</v>
      </c>
      <c r="FV33" s="82" t="str">
        <f aca="false">IF(FT$2="","",IF(AND(FT33=FT$2,FU33=FU$2),3,IF(AND(FT$2&gt;FU$2,FT33&gt;FU33),1,IF(AND(FU$2&gt;FT$2,FU33&gt;FT33),1,IF(AND(FT$2=FU$2,FT33=FU33),1,0)))))</f>
        <v/>
      </c>
      <c r="FW33" s="1" t="n">
        <f aca="false">Participantes!DQ32</f>
        <v>0</v>
      </c>
      <c r="FX33" s="1" t="n">
        <f aca="false">Participantes!DR32</f>
        <v>0</v>
      </c>
      <c r="FY33" s="82" t="str">
        <f aca="false">IF(FW$2="","",IF(AND(FW33=FW$2,FX33=FX$2),3,IF(AND(FW$2&gt;FX$2,FW33&gt;FX33),1,IF(AND(FX$2&gt;FW$2,FX33&gt;FW33),1,IF(AND(FW$2=FX$2,FW33=FX33),1,0)))))</f>
        <v/>
      </c>
      <c r="FZ33" s="1" t="n">
        <f aca="false">Participantes!DS32</f>
        <v>0</v>
      </c>
      <c r="GA33" s="1" t="n">
        <f aca="false">Participantes!DT32</f>
        <v>0</v>
      </c>
      <c r="GB33" s="82" t="str">
        <f aca="false">IF(FZ$2="","",IF(AND(FZ33=FZ$2,GA33=GA$2),3,IF(AND(FZ$2&gt;GA$2,FZ33&gt;GA33),1,IF(AND(GA$2&gt;FZ$2,GA33&gt;FZ33),1,IF(AND(FZ$2=GA$2,FZ33=GA33),1,0)))))</f>
        <v/>
      </c>
      <c r="GC33" s="1" t="n">
        <f aca="false">Participantes!DU32</f>
        <v>0</v>
      </c>
      <c r="GD33" s="1" t="n">
        <f aca="false">Participantes!DV32</f>
        <v>0</v>
      </c>
      <c r="GE33" s="82" t="str">
        <f aca="false">IF(GC$2="","",IF(AND(GC33=GC$2,GD33=GD$2),3,IF(AND(GC$2&gt;GD$2,GC33&gt;GD33),1,IF(AND(GD$2&gt;GC$2,GD33&gt;GC33),1,IF(AND(GC$2=GD$2,GC33=GD33),1,0)))))</f>
        <v/>
      </c>
      <c r="GF33" s="1" t="n">
        <f aca="false">Participantes!DW32</f>
        <v>0</v>
      </c>
      <c r="GG33" s="1" t="n">
        <f aca="false">Participantes!DX32</f>
        <v>0</v>
      </c>
      <c r="GH33" s="82" t="str">
        <f aca="false">IF(GF$2="","",IF(AND(GF33=GF$2,GG33=GG$2),3,IF(AND(GF$2&gt;GG$2,GF33&gt;GG33),1,IF(AND(GG$2&gt;GF$2,GG33&gt;GF33),1,IF(AND(GF$2=GG$2,GF33=GG33),1,0)))))</f>
        <v/>
      </c>
      <c r="GI33" s="1" t="n">
        <f aca="false">Participantes!DY32</f>
        <v>0</v>
      </c>
      <c r="GJ33" s="1" t="n">
        <f aca="false">Participantes!DZ32</f>
        <v>0</v>
      </c>
      <c r="GK33" s="82" t="str">
        <f aca="false">IF(GI$2="","",IF(AND(GI33=GI$2,GJ33=GJ$2),3,IF(AND(GI$2&gt;GJ$2,GI33&gt;GJ33),1,IF(AND(GJ$2&gt;GI$2,GJ33&gt;GI33),1,IF(AND(GI$2=GJ$2,GI33=GJ33),1,0)))))</f>
        <v/>
      </c>
      <c r="GL33" s="1" t="n">
        <f aca="false">Participantes!EA32</f>
        <v>0</v>
      </c>
      <c r="GM33" s="1" t="n">
        <f aca="false">Participantes!EB32</f>
        <v>0</v>
      </c>
      <c r="GN33" s="82" t="str">
        <f aca="false">IF(GL$2="","",IF(AND(GL33=GL$2,GM33=GM$2),3,IF(AND(GL$2&gt;GM$2,GL33&gt;GM33),1,IF(AND(GM$2&gt;GL$2,GM33&gt;GL33),1,IF(AND(GL$2=GM$2,GL33=GM33),1,0)))))</f>
        <v/>
      </c>
      <c r="GO33" s="1" t="n">
        <f aca="false">Participantes!EC32</f>
        <v>0</v>
      </c>
      <c r="GP33" s="1" t="n">
        <f aca="false">Participantes!ED32</f>
        <v>0</v>
      </c>
      <c r="GQ33" s="82" t="str">
        <f aca="false">IF(GO$2="","",IF(AND(GO33=GO$2,GP33=GP$2),3,IF(AND(GO$2&gt;GP$2,GO33&gt;GP33),1,IF(AND(GP$2&gt;GO$2,GP33&gt;GO33),1,IF(AND(GO$2=GP$2,GO33=GP33),1,0)))))</f>
        <v/>
      </c>
      <c r="GR33" s="1" t="n">
        <f aca="false">Participantes!EE32</f>
        <v>0</v>
      </c>
      <c r="GS33" s="1" t="n">
        <f aca="false">Participantes!EF32</f>
        <v>0</v>
      </c>
      <c r="GT33" s="82" t="str">
        <f aca="false">IF(GR$2="","",IF(AND(GR33=GR$2,GS33=GS$2),3,IF(AND(GR$2&gt;GS$2,GR33&gt;GS33),1,IF(AND(GS$2&gt;GR$2,GS33&gt;GR33),1,IF(AND(GR$2=GS$2,GR33=GS33),1,0)))))</f>
        <v/>
      </c>
      <c r="GU33" s="1" t="n">
        <f aca="false">Participantes!EG32</f>
        <v>0</v>
      </c>
      <c r="GV33" s="1" t="n">
        <f aca="false">Participantes!EH32</f>
        <v>0</v>
      </c>
      <c r="GW33" s="82" t="str">
        <f aca="false">IF(GU$2="","",IF(AND(GU33=GU$2,GV33=GV$2),3,IF(AND(GU$2&gt;GV$2,GU33&gt;GV33),1,IF(AND(GV$2&gt;GU$2,GV33&gt;GU33),1,IF(AND(GU$2=GV$2,GU33=GV33),1,0)))))</f>
        <v/>
      </c>
      <c r="GX33" s="1" t="n">
        <f aca="false">Participantes!EI32</f>
        <v>0</v>
      </c>
      <c r="GY33" s="1" t="n">
        <f aca="false">Participantes!EJ32</f>
        <v>0</v>
      </c>
      <c r="GZ33" s="82" t="str">
        <f aca="false">IF(GX$2="","",IF(AND(GX33=GX$2,GY33=GY$2),3,IF(AND(GX$2&gt;GY$2,GX33&gt;GY33),1,IF(AND(GY$2&gt;GX$2,GY33&gt;GX33),1,IF(AND(GX$2=GY$2,GX33=GY33),1,0)))))</f>
        <v/>
      </c>
      <c r="HA33" s="1" t="n">
        <f aca="false">Participantes!EK32</f>
        <v>0</v>
      </c>
      <c r="HB33" s="1" t="n">
        <f aca="false">Participantes!EL32</f>
        <v>0</v>
      </c>
      <c r="HC33" s="82" t="str">
        <f aca="false">IF(HA$2="","",IF(AND(HA33=HA$2,HB33=HB$2),3,IF(AND(HA$2&gt;HB$2,HA33&gt;HB33),1,IF(AND(HB$2&gt;HA$2,HB33&gt;HA33),1,IF(AND(HA$2=HB$2,HA33=HB33),1,0)))))</f>
        <v/>
      </c>
      <c r="HD33" s="1" t="n">
        <f aca="false">Participantes!EM32</f>
        <v>0</v>
      </c>
      <c r="HE33" s="1" t="n">
        <f aca="false">Participantes!EN32</f>
        <v>0</v>
      </c>
      <c r="HF33" s="82" t="str">
        <f aca="false">IF(HD$2="","",IF(AND(HD33=HD$2,HE33=HE$2),3,IF(AND(HD$2&gt;HE$2,HD33&gt;HE33),1,IF(AND(HE$2&gt;HD$2,HE33&gt;HD33),1,IF(AND(HD$2=HE$2,HD33=HE33),1,0)))))</f>
        <v/>
      </c>
      <c r="HG33" s="1" t="n">
        <f aca="false">Participantes!EO32</f>
        <v>0</v>
      </c>
      <c r="HH33" s="1" t="n">
        <f aca="false">Participantes!EP32</f>
        <v>0</v>
      </c>
      <c r="HI33" s="82" t="str">
        <f aca="false">IF(HG$2="","",IF(AND(HG33=HG$2,HH33=HH$2),3,IF(AND(HG$2&gt;HH$2,HG33&gt;HH33),1,IF(AND(HH$2&gt;HG$2,HH33&gt;HG33),1,IF(AND(HG$2=HH$2,HG33=HH33),1,0)))))</f>
        <v/>
      </c>
      <c r="HJ33" s="83" t="n">
        <f aca="false">SUM(D33,G33,J33,M33,P33,S33,V33,Y33,AB33,AE33,AH33,AK33,AN33,AQ33,AT33,AW33,AZ33,BC33,BF33,BI33,BL33,BO33,BR33,BU33,BX33,CA33,CD33,CG33,CJ33,CM33,CP33,CS33,CV33,CY33,DB33,DE33,DH33,DK33,DN33,DQ33,DT33,DW33,DZ33,EC33,EF33,EI33,EL33,EO33,ER33,EU33,EX33,FA33,FD33,FG33,FJ33,FM33,FP33,FS33,FV33,FY33,GB33,GE33,GH33,GK33,GN33,GQ33,GT33,GW33,GZ33,HC33,HF33,HI33)</f>
        <v>1</v>
      </c>
    </row>
    <row r="34" customFormat="false" ht="15" hidden="false" customHeight="true" outlineLevel="0" collapsed="false">
      <c r="A34" s="81" t="str">
        <f aca="false">Participantes!B33</f>
        <v>Marilyn</v>
      </c>
      <c r="B34" s="1" t="n">
        <f aca="false">Participantes!C33</f>
        <v>2</v>
      </c>
      <c r="C34" s="1" t="n">
        <f aca="false">Participantes!D33</f>
        <v>0</v>
      </c>
      <c r="D34" s="82" t="n">
        <f aca="false">IF(B$2="","",IF(AND(B34=B$2,C34=C$2),3,IF(AND(B$2&gt;C$2,B34&gt;C34),1,IF(AND(C$2&gt;B$2,C34&gt;B34),1,IF(AND(B$2=C$2,B34=C34),1,0)))))</f>
        <v>3</v>
      </c>
      <c r="E34" s="1" t="n">
        <f aca="false">Participantes!E33</f>
        <v>2</v>
      </c>
      <c r="F34" s="1" t="n">
        <f aca="false">Participantes!F33</f>
        <v>1</v>
      </c>
      <c r="G34" s="82" t="str">
        <f aca="false">IF(E$2="","",IF(AND(E34=E$2,F34=F$2),3,IF(AND(E$2&gt;F$2,E34&gt;F34),1,IF(AND(F$2&gt;E$2,F34&gt;E34),1,IF(AND(E$2=F$2,E34=F34),1,0)))))</f>
        <v/>
      </c>
      <c r="H34" s="1" t="n">
        <f aca="false">Participantes!G33</f>
        <v>3</v>
      </c>
      <c r="I34" s="1" t="n">
        <f aca="false">Participantes!H33</f>
        <v>0</v>
      </c>
      <c r="J34" s="82" t="str">
        <f aca="false">IF(H$2="","",IF(AND(H34=H$2,I34=I$2),3,IF(AND(H$2&gt;I$2,H34&gt;I34),1,IF(AND(I$2&gt;H$2,I34&gt;H34),1,IF(AND(H$2=I$2,H34=I34),1,0)))))</f>
        <v/>
      </c>
      <c r="K34" s="1" t="n">
        <f aca="false">Participantes!I33</f>
        <v>2</v>
      </c>
      <c r="L34" s="1" t="n">
        <f aca="false">Participantes!J33</f>
        <v>0</v>
      </c>
      <c r="M34" s="82" t="str">
        <f aca="false">IF(K$2="","",IF(AND(K34=K$2,L34=L$2),3,IF(AND(K$2&gt;L$2,K34&gt;L34),1,IF(AND(L$2&gt;K$2,L34&gt;K34),1,IF(AND(K$2=L$2,K34=L34),1,0)))))</f>
        <v/>
      </c>
      <c r="N34" s="1" t="n">
        <f aca="false">Participantes!K33</f>
        <v>0</v>
      </c>
      <c r="O34" s="1" t="n">
        <f aca="false">Participantes!L33</f>
        <v>2</v>
      </c>
      <c r="P34" s="82" t="str">
        <f aca="false">IF(N$2="","",IF(AND(N34=N$2,O34=O$2),3,IF(AND(N$2&gt;O$2,N34&gt;O34),1,IF(AND(O$2&gt;N$2,O34&gt;N34),1,IF(AND(N$2=O$2,N34=O34),1,0)))))</f>
        <v/>
      </c>
      <c r="Q34" s="1" t="n">
        <f aca="false">Participantes!M33</f>
        <v>1</v>
      </c>
      <c r="R34" s="1" t="n">
        <f aca="false">Participantes!N33</f>
        <v>1</v>
      </c>
      <c r="S34" s="82" t="str">
        <f aca="false">IF(Q$2="","",IF(AND(Q34=Q$2,R34=R$2),3,IF(AND(Q$2&gt;R$2,Q34&gt;R34),1,IF(AND(R$2&gt;Q$2,R34&gt;Q34),1,IF(AND(Q$2=R$2,Q34=R34),1,0)))))</f>
        <v/>
      </c>
      <c r="T34" s="1" t="n">
        <f aca="false">Participantes!O33</f>
        <v>1</v>
      </c>
      <c r="U34" s="1" t="n">
        <f aca="false">Participantes!P33</f>
        <v>1</v>
      </c>
      <c r="V34" s="82" t="str">
        <f aca="false">IF(T$2="","",IF(AND(T34=T$2,U34=U$2),3,IF(AND(T$2&gt;U$2,T34&gt;U34),1,IF(AND(U$2&gt;T$2,U34&gt;T34),1,IF(AND(T$2=U$2,T34=U34),1,0)))))</f>
        <v/>
      </c>
      <c r="W34" s="1" t="n">
        <f aca="false">Participantes!Q33</f>
        <v>1</v>
      </c>
      <c r="X34" s="1" t="n">
        <f aca="false">Participantes!R33</f>
        <v>2</v>
      </c>
      <c r="Y34" s="82" t="str">
        <f aca="false">IF(W$2="","",IF(AND(W34=W$2,X34=X$2),3,IF(AND(W$2&gt;X$2,W34&gt;X34),1,IF(AND(X$2&gt;W$2,X34&gt;W34),1,IF(AND(W$2=X$2,W34=X34),1,0)))))</f>
        <v/>
      </c>
      <c r="Z34" s="1" t="n">
        <f aca="false">Participantes!S33</f>
        <v>3</v>
      </c>
      <c r="AA34" s="1" t="n">
        <f aca="false">Participantes!T33</f>
        <v>0</v>
      </c>
      <c r="AB34" s="82" t="str">
        <f aca="false">IF(Z$2="","",IF(AND(Z34=Z$2,AA34=AA$2),3,IF(AND(Z$2&gt;AA$2,Z34&gt;AA34),1,IF(AND(AA$2&gt;Z$2,AA34&gt;Z34),1,IF(AND(Z$2=AA$2,Z34=AA34),1,0)))))</f>
        <v/>
      </c>
      <c r="AC34" s="1" t="n">
        <f aca="false">Participantes!U33</f>
        <v>2</v>
      </c>
      <c r="AD34" s="1" t="n">
        <f aca="false">Participantes!V33</f>
        <v>1</v>
      </c>
      <c r="AE34" s="82" t="str">
        <f aca="false">IF(AC$2="","",IF(AND(AC34=AC$2,AD34=AD$2),3,IF(AND(AC$2&gt;AD$2,AC34&gt;AD34),1,IF(AND(AD$2&gt;AC$2,AD34&gt;AC34),1,IF(AND(AC$2=AD$2,AC34=AD34),1,0)))))</f>
        <v/>
      </c>
      <c r="AF34" s="1" t="n">
        <f aca="false">Participantes!W33</f>
        <v>2</v>
      </c>
      <c r="AG34" s="1" t="n">
        <f aca="false">Participantes!X33</f>
        <v>2</v>
      </c>
      <c r="AH34" s="82" t="str">
        <f aca="false">IF(AF$2="","",IF(AND(AF34=AF$2,AG34=AG$2),3,IF(AND(AF$2&gt;AG$2,AF34&gt;AG34),1,IF(AND(AG$2&gt;AF$2,AG34&gt;AF34),1,IF(AND(AF$2=AG$2,AF34=AG34),1,0)))))</f>
        <v/>
      </c>
      <c r="AI34" s="1" t="n">
        <f aca="false">Participantes!Y33</f>
        <v>3</v>
      </c>
      <c r="AJ34" s="1" t="n">
        <f aca="false">Participantes!Z33</f>
        <v>1</v>
      </c>
      <c r="AK34" s="82" t="str">
        <f aca="false">IF(AI$2="","",IF(AND(AI34=AI$2,AJ34=AJ$2),3,IF(AND(AI$2&gt;AJ$2,AI34&gt;AJ34),1,IF(AND(AJ$2&gt;AI$2,AJ34&gt;AI34),1,IF(AND(AI$2=AJ$2,AI34=AJ34),1,0)))))</f>
        <v/>
      </c>
      <c r="AL34" s="1" t="n">
        <f aca="false">Participantes!AA33</f>
        <v>1</v>
      </c>
      <c r="AM34" s="1" t="n">
        <f aca="false">Participantes!AB33</f>
        <v>2</v>
      </c>
      <c r="AN34" s="82" t="str">
        <f aca="false">IF(AL$2="","",IF(AND(AL34=AL$2,AM34=AM$2),3,IF(AND(AL$2&gt;AM$2,AL34&gt;AM34),1,IF(AND(AM$2&gt;AL$2,AM34&gt;AL34),1,IF(AND(AL$2=AM$2,AL34=AM34),1,0)))))</f>
        <v/>
      </c>
      <c r="AO34" s="1" t="n">
        <f aca="false">Participantes!AC33</f>
        <v>3</v>
      </c>
      <c r="AP34" s="1" t="n">
        <f aca="false">Participantes!AD33</f>
        <v>0</v>
      </c>
      <c r="AQ34" s="82" t="str">
        <f aca="false">IF(AO$2="","",IF(AND(AO34=AO$2,AP34=AP$2),3,IF(AND(AO$2&gt;AP$2,AO34&gt;AP34),1,IF(AND(AP$2&gt;AO$2,AP34&gt;AO34),1,IF(AND(AO$2=AP$2,AO34=AP34),1,0)))))</f>
        <v/>
      </c>
      <c r="AR34" s="1" t="n">
        <f aca="false">Participantes!AE33</f>
        <v>0</v>
      </c>
      <c r="AS34" s="1" t="n">
        <f aca="false">Participantes!AF33</f>
        <v>0</v>
      </c>
      <c r="AT34" s="82" t="str">
        <f aca="false">IF(AR$2="","",IF(AND(AR34=AR$2,AS34=AS$2),3,IF(AND(AR$2&gt;AS$2,AR34&gt;AS34),1,IF(AND(AS$2&gt;AR$2,AS34&gt;AR34),1,IF(AND(AR$2=AS$2,AR34=AS34),1,0)))))</f>
        <v/>
      </c>
      <c r="AU34" s="1" t="n">
        <f aca="false">Participantes!AG33</f>
        <v>0</v>
      </c>
      <c r="AV34" s="1" t="n">
        <f aca="false">Participantes!AH33</f>
        <v>0</v>
      </c>
      <c r="AW34" s="82" t="str">
        <f aca="false">IF(AU$2="","",IF(AND(AU34=AU$2,AV34=AV$2),3,IF(AND(AU$2&gt;AV$2,AU34&gt;AV34),1,IF(AND(AV$2&gt;AU$2,AV34&gt;AU34),1,IF(AND(AU$2=AV$2,AU34=AV34),1,0)))))</f>
        <v/>
      </c>
      <c r="AX34" s="1" t="n">
        <f aca="false">Participantes!AI33</f>
        <v>0</v>
      </c>
      <c r="AY34" s="1" t="n">
        <f aca="false">Participantes!AJ33</f>
        <v>0</v>
      </c>
      <c r="AZ34" s="82" t="str">
        <f aca="false">IF(AX$2="","",IF(AND(AX34=AX$2,AY34=AY$2),3,IF(AND(AX$2&gt;AY$2,AX34&gt;AY34),1,IF(AND(AY$2&gt;AX$2,AY34&gt;AX34),1,IF(AND(AX$2=AY$2,AX34=AY34),1,0)))))</f>
        <v/>
      </c>
      <c r="BA34" s="1" t="n">
        <f aca="false">Participantes!AK33</f>
        <v>0</v>
      </c>
      <c r="BB34" s="1" t="n">
        <f aca="false">Participantes!AL33</f>
        <v>0</v>
      </c>
      <c r="BC34" s="82" t="str">
        <f aca="false">IF(BA$2="","",IF(AND(BA34=BA$2,BB34=BB$2),3,IF(AND(BA$2&gt;BB$2,BA34&gt;BB34),1,IF(AND(BB$2&gt;BA$2,BB34&gt;BA34),1,IF(AND(BA$2=BB$2,BA34=BB34),1,0)))))</f>
        <v/>
      </c>
      <c r="BD34" s="1" t="n">
        <f aca="false">Participantes!AM33</f>
        <v>0</v>
      </c>
      <c r="BE34" s="1" t="n">
        <f aca="false">Participantes!AN33</f>
        <v>0</v>
      </c>
      <c r="BF34" s="82" t="str">
        <f aca="false">IF(BD$2="","",IF(AND(BD34=BD$2,BE34=BE$2),3,IF(AND(BD$2&gt;BE$2,BD34&gt;BE34),1,IF(AND(BE$2&gt;BD$2,BE34&gt;BD34),1,IF(AND(BD$2=BE$2,BD34=BE34),1,0)))))</f>
        <v/>
      </c>
      <c r="BG34" s="1" t="n">
        <f aca="false">Participantes!AO33</f>
        <v>0</v>
      </c>
      <c r="BH34" s="1" t="n">
        <f aca="false">Participantes!AP33</f>
        <v>0</v>
      </c>
      <c r="BI34" s="82" t="str">
        <f aca="false">IF(BG$2="","",IF(AND(BG34=BG$2,BH34=BH$2),3,IF(AND(BG$2&gt;BH$2,BG34&gt;BH34),1,IF(AND(BH$2&gt;BG$2,BH34&gt;BG34),1,IF(AND(BG$2=BH$2,BG34=BH34),1,0)))))</f>
        <v/>
      </c>
      <c r="BJ34" s="1" t="n">
        <f aca="false">Participantes!AQ33</f>
        <v>0</v>
      </c>
      <c r="BK34" s="1" t="n">
        <f aca="false">Participantes!AR33</f>
        <v>0</v>
      </c>
      <c r="BL34" s="82" t="str">
        <f aca="false">IF(BJ$2="","",IF(AND(BJ34=BJ$2,BK34=BK$2),3,IF(AND(BJ$2&gt;BK$2,BJ34&gt;BK34),1,IF(AND(BK$2&gt;BJ$2,BK34&gt;BJ34),1,IF(AND(BJ$2=BK$2,BJ34=BK34),1,0)))))</f>
        <v/>
      </c>
      <c r="BM34" s="1" t="n">
        <f aca="false">Participantes!AS33</f>
        <v>0</v>
      </c>
      <c r="BN34" s="1" t="n">
        <f aca="false">Participantes!AT33</f>
        <v>0</v>
      </c>
      <c r="BO34" s="82" t="str">
        <f aca="false">IF(BM$2="","",IF(AND(BM34=BM$2,BN34=BN$2),3,IF(AND(BM$2&gt;BN$2,BM34&gt;BN34),1,IF(AND(BN$2&gt;BM$2,BN34&gt;BM34),1,IF(AND(BM$2=BN$2,BM34=BN34),1,0)))))</f>
        <v/>
      </c>
      <c r="BP34" s="1" t="n">
        <f aca="false">Participantes!AU33</f>
        <v>0</v>
      </c>
      <c r="BQ34" s="1" t="n">
        <f aca="false">Participantes!AV33</f>
        <v>0</v>
      </c>
      <c r="BR34" s="82" t="str">
        <f aca="false">IF(BP$2="","",IF(AND(BP34=BP$2,BQ34=BQ$2),3,IF(AND(BP$2&gt;BQ$2,BP34&gt;BQ34),1,IF(AND(BQ$2&gt;BP$2,BQ34&gt;BP34),1,IF(AND(BP$2=BQ$2,BP34=BQ34),1,0)))))</f>
        <v/>
      </c>
      <c r="BS34" s="1" t="n">
        <f aca="false">Participantes!AW33</f>
        <v>0</v>
      </c>
      <c r="BT34" s="1" t="n">
        <f aca="false">Participantes!AX33</f>
        <v>0</v>
      </c>
      <c r="BU34" s="82" t="str">
        <f aca="false">IF(BS$2="","",IF(AND(BS34=BS$2,BT34=BT$2),3,IF(AND(BS$2&gt;BT$2,BS34&gt;BT34),1,IF(AND(BT$2&gt;BS$2,BT34&gt;BS34),1,IF(AND(BS$2=BT$2,BS34=BT34),1,0)))))</f>
        <v/>
      </c>
      <c r="BV34" s="1" t="n">
        <f aca="false">Participantes!AY33</f>
        <v>0</v>
      </c>
      <c r="BW34" s="1" t="n">
        <f aca="false">Participantes!AZ33</f>
        <v>0</v>
      </c>
      <c r="BX34" s="82" t="str">
        <f aca="false">IF(BV$2="","",IF(AND(BV34=BV$2,BW34=BW$2),3,IF(AND(BV$2&gt;BW$2,BV34&gt;BW34),1,IF(AND(BW$2&gt;BV$2,BW34&gt;BV34),1,IF(AND(BV$2=BW$2,BV34=BW34),1,0)))))</f>
        <v/>
      </c>
      <c r="BY34" s="1" t="n">
        <f aca="false">Participantes!BA33</f>
        <v>0</v>
      </c>
      <c r="BZ34" s="1" t="n">
        <f aca="false">Participantes!BB33</f>
        <v>0</v>
      </c>
      <c r="CA34" s="82" t="str">
        <f aca="false">IF(BY$2="","",IF(AND(BY34=BY$2,BZ34=BZ$2),3,IF(AND(BY$2&gt;BZ$2,BY34&gt;BZ34),1,IF(AND(BZ$2&gt;BY$2,BZ34&gt;BY34),1,IF(AND(BY$2=BZ$2,BY34=BZ34),1,0)))))</f>
        <v/>
      </c>
      <c r="CB34" s="1" t="n">
        <f aca="false">Participantes!BC33</f>
        <v>0</v>
      </c>
      <c r="CC34" s="1" t="n">
        <f aca="false">Participantes!BD33</f>
        <v>0</v>
      </c>
      <c r="CD34" s="82" t="str">
        <f aca="false">IF(CB$2="","",IF(AND(CB34=CB$2,CC34=CC$2),3,IF(AND(CB$2&gt;CC$2,CB34&gt;CC34),1,IF(AND(CC$2&gt;CB$2,CC34&gt;CB34),1,IF(AND(CB$2=CC$2,CB34=CC34),1,0)))))</f>
        <v/>
      </c>
      <c r="CE34" s="1" t="n">
        <f aca="false">Participantes!BE33</f>
        <v>0</v>
      </c>
      <c r="CF34" s="1" t="n">
        <f aca="false">Participantes!BF33</f>
        <v>0</v>
      </c>
      <c r="CG34" s="82" t="str">
        <f aca="false">IF(CE$2="","",IF(AND(CE34=CE$2,CF34=CF$2),3,IF(AND(CE$2&gt;CF$2,CE34&gt;CF34),1,IF(AND(CF$2&gt;CE$2,CF34&gt;CE34),1,IF(AND(CE$2=CF$2,CE34=CF34),1,0)))))</f>
        <v/>
      </c>
      <c r="CH34" s="1" t="n">
        <f aca="false">Participantes!BG33</f>
        <v>0</v>
      </c>
      <c r="CI34" s="1" t="n">
        <f aca="false">Participantes!BH33</f>
        <v>0</v>
      </c>
      <c r="CJ34" s="82" t="str">
        <f aca="false">IF(CH$2="","",IF(AND(CH34=CH$2,CI34=CI$2),3,IF(AND(CH$2&gt;CI$2,CH34&gt;CI34),1,IF(AND(CI$2&gt;CH$2,CI34&gt;CH34),1,IF(AND(CH$2=CI$2,CH34=CI34),1,0)))))</f>
        <v/>
      </c>
      <c r="CK34" s="1" t="n">
        <f aca="false">Participantes!BI33</f>
        <v>0</v>
      </c>
      <c r="CL34" s="1" t="n">
        <f aca="false">Participantes!BJ33</f>
        <v>0</v>
      </c>
      <c r="CM34" s="82" t="str">
        <f aca="false">IF(CK$2="","",IF(AND(CK34=CK$2,CL34=CL$2),3,IF(AND(CK$2&gt;CL$2,CK34&gt;CL34),1,IF(AND(CL$2&gt;CK$2,CL34&gt;CK34),1,IF(AND(CK$2=CL$2,CK34=CL34),1,0)))))</f>
        <v/>
      </c>
      <c r="CN34" s="1" t="n">
        <f aca="false">Participantes!BK33</f>
        <v>0</v>
      </c>
      <c r="CO34" s="1" t="n">
        <f aca="false">Participantes!BL33</f>
        <v>0</v>
      </c>
      <c r="CP34" s="82" t="str">
        <f aca="false">IF(CN$2="","",IF(AND(CN34=CN$2,CO34=CO$2),3,IF(AND(CN$2&gt;CO$2,CN34&gt;CO34),1,IF(AND(CO$2&gt;CN$2,CO34&gt;CN34),1,IF(AND(CN$2=CO$2,CN34=CO34),1,0)))))</f>
        <v/>
      </c>
      <c r="CQ34" s="1" t="n">
        <f aca="false">Participantes!BM33</f>
        <v>0</v>
      </c>
      <c r="CR34" s="1" t="n">
        <f aca="false">Participantes!BN33</f>
        <v>0</v>
      </c>
      <c r="CS34" s="82" t="str">
        <f aca="false">IF(CQ$2="","",IF(AND(CQ34=CQ$2,CR34=CR$2),3,IF(AND(CQ$2&gt;CR$2,CQ34&gt;CR34),1,IF(AND(CR$2&gt;CQ$2,CR34&gt;CQ34),1,IF(AND(CQ$2=CR$2,CQ34=CR34),1,0)))))</f>
        <v/>
      </c>
      <c r="CT34" s="1" t="n">
        <f aca="false">Participantes!BO33</f>
        <v>0</v>
      </c>
      <c r="CU34" s="1" t="n">
        <f aca="false">Participantes!BP33</f>
        <v>0</v>
      </c>
      <c r="CV34" s="82" t="str">
        <f aca="false">IF(CT$2="","",IF(AND(CT34=CT$2,CU34=CU$2),3,IF(AND(CT$2&gt;CU$2,CT34&gt;CU34),1,IF(AND(CU$2&gt;CT$2,CU34&gt;CT34),1,IF(AND(CT$2=CU$2,CT34=CU34),1,0)))))</f>
        <v/>
      </c>
      <c r="CW34" s="1" t="n">
        <f aca="false">Participantes!BQ33</f>
        <v>0</v>
      </c>
      <c r="CX34" s="1" t="n">
        <f aca="false">Participantes!BR33</f>
        <v>0</v>
      </c>
      <c r="CY34" s="82" t="str">
        <f aca="false">IF(CW$2="","",IF(AND(CW34=CW$2,CX34=CX$2),3,IF(AND(CW$2&gt;CX$2,CW34&gt;CX34),1,IF(AND(CX$2&gt;CW$2,CX34&gt;CW34),1,IF(AND(CW$2=CX$2,CW34=CX34),1,0)))))</f>
        <v/>
      </c>
      <c r="CZ34" s="1" t="n">
        <f aca="false">Participantes!BS33</f>
        <v>0</v>
      </c>
      <c r="DA34" s="1" t="n">
        <f aca="false">Participantes!BT33</f>
        <v>0</v>
      </c>
      <c r="DB34" s="82" t="str">
        <f aca="false">IF(CZ$2="","",IF(AND(CZ34=CZ$2,DA34=DA$2),3,IF(AND(CZ$2&gt;DA$2,CZ34&gt;DA34),1,IF(AND(DA$2&gt;CZ$2,DA34&gt;CZ34),1,IF(AND(CZ$2=DA$2,CZ34=DA34),1,0)))))</f>
        <v/>
      </c>
      <c r="DC34" s="1" t="n">
        <f aca="false">Participantes!BU33</f>
        <v>0</v>
      </c>
      <c r="DD34" s="1" t="n">
        <f aca="false">Participantes!BV33</f>
        <v>0</v>
      </c>
      <c r="DE34" s="82" t="str">
        <f aca="false">IF(DC$2="","",IF(AND(DC34=DC$2,DD34=DD$2),3,IF(AND(DC$2&gt;DD$2,DC34&gt;DD34),1,IF(AND(DD$2&gt;DC$2,DD34&gt;DC34),1,IF(AND(DC$2=DD$2,DC34=DD34),1,0)))))</f>
        <v/>
      </c>
      <c r="DF34" s="1" t="n">
        <f aca="false">Participantes!BW33</f>
        <v>0</v>
      </c>
      <c r="DG34" s="1" t="n">
        <f aca="false">Participantes!BX33</f>
        <v>0</v>
      </c>
      <c r="DH34" s="82" t="str">
        <f aca="false">IF(DF$2="","",IF(AND(DF34=DF$2,DG34=DG$2),3,IF(AND(DF$2&gt;DG$2,DF34&gt;DG34),1,IF(AND(DG$2&gt;DF$2,DG34&gt;DF34),1,IF(AND(DF$2=DG$2,DF34=DG34),1,0)))))</f>
        <v/>
      </c>
      <c r="DI34" s="1" t="n">
        <f aca="false">Participantes!BY33</f>
        <v>0</v>
      </c>
      <c r="DJ34" s="1" t="n">
        <f aca="false">Participantes!BZ33</f>
        <v>0</v>
      </c>
      <c r="DK34" s="82" t="str">
        <f aca="false">IF(DI$2="","",IF(AND(DI34=DI$2,DJ34=DJ$2),3,IF(AND(DI$2&gt;DJ$2,DI34&gt;DJ34),1,IF(AND(DJ$2&gt;DI$2,DJ34&gt;DI34),1,IF(AND(DI$2=DJ$2,DI34=DJ34),1,0)))))</f>
        <v/>
      </c>
      <c r="DL34" s="1" t="n">
        <f aca="false">Participantes!CA33</f>
        <v>0</v>
      </c>
      <c r="DM34" s="1" t="n">
        <f aca="false">Participantes!CB33</f>
        <v>0</v>
      </c>
      <c r="DN34" s="82" t="str">
        <f aca="false">IF(DL$2="","",IF(AND(DL34=DL$2,DM34=DM$2),3,IF(AND(DL$2&gt;DM$2,DL34&gt;DM34),1,IF(AND(DM$2&gt;DL$2,DM34&gt;DL34),1,IF(AND(DL$2=DM$2,DL34=DM34),1,0)))))</f>
        <v/>
      </c>
      <c r="DO34" s="1" t="n">
        <f aca="false">Participantes!CC33</f>
        <v>0</v>
      </c>
      <c r="DP34" s="1" t="n">
        <f aca="false">Participantes!CD33</f>
        <v>0</v>
      </c>
      <c r="DQ34" s="82" t="str">
        <f aca="false">IF(DO$2="","",IF(AND(DO34=DO$2,DP34=DP$2),3,IF(AND(DO$2&gt;DP$2,DO34&gt;DP34),1,IF(AND(DP$2&gt;DO$2,DP34&gt;DO34),1,IF(AND(DO$2=DP$2,DO34=DP34),1,0)))))</f>
        <v/>
      </c>
      <c r="DR34" s="1" t="n">
        <f aca="false">Participantes!CE33</f>
        <v>0</v>
      </c>
      <c r="DS34" s="1" t="n">
        <f aca="false">Participantes!CF33</f>
        <v>0</v>
      </c>
      <c r="DT34" s="82" t="str">
        <f aca="false">IF(DR$2="","",IF(AND(DR34=DR$2,DS34=DS$2),3,IF(AND(DR$2&gt;DS$2,DR34&gt;DS34),1,IF(AND(DS$2&gt;DR$2,DS34&gt;DR34),1,IF(AND(DR$2=DS$2,DR34=DS34),1,0)))))</f>
        <v/>
      </c>
      <c r="DU34" s="1" t="n">
        <f aca="false">Participantes!CG33</f>
        <v>0</v>
      </c>
      <c r="DV34" s="1" t="n">
        <f aca="false">Participantes!CH33</f>
        <v>0</v>
      </c>
      <c r="DW34" s="82" t="str">
        <f aca="false">IF(DU$2="","",IF(AND(DU34=DU$2,DV34=DV$2),3,IF(AND(DU$2&gt;DV$2,DU34&gt;DV34),1,IF(AND(DV$2&gt;DU$2,DV34&gt;DU34),1,IF(AND(DU$2=DV$2,DU34=DV34),1,0)))))</f>
        <v/>
      </c>
      <c r="DX34" s="1" t="n">
        <f aca="false">Participantes!CI33</f>
        <v>0</v>
      </c>
      <c r="DY34" s="1" t="n">
        <f aca="false">Participantes!CJ33</f>
        <v>0</v>
      </c>
      <c r="DZ34" s="82" t="str">
        <f aca="false">IF(DX$2="","",IF(AND(DX34=DX$2,DY34=DY$2),3,IF(AND(DX$2&gt;DY$2,DX34&gt;DY34),1,IF(AND(DY$2&gt;DX$2,DY34&gt;DX34),1,IF(AND(DX$2=DY$2,DX34=DY34),1,0)))))</f>
        <v/>
      </c>
      <c r="EA34" s="1" t="n">
        <f aca="false">Participantes!CK33</f>
        <v>0</v>
      </c>
      <c r="EB34" s="1" t="n">
        <f aca="false">Participantes!CL33</f>
        <v>0</v>
      </c>
      <c r="EC34" s="82" t="str">
        <f aca="false">IF(EA$2="","",IF(AND(EA34=EA$2,EB34=EB$2),3,IF(AND(EA$2&gt;EB$2,EA34&gt;EB34),1,IF(AND(EB$2&gt;EA$2,EB34&gt;EA34),1,IF(AND(EA$2=EB$2,EA34=EB34),1,0)))))</f>
        <v/>
      </c>
      <c r="ED34" s="1" t="n">
        <f aca="false">Participantes!CM33</f>
        <v>0</v>
      </c>
      <c r="EE34" s="1" t="n">
        <f aca="false">Participantes!CN33</f>
        <v>0</v>
      </c>
      <c r="EF34" s="82" t="str">
        <f aca="false">IF(ED$2="","",IF(AND(ED34=ED$2,EE34=EE$2),3,IF(AND(ED$2&gt;EE$2,ED34&gt;EE34),1,IF(AND(EE$2&gt;ED$2,EE34&gt;ED34),1,IF(AND(ED$2=EE$2,ED34=EE34),1,0)))))</f>
        <v/>
      </c>
      <c r="EG34" s="1" t="n">
        <f aca="false">Participantes!CO33</f>
        <v>0</v>
      </c>
      <c r="EH34" s="1" t="n">
        <f aca="false">Participantes!CP33</f>
        <v>0</v>
      </c>
      <c r="EI34" s="82" t="str">
        <f aca="false">IF(EG$2="","",IF(AND(EG34=EG$2,EH34=EH$2),3,IF(AND(EG$2&gt;EH$2,EG34&gt;EH34),1,IF(AND(EH$2&gt;EG$2,EH34&gt;EG34),1,IF(AND(EG$2=EH$2,EG34=EH34),1,0)))))</f>
        <v/>
      </c>
      <c r="EJ34" s="1" t="n">
        <f aca="false">Participantes!CQ33</f>
        <v>0</v>
      </c>
      <c r="EK34" s="1" t="n">
        <f aca="false">Participantes!CR33</f>
        <v>0</v>
      </c>
      <c r="EL34" s="82" t="str">
        <f aca="false">IF(EJ$2="","",IF(AND(EJ34=EJ$2,EK34=EK$2),3,IF(AND(EJ$2&gt;EK$2,EJ34&gt;EK34),1,IF(AND(EK$2&gt;EJ$2,EK34&gt;EJ34),1,IF(AND(EJ$2=EK$2,EJ34=EK34),1,0)))))</f>
        <v/>
      </c>
      <c r="EM34" s="1" t="n">
        <f aca="false">Participantes!CS33</f>
        <v>0</v>
      </c>
      <c r="EN34" s="1" t="n">
        <f aca="false">Participantes!CT33</f>
        <v>0</v>
      </c>
      <c r="EO34" s="82" t="str">
        <f aca="false">IF(EM$2="","",IF(AND(EM34=EM$2,EN34=EN$2),3,IF(AND(EM$2&gt;EN$2,EM34&gt;EN34),1,IF(AND(EN$2&gt;EM$2,EN34&gt;EM34),1,IF(AND(EM$2=EN$2,EM34=EN34),1,0)))))</f>
        <v/>
      </c>
      <c r="EP34" s="1" t="n">
        <f aca="false">Participantes!CU33</f>
        <v>0</v>
      </c>
      <c r="EQ34" s="1" t="n">
        <f aca="false">Participantes!CV33</f>
        <v>0</v>
      </c>
      <c r="ER34" s="82" t="str">
        <f aca="false">IF(EP$2="","",IF(AND(EP34=EP$2,EQ34=EQ$2),3,IF(AND(EP$2&gt;EQ$2,EP34&gt;EQ34),1,IF(AND(EQ$2&gt;EP$2,EQ34&gt;EP34),1,IF(AND(EP$2=EQ$2,EP34=EQ34),1,0)))))</f>
        <v/>
      </c>
      <c r="ES34" s="1" t="n">
        <f aca="false">Participantes!CW33</f>
        <v>0</v>
      </c>
      <c r="ET34" s="1" t="n">
        <f aca="false">Participantes!CX33</f>
        <v>0</v>
      </c>
      <c r="EU34" s="82" t="str">
        <f aca="false">IF(ES$2="","",IF(AND(ES34=ES$2,ET34=ET$2),3,IF(AND(ES$2&gt;ET$2,ES34&gt;ET34),1,IF(AND(ET$2&gt;ES$2,ET34&gt;ES34),1,IF(AND(ES$2=ET$2,ES34=ET34),1,0)))))</f>
        <v/>
      </c>
      <c r="EV34" s="1" t="n">
        <f aca="false">Participantes!CY33</f>
        <v>0</v>
      </c>
      <c r="EW34" s="1" t="n">
        <f aca="false">Participantes!CZ33</f>
        <v>0</v>
      </c>
      <c r="EX34" s="82" t="str">
        <f aca="false">IF(EV$2="","",IF(AND(EV34=EV$2,EW34=EW$2),3,IF(AND(EV$2&gt;EW$2,EV34&gt;EW34),1,IF(AND(EW$2&gt;EV$2,EW34&gt;EV34),1,IF(AND(EV$2=EW$2,EV34=EW34),1,0)))))</f>
        <v/>
      </c>
      <c r="EY34" s="1" t="n">
        <f aca="false">Participantes!DA33</f>
        <v>0</v>
      </c>
      <c r="EZ34" s="1" t="n">
        <f aca="false">Participantes!DB33</f>
        <v>0</v>
      </c>
      <c r="FA34" s="82" t="str">
        <f aca="false">IF(EY$2="","",IF(AND(EY34=EY$2,EZ34=EZ$2),3,IF(AND(EY$2&gt;EZ$2,EY34&gt;EZ34),1,IF(AND(EZ$2&gt;EY$2,EZ34&gt;EY34),1,IF(AND(EY$2=EZ$2,EY34=EZ34),1,0)))))</f>
        <v/>
      </c>
      <c r="FB34" s="1" t="n">
        <f aca="false">Participantes!DC33</f>
        <v>0</v>
      </c>
      <c r="FC34" s="1" t="n">
        <f aca="false">Participantes!DD33</f>
        <v>0</v>
      </c>
      <c r="FD34" s="82" t="str">
        <f aca="false">IF(FB$2="","",IF(AND(FB34=FB$2,FC34=FC$2),3,IF(AND(FB$2&gt;FC$2,FB34&gt;FC34),1,IF(AND(FC$2&gt;FB$2,FC34&gt;FB34),1,IF(AND(FB$2=FC$2,FB34=FC34),1,0)))))</f>
        <v/>
      </c>
      <c r="FE34" s="1" t="n">
        <f aca="false">Participantes!DE33</f>
        <v>0</v>
      </c>
      <c r="FF34" s="1" t="n">
        <f aca="false">Participantes!DF33</f>
        <v>0</v>
      </c>
      <c r="FG34" s="82" t="str">
        <f aca="false">IF(FE$2="","",IF(AND(FE34=FE$2,FF34=FF$2),3,IF(AND(FE$2&gt;FF$2,FE34&gt;FF34),1,IF(AND(FF$2&gt;FE$2,FF34&gt;FE34),1,IF(AND(FE$2=FF$2,FE34=FF34),1,0)))))</f>
        <v/>
      </c>
      <c r="FH34" s="1" t="n">
        <f aca="false">Participantes!DG33</f>
        <v>0</v>
      </c>
      <c r="FI34" s="1" t="n">
        <f aca="false">Participantes!DH33</f>
        <v>0</v>
      </c>
      <c r="FJ34" s="82" t="str">
        <f aca="false">IF(FH$2="","",IF(AND(FH34=FH$2,FI34=FI$2),3,IF(AND(FH$2&gt;FI$2,FH34&gt;FI34),1,IF(AND(FI$2&gt;FH$2,FI34&gt;FH34),1,IF(AND(FH$2=FI$2,FH34=FI34),1,0)))))</f>
        <v/>
      </c>
      <c r="FK34" s="1" t="n">
        <f aca="false">Participantes!DI33</f>
        <v>0</v>
      </c>
      <c r="FL34" s="1" t="n">
        <f aca="false">Participantes!DJ33</f>
        <v>0</v>
      </c>
      <c r="FM34" s="82" t="str">
        <f aca="false">IF(FK$2="","",IF(AND(FK34=FK$2,FL34=FL$2),3,IF(AND(FK$2&gt;FL$2,FK34&gt;FL34),1,IF(AND(FL$2&gt;FK$2,FL34&gt;FK34),1,IF(AND(FK$2=FL$2,FK34=FL34),1,0)))))</f>
        <v/>
      </c>
      <c r="FN34" s="1" t="n">
        <f aca="false">Participantes!DK33</f>
        <v>0</v>
      </c>
      <c r="FO34" s="1" t="n">
        <f aca="false">Participantes!DL33</f>
        <v>0</v>
      </c>
      <c r="FP34" s="82" t="str">
        <f aca="false">IF(FN$2="","",IF(AND(FN34=FN$2,FO34=FO$2),3,IF(AND(FN$2&gt;FO$2,FN34&gt;FO34),1,IF(AND(FO$2&gt;FN$2,FO34&gt;FN34),1,IF(AND(FN$2=FO$2,FN34=FO34),1,0)))))</f>
        <v/>
      </c>
      <c r="FQ34" s="1" t="n">
        <f aca="false">Participantes!DM33</f>
        <v>0</v>
      </c>
      <c r="FR34" s="1" t="n">
        <f aca="false">Participantes!DN33</f>
        <v>0</v>
      </c>
      <c r="FS34" s="82" t="str">
        <f aca="false">IF(FQ$2="","",IF(AND(FQ34=FQ$2,FR34=FR$2),3,IF(AND(FQ$2&gt;FR$2,FQ34&gt;FR34),1,IF(AND(FR$2&gt;FQ$2,FR34&gt;FQ34),1,IF(AND(FQ$2=FR$2,FQ34=FR34),1,0)))))</f>
        <v/>
      </c>
      <c r="FT34" s="1" t="n">
        <f aca="false">Participantes!DO33</f>
        <v>0</v>
      </c>
      <c r="FU34" s="1" t="n">
        <f aca="false">Participantes!DP33</f>
        <v>0</v>
      </c>
      <c r="FV34" s="82" t="str">
        <f aca="false">IF(FT$2="","",IF(AND(FT34=FT$2,FU34=FU$2),3,IF(AND(FT$2&gt;FU$2,FT34&gt;FU34),1,IF(AND(FU$2&gt;FT$2,FU34&gt;FT34),1,IF(AND(FT$2=FU$2,FT34=FU34),1,0)))))</f>
        <v/>
      </c>
      <c r="FW34" s="1" t="n">
        <f aca="false">Participantes!DQ33</f>
        <v>0</v>
      </c>
      <c r="FX34" s="1" t="n">
        <f aca="false">Participantes!DR33</f>
        <v>0</v>
      </c>
      <c r="FY34" s="82" t="str">
        <f aca="false">IF(FW$2="","",IF(AND(FW34=FW$2,FX34=FX$2),3,IF(AND(FW$2&gt;FX$2,FW34&gt;FX34),1,IF(AND(FX$2&gt;FW$2,FX34&gt;FW34),1,IF(AND(FW$2=FX$2,FW34=FX34),1,0)))))</f>
        <v/>
      </c>
      <c r="FZ34" s="1" t="n">
        <f aca="false">Participantes!DS33</f>
        <v>0</v>
      </c>
      <c r="GA34" s="1" t="n">
        <f aca="false">Participantes!DT33</f>
        <v>0</v>
      </c>
      <c r="GB34" s="82" t="str">
        <f aca="false">IF(FZ$2="","",IF(AND(FZ34=FZ$2,GA34=GA$2),3,IF(AND(FZ$2&gt;GA$2,FZ34&gt;GA34),1,IF(AND(GA$2&gt;FZ$2,GA34&gt;FZ34),1,IF(AND(FZ$2=GA$2,FZ34=GA34),1,0)))))</f>
        <v/>
      </c>
      <c r="GC34" s="1" t="n">
        <f aca="false">Participantes!DU33</f>
        <v>0</v>
      </c>
      <c r="GD34" s="1" t="n">
        <f aca="false">Participantes!DV33</f>
        <v>0</v>
      </c>
      <c r="GE34" s="82" t="str">
        <f aca="false">IF(GC$2="","",IF(AND(GC34=GC$2,GD34=GD$2),3,IF(AND(GC$2&gt;GD$2,GC34&gt;GD34),1,IF(AND(GD$2&gt;GC$2,GD34&gt;GC34),1,IF(AND(GC$2=GD$2,GC34=GD34),1,0)))))</f>
        <v/>
      </c>
      <c r="GF34" s="1" t="n">
        <f aca="false">Participantes!DW33</f>
        <v>0</v>
      </c>
      <c r="GG34" s="1" t="n">
        <f aca="false">Participantes!DX33</f>
        <v>0</v>
      </c>
      <c r="GH34" s="82" t="str">
        <f aca="false">IF(GF$2="","",IF(AND(GF34=GF$2,GG34=GG$2),3,IF(AND(GF$2&gt;GG$2,GF34&gt;GG34),1,IF(AND(GG$2&gt;GF$2,GG34&gt;GF34),1,IF(AND(GF$2=GG$2,GF34=GG34),1,0)))))</f>
        <v/>
      </c>
      <c r="GI34" s="1" t="n">
        <f aca="false">Participantes!DY33</f>
        <v>0</v>
      </c>
      <c r="GJ34" s="1" t="n">
        <f aca="false">Participantes!DZ33</f>
        <v>0</v>
      </c>
      <c r="GK34" s="82" t="str">
        <f aca="false">IF(GI$2="","",IF(AND(GI34=GI$2,GJ34=GJ$2),3,IF(AND(GI$2&gt;GJ$2,GI34&gt;GJ34),1,IF(AND(GJ$2&gt;GI$2,GJ34&gt;GI34),1,IF(AND(GI$2=GJ$2,GI34=GJ34),1,0)))))</f>
        <v/>
      </c>
      <c r="GL34" s="1" t="n">
        <f aca="false">Participantes!EA33</f>
        <v>0</v>
      </c>
      <c r="GM34" s="1" t="n">
        <f aca="false">Participantes!EB33</f>
        <v>0</v>
      </c>
      <c r="GN34" s="82" t="str">
        <f aca="false">IF(GL$2="","",IF(AND(GL34=GL$2,GM34=GM$2),3,IF(AND(GL$2&gt;GM$2,GL34&gt;GM34),1,IF(AND(GM$2&gt;GL$2,GM34&gt;GL34),1,IF(AND(GL$2=GM$2,GL34=GM34),1,0)))))</f>
        <v/>
      </c>
      <c r="GO34" s="1" t="n">
        <f aca="false">Participantes!EC33</f>
        <v>0</v>
      </c>
      <c r="GP34" s="1" t="n">
        <f aca="false">Participantes!ED33</f>
        <v>0</v>
      </c>
      <c r="GQ34" s="82" t="str">
        <f aca="false">IF(GO$2="","",IF(AND(GO34=GO$2,GP34=GP$2),3,IF(AND(GO$2&gt;GP$2,GO34&gt;GP34),1,IF(AND(GP$2&gt;GO$2,GP34&gt;GO34),1,IF(AND(GO$2=GP$2,GO34=GP34),1,0)))))</f>
        <v/>
      </c>
      <c r="GR34" s="1" t="n">
        <f aca="false">Participantes!EE33</f>
        <v>0</v>
      </c>
      <c r="GS34" s="1" t="n">
        <f aca="false">Participantes!EF33</f>
        <v>0</v>
      </c>
      <c r="GT34" s="82" t="str">
        <f aca="false">IF(GR$2="","",IF(AND(GR34=GR$2,GS34=GS$2),3,IF(AND(GR$2&gt;GS$2,GR34&gt;GS34),1,IF(AND(GS$2&gt;GR$2,GS34&gt;GR34),1,IF(AND(GR$2=GS$2,GR34=GS34),1,0)))))</f>
        <v/>
      </c>
      <c r="GU34" s="1" t="n">
        <f aca="false">Participantes!EG33</f>
        <v>0</v>
      </c>
      <c r="GV34" s="1" t="n">
        <f aca="false">Participantes!EH33</f>
        <v>0</v>
      </c>
      <c r="GW34" s="82" t="str">
        <f aca="false">IF(GU$2="","",IF(AND(GU34=GU$2,GV34=GV$2),3,IF(AND(GU$2&gt;GV$2,GU34&gt;GV34),1,IF(AND(GV$2&gt;GU$2,GV34&gt;GU34),1,IF(AND(GU$2=GV$2,GU34=GV34),1,0)))))</f>
        <v/>
      </c>
      <c r="GX34" s="1" t="n">
        <f aca="false">Participantes!EI33</f>
        <v>0</v>
      </c>
      <c r="GY34" s="1" t="n">
        <f aca="false">Participantes!EJ33</f>
        <v>0</v>
      </c>
      <c r="GZ34" s="82" t="str">
        <f aca="false">IF(GX$2="","",IF(AND(GX34=GX$2,GY34=GY$2),3,IF(AND(GX$2&gt;GY$2,GX34&gt;GY34),1,IF(AND(GY$2&gt;GX$2,GY34&gt;GX34),1,IF(AND(GX$2=GY$2,GX34=GY34),1,0)))))</f>
        <v/>
      </c>
      <c r="HA34" s="1" t="n">
        <f aca="false">Participantes!EK33</f>
        <v>0</v>
      </c>
      <c r="HB34" s="1" t="n">
        <f aca="false">Participantes!EL33</f>
        <v>0</v>
      </c>
      <c r="HC34" s="82" t="str">
        <f aca="false">IF(HA$2="","",IF(AND(HA34=HA$2,HB34=HB$2),3,IF(AND(HA$2&gt;HB$2,HA34&gt;HB34),1,IF(AND(HB$2&gt;HA$2,HB34&gt;HA34),1,IF(AND(HA$2=HB$2,HA34=HB34),1,0)))))</f>
        <v/>
      </c>
      <c r="HD34" s="1" t="n">
        <f aca="false">Participantes!EM33</f>
        <v>0</v>
      </c>
      <c r="HE34" s="1" t="n">
        <f aca="false">Participantes!EN33</f>
        <v>0</v>
      </c>
      <c r="HF34" s="82" t="str">
        <f aca="false">IF(HD$2="","",IF(AND(HD34=HD$2,HE34=HE$2),3,IF(AND(HD$2&gt;HE$2,HD34&gt;HE34),1,IF(AND(HE$2&gt;HD$2,HE34&gt;HD34),1,IF(AND(HD$2=HE$2,HD34=HE34),1,0)))))</f>
        <v/>
      </c>
      <c r="HG34" s="1" t="n">
        <f aca="false">Participantes!EO33</f>
        <v>0</v>
      </c>
      <c r="HH34" s="1" t="n">
        <f aca="false">Participantes!EP33</f>
        <v>0</v>
      </c>
      <c r="HI34" s="82" t="str">
        <f aca="false">IF(HG$2="","",IF(AND(HG34=HG$2,HH34=HH$2),3,IF(AND(HG$2&gt;HH$2,HG34&gt;HH34),1,IF(AND(HH$2&gt;HG$2,HH34&gt;HG34),1,IF(AND(HG$2=HH$2,HG34=HH34),1,0)))))</f>
        <v/>
      </c>
      <c r="HJ34" s="83" t="n">
        <f aca="false">SUM(D34,G34,J34,M34,P34,S34,V34,Y34,AB34,AE34,AH34,AK34,AN34,AQ34,AT34,AW34,AZ34,BC34,BF34,BI34,BL34,BO34,BR34,BU34,BX34,CA34,CD34,CG34,CJ34,CM34,CP34,CS34,CV34,CY34,DB34,DE34,DH34,DK34,DN34,DQ34,DT34,DW34,DZ34,EC34,EF34,EI34,EL34,EO34,ER34,EU34,EX34,FA34,FD34,FG34,FJ34,FM34,FP34,FS34,FV34,FY34,GB34,GE34,GH34,GK34,GN34,GQ34,GT34,GW34,GZ34,HC34,HF34,HI34)</f>
        <v>3</v>
      </c>
    </row>
    <row r="35" customFormat="false" ht="15" hidden="false" customHeight="true" outlineLevel="0" collapsed="false">
      <c r="A35" s="81" t="str">
        <f aca="false">Participantes!B34</f>
        <v>Medica</v>
      </c>
      <c r="B35" s="1" t="n">
        <f aca="false">Participantes!C34</f>
        <v>2</v>
      </c>
      <c r="C35" s="1" t="n">
        <f aca="false">Participantes!D34</f>
        <v>1</v>
      </c>
      <c r="D35" s="82" t="n">
        <f aca="false">IF(B$2="","",IF(AND(B35=B$2,C35=C$2),3,IF(AND(B$2&gt;C$2,B35&gt;C35),1,IF(AND(C$2&gt;B$2,C35&gt;B35),1,IF(AND(B$2=C$2,B35=C35),1,0)))))</f>
        <v>1</v>
      </c>
      <c r="E35" s="1" t="n">
        <f aca="false">Participantes!E34</f>
        <v>1</v>
      </c>
      <c r="F35" s="1" t="n">
        <f aca="false">Participantes!F34</f>
        <v>1</v>
      </c>
      <c r="G35" s="82" t="str">
        <f aca="false">IF(E$2="","",IF(AND(E35=E$2,F35=F$2),3,IF(AND(E$2&gt;F$2,E35&gt;F35),1,IF(AND(F$2&gt;E$2,F35&gt;E35),1,IF(AND(E$2=F$2,E35=F35),1,0)))))</f>
        <v/>
      </c>
      <c r="H35" s="1" t="n">
        <f aca="false">Participantes!G34</f>
        <v>1</v>
      </c>
      <c r="I35" s="1" t="n">
        <f aca="false">Participantes!H34</f>
        <v>1</v>
      </c>
      <c r="J35" s="82" t="str">
        <f aca="false">IF(H$2="","",IF(AND(H35=H$2,I35=I$2),3,IF(AND(H$2&gt;I$2,H35&gt;I35),1,IF(AND(I$2&gt;H$2,I35&gt;H35),1,IF(AND(H$2=I$2,H35=I35),1,0)))))</f>
        <v/>
      </c>
      <c r="K35" s="1" t="n">
        <f aca="false">Participantes!I34</f>
        <v>1</v>
      </c>
      <c r="L35" s="1" t="n">
        <f aca="false">Participantes!J34</f>
        <v>0</v>
      </c>
      <c r="M35" s="82" t="str">
        <f aca="false">IF(K$2="","",IF(AND(K35=K$2,L35=L$2),3,IF(AND(K$2&gt;L$2,K35&gt;L35),1,IF(AND(L$2&gt;K$2,L35&gt;K35),1,IF(AND(K$2=L$2,K35=L35),1,0)))))</f>
        <v/>
      </c>
      <c r="N35" s="1" t="n">
        <f aca="false">Participantes!K34</f>
        <v>0</v>
      </c>
      <c r="O35" s="1" t="n">
        <f aca="false">Participantes!L34</f>
        <v>3</v>
      </c>
      <c r="P35" s="82" t="str">
        <f aca="false">IF(N$2="","",IF(AND(N35=N$2,O35=O$2),3,IF(AND(N$2&gt;O$2,N35&gt;O35),1,IF(AND(O$2&gt;N$2,O35&gt;N35),1,IF(AND(N$2=O$2,N35=O35),1,0)))))</f>
        <v/>
      </c>
      <c r="Q35" s="1" t="n">
        <f aca="false">Participantes!M34</f>
        <v>0</v>
      </c>
      <c r="R35" s="1" t="n">
        <f aca="false">Participantes!N34</f>
        <v>1</v>
      </c>
      <c r="S35" s="82" t="str">
        <f aca="false">IF(Q$2="","",IF(AND(Q35=Q$2,R35=R$2),3,IF(AND(Q$2&gt;R$2,Q35&gt;R35),1,IF(AND(R$2&gt;Q$2,R35&gt;Q35),1,IF(AND(Q$2=R$2,Q35=R35),1,0)))))</f>
        <v/>
      </c>
      <c r="T35" s="1" t="n">
        <f aca="false">Participantes!O34</f>
        <v>2</v>
      </c>
      <c r="U35" s="1" t="n">
        <f aca="false">Participantes!P34</f>
        <v>2</v>
      </c>
      <c r="V35" s="82" t="str">
        <f aca="false">IF(T$2="","",IF(AND(T35=T$2,U35=U$2),3,IF(AND(T$2&gt;U$2,T35&gt;U35),1,IF(AND(U$2&gt;T$2,U35&gt;T35),1,IF(AND(T$2=U$2,T35=U35),1,0)))))</f>
        <v/>
      </c>
      <c r="W35" s="1" t="n">
        <f aca="false">Participantes!Q34</f>
        <v>0</v>
      </c>
      <c r="X35" s="1" t="n">
        <f aca="false">Participantes!R34</f>
        <v>2</v>
      </c>
      <c r="Y35" s="82" t="str">
        <f aca="false">IF(W$2="","",IF(AND(W35=W$2,X35=X$2),3,IF(AND(W$2&gt;X$2,W35&gt;X35),1,IF(AND(X$2&gt;W$2,X35&gt;W35),1,IF(AND(W$2=X$2,W35=X35),1,0)))))</f>
        <v/>
      </c>
      <c r="Z35" s="1" t="n">
        <f aca="false">Participantes!S34</f>
        <v>1</v>
      </c>
      <c r="AA35" s="1" t="n">
        <f aca="false">Participantes!T34</f>
        <v>1</v>
      </c>
      <c r="AB35" s="82" t="str">
        <f aca="false">IF(Z$2="","",IF(AND(Z35=Z$2,AA35=AA$2),3,IF(AND(Z$2&gt;AA$2,Z35&gt;AA35),1,IF(AND(AA$2&gt;Z$2,AA35&gt;Z35),1,IF(AND(Z$2=AA$2,Z35=AA35),1,0)))))</f>
        <v/>
      </c>
      <c r="AC35" s="1" t="n">
        <f aca="false">Participantes!U34</f>
        <v>3</v>
      </c>
      <c r="AD35" s="1" t="n">
        <f aca="false">Participantes!V34</f>
        <v>1</v>
      </c>
      <c r="AE35" s="82" t="str">
        <f aca="false">IF(AC$2="","",IF(AND(AC35=AC$2,AD35=AD$2),3,IF(AND(AC$2&gt;AD$2,AC35&gt;AD35),1,IF(AND(AD$2&gt;AC$2,AD35&gt;AC35),1,IF(AND(AC$2=AD$2,AC35=AD35),1,0)))))</f>
        <v/>
      </c>
      <c r="AF35" s="1" t="n">
        <f aca="false">Participantes!W34</f>
        <v>2</v>
      </c>
      <c r="AG35" s="1" t="n">
        <f aca="false">Participantes!X34</f>
        <v>2</v>
      </c>
      <c r="AH35" s="82" t="str">
        <f aca="false">IF(AF$2="","",IF(AND(AF35=AF$2,AG35=AG$2),3,IF(AND(AF$2&gt;AG$2,AF35&gt;AG35),1,IF(AND(AG$2&gt;AF$2,AG35&gt;AF35),1,IF(AND(AF$2=AG$2,AF35=AG35),1,0)))))</f>
        <v/>
      </c>
      <c r="AI35" s="1" t="n">
        <f aca="false">Participantes!Y34</f>
        <v>2</v>
      </c>
      <c r="AJ35" s="1" t="n">
        <f aca="false">Participantes!Z34</f>
        <v>0</v>
      </c>
      <c r="AK35" s="82" t="str">
        <f aca="false">IF(AI$2="","",IF(AND(AI35=AI$2,AJ35=AJ$2),3,IF(AND(AI$2&gt;AJ$2,AI35&gt;AJ35),1,IF(AND(AJ$2&gt;AI$2,AJ35&gt;AI35),1,IF(AND(AI$2=AJ$2,AI35=AJ35),1,0)))))</f>
        <v/>
      </c>
      <c r="AL35" s="1" t="n">
        <f aca="false">Participantes!AA34</f>
        <v>0</v>
      </c>
      <c r="AM35" s="1" t="n">
        <f aca="false">Participantes!AB34</f>
        <v>1</v>
      </c>
      <c r="AN35" s="82" t="str">
        <f aca="false">IF(AL$2="","",IF(AND(AL35=AL$2,AM35=AM$2),3,IF(AND(AL$2&gt;AM$2,AL35&gt;AM35),1,IF(AND(AM$2&gt;AL$2,AM35&gt;AL35),1,IF(AND(AL$2=AM$2,AL35=AM35),1,0)))))</f>
        <v/>
      </c>
      <c r="AO35" s="1" t="n">
        <f aca="false">Participantes!AC34</f>
        <v>4</v>
      </c>
      <c r="AP35" s="1" t="n">
        <f aca="false">Participantes!AD34</f>
        <v>0</v>
      </c>
      <c r="AQ35" s="82" t="str">
        <f aca="false">IF(AO$2="","",IF(AND(AO35=AO$2,AP35=AP$2),3,IF(AND(AO$2&gt;AP$2,AO35&gt;AP35),1,IF(AND(AP$2&gt;AO$2,AP35&gt;AO35),1,IF(AND(AO$2=AP$2,AO35=AP35),1,0)))))</f>
        <v/>
      </c>
      <c r="AR35" s="1" t="n">
        <f aca="false">Participantes!AE34</f>
        <v>0</v>
      </c>
      <c r="AS35" s="1" t="n">
        <f aca="false">Participantes!AF34</f>
        <v>0</v>
      </c>
      <c r="AT35" s="82" t="str">
        <f aca="false">IF(AR$2="","",IF(AND(AR35=AR$2,AS35=AS$2),3,IF(AND(AR$2&gt;AS$2,AR35&gt;AS35),1,IF(AND(AS$2&gt;AR$2,AS35&gt;AR35),1,IF(AND(AR$2=AS$2,AR35=AS35),1,0)))))</f>
        <v/>
      </c>
      <c r="AU35" s="1" t="n">
        <f aca="false">Participantes!AG34</f>
        <v>0</v>
      </c>
      <c r="AV35" s="1" t="n">
        <f aca="false">Participantes!AH34</f>
        <v>0</v>
      </c>
      <c r="AW35" s="82" t="str">
        <f aca="false">IF(AU$2="","",IF(AND(AU35=AU$2,AV35=AV$2),3,IF(AND(AU$2&gt;AV$2,AU35&gt;AV35),1,IF(AND(AV$2&gt;AU$2,AV35&gt;AU35),1,IF(AND(AU$2=AV$2,AU35=AV35),1,0)))))</f>
        <v/>
      </c>
      <c r="AX35" s="1" t="n">
        <f aca="false">Participantes!AI34</f>
        <v>0</v>
      </c>
      <c r="AY35" s="1" t="n">
        <f aca="false">Participantes!AJ34</f>
        <v>0</v>
      </c>
      <c r="AZ35" s="82" t="str">
        <f aca="false">IF(AX$2="","",IF(AND(AX35=AX$2,AY35=AY$2),3,IF(AND(AX$2&gt;AY$2,AX35&gt;AY35),1,IF(AND(AY$2&gt;AX$2,AY35&gt;AX35),1,IF(AND(AX$2=AY$2,AX35=AY35),1,0)))))</f>
        <v/>
      </c>
      <c r="BA35" s="1" t="n">
        <f aca="false">Participantes!AK34</f>
        <v>0</v>
      </c>
      <c r="BB35" s="1" t="n">
        <f aca="false">Participantes!AL34</f>
        <v>0</v>
      </c>
      <c r="BC35" s="82" t="str">
        <f aca="false">IF(BA$2="","",IF(AND(BA35=BA$2,BB35=BB$2),3,IF(AND(BA$2&gt;BB$2,BA35&gt;BB35),1,IF(AND(BB$2&gt;BA$2,BB35&gt;BA35),1,IF(AND(BA$2=BB$2,BA35=BB35),1,0)))))</f>
        <v/>
      </c>
      <c r="BD35" s="1" t="n">
        <f aca="false">Participantes!AM34</f>
        <v>0</v>
      </c>
      <c r="BE35" s="1" t="n">
        <f aca="false">Participantes!AN34</f>
        <v>0</v>
      </c>
      <c r="BF35" s="82" t="str">
        <f aca="false">IF(BD$2="","",IF(AND(BD35=BD$2,BE35=BE$2),3,IF(AND(BD$2&gt;BE$2,BD35&gt;BE35),1,IF(AND(BE$2&gt;BD$2,BE35&gt;BD35),1,IF(AND(BD$2=BE$2,BD35=BE35),1,0)))))</f>
        <v/>
      </c>
      <c r="BG35" s="1" t="n">
        <f aca="false">Participantes!AO34</f>
        <v>0</v>
      </c>
      <c r="BH35" s="1" t="n">
        <f aca="false">Participantes!AP34</f>
        <v>0</v>
      </c>
      <c r="BI35" s="82" t="str">
        <f aca="false">IF(BG$2="","",IF(AND(BG35=BG$2,BH35=BH$2),3,IF(AND(BG$2&gt;BH$2,BG35&gt;BH35),1,IF(AND(BH$2&gt;BG$2,BH35&gt;BG35),1,IF(AND(BG$2=BH$2,BG35=BH35),1,0)))))</f>
        <v/>
      </c>
      <c r="BJ35" s="1" t="n">
        <f aca="false">Participantes!AQ34</f>
        <v>0</v>
      </c>
      <c r="BK35" s="1" t="n">
        <f aca="false">Participantes!AR34</f>
        <v>0</v>
      </c>
      <c r="BL35" s="82" t="str">
        <f aca="false">IF(BJ$2="","",IF(AND(BJ35=BJ$2,BK35=BK$2),3,IF(AND(BJ$2&gt;BK$2,BJ35&gt;BK35),1,IF(AND(BK$2&gt;BJ$2,BK35&gt;BJ35),1,IF(AND(BJ$2=BK$2,BJ35=BK35),1,0)))))</f>
        <v/>
      </c>
      <c r="BM35" s="1" t="n">
        <f aca="false">Participantes!AS34</f>
        <v>0</v>
      </c>
      <c r="BN35" s="1" t="n">
        <f aca="false">Participantes!AT34</f>
        <v>0</v>
      </c>
      <c r="BO35" s="82" t="str">
        <f aca="false">IF(BM$2="","",IF(AND(BM35=BM$2,BN35=BN$2),3,IF(AND(BM$2&gt;BN$2,BM35&gt;BN35),1,IF(AND(BN$2&gt;BM$2,BN35&gt;BM35),1,IF(AND(BM$2=BN$2,BM35=BN35),1,0)))))</f>
        <v/>
      </c>
      <c r="BP35" s="1" t="n">
        <f aca="false">Participantes!AU34</f>
        <v>0</v>
      </c>
      <c r="BQ35" s="1" t="n">
        <f aca="false">Participantes!AV34</f>
        <v>0</v>
      </c>
      <c r="BR35" s="82" t="str">
        <f aca="false">IF(BP$2="","",IF(AND(BP35=BP$2,BQ35=BQ$2),3,IF(AND(BP$2&gt;BQ$2,BP35&gt;BQ35),1,IF(AND(BQ$2&gt;BP$2,BQ35&gt;BP35),1,IF(AND(BP$2=BQ$2,BP35=BQ35),1,0)))))</f>
        <v/>
      </c>
      <c r="BS35" s="1" t="n">
        <f aca="false">Participantes!AW34</f>
        <v>0</v>
      </c>
      <c r="BT35" s="1" t="n">
        <f aca="false">Participantes!AX34</f>
        <v>0</v>
      </c>
      <c r="BU35" s="82" t="str">
        <f aca="false">IF(BS$2="","",IF(AND(BS35=BS$2,BT35=BT$2),3,IF(AND(BS$2&gt;BT$2,BS35&gt;BT35),1,IF(AND(BT$2&gt;BS$2,BT35&gt;BS35),1,IF(AND(BS$2=BT$2,BS35=BT35),1,0)))))</f>
        <v/>
      </c>
      <c r="BV35" s="1" t="n">
        <f aca="false">Participantes!AY34</f>
        <v>0</v>
      </c>
      <c r="BW35" s="1" t="n">
        <f aca="false">Participantes!AZ34</f>
        <v>0</v>
      </c>
      <c r="BX35" s="82" t="str">
        <f aca="false">IF(BV$2="","",IF(AND(BV35=BV$2,BW35=BW$2),3,IF(AND(BV$2&gt;BW$2,BV35&gt;BW35),1,IF(AND(BW$2&gt;BV$2,BW35&gt;BV35),1,IF(AND(BV$2=BW$2,BV35=BW35),1,0)))))</f>
        <v/>
      </c>
      <c r="BY35" s="1" t="n">
        <f aca="false">Participantes!BA34</f>
        <v>0</v>
      </c>
      <c r="BZ35" s="1" t="n">
        <f aca="false">Participantes!BB34</f>
        <v>0</v>
      </c>
      <c r="CA35" s="82" t="str">
        <f aca="false">IF(BY$2="","",IF(AND(BY35=BY$2,BZ35=BZ$2),3,IF(AND(BY$2&gt;BZ$2,BY35&gt;BZ35),1,IF(AND(BZ$2&gt;BY$2,BZ35&gt;BY35),1,IF(AND(BY$2=BZ$2,BY35=BZ35),1,0)))))</f>
        <v/>
      </c>
      <c r="CB35" s="1" t="n">
        <f aca="false">Participantes!BC34</f>
        <v>0</v>
      </c>
      <c r="CC35" s="1" t="n">
        <f aca="false">Participantes!BD34</f>
        <v>0</v>
      </c>
      <c r="CD35" s="82" t="str">
        <f aca="false">IF(CB$2="","",IF(AND(CB35=CB$2,CC35=CC$2),3,IF(AND(CB$2&gt;CC$2,CB35&gt;CC35),1,IF(AND(CC$2&gt;CB$2,CC35&gt;CB35),1,IF(AND(CB$2=CC$2,CB35=CC35),1,0)))))</f>
        <v/>
      </c>
      <c r="CE35" s="1" t="n">
        <f aca="false">Participantes!BE34</f>
        <v>0</v>
      </c>
      <c r="CF35" s="1" t="n">
        <f aca="false">Participantes!BF34</f>
        <v>0</v>
      </c>
      <c r="CG35" s="82" t="str">
        <f aca="false">IF(CE$2="","",IF(AND(CE35=CE$2,CF35=CF$2),3,IF(AND(CE$2&gt;CF$2,CE35&gt;CF35),1,IF(AND(CF$2&gt;CE$2,CF35&gt;CE35),1,IF(AND(CE$2=CF$2,CE35=CF35),1,0)))))</f>
        <v/>
      </c>
      <c r="CH35" s="1" t="n">
        <f aca="false">Participantes!BG34</f>
        <v>0</v>
      </c>
      <c r="CI35" s="1" t="n">
        <f aca="false">Participantes!BH34</f>
        <v>0</v>
      </c>
      <c r="CJ35" s="82" t="str">
        <f aca="false">IF(CH$2="","",IF(AND(CH35=CH$2,CI35=CI$2),3,IF(AND(CH$2&gt;CI$2,CH35&gt;CI35),1,IF(AND(CI$2&gt;CH$2,CI35&gt;CH35),1,IF(AND(CH$2=CI$2,CH35=CI35),1,0)))))</f>
        <v/>
      </c>
      <c r="CK35" s="1" t="n">
        <f aca="false">Participantes!BI34</f>
        <v>0</v>
      </c>
      <c r="CL35" s="1" t="n">
        <f aca="false">Participantes!BJ34</f>
        <v>0</v>
      </c>
      <c r="CM35" s="82" t="str">
        <f aca="false">IF(CK$2="","",IF(AND(CK35=CK$2,CL35=CL$2),3,IF(AND(CK$2&gt;CL$2,CK35&gt;CL35),1,IF(AND(CL$2&gt;CK$2,CL35&gt;CK35),1,IF(AND(CK$2=CL$2,CK35=CL35),1,0)))))</f>
        <v/>
      </c>
      <c r="CN35" s="1" t="n">
        <f aca="false">Participantes!BK34</f>
        <v>0</v>
      </c>
      <c r="CO35" s="1" t="n">
        <f aca="false">Participantes!BL34</f>
        <v>0</v>
      </c>
      <c r="CP35" s="82" t="str">
        <f aca="false">IF(CN$2="","",IF(AND(CN35=CN$2,CO35=CO$2),3,IF(AND(CN$2&gt;CO$2,CN35&gt;CO35),1,IF(AND(CO$2&gt;CN$2,CO35&gt;CN35),1,IF(AND(CN$2=CO$2,CN35=CO35),1,0)))))</f>
        <v/>
      </c>
      <c r="CQ35" s="1" t="n">
        <f aca="false">Participantes!BM34</f>
        <v>0</v>
      </c>
      <c r="CR35" s="1" t="n">
        <f aca="false">Participantes!BN34</f>
        <v>0</v>
      </c>
      <c r="CS35" s="82" t="str">
        <f aca="false">IF(CQ$2="","",IF(AND(CQ35=CQ$2,CR35=CR$2),3,IF(AND(CQ$2&gt;CR$2,CQ35&gt;CR35),1,IF(AND(CR$2&gt;CQ$2,CR35&gt;CQ35),1,IF(AND(CQ$2=CR$2,CQ35=CR35),1,0)))))</f>
        <v/>
      </c>
      <c r="CT35" s="1" t="n">
        <f aca="false">Participantes!BO34</f>
        <v>0</v>
      </c>
      <c r="CU35" s="1" t="n">
        <f aca="false">Participantes!BP34</f>
        <v>0</v>
      </c>
      <c r="CV35" s="82" t="str">
        <f aca="false">IF(CT$2="","",IF(AND(CT35=CT$2,CU35=CU$2),3,IF(AND(CT$2&gt;CU$2,CT35&gt;CU35),1,IF(AND(CU$2&gt;CT$2,CU35&gt;CT35),1,IF(AND(CT$2=CU$2,CT35=CU35),1,0)))))</f>
        <v/>
      </c>
      <c r="CW35" s="1" t="n">
        <f aca="false">Participantes!BQ34</f>
        <v>0</v>
      </c>
      <c r="CX35" s="1" t="n">
        <f aca="false">Participantes!BR34</f>
        <v>0</v>
      </c>
      <c r="CY35" s="82" t="str">
        <f aca="false">IF(CW$2="","",IF(AND(CW35=CW$2,CX35=CX$2),3,IF(AND(CW$2&gt;CX$2,CW35&gt;CX35),1,IF(AND(CX$2&gt;CW$2,CX35&gt;CW35),1,IF(AND(CW$2=CX$2,CW35=CX35),1,0)))))</f>
        <v/>
      </c>
      <c r="CZ35" s="1" t="n">
        <f aca="false">Participantes!BS34</f>
        <v>0</v>
      </c>
      <c r="DA35" s="1" t="n">
        <f aca="false">Participantes!BT34</f>
        <v>0</v>
      </c>
      <c r="DB35" s="82" t="str">
        <f aca="false">IF(CZ$2="","",IF(AND(CZ35=CZ$2,DA35=DA$2),3,IF(AND(CZ$2&gt;DA$2,CZ35&gt;DA35),1,IF(AND(DA$2&gt;CZ$2,DA35&gt;CZ35),1,IF(AND(CZ$2=DA$2,CZ35=DA35),1,0)))))</f>
        <v/>
      </c>
      <c r="DC35" s="1" t="n">
        <f aca="false">Participantes!BU34</f>
        <v>0</v>
      </c>
      <c r="DD35" s="1" t="n">
        <f aca="false">Participantes!BV34</f>
        <v>0</v>
      </c>
      <c r="DE35" s="82" t="str">
        <f aca="false">IF(DC$2="","",IF(AND(DC35=DC$2,DD35=DD$2),3,IF(AND(DC$2&gt;DD$2,DC35&gt;DD35),1,IF(AND(DD$2&gt;DC$2,DD35&gt;DC35),1,IF(AND(DC$2=DD$2,DC35=DD35),1,0)))))</f>
        <v/>
      </c>
      <c r="DF35" s="1" t="n">
        <f aca="false">Participantes!BW34</f>
        <v>0</v>
      </c>
      <c r="DG35" s="1" t="n">
        <f aca="false">Participantes!BX34</f>
        <v>0</v>
      </c>
      <c r="DH35" s="82" t="str">
        <f aca="false">IF(DF$2="","",IF(AND(DF35=DF$2,DG35=DG$2),3,IF(AND(DF$2&gt;DG$2,DF35&gt;DG35),1,IF(AND(DG$2&gt;DF$2,DG35&gt;DF35),1,IF(AND(DF$2=DG$2,DF35=DG35),1,0)))))</f>
        <v/>
      </c>
      <c r="DI35" s="1" t="n">
        <f aca="false">Participantes!BY34</f>
        <v>0</v>
      </c>
      <c r="DJ35" s="1" t="n">
        <f aca="false">Participantes!BZ34</f>
        <v>0</v>
      </c>
      <c r="DK35" s="82" t="str">
        <f aca="false">IF(DI$2="","",IF(AND(DI35=DI$2,DJ35=DJ$2),3,IF(AND(DI$2&gt;DJ$2,DI35&gt;DJ35),1,IF(AND(DJ$2&gt;DI$2,DJ35&gt;DI35),1,IF(AND(DI$2=DJ$2,DI35=DJ35),1,0)))))</f>
        <v/>
      </c>
      <c r="DL35" s="1" t="n">
        <f aca="false">Participantes!CA34</f>
        <v>0</v>
      </c>
      <c r="DM35" s="1" t="n">
        <f aca="false">Participantes!CB34</f>
        <v>0</v>
      </c>
      <c r="DN35" s="82" t="str">
        <f aca="false">IF(DL$2="","",IF(AND(DL35=DL$2,DM35=DM$2),3,IF(AND(DL$2&gt;DM$2,DL35&gt;DM35),1,IF(AND(DM$2&gt;DL$2,DM35&gt;DL35),1,IF(AND(DL$2=DM$2,DL35=DM35),1,0)))))</f>
        <v/>
      </c>
      <c r="DO35" s="1" t="n">
        <f aca="false">Participantes!CC34</f>
        <v>0</v>
      </c>
      <c r="DP35" s="1" t="n">
        <f aca="false">Participantes!CD34</f>
        <v>0</v>
      </c>
      <c r="DQ35" s="82" t="str">
        <f aca="false">IF(DO$2="","",IF(AND(DO35=DO$2,DP35=DP$2),3,IF(AND(DO$2&gt;DP$2,DO35&gt;DP35),1,IF(AND(DP$2&gt;DO$2,DP35&gt;DO35),1,IF(AND(DO$2=DP$2,DO35=DP35),1,0)))))</f>
        <v/>
      </c>
      <c r="DR35" s="1" t="n">
        <f aca="false">Participantes!CE34</f>
        <v>0</v>
      </c>
      <c r="DS35" s="1" t="n">
        <f aca="false">Participantes!CF34</f>
        <v>0</v>
      </c>
      <c r="DT35" s="82" t="str">
        <f aca="false">IF(DR$2="","",IF(AND(DR35=DR$2,DS35=DS$2),3,IF(AND(DR$2&gt;DS$2,DR35&gt;DS35),1,IF(AND(DS$2&gt;DR$2,DS35&gt;DR35),1,IF(AND(DR$2=DS$2,DR35=DS35),1,0)))))</f>
        <v/>
      </c>
      <c r="DU35" s="1" t="n">
        <f aca="false">Participantes!CG34</f>
        <v>0</v>
      </c>
      <c r="DV35" s="1" t="n">
        <f aca="false">Participantes!CH34</f>
        <v>0</v>
      </c>
      <c r="DW35" s="82" t="str">
        <f aca="false">IF(DU$2="","",IF(AND(DU35=DU$2,DV35=DV$2),3,IF(AND(DU$2&gt;DV$2,DU35&gt;DV35),1,IF(AND(DV$2&gt;DU$2,DV35&gt;DU35),1,IF(AND(DU$2=DV$2,DU35=DV35),1,0)))))</f>
        <v/>
      </c>
      <c r="DX35" s="1" t="n">
        <f aca="false">Participantes!CI34</f>
        <v>0</v>
      </c>
      <c r="DY35" s="1" t="n">
        <f aca="false">Participantes!CJ34</f>
        <v>0</v>
      </c>
      <c r="DZ35" s="82" t="str">
        <f aca="false">IF(DX$2="","",IF(AND(DX35=DX$2,DY35=DY$2),3,IF(AND(DX$2&gt;DY$2,DX35&gt;DY35),1,IF(AND(DY$2&gt;DX$2,DY35&gt;DX35),1,IF(AND(DX$2=DY$2,DX35=DY35),1,0)))))</f>
        <v/>
      </c>
      <c r="EA35" s="1" t="n">
        <f aca="false">Participantes!CK34</f>
        <v>0</v>
      </c>
      <c r="EB35" s="1" t="n">
        <f aca="false">Participantes!CL34</f>
        <v>0</v>
      </c>
      <c r="EC35" s="82" t="str">
        <f aca="false">IF(EA$2="","",IF(AND(EA35=EA$2,EB35=EB$2),3,IF(AND(EA$2&gt;EB$2,EA35&gt;EB35),1,IF(AND(EB$2&gt;EA$2,EB35&gt;EA35),1,IF(AND(EA$2=EB$2,EA35=EB35),1,0)))))</f>
        <v/>
      </c>
      <c r="ED35" s="1" t="n">
        <f aca="false">Participantes!CM34</f>
        <v>0</v>
      </c>
      <c r="EE35" s="1" t="n">
        <f aca="false">Participantes!CN34</f>
        <v>0</v>
      </c>
      <c r="EF35" s="82" t="str">
        <f aca="false">IF(ED$2="","",IF(AND(ED35=ED$2,EE35=EE$2),3,IF(AND(ED$2&gt;EE$2,ED35&gt;EE35),1,IF(AND(EE$2&gt;ED$2,EE35&gt;ED35),1,IF(AND(ED$2=EE$2,ED35=EE35),1,0)))))</f>
        <v/>
      </c>
      <c r="EG35" s="1" t="n">
        <f aca="false">Participantes!CO34</f>
        <v>0</v>
      </c>
      <c r="EH35" s="1" t="n">
        <f aca="false">Participantes!CP34</f>
        <v>0</v>
      </c>
      <c r="EI35" s="82" t="str">
        <f aca="false">IF(EG$2="","",IF(AND(EG35=EG$2,EH35=EH$2),3,IF(AND(EG$2&gt;EH$2,EG35&gt;EH35),1,IF(AND(EH$2&gt;EG$2,EH35&gt;EG35),1,IF(AND(EG$2=EH$2,EG35=EH35),1,0)))))</f>
        <v/>
      </c>
      <c r="EJ35" s="1" t="n">
        <f aca="false">Participantes!CQ34</f>
        <v>0</v>
      </c>
      <c r="EK35" s="1" t="n">
        <f aca="false">Participantes!CR34</f>
        <v>0</v>
      </c>
      <c r="EL35" s="82" t="str">
        <f aca="false">IF(EJ$2="","",IF(AND(EJ35=EJ$2,EK35=EK$2),3,IF(AND(EJ$2&gt;EK$2,EJ35&gt;EK35),1,IF(AND(EK$2&gt;EJ$2,EK35&gt;EJ35),1,IF(AND(EJ$2=EK$2,EJ35=EK35),1,0)))))</f>
        <v/>
      </c>
      <c r="EM35" s="1" t="n">
        <f aca="false">Participantes!CS34</f>
        <v>0</v>
      </c>
      <c r="EN35" s="1" t="n">
        <f aca="false">Participantes!CT34</f>
        <v>0</v>
      </c>
      <c r="EO35" s="82" t="str">
        <f aca="false">IF(EM$2="","",IF(AND(EM35=EM$2,EN35=EN$2),3,IF(AND(EM$2&gt;EN$2,EM35&gt;EN35),1,IF(AND(EN$2&gt;EM$2,EN35&gt;EM35),1,IF(AND(EM$2=EN$2,EM35=EN35),1,0)))))</f>
        <v/>
      </c>
      <c r="EP35" s="1" t="n">
        <f aca="false">Participantes!CU34</f>
        <v>0</v>
      </c>
      <c r="EQ35" s="1" t="n">
        <f aca="false">Participantes!CV34</f>
        <v>0</v>
      </c>
      <c r="ER35" s="82" t="str">
        <f aca="false">IF(EP$2="","",IF(AND(EP35=EP$2,EQ35=EQ$2),3,IF(AND(EP$2&gt;EQ$2,EP35&gt;EQ35),1,IF(AND(EQ$2&gt;EP$2,EQ35&gt;EP35),1,IF(AND(EP$2=EQ$2,EP35=EQ35),1,0)))))</f>
        <v/>
      </c>
      <c r="ES35" s="1" t="n">
        <f aca="false">Participantes!CW34</f>
        <v>0</v>
      </c>
      <c r="ET35" s="1" t="n">
        <f aca="false">Participantes!CX34</f>
        <v>0</v>
      </c>
      <c r="EU35" s="82" t="str">
        <f aca="false">IF(ES$2="","",IF(AND(ES35=ES$2,ET35=ET$2),3,IF(AND(ES$2&gt;ET$2,ES35&gt;ET35),1,IF(AND(ET$2&gt;ES$2,ET35&gt;ES35),1,IF(AND(ES$2=ET$2,ES35=ET35),1,0)))))</f>
        <v/>
      </c>
      <c r="EV35" s="1" t="n">
        <f aca="false">Participantes!CY34</f>
        <v>0</v>
      </c>
      <c r="EW35" s="1" t="n">
        <f aca="false">Participantes!CZ34</f>
        <v>0</v>
      </c>
      <c r="EX35" s="82" t="str">
        <f aca="false">IF(EV$2="","",IF(AND(EV35=EV$2,EW35=EW$2),3,IF(AND(EV$2&gt;EW$2,EV35&gt;EW35),1,IF(AND(EW$2&gt;EV$2,EW35&gt;EV35),1,IF(AND(EV$2=EW$2,EV35=EW35),1,0)))))</f>
        <v/>
      </c>
      <c r="EY35" s="1" t="n">
        <f aca="false">Participantes!DA34</f>
        <v>0</v>
      </c>
      <c r="EZ35" s="1" t="n">
        <f aca="false">Participantes!DB34</f>
        <v>0</v>
      </c>
      <c r="FA35" s="82" t="str">
        <f aca="false">IF(EY$2="","",IF(AND(EY35=EY$2,EZ35=EZ$2),3,IF(AND(EY$2&gt;EZ$2,EY35&gt;EZ35),1,IF(AND(EZ$2&gt;EY$2,EZ35&gt;EY35),1,IF(AND(EY$2=EZ$2,EY35=EZ35),1,0)))))</f>
        <v/>
      </c>
      <c r="FB35" s="1" t="n">
        <f aca="false">Participantes!DC34</f>
        <v>0</v>
      </c>
      <c r="FC35" s="1" t="n">
        <f aca="false">Participantes!DD34</f>
        <v>0</v>
      </c>
      <c r="FD35" s="82" t="str">
        <f aca="false">IF(FB$2="","",IF(AND(FB35=FB$2,FC35=FC$2),3,IF(AND(FB$2&gt;FC$2,FB35&gt;FC35),1,IF(AND(FC$2&gt;FB$2,FC35&gt;FB35),1,IF(AND(FB$2=FC$2,FB35=FC35),1,0)))))</f>
        <v/>
      </c>
      <c r="FE35" s="1" t="n">
        <f aca="false">Participantes!DE34</f>
        <v>0</v>
      </c>
      <c r="FF35" s="1" t="n">
        <f aca="false">Participantes!DF34</f>
        <v>0</v>
      </c>
      <c r="FG35" s="82" t="str">
        <f aca="false">IF(FE$2="","",IF(AND(FE35=FE$2,FF35=FF$2),3,IF(AND(FE$2&gt;FF$2,FE35&gt;FF35),1,IF(AND(FF$2&gt;FE$2,FF35&gt;FE35),1,IF(AND(FE$2=FF$2,FE35=FF35),1,0)))))</f>
        <v/>
      </c>
      <c r="FH35" s="1" t="n">
        <f aca="false">Participantes!DG34</f>
        <v>0</v>
      </c>
      <c r="FI35" s="1" t="n">
        <f aca="false">Participantes!DH34</f>
        <v>0</v>
      </c>
      <c r="FJ35" s="82" t="str">
        <f aca="false">IF(FH$2="","",IF(AND(FH35=FH$2,FI35=FI$2),3,IF(AND(FH$2&gt;FI$2,FH35&gt;FI35),1,IF(AND(FI$2&gt;FH$2,FI35&gt;FH35),1,IF(AND(FH$2=FI$2,FH35=FI35),1,0)))))</f>
        <v/>
      </c>
      <c r="FK35" s="1" t="n">
        <f aca="false">Participantes!DI34</f>
        <v>0</v>
      </c>
      <c r="FL35" s="1" t="n">
        <f aca="false">Participantes!DJ34</f>
        <v>0</v>
      </c>
      <c r="FM35" s="82" t="str">
        <f aca="false">IF(FK$2="","",IF(AND(FK35=FK$2,FL35=FL$2),3,IF(AND(FK$2&gt;FL$2,FK35&gt;FL35),1,IF(AND(FL$2&gt;FK$2,FL35&gt;FK35),1,IF(AND(FK$2=FL$2,FK35=FL35),1,0)))))</f>
        <v/>
      </c>
      <c r="FN35" s="1" t="n">
        <f aca="false">Participantes!DK34</f>
        <v>0</v>
      </c>
      <c r="FO35" s="1" t="n">
        <f aca="false">Participantes!DL34</f>
        <v>0</v>
      </c>
      <c r="FP35" s="82" t="str">
        <f aca="false">IF(FN$2="","",IF(AND(FN35=FN$2,FO35=FO$2),3,IF(AND(FN$2&gt;FO$2,FN35&gt;FO35),1,IF(AND(FO$2&gt;FN$2,FO35&gt;FN35),1,IF(AND(FN$2=FO$2,FN35=FO35),1,0)))))</f>
        <v/>
      </c>
      <c r="FQ35" s="1" t="n">
        <f aca="false">Participantes!DM34</f>
        <v>0</v>
      </c>
      <c r="FR35" s="1" t="n">
        <f aca="false">Participantes!DN34</f>
        <v>0</v>
      </c>
      <c r="FS35" s="82" t="str">
        <f aca="false">IF(FQ$2="","",IF(AND(FQ35=FQ$2,FR35=FR$2),3,IF(AND(FQ$2&gt;FR$2,FQ35&gt;FR35),1,IF(AND(FR$2&gt;FQ$2,FR35&gt;FQ35),1,IF(AND(FQ$2=FR$2,FQ35=FR35),1,0)))))</f>
        <v/>
      </c>
      <c r="FT35" s="1" t="n">
        <f aca="false">Participantes!DO34</f>
        <v>0</v>
      </c>
      <c r="FU35" s="1" t="n">
        <f aca="false">Participantes!DP34</f>
        <v>0</v>
      </c>
      <c r="FV35" s="82" t="str">
        <f aca="false">IF(FT$2="","",IF(AND(FT35=FT$2,FU35=FU$2),3,IF(AND(FT$2&gt;FU$2,FT35&gt;FU35),1,IF(AND(FU$2&gt;FT$2,FU35&gt;FT35),1,IF(AND(FT$2=FU$2,FT35=FU35),1,0)))))</f>
        <v/>
      </c>
      <c r="FW35" s="1" t="n">
        <f aca="false">Participantes!DQ34</f>
        <v>0</v>
      </c>
      <c r="FX35" s="1" t="n">
        <f aca="false">Participantes!DR34</f>
        <v>0</v>
      </c>
      <c r="FY35" s="82" t="str">
        <f aca="false">IF(FW$2="","",IF(AND(FW35=FW$2,FX35=FX$2),3,IF(AND(FW$2&gt;FX$2,FW35&gt;FX35),1,IF(AND(FX$2&gt;FW$2,FX35&gt;FW35),1,IF(AND(FW$2=FX$2,FW35=FX35),1,0)))))</f>
        <v/>
      </c>
      <c r="FZ35" s="1" t="n">
        <f aca="false">Participantes!DS34</f>
        <v>0</v>
      </c>
      <c r="GA35" s="1" t="n">
        <f aca="false">Participantes!DT34</f>
        <v>0</v>
      </c>
      <c r="GB35" s="82" t="str">
        <f aca="false">IF(FZ$2="","",IF(AND(FZ35=FZ$2,GA35=GA$2),3,IF(AND(FZ$2&gt;GA$2,FZ35&gt;GA35),1,IF(AND(GA$2&gt;FZ$2,GA35&gt;FZ35),1,IF(AND(FZ$2=GA$2,FZ35=GA35),1,0)))))</f>
        <v/>
      </c>
      <c r="GC35" s="1" t="n">
        <f aca="false">Participantes!DU34</f>
        <v>0</v>
      </c>
      <c r="GD35" s="1" t="n">
        <f aca="false">Participantes!DV34</f>
        <v>0</v>
      </c>
      <c r="GE35" s="82" t="str">
        <f aca="false">IF(GC$2="","",IF(AND(GC35=GC$2,GD35=GD$2),3,IF(AND(GC$2&gt;GD$2,GC35&gt;GD35),1,IF(AND(GD$2&gt;GC$2,GD35&gt;GC35),1,IF(AND(GC$2=GD$2,GC35=GD35),1,0)))))</f>
        <v/>
      </c>
      <c r="GF35" s="1" t="n">
        <f aca="false">Participantes!DW34</f>
        <v>0</v>
      </c>
      <c r="GG35" s="1" t="n">
        <f aca="false">Participantes!DX34</f>
        <v>0</v>
      </c>
      <c r="GH35" s="82" t="str">
        <f aca="false">IF(GF$2="","",IF(AND(GF35=GF$2,GG35=GG$2),3,IF(AND(GF$2&gt;GG$2,GF35&gt;GG35),1,IF(AND(GG$2&gt;GF$2,GG35&gt;GF35),1,IF(AND(GF$2=GG$2,GF35=GG35),1,0)))))</f>
        <v/>
      </c>
      <c r="GI35" s="1" t="n">
        <f aca="false">Participantes!DY34</f>
        <v>0</v>
      </c>
      <c r="GJ35" s="1" t="n">
        <f aca="false">Participantes!DZ34</f>
        <v>0</v>
      </c>
      <c r="GK35" s="82" t="str">
        <f aca="false">IF(GI$2="","",IF(AND(GI35=GI$2,GJ35=GJ$2),3,IF(AND(GI$2&gt;GJ$2,GI35&gt;GJ35),1,IF(AND(GJ$2&gt;GI$2,GJ35&gt;GI35),1,IF(AND(GI$2=GJ$2,GI35=GJ35),1,0)))))</f>
        <v/>
      </c>
      <c r="GL35" s="1" t="n">
        <f aca="false">Participantes!EA34</f>
        <v>0</v>
      </c>
      <c r="GM35" s="1" t="n">
        <f aca="false">Participantes!EB34</f>
        <v>0</v>
      </c>
      <c r="GN35" s="82" t="str">
        <f aca="false">IF(GL$2="","",IF(AND(GL35=GL$2,GM35=GM$2),3,IF(AND(GL$2&gt;GM$2,GL35&gt;GM35),1,IF(AND(GM$2&gt;GL$2,GM35&gt;GL35),1,IF(AND(GL$2=GM$2,GL35=GM35),1,0)))))</f>
        <v/>
      </c>
      <c r="GO35" s="1" t="n">
        <f aca="false">Participantes!EC34</f>
        <v>0</v>
      </c>
      <c r="GP35" s="1" t="n">
        <f aca="false">Participantes!ED34</f>
        <v>0</v>
      </c>
      <c r="GQ35" s="82" t="str">
        <f aca="false">IF(GO$2="","",IF(AND(GO35=GO$2,GP35=GP$2),3,IF(AND(GO$2&gt;GP$2,GO35&gt;GP35),1,IF(AND(GP$2&gt;GO$2,GP35&gt;GO35),1,IF(AND(GO$2=GP$2,GO35=GP35),1,0)))))</f>
        <v/>
      </c>
      <c r="GR35" s="1" t="n">
        <f aca="false">Participantes!EE34</f>
        <v>0</v>
      </c>
      <c r="GS35" s="1" t="n">
        <f aca="false">Participantes!EF34</f>
        <v>0</v>
      </c>
      <c r="GT35" s="82" t="str">
        <f aca="false">IF(GR$2="","",IF(AND(GR35=GR$2,GS35=GS$2),3,IF(AND(GR$2&gt;GS$2,GR35&gt;GS35),1,IF(AND(GS$2&gt;GR$2,GS35&gt;GR35),1,IF(AND(GR$2=GS$2,GR35=GS35),1,0)))))</f>
        <v/>
      </c>
      <c r="GU35" s="1" t="n">
        <f aca="false">Participantes!EG34</f>
        <v>0</v>
      </c>
      <c r="GV35" s="1" t="n">
        <f aca="false">Participantes!EH34</f>
        <v>0</v>
      </c>
      <c r="GW35" s="82" t="str">
        <f aca="false">IF(GU$2="","",IF(AND(GU35=GU$2,GV35=GV$2),3,IF(AND(GU$2&gt;GV$2,GU35&gt;GV35),1,IF(AND(GV$2&gt;GU$2,GV35&gt;GU35),1,IF(AND(GU$2=GV$2,GU35=GV35),1,0)))))</f>
        <v/>
      </c>
      <c r="GX35" s="1" t="n">
        <f aca="false">Participantes!EI34</f>
        <v>0</v>
      </c>
      <c r="GY35" s="1" t="n">
        <f aca="false">Participantes!EJ34</f>
        <v>0</v>
      </c>
      <c r="GZ35" s="82" t="str">
        <f aca="false">IF(GX$2="","",IF(AND(GX35=GX$2,GY35=GY$2),3,IF(AND(GX$2&gt;GY$2,GX35&gt;GY35),1,IF(AND(GY$2&gt;GX$2,GY35&gt;GX35),1,IF(AND(GX$2=GY$2,GX35=GY35),1,0)))))</f>
        <v/>
      </c>
      <c r="HA35" s="1" t="n">
        <f aca="false">Participantes!EK34</f>
        <v>0</v>
      </c>
      <c r="HB35" s="1" t="n">
        <f aca="false">Participantes!EL34</f>
        <v>0</v>
      </c>
      <c r="HC35" s="82" t="str">
        <f aca="false">IF(HA$2="","",IF(AND(HA35=HA$2,HB35=HB$2),3,IF(AND(HA$2&gt;HB$2,HA35&gt;HB35),1,IF(AND(HB$2&gt;HA$2,HB35&gt;HA35),1,IF(AND(HA$2=HB$2,HA35=HB35),1,0)))))</f>
        <v/>
      </c>
      <c r="HD35" s="1" t="n">
        <f aca="false">Participantes!EM34</f>
        <v>0</v>
      </c>
      <c r="HE35" s="1" t="n">
        <f aca="false">Participantes!EN34</f>
        <v>0</v>
      </c>
      <c r="HF35" s="82" t="str">
        <f aca="false">IF(HD$2="","",IF(AND(HD35=HD$2,HE35=HE$2),3,IF(AND(HD$2&gt;HE$2,HD35&gt;HE35),1,IF(AND(HE$2&gt;HD$2,HE35&gt;HD35),1,IF(AND(HD$2=HE$2,HD35=HE35),1,0)))))</f>
        <v/>
      </c>
      <c r="HG35" s="1" t="n">
        <f aca="false">Participantes!EO34</f>
        <v>0</v>
      </c>
      <c r="HH35" s="1" t="n">
        <f aca="false">Participantes!EP34</f>
        <v>0</v>
      </c>
      <c r="HI35" s="82" t="str">
        <f aca="false">IF(HG$2="","",IF(AND(HG35=HG$2,HH35=HH$2),3,IF(AND(HG$2&gt;HH$2,HG35&gt;HH35),1,IF(AND(HH$2&gt;HG$2,HH35&gt;HG35),1,IF(AND(HG$2=HH$2,HG35=HH35),1,0)))))</f>
        <v/>
      </c>
      <c r="HJ35" s="83" t="n">
        <f aca="false">SUM(D35,G35,J35,M35,P35,S35,V35,Y35,AB35,AE35,AH35,AK35,AN35,AQ35,AT35,AW35,AZ35,BC35,BF35,BI35,BL35,BO35,BR35,BU35,BX35,CA35,CD35,CG35,CJ35,CM35,CP35,CS35,CV35,CY35,DB35,DE35,DH35,DK35,DN35,DQ35,DT35,DW35,DZ35,EC35,EF35,EI35,EL35,EO35,ER35,EU35,EX35,FA35,FD35,FG35,FJ35,FM35,FP35,FS35,FV35,FY35,GB35,GE35,GH35,GK35,GN35,GQ35,GT35,GW35,GZ35,HC35,HF35,HI35)</f>
        <v>1</v>
      </c>
    </row>
    <row r="36" customFormat="false" ht="15" hidden="false" customHeight="true" outlineLevel="0" collapsed="false">
      <c r="A36" s="81" t="str">
        <f aca="false">Participantes!B35</f>
        <v>Milagros</v>
      </c>
      <c r="B36" s="1" t="n">
        <f aca="false">Participantes!C35</f>
        <v>2</v>
      </c>
      <c r="C36" s="1" t="n">
        <f aca="false">Participantes!D35</f>
        <v>0</v>
      </c>
      <c r="D36" s="82" t="n">
        <f aca="false">IF(B$2="","",IF(AND(B36=B$2,C36=C$2),3,IF(AND(B$2&gt;C$2,B36&gt;C36),1,IF(AND(C$2&gt;B$2,C36&gt;B36),1,IF(AND(B$2=C$2,B36=C36),1,0)))))</f>
        <v>3</v>
      </c>
      <c r="E36" s="1" t="n">
        <f aca="false">Participantes!E35</f>
        <v>3</v>
      </c>
      <c r="F36" s="1" t="n">
        <f aca="false">Participantes!F35</f>
        <v>1</v>
      </c>
      <c r="G36" s="82" t="str">
        <f aca="false">IF(E$2="","",IF(AND(E36=E$2,F36=F$2),3,IF(AND(E$2&gt;F$2,E36&gt;F36),1,IF(AND(F$2&gt;E$2,F36&gt;E36),1,IF(AND(E$2=F$2,E36=F36),1,0)))))</f>
        <v/>
      </c>
      <c r="H36" s="1" t="n">
        <f aca="false">Participantes!G35</f>
        <v>2</v>
      </c>
      <c r="I36" s="1" t="n">
        <f aca="false">Participantes!H35</f>
        <v>1</v>
      </c>
      <c r="J36" s="82" t="str">
        <f aca="false">IF(H$2="","",IF(AND(H36=H$2,I36=I$2),3,IF(AND(H$2&gt;I$2,H36&gt;I36),1,IF(AND(I$2&gt;H$2,I36&gt;H36),1,IF(AND(H$2=I$2,H36=I36),1,0)))))</f>
        <v/>
      </c>
      <c r="K36" s="1" t="n">
        <f aca="false">Participantes!I35</f>
        <v>2</v>
      </c>
      <c r="L36" s="1" t="n">
        <f aca="false">Participantes!J35</f>
        <v>1</v>
      </c>
      <c r="M36" s="82" t="str">
        <f aca="false">IF(K$2="","",IF(AND(K36=K$2,L36=L$2),3,IF(AND(K$2&gt;L$2,K36&gt;L36),1,IF(AND(L$2&gt;K$2,L36&gt;K36),1,IF(AND(K$2=L$2,K36=L36),1,0)))))</f>
        <v/>
      </c>
      <c r="N36" s="1" t="n">
        <f aca="false">Participantes!K35</f>
        <v>1</v>
      </c>
      <c r="O36" s="1" t="n">
        <f aca="false">Participantes!L35</f>
        <v>1</v>
      </c>
      <c r="P36" s="82" t="str">
        <f aca="false">IF(N$2="","",IF(AND(N36=N$2,O36=O$2),3,IF(AND(N$2&gt;O$2,N36&gt;O36),1,IF(AND(O$2&gt;N$2,O36&gt;N36),1,IF(AND(N$2=O$2,N36=O36),1,0)))))</f>
        <v/>
      </c>
      <c r="Q36" s="1" t="n">
        <f aca="false">Participantes!M35</f>
        <v>1</v>
      </c>
      <c r="R36" s="1" t="n">
        <f aca="false">Participantes!N35</f>
        <v>2</v>
      </c>
      <c r="S36" s="82" t="str">
        <f aca="false">IF(Q$2="","",IF(AND(Q36=Q$2,R36=R$2),3,IF(AND(Q$2&gt;R$2,Q36&gt;R36),1,IF(AND(R$2&gt;Q$2,R36&gt;Q36),1,IF(AND(Q$2=R$2,Q36=R36),1,0)))))</f>
        <v/>
      </c>
      <c r="T36" s="1" t="n">
        <f aca="false">Participantes!O35</f>
        <v>2</v>
      </c>
      <c r="U36" s="1" t="n">
        <f aca="false">Participantes!P35</f>
        <v>1</v>
      </c>
      <c r="V36" s="82" t="str">
        <f aca="false">IF(T$2="","",IF(AND(T36=T$2,U36=U$2),3,IF(AND(T$2&gt;U$2,T36&gt;U36),1,IF(AND(U$2&gt;T$2,U36&gt;T36),1,IF(AND(T$2=U$2,T36=U36),1,0)))))</f>
        <v/>
      </c>
      <c r="W36" s="1" t="n">
        <f aca="false">Participantes!Q35</f>
        <v>1</v>
      </c>
      <c r="X36" s="1" t="n">
        <f aca="false">Participantes!R35</f>
        <v>1</v>
      </c>
      <c r="Y36" s="82" t="str">
        <f aca="false">IF(W$2="","",IF(AND(W36=W$2,X36=X$2),3,IF(AND(W$2&gt;X$2,W36&gt;X36),1,IF(AND(X$2&gt;W$2,X36&gt;W36),1,IF(AND(W$2=X$2,W36=X36),1,0)))))</f>
        <v/>
      </c>
      <c r="Z36" s="1" t="n">
        <f aca="false">Participantes!S35</f>
        <v>1</v>
      </c>
      <c r="AA36" s="1" t="n">
        <f aca="false">Participantes!T35</f>
        <v>1</v>
      </c>
      <c r="AB36" s="82" t="str">
        <f aca="false">IF(Z$2="","",IF(AND(Z36=Z$2,AA36=AA$2),3,IF(AND(Z$2&gt;AA$2,Z36&gt;AA36),1,IF(AND(AA$2&gt;Z$2,AA36&gt;Z36),1,IF(AND(Z$2=AA$2,Z36=AA36),1,0)))))</f>
        <v/>
      </c>
      <c r="AC36" s="1" t="n">
        <f aca="false">Participantes!U35</f>
        <v>3</v>
      </c>
      <c r="AD36" s="1" t="n">
        <f aca="false">Participantes!V35</f>
        <v>1</v>
      </c>
      <c r="AE36" s="82" t="str">
        <f aca="false">IF(AC$2="","",IF(AND(AC36=AC$2,AD36=AD$2),3,IF(AND(AC$2&gt;AD$2,AC36&gt;AD36),1,IF(AND(AD$2&gt;AC$2,AD36&gt;AC36),1,IF(AND(AC$2=AD$2,AC36=AD36),1,0)))))</f>
        <v/>
      </c>
      <c r="AF36" s="1" t="n">
        <f aca="false">Participantes!W35</f>
        <v>2</v>
      </c>
      <c r="AG36" s="1" t="n">
        <f aca="false">Participantes!X35</f>
        <v>1</v>
      </c>
      <c r="AH36" s="82" t="str">
        <f aca="false">IF(AF$2="","",IF(AND(AF36=AF$2,AG36=AG$2),3,IF(AND(AF$2&gt;AG$2,AF36&gt;AG36),1,IF(AND(AG$2&gt;AF$2,AG36&gt;AF36),1,IF(AND(AF$2=AG$2,AF36=AG36),1,0)))))</f>
        <v/>
      </c>
      <c r="AI36" s="1" t="n">
        <f aca="false">Participantes!Y35</f>
        <v>1</v>
      </c>
      <c r="AJ36" s="1" t="n">
        <f aca="false">Participantes!Z35</f>
        <v>1</v>
      </c>
      <c r="AK36" s="82" t="str">
        <f aca="false">IF(AI$2="","",IF(AND(AI36=AI$2,AJ36=AJ$2),3,IF(AND(AI$2&gt;AJ$2,AI36&gt;AJ36),1,IF(AND(AJ$2&gt;AI$2,AJ36&gt;AI36),1,IF(AND(AI$2=AJ$2,AI36=AJ36),1,0)))))</f>
        <v/>
      </c>
      <c r="AL36" s="1" t="n">
        <f aca="false">Participantes!AA35</f>
        <v>1</v>
      </c>
      <c r="AM36" s="1" t="n">
        <f aca="false">Participantes!AB35</f>
        <v>2</v>
      </c>
      <c r="AN36" s="82" t="str">
        <f aca="false">IF(AL$2="","",IF(AND(AL36=AL$2,AM36=AM$2),3,IF(AND(AL$2&gt;AM$2,AL36&gt;AM36),1,IF(AND(AM$2&gt;AL$2,AM36&gt;AL36),1,IF(AND(AL$2=AM$2,AL36=AM36),1,0)))))</f>
        <v/>
      </c>
      <c r="AO36" s="1" t="n">
        <f aca="false">Participantes!AC35</f>
        <v>3</v>
      </c>
      <c r="AP36" s="1" t="n">
        <f aca="false">Participantes!AD35</f>
        <v>0</v>
      </c>
      <c r="AQ36" s="82" t="str">
        <f aca="false">IF(AO$2="","",IF(AND(AO36=AO$2,AP36=AP$2),3,IF(AND(AO$2&gt;AP$2,AO36&gt;AP36),1,IF(AND(AP$2&gt;AO$2,AP36&gt;AO36),1,IF(AND(AO$2=AP$2,AO36=AP36),1,0)))))</f>
        <v/>
      </c>
      <c r="AR36" s="1" t="n">
        <f aca="false">Participantes!AE35</f>
        <v>0</v>
      </c>
      <c r="AS36" s="1" t="n">
        <f aca="false">Participantes!AF35</f>
        <v>0</v>
      </c>
      <c r="AT36" s="82" t="str">
        <f aca="false">IF(AR$2="","",IF(AND(AR36=AR$2,AS36=AS$2),3,IF(AND(AR$2&gt;AS$2,AR36&gt;AS36),1,IF(AND(AS$2&gt;AR$2,AS36&gt;AR36),1,IF(AND(AR$2=AS$2,AR36=AS36),1,0)))))</f>
        <v/>
      </c>
      <c r="AU36" s="1" t="n">
        <f aca="false">Participantes!AG35</f>
        <v>0</v>
      </c>
      <c r="AV36" s="1" t="n">
        <f aca="false">Participantes!AH35</f>
        <v>0</v>
      </c>
      <c r="AW36" s="82" t="str">
        <f aca="false">IF(AU$2="","",IF(AND(AU36=AU$2,AV36=AV$2),3,IF(AND(AU$2&gt;AV$2,AU36&gt;AV36),1,IF(AND(AV$2&gt;AU$2,AV36&gt;AU36),1,IF(AND(AU$2=AV$2,AU36=AV36),1,0)))))</f>
        <v/>
      </c>
      <c r="AX36" s="1" t="n">
        <f aca="false">Participantes!AI35</f>
        <v>0</v>
      </c>
      <c r="AY36" s="1" t="n">
        <f aca="false">Participantes!AJ35</f>
        <v>0</v>
      </c>
      <c r="AZ36" s="82" t="str">
        <f aca="false">IF(AX$2="","",IF(AND(AX36=AX$2,AY36=AY$2),3,IF(AND(AX$2&gt;AY$2,AX36&gt;AY36),1,IF(AND(AY$2&gt;AX$2,AY36&gt;AX36),1,IF(AND(AX$2=AY$2,AX36=AY36),1,0)))))</f>
        <v/>
      </c>
      <c r="BA36" s="1" t="n">
        <f aca="false">Participantes!AK35</f>
        <v>0</v>
      </c>
      <c r="BB36" s="1" t="n">
        <f aca="false">Participantes!AL35</f>
        <v>0</v>
      </c>
      <c r="BC36" s="82" t="str">
        <f aca="false">IF(BA$2="","",IF(AND(BA36=BA$2,BB36=BB$2),3,IF(AND(BA$2&gt;BB$2,BA36&gt;BB36),1,IF(AND(BB$2&gt;BA$2,BB36&gt;BA36),1,IF(AND(BA$2=BB$2,BA36=BB36),1,0)))))</f>
        <v/>
      </c>
      <c r="BD36" s="1" t="n">
        <f aca="false">Participantes!AM35</f>
        <v>0</v>
      </c>
      <c r="BE36" s="1" t="n">
        <f aca="false">Participantes!AN35</f>
        <v>0</v>
      </c>
      <c r="BF36" s="82" t="str">
        <f aca="false">IF(BD$2="","",IF(AND(BD36=BD$2,BE36=BE$2),3,IF(AND(BD$2&gt;BE$2,BD36&gt;BE36),1,IF(AND(BE$2&gt;BD$2,BE36&gt;BD36),1,IF(AND(BD$2=BE$2,BD36=BE36),1,0)))))</f>
        <v/>
      </c>
      <c r="BG36" s="1" t="n">
        <f aca="false">Participantes!AO35</f>
        <v>0</v>
      </c>
      <c r="BH36" s="1" t="n">
        <f aca="false">Participantes!AP35</f>
        <v>0</v>
      </c>
      <c r="BI36" s="82" t="str">
        <f aca="false">IF(BG$2="","",IF(AND(BG36=BG$2,BH36=BH$2),3,IF(AND(BG$2&gt;BH$2,BG36&gt;BH36),1,IF(AND(BH$2&gt;BG$2,BH36&gt;BG36),1,IF(AND(BG$2=BH$2,BG36=BH36),1,0)))))</f>
        <v/>
      </c>
      <c r="BJ36" s="1" t="n">
        <f aca="false">Participantes!AQ35</f>
        <v>0</v>
      </c>
      <c r="BK36" s="1" t="n">
        <f aca="false">Participantes!AR35</f>
        <v>0</v>
      </c>
      <c r="BL36" s="82" t="str">
        <f aca="false">IF(BJ$2="","",IF(AND(BJ36=BJ$2,BK36=BK$2),3,IF(AND(BJ$2&gt;BK$2,BJ36&gt;BK36),1,IF(AND(BK$2&gt;BJ$2,BK36&gt;BJ36),1,IF(AND(BJ$2=BK$2,BJ36=BK36),1,0)))))</f>
        <v/>
      </c>
      <c r="BM36" s="1" t="n">
        <f aca="false">Participantes!AS35</f>
        <v>0</v>
      </c>
      <c r="BN36" s="1" t="n">
        <f aca="false">Participantes!AT35</f>
        <v>0</v>
      </c>
      <c r="BO36" s="82" t="str">
        <f aca="false">IF(BM$2="","",IF(AND(BM36=BM$2,BN36=BN$2),3,IF(AND(BM$2&gt;BN$2,BM36&gt;BN36),1,IF(AND(BN$2&gt;BM$2,BN36&gt;BM36),1,IF(AND(BM$2=BN$2,BM36=BN36),1,0)))))</f>
        <v/>
      </c>
      <c r="BP36" s="1" t="n">
        <f aca="false">Participantes!AU35</f>
        <v>0</v>
      </c>
      <c r="BQ36" s="1" t="n">
        <f aca="false">Participantes!AV35</f>
        <v>0</v>
      </c>
      <c r="BR36" s="82" t="str">
        <f aca="false">IF(BP$2="","",IF(AND(BP36=BP$2,BQ36=BQ$2),3,IF(AND(BP$2&gt;BQ$2,BP36&gt;BQ36),1,IF(AND(BQ$2&gt;BP$2,BQ36&gt;BP36),1,IF(AND(BP$2=BQ$2,BP36=BQ36),1,0)))))</f>
        <v/>
      </c>
      <c r="BS36" s="1" t="n">
        <f aca="false">Participantes!AW35</f>
        <v>0</v>
      </c>
      <c r="BT36" s="1" t="n">
        <f aca="false">Participantes!AX35</f>
        <v>0</v>
      </c>
      <c r="BU36" s="82" t="str">
        <f aca="false">IF(BS$2="","",IF(AND(BS36=BS$2,BT36=BT$2),3,IF(AND(BS$2&gt;BT$2,BS36&gt;BT36),1,IF(AND(BT$2&gt;BS$2,BT36&gt;BS36),1,IF(AND(BS$2=BT$2,BS36=BT36),1,0)))))</f>
        <v/>
      </c>
      <c r="BV36" s="1" t="n">
        <f aca="false">Participantes!AY35</f>
        <v>0</v>
      </c>
      <c r="BW36" s="1" t="n">
        <f aca="false">Participantes!AZ35</f>
        <v>0</v>
      </c>
      <c r="BX36" s="82" t="str">
        <f aca="false">IF(BV$2="","",IF(AND(BV36=BV$2,BW36=BW$2),3,IF(AND(BV$2&gt;BW$2,BV36&gt;BW36),1,IF(AND(BW$2&gt;BV$2,BW36&gt;BV36),1,IF(AND(BV$2=BW$2,BV36=BW36),1,0)))))</f>
        <v/>
      </c>
      <c r="BY36" s="1" t="n">
        <f aca="false">Participantes!BA35</f>
        <v>0</v>
      </c>
      <c r="BZ36" s="1" t="n">
        <f aca="false">Participantes!BB35</f>
        <v>0</v>
      </c>
      <c r="CA36" s="82" t="str">
        <f aca="false">IF(BY$2="","",IF(AND(BY36=BY$2,BZ36=BZ$2),3,IF(AND(BY$2&gt;BZ$2,BY36&gt;BZ36),1,IF(AND(BZ$2&gt;BY$2,BZ36&gt;BY36),1,IF(AND(BY$2=BZ$2,BY36=BZ36),1,0)))))</f>
        <v/>
      </c>
      <c r="CB36" s="1" t="n">
        <f aca="false">Participantes!BC35</f>
        <v>0</v>
      </c>
      <c r="CC36" s="1" t="n">
        <f aca="false">Participantes!BD35</f>
        <v>0</v>
      </c>
      <c r="CD36" s="82" t="str">
        <f aca="false">IF(CB$2="","",IF(AND(CB36=CB$2,CC36=CC$2),3,IF(AND(CB$2&gt;CC$2,CB36&gt;CC36),1,IF(AND(CC$2&gt;CB$2,CC36&gt;CB36),1,IF(AND(CB$2=CC$2,CB36=CC36),1,0)))))</f>
        <v/>
      </c>
      <c r="CE36" s="1" t="n">
        <f aca="false">Participantes!BE35</f>
        <v>0</v>
      </c>
      <c r="CF36" s="1" t="n">
        <f aca="false">Participantes!BF35</f>
        <v>0</v>
      </c>
      <c r="CG36" s="82" t="str">
        <f aca="false">IF(CE$2="","",IF(AND(CE36=CE$2,CF36=CF$2),3,IF(AND(CE$2&gt;CF$2,CE36&gt;CF36),1,IF(AND(CF$2&gt;CE$2,CF36&gt;CE36),1,IF(AND(CE$2=CF$2,CE36=CF36),1,0)))))</f>
        <v/>
      </c>
      <c r="CH36" s="1" t="n">
        <f aca="false">Participantes!BG35</f>
        <v>0</v>
      </c>
      <c r="CI36" s="1" t="n">
        <f aca="false">Participantes!BH35</f>
        <v>0</v>
      </c>
      <c r="CJ36" s="82" t="str">
        <f aca="false">IF(CH$2="","",IF(AND(CH36=CH$2,CI36=CI$2),3,IF(AND(CH$2&gt;CI$2,CH36&gt;CI36),1,IF(AND(CI$2&gt;CH$2,CI36&gt;CH36),1,IF(AND(CH$2=CI$2,CH36=CI36),1,0)))))</f>
        <v/>
      </c>
      <c r="CK36" s="1" t="n">
        <f aca="false">Participantes!BI35</f>
        <v>0</v>
      </c>
      <c r="CL36" s="1" t="n">
        <f aca="false">Participantes!BJ35</f>
        <v>0</v>
      </c>
      <c r="CM36" s="82" t="str">
        <f aca="false">IF(CK$2="","",IF(AND(CK36=CK$2,CL36=CL$2),3,IF(AND(CK$2&gt;CL$2,CK36&gt;CL36),1,IF(AND(CL$2&gt;CK$2,CL36&gt;CK36),1,IF(AND(CK$2=CL$2,CK36=CL36),1,0)))))</f>
        <v/>
      </c>
      <c r="CN36" s="1" t="n">
        <f aca="false">Participantes!BK35</f>
        <v>0</v>
      </c>
      <c r="CO36" s="1" t="n">
        <f aca="false">Participantes!BL35</f>
        <v>0</v>
      </c>
      <c r="CP36" s="82" t="str">
        <f aca="false">IF(CN$2="","",IF(AND(CN36=CN$2,CO36=CO$2),3,IF(AND(CN$2&gt;CO$2,CN36&gt;CO36),1,IF(AND(CO$2&gt;CN$2,CO36&gt;CN36),1,IF(AND(CN$2=CO$2,CN36=CO36),1,0)))))</f>
        <v/>
      </c>
      <c r="CQ36" s="1" t="n">
        <f aca="false">Participantes!BM35</f>
        <v>0</v>
      </c>
      <c r="CR36" s="1" t="n">
        <f aca="false">Participantes!BN35</f>
        <v>0</v>
      </c>
      <c r="CS36" s="82" t="str">
        <f aca="false">IF(CQ$2="","",IF(AND(CQ36=CQ$2,CR36=CR$2),3,IF(AND(CQ$2&gt;CR$2,CQ36&gt;CR36),1,IF(AND(CR$2&gt;CQ$2,CR36&gt;CQ36),1,IF(AND(CQ$2=CR$2,CQ36=CR36),1,0)))))</f>
        <v/>
      </c>
      <c r="CT36" s="1" t="n">
        <f aca="false">Participantes!BO35</f>
        <v>0</v>
      </c>
      <c r="CU36" s="1" t="n">
        <f aca="false">Participantes!BP35</f>
        <v>0</v>
      </c>
      <c r="CV36" s="82" t="str">
        <f aca="false">IF(CT$2="","",IF(AND(CT36=CT$2,CU36=CU$2),3,IF(AND(CT$2&gt;CU$2,CT36&gt;CU36),1,IF(AND(CU$2&gt;CT$2,CU36&gt;CT36),1,IF(AND(CT$2=CU$2,CT36=CU36),1,0)))))</f>
        <v/>
      </c>
      <c r="CW36" s="1" t="n">
        <f aca="false">Participantes!BQ35</f>
        <v>0</v>
      </c>
      <c r="CX36" s="1" t="n">
        <f aca="false">Participantes!BR35</f>
        <v>0</v>
      </c>
      <c r="CY36" s="82" t="str">
        <f aca="false">IF(CW$2="","",IF(AND(CW36=CW$2,CX36=CX$2),3,IF(AND(CW$2&gt;CX$2,CW36&gt;CX36),1,IF(AND(CX$2&gt;CW$2,CX36&gt;CW36),1,IF(AND(CW$2=CX$2,CW36=CX36),1,0)))))</f>
        <v/>
      </c>
      <c r="CZ36" s="1" t="n">
        <f aca="false">Participantes!BS35</f>
        <v>0</v>
      </c>
      <c r="DA36" s="1" t="n">
        <f aca="false">Participantes!BT35</f>
        <v>0</v>
      </c>
      <c r="DB36" s="82" t="str">
        <f aca="false">IF(CZ$2="","",IF(AND(CZ36=CZ$2,DA36=DA$2),3,IF(AND(CZ$2&gt;DA$2,CZ36&gt;DA36),1,IF(AND(DA$2&gt;CZ$2,DA36&gt;CZ36),1,IF(AND(CZ$2=DA$2,CZ36=DA36),1,0)))))</f>
        <v/>
      </c>
      <c r="DC36" s="1" t="n">
        <f aca="false">Participantes!BU35</f>
        <v>0</v>
      </c>
      <c r="DD36" s="1" t="n">
        <f aca="false">Participantes!BV35</f>
        <v>0</v>
      </c>
      <c r="DE36" s="82" t="str">
        <f aca="false">IF(DC$2="","",IF(AND(DC36=DC$2,DD36=DD$2),3,IF(AND(DC$2&gt;DD$2,DC36&gt;DD36),1,IF(AND(DD$2&gt;DC$2,DD36&gt;DC36),1,IF(AND(DC$2=DD$2,DC36=DD36),1,0)))))</f>
        <v/>
      </c>
      <c r="DF36" s="1" t="n">
        <f aca="false">Participantes!BW35</f>
        <v>0</v>
      </c>
      <c r="DG36" s="1" t="n">
        <f aca="false">Participantes!BX35</f>
        <v>0</v>
      </c>
      <c r="DH36" s="82" t="str">
        <f aca="false">IF(DF$2="","",IF(AND(DF36=DF$2,DG36=DG$2),3,IF(AND(DF$2&gt;DG$2,DF36&gt;DG36),1,IF(AND(DG$2&gt;DF$2,DG36&gt;DF36),1,IF(AND(DF$2=DG$2,DF36=DG36),1,0)))))</f>
        <v/>
      </c>
      <c r="DI36" s="1" t="n">
        <f aca="false">Participantes!BY35</f>
        <v>0</v>
      </c>
      <c r="DJ36" s="1" t="n">
        <f aca="false">Participantes!BZ35</f>
        <v>0</v>
      </c>
      <c r="DK36" s="82" t="str">
        <f aca="false">IF(DI$2="","",IF(AND(DI36=DI$2,DJ36=DJ$2),3,IF(AND(DI$2&gt;DJ$2,DI36&gt;DJ36),1,IF(AND(DJ$2&gt;DI$2,DJ36&gt;DI36),1,IF(AND(DI$2=DJ$2,DI36=DJ36),1,0)))))</f>
        <v/>
      </c>
      <c r="DL36" s="1" t="n">
        <f aca="false">Participantes!CA35</f>
        <v>0</v>
      </c>
      <c r="DM36" s="1" t="n">
        <f aca="false">Participantes!CB35</f>
        <v>0</v>
      </c>
      <c r="DN36" s="82" t="str">
        <f aca="false">IF(DL$2="","",IF(AND(DL36=DL$2,DM36=DM$2),3,IF(AND(DL$2&gt;DM$2,DL36&gt;DM36),1,IF(AND(DM$2&gt;DL$2,DM36&gt;DL36),1,IF(AND(DL$2=DM$2,DL36=DM36),1,0)))))</f>
        <v/>
      </c>
      <c r="DO36" s="1" t="n">
        <f aca="false">Participantes!CC35</f>
        <v>0</v>
      </c>
      <c r="DP36" s="1" t="n">
        <f aca="false">Participantes!CD35</f>
        <v>0</v>
      </c>
      <c r="DQ36" s="82" t="str">
        <f aca="false">IF(DO$2="","",IF(AND(DO36=DO$2,DP36=DP$2),3,IF(AND(DO$2&gt;DP$2,DO36&gt;DP36),1,IF(AND(DP$2&gt;DO$2,DP36&gt;DO36),1,IF(AND(DO$2=DP$2,DO36=DP36),1,0)))))</f>
        <v/>
      </c>
      <c r="DR36" s="1" t="n">
        <f aca="false">Participantes!CE35</f>
        <v>0</v>
      </c>
      <c r="DS36" s="1" t="n">
        <f aca="false">Participantes!CF35</f>
        <v>0</v>
      </c>
      <c r="DT36" s="82" t="str">
        <f aca="false">IF(DR$2="","",IF(AND(DR36=DR$2,DS36=DS$2),3,IF(AND(DR$2&gt;DS$2,DR36&gt;DS36),1,IF(AND(DS$2&gt;DR$2,DS36&gt;DR36),1,IF(AND(DR$2=DS$2,DR36=DS36),1,0)))))</f>
        <v/>
      </c>
      <c r="DU36" s="1" t="n">
        <f aca="false">Participantes!CG35</f>
        <v>0</v>
      </c>
      <c r="DV36" s="1" t="n">
        <f aca="false">Participantes!CH35</f>
        <v>0</v>
      </c>
      <c r="DW36" s="82" t="str">
        <f aca="false">IF(DU$2="","",IF(AND(DU36=DU$2,DV36=DV$2),3,IF(AND(DU$2&gt;DV$2,DU36&gt;DV36),1,IF(AND(DV$2&gt;DU$2,DV36&gt;DU36),1,IF(AND(DU$2=DV$2,DU36=DV36),1,0)))))</f>
        <v/>
      </c>
      <c r="DX36" s="1" t="n">
        <f aca="false">Participantes!CI35</f>
        <v>0</v>
      </c>
      <c r="DY36" s="1" t="n">
        <f aca="false">Participantes!CJ35</f>
        <v>0</v>
      </c>
      <c r="DZ36" s="82" t="str">
        <f aca="false">IF(DX$2="","",IF(AND(DX36=DX$2,DY36=DY$2),3,IF(AND(DX$2&gt;DY$2,DX36&gt;DY36),1,IF(AND(DY$2&gt;DX$2,DY36&gt;DX36),1,IF(AND(DX$2=DY$2,DX36=DY36),1,0)))))</f>
        <v/>
      </c>
      <c r="EA36" s="1" t="n">
        <f aca="false">Participantes!CK35</f>
        <v>0</v>
      </c>
      <c r="EB36" s="1" t="n">
        <f aca="false">Participantes!CL35</f>
        <v>0</v>
      </c>
      <c r="EC36" s="82" t="str">
        <f aca="false">IF(EA$2="","",IF(AND(EA36=EA$2,EB36=EB$2),3,IF(AND(EA$2&gt;EB$2,EA36&gt;EB36),1,IF(AND(EB$2&gt;EA$2,EB36&gt;EA36),1,IF(AND(EA$2=EB$2,EA36=EB36),1,0)))))</f>
        <v/>
      </c>
      <c r="ED36" s="1" t="n">
        <f aca="false">Participantes!CM35</f>
        <v>0</v>
      </c>
      <c r="EE36" s="1" t="n">
        <f aca="false">Participantes!CN35</f>
        <v>0</v>
      </c>
      <c r="EF36" s="82" t="str">
        <f aca="false">IF(ED$2="","",IF(AND(ED36=ED$2,EE36=EE$2),3,IF(AND(ED$2&gt;EE$2,ED36&gt;EE36),1,IF(AND(EE$2&gt;ED$2,EE36&gt;ED36),1,IF(AND(ED$2=EE$2,ED36=EE36),1,0)))))</f>
        <v/>
      </c>
      <c r="EG36" s="1" t="n">
        <f aca="false">Participantes!CO35</f>
        <v>0</v>
      </c>
      <c r="EH36" s="1" t="n">
        <f aca="false">Participantes!CP35</f>
        <v>0</v>
      </c>
      <c r="EI36" s="82" t="str">
        <f aca="false">IF(EG$2="","",IF(AND(EG36=EG$2,EH36=EH$2),3,IF(AND(EG$2&gt;EH$2,EG36&gt;EH36),1,IF(AND(EH$2&gt;EG$2,EH36&gt;EG36),1,IF(AND(EG$2=EH$2,EG36=EH36),1,0)))))</f>
        <v/>
      </c>
      <c r="EJ36" s="1" t="n">
        <f aca="false">Participantes!CQ35</f>
        <v>0</v>
      </c>
      <c r="EK36" s="1" t="n">
        <f aca="false">Participantes!CR35</f>
        <v>0</v>
      </c>
      <c r="EL36" s="82" t="str">
        <f aca="false">IF(EJ$2="","",IF(AND(EJ36=EJ$2,EK36=EK$2),3,IF(AND(EJ$2&gt;EK$2,EJ36&gt;EK36),1,IF(AND(EK$2&gt;EJ$2,EK36&gt;EJ36),1,IF(AND(EJ$2=EK$2,EJ36=EK36),1,0)))))</f>
        <v/>
      </c>
      <c r="EM36" s="1" t="n">
        <f aca="false">Participantes!CS35</f>
        <v>0</v>
      </c>
      <c r="EN36" s="1" t="n">
        <f aca="false">Participantes!CT35</f>
        <v>0</v>
      </c>
      <c r="EO36" s="82" t="str">
        <f aca="false">IF(EM$2="","",IF(AND(EM36=EM$2,EN36=EN$2),3,IF(AND(EM$2&gt;EN$2,EM36&gt;EN36),1,IF(AND(EN$2&gt;EM$2,EN36&gt;EM36),1,IF(AND(EM$2=EN$2,EM36=EN36),1,0)))))</f>
        <v/>
      </c>
      <c r="EP36" s="1" t="n">
        <f aca="false">Participantes!CU35</f>
        <v>0</v>
      </c>
      <c r="EQ36" s="1" t="n">
        <f aca="false">Participantes!CV35</f>
        <v>0</v>
      </c>
      <c r="ER36" s="82" t="str">
        <f aca="false">IF(EP$2="","",IF(AND(EP36=EP$2,EQ36=EQ$2),3,IF(AND(EP$2&gt;EQ$2,EP36&gt;EQ36),1,IF(AND(EQ$2&gt;EP$2,EQ36&gt;EP36),1,IF(AND(EP$2=EQ$2,EP36=EQ36),1,0)))))</f>
        <v/>
      </c>
      <c r="ES36" s="1" t="n">
        <f aca="false">Participantes!CW35</f>
        <v>0</v>
      </c>
      <c r="ET36" s="1" t="n">
        <f aca="false">Participantes!CX35</f>
        <v>0</v>
      </c>
      <c r="EU36" s="82" t="str">
        <f aca="false">IF(ES$2="","",IF(AND(ES36=ES$2,ET36=ET$2),3,IF(AND(ES$2&gt;ET$2,ES36&gt;ET36),1,IF(AND(ET$2&gt;ES$2,ET36&gt;ES36),1,IF(AND(ES$2=ET$2,ES36=ET36),1,0)))))</f>
        <v/>
      </c>
      <c r="EV36" s="1" t="n">
        <f aca="false">Participantes!CY35</f>
        <v>0</v>
      </c>
      <c r="EW36" s="1" t="n">
        <f aca="false">Participantes!CZ35</f>
        <v>0</v>
      </c>
      <c r="EX36" s="82" t="str">
        <f aca="false">IF(EV$2="","",IF(AND(EV36=EV$2,EW36=EW$2),3,IF(AND(EV$2&gt;EW$2,EV36&gt;EW36),1,IF(AND(EW$2&gt;EV$2,EW36&gt;EV36),1,IF(AND(EV$2=EW$2,EV36=EW36),1,0)))))</f>
        <v/>
      </c>
      <c r="EY36" s="1" t="n">
        <f aca="false">Participantes!DA35</f>
        <v>0</v>
      </c>
      <c r="EZ36" s="1" t="n">
        <f aca="false">Participantes!DB35</f>
        <v>0</v>
      </c>
      <c r="FA36" s="82" t="str">
        <f aca="false">IF(EY$2="","",IF(AND(EY36=EY$2,EZ36=EZ$2),3,IF(AND(EY$2&gt;EZ$2,EY36&gt;EZ36),1,IF(AND(EZ$2&gt;EY$2,EZ36&gt;EY36),1,IF(AND(EY$2=EZ$2,EY36=EZ36),1,0)))))</f>
        <v/>
      </c>
      <c r="FB36" s="1" t="n">
        <f aca="false">Participantes!DC35</f>
        <v>0</v>
      </c>
      <c r="FC36" s="1" t="n">
        <f aca="false">Participantes!DD35</f>
        <v>0</v>
      </c>
      <c r="FD36" s="82" t="str">
        <f aca="false">IF(FB$2="","",IF(AND(FB36=FB$2,FC36=FC$2),3,IF(AND(FB$2&gt;FC$2,FB36&gt;FC36),1,IF(AND(FC$2&gt;FB$2,FC36&gt;FB36),1,IF(AND(FB$2=FC$2,FB36=FC36),1,0)))))</f>
        <v/>
      </c>
      <c r="FE36" s="1" t="n">
        <f aca="false">Participantes!DE35</f>
        <v>0</v>
      </c>
      <c r="FF36" s="1" t="n">
        <f aca="false">Participantes!DF35</f>
        <v>0</v>
      </c>
      <c r="FG36" s="82" t="str">
        <f aca="false">IF(FE$2="","",IF(AND(FE36=FE$2,FF36=FF$2),3,IF(AND(FE$2&gt;FF$2,FE36&gt;FF36),1,IF(AND(FF$2&gt;FE$2,FF36&gt;FE36),1,IF(AND(FE$2=FF$2,FE36=FF36),1,0)))))</f>
        <v/>
      </c>
      <c r="FH36" s="1" t="n">
        <f aca="false">Participantes!DG35</f>
        <v>0</v>
      </c>
      <c r="FI36" s="1" t="n">
        <f aca="false">Participantes!DH35</f>
        <v>0</v>
      </c>
      <c r="FJ36" s="82" t="str">
        <f aca="false">IF(FH$2="","",IF(AND(FH36=FH$2,FI36=FI$2),3,IF(AND(FH$2&gt;FI$2,FH36&gt;FI36),1,IF(AND(FI$2&gt;FH$2,FI36&gt;FH36),1,IF(AND(FH$2=FI$2,FH36=FI36),1,0)))))</f>
        <v/>
      </c>
      <c r="FK36" s="1" t="n">
        <f aca="false">Participantes!DI35</f>
        <v>0</v>
      </c>
      <c r="FL36" s="1" t="n">
        <f aca="false">Participantes!DJ35</f>
        <v>0</v>
      </c>
      <c r="FM36" s="82" t="str">
        <f aca="false">IF(FK$2="","",IF(AND(FK36=FK$2,FL36=FL$2),3,IF(AND(FK$2&gt;FL$2,FK36&gt;FL36),1,IF(AND(FL$2&gt;FK$2,FL36&gt;FK36),1,IF(AND(FK$2=FL$2,FK36=FL36),1,0)))))</f>
        <v/>
      </c>
      <c r="FN36" s="1" t="n">
        <f aca="false">Participantes!DK35</f>
        <v>0</v>
      </c>
      <c r="FO36" s="1" t="n">
        <f aca="false">Participantes!DL35</f>
        <v>0</v>
      </c>
      <c r="FP36" s="82" t="str">
        <f aca="false">IF(FN$2="","",IF(AND(FN36=FN$2,FO36=FO$2),3,IF(AND(FN$2&gt;FO$2,FN36&gt;FO36),1,IF(AND(FO$2&gt;FN$2,FO36&gt;FN36),1,IF(AND(FN$2=FO$2,FN36=FO36),1,0)))))</f>
        <v/>
      </c>
      <c r="FQ36" s="1" t="n">
        <f aca="false">Participantes!DM35</f>
        <v>0</v>
      </c>
      <c r="FR36" s="1" t="n">
        <f aca="false">Participantes!DN35</f>
        <v>0</v>
      </c>
      <c r="FS36" s="82" t="str">
        <f aca="false">IF(FQ$2="","",IF(AND(FQ36=FQ$2,FR36=FR$2),3,IF(AND(FQ$2&gt;FR$2,FQ36&gt;FR36),1,IF(AND(FR$2&gt;FQ$2,FR36&gt;FQ36),1,IF(AND(FQ$2=FR$2,FQ36=FR36),1,0)))))</f>
        <v/>
      </c>
      <c r="FT36" s="1" t="n">
        <f aca="false">Participantes!DO35</f>
        <v>0</v>
      </c>
      <c r="FU36" s="1" t="n">
        <f aca="false">Participantes!DP35</f>
        <v>0</v>
      </c>
      <c r="FV36" s="82" t="str">
        <f aca="false">IF(FT$2="","",IF(AND(FT36=FT$2,FU36=FU$2),3,IF(AND(FT$2&gt;FU$2,FT36&gt;FU36),1,IF(AND(FU$2&gt;FT$2,FU36&gt;FT36),1,IF(AND(FT$2=FU$2,FT36=FU36),1,0)))))</f>
        <v/>
      </c>
      <c r="FW36" s="1" t="n">
        <f aca="false">Participantes!DQ35</f>
        <v>0</v>
      </c>
      <c r="FX36" s="1" t="n">
        <f aca="false">Participantes!DR35</f>
        <v>0</v>
      </c>
      <c r="FY36" s="82" t="str">
        <f aca="false">IF(FW$2="","",IF(AND(FW36=FW$2,FX36=FX$2),3,IF(AND(FW$2&gt;FX$2,FW36&gt;FX36),1,IF(AND(FX$2&gt;FW$2,FX36&gt;FW36),1,IF(AND(FW$2=FX$2,FW36=FX36),1,0)))))</f>
        <v/>
      </c>
      <c r="FZ36" s="1" t="n">
        <f aca="false">Participantes!DS35</f>
        <v>0</v>
      </c>
      <c r="GA36" s="1" t="n">
        <f aca="false">Participantes!DT35</f>
        <v>0</v>
      </c>
      <c r="GB36" s="82" t="str">
        <f aca="false">IF(FZ$2="","",IF(AND(FZ36=FZ$2,GA36=GA$2),3,IF(AND(FZ$2&gt;GA$2,FZ36&gt;GA36),1,IF(AND(GA$2&gt;FZ$2,GA36&gt;FZ36),1,IF(AND(FZ$2=GA$2,FZ36=GA36),1,0)))))</f>
        <v/>
      </c>
      <c r="GC36" s="1" t="n">
        <f aca="false">Participantes!DU35</f>
        <v>0</v>
      </c>
      <c r="GD36" s="1" t="n">
        <f aca="false">Participantes!DV35</f>
        <v>0</v>
      </c>
      <c r="GE36" s="82" t="str">
        <f aca="false">IF(GC$2="","",IF(AND(GC36=GC$2,GD36=GD$2),3,IF(AND(GC$2&gt;GD$2,GC36&gt;GD36),1,IF(AND(GD$2&gt;GC$2,GD36&gt;GC36),1,IF(AND(GC$2=GD$2,GC36=GD36),1,0)))))</f>
        <v/>
      </c>
      <c r="GF36" s="1" t="n">
        <f aca="false">Participantes!DW35</f>
        <v>0</v>
      </c>
      <c r="GG36" s="1" t="n">
        <f aca="false">Participantes!DX35</f>
        <v>0</v>
      </c>
      <c r="GH36" s="82" t="str">
        <f aca="false">IF(GF$2="","",IF(AND(GF36=GF$2,GG36=GG$2),3,IF(AND(GF$2&gt;GG$2,GF36&gt;GG36),1,IF(AND(GG$2&gt;GF$2,GG36&gt;GF36),1,IF(AND(GF$2=GG$2,GF36=GG36),1,0)))))</f>
        <v/>
      </c>
      <c r="GI36" s="1" t="n">
        <f aca="false">Participantes!DY35</f>
        <v>0</v>
      </c>
      <c r="GJ36" s="1" t="n">
        <f aca="false">Participantes!DZ35</f>
        <v>0</v>
      </c>
      <c r="GK36" s="82" t="str">
        <f aca="false">IF(GI$2="","",IF(AND(GI36=GI$2,GJ36=GJ$2),3,IF(AND(GI$2&gt;GJ$2,GI36&gt;GJ36),1,IF(AND(GJ$2&gt;GI$2,GJ36&gt;GI36),1,IF(AND(GI$2=GJ$2,GI36=GJ36),1,0)))))</f>
        <v/>
      </c>
      <c r="GL36" s="1" t="n">
        <f aca="false">Participantes!EA35</f>
        <v>0</v>
      </c>
      <c r="GM36" s="1" t="n">
        <f aca="false">Participantes!EB35</f>
        <v>0</v>
      </c>
      <c r="GN36" s="82" t="str">
        <f aca="false">IF(GL$2="","",IF(AND(GL36=GL$2,GM36=GM$2),3,IF(AND(GL$2&gt;GM$2,GL36&gt;GM36),1,IF(AND(GM$2&gt;GL$2,GM36&gt;GL36),1,IF(AND(GL$2=GM$2,GL36=GM36),1,0)))))</f>
        <v/>
      </c>
      <c r="GO36" s="1" t="n">
        <f aca="false">Participantes!EC35</f>
        <v>0</v>
      </c>
      <c r="GP36" s="1" t="n">
        <f aca="false">Participantes!ED35</f>
        <v>0</v>
      </c>
      <c r="GQ36" s="82" t="str">
        <f aca="false">IF(GO$2="","",IF(AND(GO36=GO$2,GP36=GP$2),3,IF(AND(GO$2&gt;GP$2,GO36&gt;GP36),1,IF(AND(GP$2&gt;GO$2,GP36&gt;GO36),1,IF(AND(GO$2=GP$2,GO36=GP36),1,0)))))</f>
        <v/>
      </c>
      <c r="GR36" s="1" t="n">
        <f aca="false">Participantes!EE35</f>
        <v>0</v>
      </c>
      <c r="GS36" s="1" t="n">
        <f aca="false">Participantes!EF35</f>
        <v>0</v>
      </c>
      <c r="GT36" s="82" t="str">
        <f aca="false">IF(GR$2="","",IF(AND(GR36=GR$2,GS36=GS$2),3,IF(AND(GR$2&gt;GS$2,GR36&gt;GS36),1,IF(AND(GS$2&gt;GR$2,GS36&gt;GR36),1,IF(AND(GR$2=GS$2,GR36=GS36),1,0)))))</f>
        <v/>
      </c>
      <c r="GU36" s="1" t="n">
        <f aca="false">Participantes!EG35</f>
        <v>0</v>
      </c>
      <c r="GV36" s="1" t="n">
        <f aca="false">Participantes!EH35</f>
        <v>0</v>
      </c>
      <c r="GW36" s="82" t="str">
        <f aca="false">IF(GU$2="","",IF(AND(GU36=GU$2,GV36=GV$2),3,IF(AND(GU$2&gt;GV$2,GU36&gt;GV36),1,IF(AND(GV$2&gt;GU$2,GV36&gt;GU36),1,IF(AND(GU$2=GV$2,GU36=GV36),1,0)))))</f>
        <v/>
      </c>
      <c r="GX36" s="1" t="n">
        <f aca="false">Participantes!EI35</f>
        <v>0</v>
      </c>
      <c r="GY36" s="1" t="n">
        <f aca="false">Participantes!EJ35</f>
        <v>0</v>
      </c>
      <c r="GZ36" s="82" t="str">
        <f aca="false">IF(GX$2="","",IF(AND(GX36=GX$2,GY36=GY$2),3,IF(AND(GX$2&gt;GY$2,GX36&gt;GY36),1,IF(AND(GY$2&gt;GX$2,GY36&gt;GX36),1,IF(AND(GX$2=GY$2,GX36=GY36),1,0)))))</f>
        <v/>
      </c>
      <c r="HA36" s="1" t="n">
        <f aca="false">Participantes!EK35</f>
        <v>0</v>
      </c>
      <c r="HB36" s="1" t="n">
        <f aca="false">Participantes!EL35</f>
        <v>0</v>
      </c>
      <c r="HC36" s="82" t="str">
        <f aca="false">IF(HA$2="","",IF(AND(HA36=HA$2,HB36=HB$2),3,IF(AND(HA$2&gt;HB$2,HA36&gt;HB36),1,IF(AND(HB$2&gt;HA$2,HB36&gt;HA36),1,IF(AND(HA$2=HB$2,HA36=HB36),1,0)))))</f>
        <v/>
      </c>
      <c r="HD36" s="1" t="n">
        <f aca="false">Participantes!EM35</f>
        <v>0</v>
      </c>
      <c r="HE36" s="1" t="n">
        <f aca="false">Participantes!EN35</f>
        <v>0</v>
      </c>
      <c r="HF36" s="82" t="str">
        <f aca="false">IF(HD$2="","",IF(AND(HD36=HD$2,HE36=HE$2),3,IF(AND(HD$2&gt;HE$2,HD36&gt;HE36),1,IF(AND(HE$2&gt;HD$2,HE36&gt;HD36),1,IF(AND(HD$2=HE$2,HD36=HE36),1,0)))))</f>
        <v/>
      </c>
      <c r="HG36" s="1" t="n">
        <f aca="false">Participantes!EO35</f>
        <v>0</v>
      </c>
      <c r="HH36" s="1" t="n">
        <f aca="false">Participantes!EP35</f>
        <v>0</v>
      </c>
      <c r="HI36" s="82" t="str">
        <f aca="false">IF(HG$2="","",IF(AND(HG36=HG$2,HH36=HH$2),3,IF(AND(HG$2&gt;HH$2,HG36&gt;HH36),1,IF(AND(HH$2&gt;HG$2,HH36&gt;HG36),1,IF(AND(HG$2=HH$2,HG36=HH36),1,0)))))</f>
        <v/>
      </c>
      <c r="HJ36" s="83" t="n">
        <f aca="false">SUM(D36,G36,J36,M36,P36,S36,V36,Y36,AB36,AE36,AH36,AK36,AN36,AQ36,AT36,AW36,AZ36,BC36,BF36,BI36,BL36,BO36,BR36,BU36,BX36,CA36,CD36,CG36,CJ36,CM36,CP36,CS36,CV36,CY36,DB36,DE36,DH36,DK36,DN36,DQ36,DT36,DW36,DZ36,EC36,EF36,EI36,EL36,EO36,ER36,EU36,EX36,FA36,FD36,FG36,FJ36,FM36,FP36,FS36,FV36,FY36,GB36,GE36,GH36,GK36,GN36,GQ36,GT36,GW36,GZ36,HC36,HF36,HI36)</f>
        <v>3</v>
      </c>
    </row>
    <row r="37" customFormat="false" ht="15" hidden="false" customHeight="true" outlineLevel="0" collapsed="false">
      <c r="A37" s="81" t="str">
        <f aca="false">Participantes!B36</f>
        <v>Mily CF 1</v>
      </c>
      <c r="B37" s="1" t="n">
        <f aca="false">Participantes!C36</f>
        <v>3</v>
      </c>
      <c r="C37" s="1" t="n">
        <f aca="false">Participantes!D36</f>
        <v>1</v>
      </c>
      <c r="D37" s="82" t="n">
        <f aca="false">IF(B$2="","",IF(AND(B37=B$2,C37=C$2),3,IF(AND(B$2&gt;C$2,B37&gt;C37),1,IF(AND(C$2&gt;B$2,C37&gt;B37),1,IF(AND(B$2=C$2,B37=C37),1,0)))))</f>
        <v>1</v>
      </c>
      <c r="E37" s="1" t="n">
        <f aca="false">Participantes!E36</f>
        <v>2</v>
      </c>
      <c r="F37" s="1" t="n">
        <f aca="false">Participantes!F36</f>
        <v>1</v>
      </c>
      <c r="G37" s="82" t="str">
        <f aca="false">IF(E$2="","",IF(AND(E37=E$2,F37=F$2),3,IF(AND(E$2&gt;F$2,E37&gt;F37),1,IF(AND(F$2&gt;E$2,F37&gt;E37),1,IF(AND(E$2=F$2,E37=F37),1,0)))))</f>
        <v/>
      </c>
      <c r="H37" s="1" t="n">
        <f aca="false">Participantes!G36</f>
        <v>2</v>
      </c>
      <c r="I37" s="1" t="n">
        <f aca="false">Participantes!H36</f>
        <v>2</v>
      </c>
      <c r="J37" s="82" t="str">
        <f aca="false">IF(H$2="","",IF(AND(H37=H$2,I37=I$2),3,IF(AND(H$2&gt;I$2,H37&gt;I37),1,IF(AND(I$2&gt;H$2,I37&gt;H37),1,IF(AND(H$2=I$2,H37=I37),1,0)))))</f>
        <v/>
      </c>
      <c r="K37" s="1" t="n">
        <f aca="false">Participantes!I36</f>
        <v>3</v>
      </c>
      <c r="L37" s="1" t="n">
        <f aca="false">Participantes!J36</f>
        <v>2</v>
      </c>
      <c r="M37" s="82" t="str">
        <f aca="false">IF(K$2="","",IF(AND(K37=K$2,L37=L$2),3,IF(AND(K$2&gt;L$2,K37&gt;L37),1,IF(AND(L$2&gt;K$2,L37&gt;K37),1,IF(AND(K$2=L$2,K37=L37),1,0)))))</f>
        <v/>
      </c>
      <c r="N37" s="1" t="n">
        <f aca="false">Participantes!K36</f>
        <v>2</v>
      </c>
      <c r="O37" s="1" t="n">
        <f aca="false">Participantes!L36</f>
        <v>3</v>
      </c>
      <c r="P37" s="82" t="str">
        <f aca="false">IF(N$2="","",IF(AND(N37=N$2,O37=O$2),3,IF(AND(N$2&gt;O$2,N37&gt;O37),1,IF(AND(O$2&gt;N$2,O37&gt;N37),1,IF(AND(N$2=O$2,N37=O37),1,0)))))</f>
        <v/>
      </c>
      <c r="Q37" s="1" t="n">
        <f aca="false">Participantes!M36</f>
        <v>3</v>
      </c>
      <c r="R37" s="1" t="n">
        <f aca="false">Participantes!N36</f>
        <v>4</v>
      </c>
      <c r="S37" s="82" t="str">
        <f aca="false">IF(Q$2="","",IF(AND(Q37=Q$2,R37=R$2),3,IF(AND(Q$2&gt;R$2,Q37&gt;R37),1,IF(AND(R$2&gt;Q$2,R37&gt;Q37),1,IF(AND(Q$2=R$2,Q37=R37),1,0)))))</f>
        <v/>
      </c>
      <c r="T37" s="1" t="n">
        <f aca="false">Participantes!O36</f>
        <v>4</v>
      </c>
      <c r="U37" s="1" t="n">
        <f aca="false">Participantes!P36</f>
        <v>4</v>
      </c>
      <c r="V37" s="82" t="str">
        <f aca="false">IF(T$2="","",IF(AND(T37=T$2,U37=U$2),3,IF(AND(T$2&gt;U$2,T37&gt;U37),1,IF(AND(U$2&gt;T$2,U37&gt;T37),1,IF(AND(T$2=U$2,T37=U37),1,0)))))</f>
        <v/>
      </c>
      <c r="W37" s="1" t="n">
        <f aca="false">Participantes!Q36</f>
        <v>1</v>
      </c>
      <c r="X37" s="1" t="n">
        <f aca="false">Participantes!R36</f>
        <v>2</v>
      </c>
      <c r="Y37" s="82" t="str">
        <f aca="false">IF(W$2="","",IF(AND(W37=W$2,X37=X$2),3,IF(AND(W$2&gt;X$2,W37&gt;X37),1,IF(AND(X$2&gt;W$2,X37&gt;W37),1,IF(AND(W$2=X$2,W37=X37),1,0)))))</f>
        <v/>
      </c>
      <c r="Z37" s="1" t="n">
        <f aca="false">Participantes!S36</f>
        <v>1</v>
      </c>
      <c r="AA37" s="1" t="n">
        <f aca="false">Participantes!T36</f>
        <v>3</v>
      </c>
      <c r="AB37" s="82" t="str">
        <f aca="false">IF(Z$2="","",IF(AND(Z37=Z$2,AA37=AA$2),3,IF(AND(Z$2&gt;AA$2,Z37&gt;AA37),1,IF(AND(AA$2&gt;Z$2,AA37&gt;Z37),1,IF(AND(Z$2=AA$2,Z37=AA37),1,0)))))</f>
        <v/>
      </c>
      <c r="AC37" s="1" t="n">
        <f aca="false">Participantes!U36</f>
        <v>3</v>
      </c>
      <c r="AD37" s="1" t="n">
        <f aca="false">Participantes!V36</f>
        <v>1</v>
      </c>
      <c r="AE37" s="82" t="str">
        <f aca="false">IF(AC$2="","",IF(AND(AC37=AC$2,AD37=AD$2),3,IF(AND(AC$2&gt;AD$2,AC37&gt;AD37),1,IF(AND(AD$2&gt;AC$2,AD37&gt;AC37),1,IF(AND(AC$2=AD$2,AC37=AD37),1,0)))))</f>
        <v/>
      </c>
      <c r="AF37" s="1" t="n">
        <f aca="false">Participantes!W36</f>
        <v>2</v>
      </c>
      <c r="AG37" s="1" t="n">
        <f aca="false">Participantes!X36</f>
        <v>2</v>
      </c>
      <c r="AH37" s="82" t="str">
        <f aca="false">IF(AF$2="","",IF(AND(AF37=AF$2,AG37=AG$2),3,IF(AND(AF$2&gt;AG$2,AF37&gt;AG37),1,IF(AND(AG$2&gt;AF$2,AG37&gt;AF37),1,IF(AND(AF$2=AG$2,AF37=AG37),1,0)))))</f>
        <v/>
      </c>
      <c r="AI37" s="1" t="n">
        <f aca="false">Participantes!Y36</f>
        <v>2</v>
      </c>
      <c r="AJ37" s="1" t="n">
        <f aca="false">Participantes!Z36</f>
        <v>1</v>
      </c>
      <c r="AK37" s="82" t="str">
        <f aca="false">IF(AI$2="","",IF(AND(AI37=AI$2,AJ37=AJ$2),3,IF(AND(AI$2&gt;AJ$2,AI37&gt;AJ37),1,IF(AND(AJ$2&gt;AI$2,AJ37&gt;AI37),1,IF(AND(AI$2=AJ$2,AI37=AJ37),1,0)))))</f>
        <v/>
      </c>
      <c r="AL37" s="1" t="n">
        <f aca="false">Participantes!AA36</f>
        <v>2</v>
      </c>
      <c r="AM37" s="1" t="n">
        <f aca="false">Participantes!AB36</f>
        <v>2</v>
      </c>
      <c r="AN37" s="82" t="str">
        <f aca="false">IF(AL$2="","",IF(AND(AL37=AL$2,AM37=AM$2),3,IF(AND(AL$2&gt;AM$2,AL37&gt;AM37),1,IF(AND(AM$2&gt;AL$2,AM37&gt;AL37),1,IF(AND(AL$2=AM$2,AL37=AM37),1,0)))))</f>
        <v/>
      </c>
      <c r="AO37" s="1" t="n">
        <f aca="false">Participantes!AC36</f>
        <v>3</v>
      </c>
      <c r="AP37" s="1" t="n">
        <f aca="false">Participantes!AD36</f>
        <v>1</v>
      </c>
      <c r="AQ37" s="82" t="str">
        <f aca="false">IF(AO$2="","",IF(AND(AO37=AO$2,AP37=AP$2),3,IF(AND(AO$2&gt;AP$2,AO37&gt;AP37),1,IF(AND(AP$2&gt;AO$2,AP37&gt;AO37),1,IF(AND(AO$2=AP$2,AO37=AP37),1,0)))))</f>
        <v/>
      </c>
      <c r="AR37" s="1" t="n">
        <f aca="false">Participantes!AE36</f>
        <v>0</v>
      </c>
      <c r="AS37" s="1" t="n">
        <f aca="false">Participantes!AF36</f>
        <v>0</v>
      </c>
      <c r="AT37" s="82" t="str">
        <f aca="false">IF(AR$2="","",IF(AND(AR37=AR$2,AS37=AS$2),3,IF(AND(AR$2&gt;AS$2,AR37&gt;AS37),1,IF(AND(AS$2&gt;AR$2,AS37&gt;AR37),1,IF(AND(AR$2=AS$2,AR37=AS37),1,0)))))</f>
        <v/>
      </c>
      <c r="AU37" s="1" t="n">
        <f aca="false">Participantes!AG36</f>
        <v>0</v>
      </c>
      <c r="AV37" s="1" t="n">
        <f aca="false">Participantes!AH36</f>
        <v>0</v>
      </c>
      <c r="AW37" s="82" t="str">
        <f aca="false">IF(AU$2="","",IF(AND(AU37=AU$2,AV37=AV$2),3,IF(AND(AU$2&gt;AV$2,AU37&gt;AV37),1,IF(AND(AV$2&gt;AU$2,AV37&gt;AU37),1,IF(AND(AU$2=AV$2,AU37=AV37),1,0)))))</f>
        <v/>
      </c>
      <c r="AX37" s="1" t="n">
        <f aca="false">Participantes!AI36</f>
        <v>0</v>
      </c>
      <c r="AY37" s="1" t="n">
        <f aca="false">Participantes!AJ36</f>
        <v>0</v>
      </c>
      <c r="AZ37" s="82" t="str">
        <f aca="false">IF(AX$2="","",IF(AND(AX37=AX$2,AY37=AY$2),3,IF(AND(AX$2&gt;AY$2,AX37&gt;AY37),1,IF(AND(AY$2&gt;AX$2,AY37&gt;AX37),1,IF(AND(AX$2=AY$2,AX37=AY37),1,0)))))</f>
        <v/>
      </c>
      <c r="BA37" s="1" t="n">
        <f aca="false">Participantes!AK36</f>
        <v>0</v>
      </c>
      <c r="BB37" s="1" t="n">
        <f aca="false">Participantes!AL36</f>
        <v>0</v>
      </c>
      <c r="BC37" s="82" t="str">
        <f aca="false">IF(BA$2="","",IF(AND(BA37=BA$2,BB37=BB$2),3,IF(AND(BA$2&gt;BB$2,BA37&gt;BB37),1,IF(AND(BB$2&gt;BA$2,BB37&gt;BA37),1,IF(AND(BA$2=BB$2,BA37=BB37),1,0)))))</f>
        <v/>
      </c>
      <c r="BD37" s="1" t="n">
        <f aca="false">Participantes!AM36</f>
        <v>0</v>
      </c>
      <c r="BE37" s="1" t="n">
        <f aca="false">Participantes!AN36</f>
        <v>0</v>
      </c>
      <c r="BF37" s="82" t="str">
        <f aca="false">IF(BD$2="","",IF(AND(BD37=BD$2,BE37=BE$2),3,IF(AND(BD$2&gt;BE$2,BD37&gt;BE37),1,IF(AND(BE$2&gt;BD$2,BE37&gt;BD37),1,IF(AND(BD$2=BE$2,BD37=BE37),1,0)))))</f>
        <v/>
      </c>
      <c r="BG37" s="1" t="n">
        <f aca="false">Participantes!AO36</f>
        <v>0</v>
      </c>
      <c r="BH37" s="1" t="n">
        <f aca="false">Participantes!AP36</f>
        <v>0</v>
      </c>
      <c r="BI37" s="82" t="str">
        <f aca="false">IF(BG$2="","",IF(AND(BG37=BG$2,BH37=BH$2),3,IF(AND(BG$2&gt;BH$2,BG37&gt;BH37),1,IF(AND(BH$2&gt;BG$2,BH37&gt;BG37),1,IF(AND(BG$2=BH$2,BG37=BH37),1,0)))))</f>
        <v/>
      </c>
      <c r="BJ37" s="1" t="n">
        <f aca="false">Participantes!AQ36</f>
        <v>0</v>
      </c>
      <c r="BK37" s="1" t="n">
        <f aca="false">Participantes!AR36</f>
        <v>0</v>
      </c>
      <c r="BL37" s="82" t="str">
        <f aca="false">IF(BJ$2="","",IF(AND(BJ37=BJ$2,BK37=BK$2),3,IF(AND(BJ$2&gt;BK$2,BJ37&gt;BK37),1,IF(AND(BK$2&gt;BJ$2,BK37&gt;BJ37),1,IF(AND(BJ$2=BK$2,BJ37=BK37),1,0)))))</f>
        <v/>
      </c>
      <c r="BM37" s="1" t="n">
        <f aca="false">Participantes!AS36</f>
        <v>0</v>
      </c>
      <c r="BN37" s="1" t="n">
        <f aca="false">Participantes!AT36</f>
        <v>0</v>
      </c>
      <c r="BO37" s="82" t="str">
        <f aca="false">IF(BM$2="","",IF(AND(BM37=BM$2,BN37=BN$2),3,IF(AND(BM$2&gt;BN$2,BM37&gt;BN37),1,IF(AND(BN$2&gt;BM$2,BN37&gt;BM37),1,IF(AND(BM$2=BN$2,BM37=BN37),1,0)))))</f>
        <v/>
      </c>
      <c r="BP37" s="1" t="n">
        <f aca="false">Participantes!AU36</f>
        <v>0</v>
      </c>
      <c r="BQ37" s="1" t="n">
        <f aca="false">Participantes!AV36</f>
        <v>0</v>
      </c>
      <c r="BR37" s="82" t="str">
        <f aca="false">IF(BP$2="","",IF(AND(BP37=BP$2,BQ37=BQ$2),3,IF(AND(BP$2&gt;BQ$2,BP37&gt;BQ37),1,IF(AND(BQ$2&gt;BP$2,BQ37&gt;BP37),1,IF(AND(BP$2=BQ$2,BP37=BQ37),1,0)))))</f>
        <v/>
      </c>
      <c r="BS37" s="1" t="n">
        <f aca="false">Participantes!AW36</f>
        <v>0</v>
      </c>
      <c r="BT37" s="1" t="n">
        <f aca="false">Participantes!AX36</f>
        <v>0</v>
      </c>
      <c r="BU37" s="82" t="str">
        <f aca="false">IF(BS$2="","",IF(AND(BS37=BS$2,BT37=BT$2),3,IF(AND(BS$2&gt;BT$2,BS37&gt;BT37),1,IF(AND(BT$2&gt;BS$2,BT37&gt;BS37),1,IF(AND(BS$2=BT$2,BS37=BT37),1,0)))))</f>
        <v/>
      </c>
      <c r="BV37" s="1" t="n">
        <f aca="false">Participantes!AY36</f>
        <v>0</v>
      </c>
      <c r="BW37" s="1" t="n">
        <f aca="false">Participantes!AZ36</f>
        <v>0</v>
      </c>
      <c r="BX37" s="82" t="str">
        <f aca="false">IF(BV$2="","",IF(AND(BV37=BV$2,BW37=BW$2),3,IF(AND(BV$2&gt;BW$2,BV37&gt;BW37),1,IF(AND(BW$2&gt;BV$2,BW37&gt;BV37),1,IF(AND(BV$2=BW$2,BV37=BW37),1,0)))))</f>
        <v/>
      </c>
      <c r="BY37" s="1" t="n">
        <f aca="false">Participantes!BA36</f>
        <v>0</v>
      </c>
      <c r="BZ37" s="1" t="n">
        <f aca="false">Participantes!BB36</f>
        <v>0</v>
      </c>
      <c r="CA37" s="82" t="str">
        <f aca="false">IF(BY$2="","",IF(AND(BY37=BY$2,BZ37=BZ$2),3,IF(AND(BY$2&gt;BZ$2,BY37&gt;BZ37),1,IF(AND(BZ$2&gt;BY$2,BZ37&gt;BY37),1,IF(AND(BY$2=BZ$2,BY37=BZ37),1,0)))))</f>
        <v/>
      </c>
      <c r="CB37" s="1" t="n">
        <f aca="false">Participantes!BC36</f>
        <v>0</v>
      </c>
      <c r="CC37" s="1" t="n">
        <f aca="false">Participantes!BD36</f>
        <v>0</v>
      </c>
      <c r="CD37" s="82" t="str">
        <f aca="false">IF(CB$2="","",IF(AND(CB37=CB$2,CC37=CC$2),3,IF(AND(CB$2&gt;CC$2,CB37&gt;CC37),1,IF(AND(CC$2&gt;CB$2,CC37&gt;CB37),1,IF(AND(CB$2=CC$2,CB37=CC37),1,0)))))</f>
        <v/>
      </c>
      <c r="CE37" s="1" t="n">
        <f aca="false">Participantes!BE36</f>
        <v>0</v>
      </c>
      <c r="CF37" s="1" t="n">
        <f aca="false">Participantes!BF36</f>
        <v>0</v>
      </c>
      <c r="CG37" s="82" t="str">
        <f aca="false">IF(CE$2="","",IF(AND(CE37=CE$2,CF37=CF$2),3,IF(AND(CE$2&gt;CF$2,CE37&gt;CF37),1,IF(AND(CF$2&gt;CE$2,CF37&gt;CE37),1,IF(AND(CE$2=CF$2,CE37=CF37),1,0)))))</f>
        <v/>
      </c>
      <c r="CH37" s="1" t="n">
        <f aca="false">Participantes!BG36</f>
        <v>0</v>
      </c>
      <c r="CI37" s="1" t="n">
        <f aca="false">Participantes!BH36</f>
        <v>0</v>
      </c>
      <c r="CJ37" s="82" t="str">
        <f aca="false">IF(CH$2="","",IF(AND(CH37=CH$2,CI37=CI$2),3,IF(AND(CH$2&gt;CI$2,CH37&gt;CI37),1,IF(AND(CI$2&gt;CH$2,CI37&gt;CH37),1,IF(AND(CH$2=CI$2,CH37=CI37),1,0)))))</f>
        <v/>
      </c>
      <c r="CK37" s="1" t="n">
        <f aca="false">Participantes!BI36</f>
        <v>0</v>
      </c>
      <c r="CL37" s="1" t="n">
        <f aca="false">Participantes!BJ36</f>
        <v>0</v>
      </c>
      <c r="CM37" s="82" t="str">
        <f aca="false">IF(CK$2="","",IF(AND(CK37=CK$2,CL37=CL$2),3,IF(AND(CK$2&gt;CL$2,CK37&gt;CL37),1,IF(AND(CL$2&gt;CK$2,CL37&gt;CK37),1,IF(AND(CK$2=CL$2,CK37=CL37),1,0)))))</f>
        <v/>
      </c>
      <c r="CN37" s="1" t="n">
        <f aca="false">Participantes!BK36</f>
        <v>0</v>
      </c>
      <c r="CO37" s="1" t="n">
        <f aca="false">Participantes!BL36</f>
        <v>0</v>
      </c>
      <c r="CP37" s="82" t="str">
        <f aca="false">IF(CN$2="","",IF(AND(CN37=CN$2,CO37=CO$2),3,IF(AND(CN$2&gt;CO$2,CN37&gt;CO37),1,IF(AND(CO$2&gt;CN$2,CO37&gt;CN37),1,IF(AND(CN$2=CO$2,CN37=CO37),1,0)))))</f>
        <v/>
      </c>
      <c r="CQ37" s="1" t="n">
        <f aca="false">Participantes!BM36</f>
        <v>0</v>
      </c>
      <c r="CR37" s="1" t="n">
        <f aca="false">Participantes!BN36</f>
        <v>0</v>
      </c>
      <c r="CS37" s="82" t="str">
        <f aca="false">IF(CQ$2="","",IF(AND(CQ37=CQ$2,CR37=CR$2),3,IF(AND(CQ$2&gt;CR$2,CQ37&gt;CR37),1,IF(AND(CR$2&gt;CQ$2,CR37&gt;CQ37),1,IF(AND(CQ$2=CR$2,CQ37=CR37),1,0)))))</f>
        <v/>
      </c>
      <c r="CT37" s="1" t="n">
        <f aca="false">Participantes!BO36</f>
        <v>0</v>
      </c>
      <c r="CU37" s="1" t="n">
        <f aca="false">Participantes!BP36</f>
        <v>0</v>
      </c>
      <c r="CV37" s="82" t="str">
        <f aca="false">IF(CT$2="","",IF(AND(CT37=CT$2,CU37=CU$2),3,IF(AND(CT$2&gt;CU$2,CT37&gt;CU37),1,IF(AND(CU$2&gt;CT$2,CU37&gt;CT37),1,IF(AND(CT$2=CU$2,CT37=CU37),1,0)))))</f>
        <v/>
      </c>
      <c r="CW37" s="1" t="n">
        <f aca="false">Participantes!BQ36</f>
        <v>0</v>
      </c>
      <c r="CX37" s="1" t="n">
        <f aca="false">Participantes!BR36</f>
        <v>0</v>
      </c>
      <c r="CY37" s="82" t="str">
        <f aca="false">IF(CW$2="","",IF(AND(CW37=CW$2,CX37=CX$2),3,IF(AND(CW$2&gt;CX$2,CW37&gt;CX37),1,IF(AND(CX$2&gt;CW$2,CX37&gt;CW37),1,IF(AND(CW$2=CX$2,CW37=CX37),1,0)))))</f>
        <v/>
      </c>
      <c r="CZ37" s="1" t="n">
        <f aca="false">Participantes!BS36</f>
        <v>0</v>
      </c>
      <c r="DA37" s="1" t="n">
        <f aca="false">Participantes!BT36</f>
        <v>0</v>
      </c>
      <c r="DB37" s="82" t="str">
        <f aca="false">IF(CZ$2="","",IF(AND(CZ37=CZ$2,DA37=DA$2),3,IF(AND(CZ$2&gt;DA$2,CZ37&gt;DA37),1,IF(AND(DA$2&gt;CZ$2,DA37&gt;CZ37),1,IF(AND(CZ$2=DA$2,CZ37=DA37),1,0)))))</f>
        <v/>
      </c>
      <c r="DC37" s="1" t="n">
        <f aca="false">Participantes!BU36</f>
        <v>0</v>
      </c>
      <c r="DD37" s="1" t="n">
        <f aca="false">Participantes!BV36</f>
        <v>0</v>
      </c>
      <c r="DE37" s="82" t="str">
        <f aca="false">IF(DC$2="","",IF(AND(DC37=DC$2,DD37=DD$2),3,IF(AND(DC$2&gt;DD$2,DC37&gt;DD37),1,IF(AND(DD$2&gt;DC$2,DD37&gt;DC37),1,IF(AND(DC$2=DD$2,DC37=DD37),1,0)))))</f>
        <v/>
      </c>
      <c r="DF37" s="1" t="n">
        <f aca="false">Participantes!BW36</f>
        <v>0</v>
      </c>
      <c r="DG37" s="1" t="n">
        <f aca="false">Participantes!BX36</f>
        <v>0</v>
      </c>
      <c r="DH37" s="82" t="str">
        <f aca="false">IF(DF$2="","",IF(AND(DF37=DF$2,DG37=DG$2),3,IF(AND(DF$2&gt;DG$2,DF37&gt;DG37),1,IF(AND(DG$2&gt;DF$2,DG37&gt;DF37),1,IF(AND(DF$2=DG$2,DF37=DG37),1,0)))))</f>
        <v/>
      </c>
      <c r="DI37" s="1" t="n">
        <f aca="false">Participantes!BY36</f>
        <v>0</v>
      </c>
      <c r="DJ37" s="1" t="n">
        <f aca="false">Participantes!BZ36</f>
        <v>0</v>
      </c>
      <c r="DK37" s="82" t="str">
        <f aca="false">IF(DI$2="","",IF(AND(DI37=DI$2,DJ37=DJ$2),3,IF(AND(DI$2&gt;DJ$2,DI37&gt;DJ37),1,IF(AND(DJ$2&gt;DI$2,DJ37&gt;DI37),1,IF(AND(DI$2=DJ$2,DI37=DJ37),1,0)))))</f>
        <v/>
      </c>
      <c r="DL37" s="1" t="n">
        <f aca="false">Participantes!CA36</f>
        <v>0</v>
      </c>
      <c r="DM37" s="1" t="n">
        <f aca="false">Participantes!CB36</f>
        <v>0</v>
      </c>
      <c r="DN37" s="82" t="str">
        <f aca="false">IF(DL$2="","",IF(AND(DL37=DL$2,DM37=DM$2),3,IF(AND(DL$2&gt;DM$2,DL37&gt;DM37),1,IF(AND(DM$2&gt;DL$2,DM37&gt;DL37),1,IF(AND(DL$2=DM$2,DL37=DM37),1,0)))))</f>
        <v/>
      </c>
      <c r="DO37" s="1" t="n">
        <f aca="false">Participantes!CC36</f>
        <v>0</v>
      </c>
      <c r="DP37" s="1" t="n">
        <f aca="false">Participantes!CD36</f>
        <v>0</v>
      </c>
      <c r="DQ37" s="82" t="str">
        <f aca="false">IF(DO$2="","",IF(AND(DO37=DO$2,DP37=DP$2),3,IF(AND(DO$2&gt;DP$2,DO37&gt;DP37),1,IF(AND(DP$2&gt;DO$2,DP37&gt;DO37),1,IF(AND(DO$2=DP$2,DO37=DP37),1,0)))))</f>
        <v/>
      </c>
      <c r="DR37" s="1" t="n">
        <f aca="false">Participantes!CE36</f>
        <v>0</v>
      </c>
      <c r="DS37" s="1" t="n">
        <f aca="false">Participantes!CF36</f>
        <v>0</v>
      </c>
      <c r="DT37" s="82" t="str">
        <f aca="false">IF(DR$2="","",IF(AND(DR37=DR$2,DS37=DS$2),3,IF(AND(DR$2&gt;DS$2,DR37&gt;DS37),1,IF(AND(DS$2&gt;DR$2,DS37&gt;DR37),1,IF(AND(DR$2=DS$2,DR37=DS37),1,0)))))</f>
        <v/>
      </c>
      <c r="DU37" s="1" t="n">
        <f aca="false">Participantes!CG36</f>
        <v>0</v>
      </c>
      <c r="DV37" s="1" t="n">
        <f aca="false">Participantes!CH36</f>
        <v>0</v>
      </c>
      <c r="DW37" s="82" t="str">
        <f aca="false">IF(DU$2="","",IF(AND(DU37=DU$2,DV37=DV$2),3,IF(AND(DU$2&gt;DV$2,DU37&gt;DV37),1,IF(AND(DV$2&gt;DU$2,DV37&gt;DU37),1,IF(AND(DU$2=DV$2,DU37=DV37),1,0)))))</f>
        <v/>
      </c>
      <c r="DX37" s="1" t="n">
        <f aca="false">Participantes!CI36</f>
        <v>0</v>
      </c>
      <c r="DY37" s="1" t="n">
        <f aca="false">Participantes!CJ36</f>
        <v>0</v>
      </c>
      <c r="DZ37" s="82" t="str">
        <f aca="false">IF(DX$2="","",IF(AND(DX37=DX$2,DY37=DY$2),3,IF(AND(DX$2&gt;DY$2,DX37&gt;DY37),1,IF(AND(DY$2&gt;DX$2,DY37&gt;DX37),1,IF(AND(DX$2=DY$2,DX37=DY37),1,0)))))</f>
        <v/>
      </c>
      <c r="EA37" s="1" t="n">
        <f aca="false">Participantes!CK36</f>
        <v>0</v>
      </c>
      <c r="EB37" s="1" t="n">
        <f aca="false">Participantes!CL36</f>
        <v>0</v>
      </c>
      <c r="EC37" s="82" t="str">
        <f aca="false">IF(EA$2="","",IF(AND(EA37=EA$2,EB37=EB$2),3,IF(AND(EA$2&gt;EB$2,EA37&gt;EB37),1,IF(AND(EB$2&gt;EA$2,EB37&gt;EA37),1,IF(AND(EA$2=EB$2,EA37=EB37),1,0)))))</f>
        <v/>
      </c>
      <c r="ED37" s="1" t="n">
        <f aca="false">Participantes!CM36</f>
        <v>0</v>
      </c>
      <c r="EE37" s="1" t="n">
        <f aca="false">Participantes!CN36</f>
        <v>0</v>
      </c>
      <c r="EF37" s="82" t="str">
        <f aca="false">IF(ED$2="","",IF(AND(ED37=ED$2,EE37=EE$2),3,IF(AND(ED$2&gt;EE$2,ED37&gt;EE37),1,IF(AND(EE$2&gt;ED$2,EE37&gt;ED37),1,IF(AND(ED$2=EE$2,ED37=EE37),1,0)))))</f>
        <v/>
      </c>
      <c r="EG37" s="1" t="n">
        <f aca="false">Participantes!CO36</f>
        <v>0</v>
      </c>
      <c r="EH37" s="1" t="n">
        <f aca="false">Participantes!CP36</f>
        <v>0</v>
      </c>
      <c r="EI37" s="82" t="str">
        <f aca="false">IF(EG$2="","",IF(AND(EG37=EG$2,EH37=EH$2),3,IF(AND(EG$2&gt;EH$2,EG37&gt;EH37),1,IF(AND(EH$2&gt;EG$2,EH37&gt;EG37),1,IF(AND(EG$2=EH$2,EG37=EH37),1,0)))))</f>
        <v/>
      </c>
      <c r="EJ37" s="1" t="n">
        <f aca="false">Participantes!CQ36</f>
        <v>0</v>
      </c>
      <c r="EK37" s="1" t="n">
        <f aca="false">Participantes!CR36</f>
        <v>0</v>
      </c>
      <c r="EL37" s="82" t="str">
        <f aca="false">IF(EJ$2="","",IF(AND(EJ37=EJ$2,EK37=EK$2),3,IF(AND(EJ$2&gt;EK$2,EJ37&gt;EK37),1,IF(AND(EK$2&gt;EJ$2,EK37&gt;EJ37),1,IF(AND(EJ$2=EK$2,EJ37=EK37),1,0)))))</f>
        <v/>
      </c>
      <c r="EM37" s="1" t="n">
        <f aca="false">Participantes!CS36</f>
        <v>0</v>
      </c>
      <c r="EN37" s="1" t="n">
        <f aca="false">Participantes!CT36</f>
        <v>0</v>
      </c>
      <c r="EO37" s="82" t="str">
        <f aca="false">IF(EM$2="","",IF(AND(EM37=EM$2,EN37=EN$2),3,IF(AND(EM$2&gt;EN$2,EM37&gt;EN37),1,IF(AND(EN$2&gt;EM$2,EN37&gt;EM37),1,IF(AND(EM$2=EN$2,EM37=EN37),1,0)))))</f>
        <v/>
      </c>
      <c r="EP37" s="1" t="n">
        <f aca="false">Participantes!CU36</f>
        <v>0</v>
      </c>
      <c r="EQ37" s="1" t="n">
        <f aca="false">Participantes!CV36</f>
        <v>0</v>
      </c>
      <c r="ER37" s="82" t="str">
        <f aca="false">IF(EP$2="","",IF(AND(EP37=EP$2,EQ37=EQ$2),3,IF(AND(EP$2&gt;EQ$2,EP37&gt;EQ37),1,IF(AND(EQ$2&gt;EP$2,EQ37&gt;EP37),1,IF(AND(EP$2=EQ$2,EP37=EQ37),1,0)))))</f>
        <v/>
      </c>
      <c r="ES37" s="1" t="n">
        <f aca="false">Participantes!CW36</f>
        <v>0</v>
      </c>
      <c r="ET37" s="1" t="n">
        <f aca="false">Participantes!CX36</f>
        <v>0</v>
      </c>
      <c r="EU37" s="82" t="str">
        <f aca="false">IF(ES$2="","",IF(AND(ES37=ES$2,ET37=ET$2),3,IF(AND(ES$2&gt;ET$2,ES37&gt;ET37),1,IF(AND(ET$2&gt;ES$2,ET37&gt;ES37),1,IF(AND(ES$2=ET$2,ES37=ET37),1,0)))))</f>
        <v/>
      </c>
      <c r="EV37" s="1" t="n">
        <f aca="false">Participantes!CY36</f>
        <v>0</v>
      </c>
      <c r="EW37" s="1" t="n">
        <f aca="false">Participantes!CZ36</f>
        <v>0</v>
      </c>
      <c r="EX37" s="82" t="str">
        <f aca="false">IF(EV$2="","",IF(AND(EV37=EV$2,EW37=EW$2),3,IF(AND(EV$2&gt;EW$2,EV37&gt;EW37),1,IF(AND(EW$2&gt;EV$2,EW37&gt;EV37),1,IF(AND(EV$2=EW$2,EV37=EW37),1,0)))))</f>
        <v/>
      </c>
      <c r="EY37" s="1" t="n">
        <f aca="false">Participantes!DA36</f>
        <v>0</v>
      </c>
      <c r="EZ37" s="1" t="n">
        <f aca="false">Participantes!DB36</f>
        <v>0</v>
      </c>
      <c r="FA37" s="82" t="str">
        <f aca="false">IF(EY$2="","",IF(AND(EY37=EY$2,EZ37=EZ$2),3,IF(AND(EY$2&gt;EZ$2,EY37&gt;EZ37),1,IF(AND(EZ$2&gt;EY$2,EZ37&gt;EY37),1,IF(AND(EY$2=EZ$2,EY37=EZ37),1,0)))))</f>
        <v/>
      </c>
      <c r="FB37" s="1" t="n">
        <f aca="false">Participantes!DC36</f>
        <v>0</v>
      </c>
      <c r="FC37" s="1" t="n">
        <f aca="false">Participantes!DD36</f>
        <v>0</v>
      </c>
      <c r="FD37" s="82" t="str">
        <f aca="false">IF(FB$2="","",IF(AND(FB37=FB$2,FC37=FC$2),3,IF(AND(FB$2&gt;FC$2,FB37&gt;FC37),1,IF(AND(FC$2&gt;FB$2,FC37&gt;FB37),1,IF(AND(FB$2=FC$2,FB37=FC37),1,0)))))</f>
        <v/>
      </c>
      <c r="FE37" s="1" t="n">
        <f aca="false">Participantes!DE36</f>
        <v>0</v>
      </c>
      <c r="FF37" s="1" t="n">
        <f aca="false">Participantes!DF36</f>
        <v>0</v>
      </c>
      <c r="FG37" s="82" t="str">
        <f aca="false">IF(FE$2="","",IF(AND(FE37=FE$2,FF37=FF$2),3,IF(AND(FE$2&gt;FF$2,FE37&gt;FF37),1,IF(AND(FF$2&gt;FE$2,FF37&gt;FE37),1,IF(AND(FE$2=FF$2,FE37=FF37),1,0)))))</f>
        <v/>
      </c>
      <c r="FH37" s="1" t="n">
        <f aca="false">Participantes!DG36</f>
        <v>0</v>
      </c>
      <c r="FI37" s="1" t="n">
        <f aca="false">Participantes!DH36</f>
        <v>0</v>
      </c>
      <c r="FJ37" s="82" t="str">
        <f aca="false">IF(FH$2="","",IF(AND(FH37=FH$2,FI37=FI$2),3,IF(AND(FH$2&gt;FI$2,FH37&gt;FI37),1,IF(AND(FI$2&gt;FH$2,FI37&gt;FH37),1,IF(AND(FH$2=FI$2,FH37=FI37),1,0)))))</f>
        <v/>
      </c>
      <c r="FK37" s="1" t="n">
        <f aca="false">Participantes!DI36</f>
        <v>0</v>
      </c>
      <c r="FL37" s="1" t="n">
        <f aca="false">Participantes!DJ36</f>
        <v>0</v>
      </c>
      <c r="FM37" s="82" t="str">
        <f aca="false">IF(FK$2="","",IF(AND(FK37=FK$2,FL37=FL$2),3,IF(AND(FK$2&gt;FL$2,FK37&gt;FL37),1,IF(AND(FL$2&gt;FK$2,FL37&gt;FK37),1,IF(AND(FK$2=FL$2,FK37=FL37),1,0)))))</f>
        <v/>
      </c>
      <c r="FN37" s="1" t="n">
        <f aca="false">Participantes!DK36</f>
        <v>0</v>
      </c>
      <c r="FO37" s="1" t="n">
        <f aca="false">Participantes!DL36</f>
        <v>0</v>
      </c>
      <c r="FP37" s="82" t="str">
        <f aca="false">IF(FN$2="","",IF(AND(FN37=FN$2,FO37=FO$2),3,IF(AND(FN$2&gt;FO$2,FN37&gt;FO37),1,IF(AND(FO$2&gt;FN$2,FO37&gt;FN37),1,IF(AND(FN$2=FO$2,FN37=FO37),1,0)))))</f>
        <v/>
      </c>
      <c r="FQ37" s="1" t="n">
        <f aca="false">Participantes!DM36</f>
        <v>0</v>
      </c>
      <c r="FR37" s="1" t="n">
        <f aca="false">Participantes!DN36</f>
        <v>0</v>
      </c>
      <c r="FS37" s="82" t="str">
        <f aca="false">IF(FQ$2="","",IF(AND(FQ37=FQ$2,FR37=FR$2),3,IF(AND(FQ$2&gt;FR$2,FQ37&gt;FR37),1,IF(AND(FR$2&gt;FQ$2,FR37&gt;FQ37),1,IF(AND(FQ$2=FR$2,FQ37=FR37),1,0)))))</f>
        <v/>
      </c>
      <c r="FT37" s="1" t="n">
        <f aca="false">Participantes!DO36</f>
        <v>0</v>
      </c>
      <c r="FU37" s="1" t="n">
        <f aca="false">Participantes!DP36</f>
        <v>0</v>
      </c>
      <c r="FV37" s="82" t="str">
        <f aca="false">IF(FT$2="","",IF(AND(FT37=FT$2,FU37=FU$2),3,IF(AND(FT$2&gt;FU$2,FT37&gt;FU37),1,IF(AND(FU$2&gt;FT$2,FU37&gt;FT37),1,IF(AND(FT$2=FU$2,FT37=FU37),1,0)))))</f>
        <v/>
      </c>
      <c r="FW37" s="1" t="n">
        <f aca="false">Participantes!DQ36</f>
        <v>0</v>
      </c>
      <c r="FX37" s="1" t="n">
        <f aca="false">Participantes!DR36</f>
        <v>0</v>
      </c>
      <c r="FY37" s="82" t="str">
        <f aca="false">IF(FW$2="","",IF(AND(FW37=FW$2,FX37=FX$2),3,IF(AND(FW$2&gt;FX$2,FW37&gt;FX37),1,IF(AND(FX$2&gt;FW$2,FX37&gt;FW37),1,IF(AND(FW$2=FX$2,FW37=FX37),1,0)))))</f>
        <v/>
      </c>
      <c r="FZ37" s="1" t="n">
        <f aca="false">Participantes!DS36</f>
        <v>0</v>
      </c>
      <c r="GA37" s="1" t="n">
        <f aca="false">Participantes!DT36</f>
        <v>0</v>
      </c>
      <c r="GB37" s="82" t="str">
        <f aca="false">IF(FZ$2="","",IF(AND(FZ37=FZ$2,GA37=GA$2),3,IF(AND(FZ$2&gt;GA$2,FZ37&gt;GA37),1,IF(AND(GA$2&gt;FZ$2,GA37&gt;FZ37),1,IF(AND(FZ$2=GA$2,FZ37=GA37),1,0)))))</f>
        <v/>
      </c>
      <c r="GC37" s="1" t="n">
        <f aca="false">Participantes!DU36</f>
        <v>0</v>
      </c>
      <c r="GD37" s="1" t="n">
        <f aca="false">Participantes!DV36</f>
        <v>0</v>
      </c>
      <c r="GE37" s="82" t="str">
        <f aca="false">IF(GC$2="","",IF(AND(GC37=GC$2,GD37=GD$2),3,IF(AND(GC$2&gt;GD$2,GC37&gt;GD37),1,IF(AND(GD$2&gt;GC$2,GD37&gt;GC37),1,IF(AND(GC$2=GD$2,GC37=GD37),1,0)))))</f>
        <v/>
      </c>
      <c r="GF37" s="1" t="n">
        <f aca="false">Participantes!DW36</f>
        <v>0</v>
      </c>
      <c r="GG37" s="1" t="n">
        <f aca="false">Participantes!DX36</f>
        <v>0</v>
      </c>
      <c r="GH37" s="82" t="str">
        <f aca="false">IF(GF$2="","",IF(AND(GF37=GF$2,GG37=GG$2),3,IF(AND(GF$2&gt;GG$2,GF37&gt;GG37),1,IF(AND(GG$2&gt;GF$2,GG37&gt;GF37),1,IF(AND(GF$2=GG$2,GF37=GG37),1,0)))))</f>
        <v/>
      </c>
      <c r="GI37" s="1" t="n">
        <f aca="false">Participantes!DY36</f>
        <v>0</v>
      </c>
      <c r="GJ37" s="1" t="n">
        <f aca="false">Participantes!DZ36</f>
        <v>0</v>
      </c>
      <c r="GK37" s="82" t="str">
        <f aca="false">IF(GI$2="","",IF(AND(GI37=GI$2,GJ37=GJ$2),3,IF(AND(GI$2&gt;GJ$2,GI37&gt;GJ37),1,IF(AND(GJ$2&gt;GI$2,GJ37&gt;GI37),1,IF(AND(GI$2=GJ$2,GI37=GJ37),1,0)))))</f>
        <v/>
      </c>
      <c r="GL37" s="1" t="n">
        <f aca="false">Participantes!EA36</f>
        <v>0</v>
      </c>
      <c r="GM37" s="1" t="n">
        <f aca="false">Participantes!EB36</f>
        <v>0</v>
      </c>
      <c r="GN37" s="82" t="str">
        <f aca="false">IF(GL$2="","",IF(AND(GL37=GL$2,GM37=GM$2),3,IF(AND(GL$2&gt;GM$2,GL37&gt;GM37),1,IF(AND(GM$2&gt;GL$2,GM37&gt;GL37),1,IF(AND(GL$2=GM$2,GL37=GM37),1,0)))))</f>
        <v/>
      </c>
      <c r="GO37" s="1" t="n">
        <f aca="false">Participantes!EC36</f>
        <v>0</v>
      </c>
      <c r="GP37" s="1" t="n">
        <f aca="false">Participantes!ED36</f>
        <v>0</v>
      </c>
      <c r="GQ37" s="82" t="str">
        <f aca="false">IF(GO$2="","",IF(AND(GO37=GO$2,GP37=GP$2),3,IF(AND(GO$2&gt;GP$2,GO37&gt;GP37),1,IF(AND(GP$2&gt;GO$2,GP37&gt;GO37),1,IF(AND(GO$2=GP$2,GO37=GP37),1,0)))))</f>
        <v/>
      </c>
      <c r="GR37" s="1" t="n">
        <f aca="false">Participantes!EE36</f>
        <v>0</v>
      </c>
      <c r="GS37" s="1" t="n">
        <f aca="false">Participantes!EF36</f>
        <v>0</v>
      </c>
      <c r="GT37" s="82" t="str">
        <f aca="false">IF(GR$2="","",IF(AND(GR37=GR$2,GS37=GS$2),3,IF(AND(GR$2&gt;GS$2,GR37&gt;GS37),1,IF(AND(GS$2&gt;GR$2,GS37&gt;GR37),1,IF(AND(GR$2=GS$2,GR37=GS37),1,0)))))</f>
        <v/>
      </c>
      <c r="GU37" s="1" t="n">
        <f aca="false">Participantes!EG36</f>
        <v>0</v>
      </c>
      <c r="GV37" s="1" t="n">
        <f aca="false">Participantes!EH36</f>
        <v>0</v>
      </c>
      <c r="GW37" s="82" t="str">
        <f aca="false">IF(GU$2="","",IF(AND(GU37=GU$2,GV37=GV$2),3,IF(AND(GU$2&gt;GV$2,GU37&gt;GV37),1,IF(AND(GV$2&gt;GU$2,GV37&gt;GU37),1,IF(AND(GU$2=GV$2,GU37=GV37),1,0)))))</f>
        <v/>
      </c>
      <c r="GX37" s="1" t="n">
        <f aca="false">Participantes!EI36</f>
        <v>0</v>
      </c>
      <c r="GY37" s="1" t="n">
        <f aca="false">Participantes!EJ36</f>
        <v>0</v>
      </c>
      <c r="GZ37" s="82" t="str">
        <f aca="false">IF(GX$2="","",IF(AND(GX37=GX$2,GY37=GY$2),3,IF(AND(GX$2&gt;GY$2,GX37&gt;GY37),1,IF(AND(GY$2&gt;GX$2,GY37&gt;GX37),1,IF(AND(GX$2=GY$2,GX37=GY37),1,0)))))</f>
        <v/>
      </c>
      <c r="HA37" s="1" t="n">
        <f aca="false">Participantes!EK36</f>
        <v>0</v>
      </c>
      <c r="HB37" s="1" t="n">
        <f aca="false">Participantes!EL36</f>
        <v>0</v>
      </c>
      <c r="HC37" s="82" t="str">
        <f aca="false">IF(HA$2="","",IF(AND(HA37=HA$2,HB37=HB$2),3,IF(AND(HA$2&gt;HB$2,HA37&gt;HB37),1,IF(AND(HB$2&gt;HA$2,HB37&gt;HA37),1,IF(AND(HA$2=HB$2,HA37=HB37),1,0)))))</f>
        <v/>
      </c>
      <c r="HD37" s="1" t="n">
        <f aca="false">Participantes!EM36</f>
        <v>0</v>
      </c>
      <c r="HE37" s="1" t="n">
        <f aca="false">Participantes!EN36</f>
        <v>0</v>
      </c>
      <c r="HF37" s="82" t="str">
        <f aca="false">IF(HD$2="","",IF(AND(HD37=HD$2,HE37=HE$2),3,IF(AND(HD$2&gt;HE$2,HD37&gt;HE37),1,IF(AND(HE$2&gt;HD$2,HE37&gt;HD37),1,IF(AND(HD$2=HE$2,HD37=HE37),1,0)))))</f>
        <v/>
      </c>
      <c r="HG37" s="1" t="n">
        <f aca="false">Participantes!EO36</f>
        <v>0</v>
      </c>
      <c r="HH37" s="1" t="n">
        <f aca="false">Participantes!EP36</f>
        <v>0</v>
      </c>
      <c r="HI37" s="82" t="str">
        <f aca="false">IF(HG$2="","",IF(AND(HG37=HG$2,HH37=HH$2),3,IF(AND(HG$2&gt;HH$2,HG37&gt;HH37),1,IF(AND(HH$2&gt;HG$2,HH37&gt;HG37),1,IF(AND(HG$2=HH$2,HG37=HH37),1,0)))))</f>
        <v/>
      </c>
      <c r="HJ37" s="83" t="n">
        <f aca="false">SUM(D37,G37,J37,M37,P37,S37,V37,Y37,AB37,AE37,AH37,AK37,AN37,AQ37,AT37,AW37,AZ37,BC37,BF37,BI37,BL37,BO37,BR37,BU37,BX37,CA37,CD37,CG37,CJ37,CM37,CP37,CS37,CV37,CY37,DB37,DE37,DH37,DK37,DN37,DQ37,DT37,DW37,DZ37,EC37,EF37,EI37,EL37,EO37,ER37,EU37,EX37,FA37,FD37,FG37,FJ37,FM37,FP37,FS37,FV37,FY37,GB37,GE37,GH37,GK37,GN37,GQ37,GT37,GW37,GZ37,HC37,HF37,HI37)</f>
        <v>1</v>
      </c>
    </row>
    <row r="38" customFormat="false" ht="15" hidden="false" customHeight="true" outlineLevel="0" collapsed="false">
      <c r="A38" s="81" t="str">
        <f aca="false">Participantes!B37</f>
        <v>Mily CF 2</v>
      </c>
      <c r="B38" s="1" t="n">
        <f aca="false">Participantes!C37</f>
        <v>2</v>
      </c>
      <c r="C38" s="1" t="n">
        <f aca="false">Participantes!D37</f>
        <v>1</v>
      </c>
      <c r="D38" s="82" t="n">
        <f aca="false">IF(B$2="","",IF(AND(B38=B$2,C38=C$2),3,IF(AND(B$2&gt;C$2,B38&gt;C38),1,IF(AND(C$2&gt;B$2,C38&gt;B38),1,IF(AND(B$2=C$2,B38=C38),1,0)))))</f>
        <v>1</v>
      </c>
      <c r="E38" s="1" t="n">
        <f aca="false">Participantes!E37</f>
        <v>2</v>
      </c>
      <c r="F38" s="1" t="n">
        <f aca="false">Participantes!F37</f>
        <v>0</v>
      </c>
      <c r="G38" s="82" t="str">
        <f aca="false">IF(E$2="","",IF(AND(E38=E$2,F38=F$2),3,IF(AND(E$2&gt;F$2,E38&gt;F38),1,IF(AND(F$2&gt;E$2,F38&gt;E38),1,IF(AND(E$2=F$2,E38=F38),1,0)))))</f>
        <v/>
      </c>
      <c r="H38" s="1" t="n">
        <f aca="false">Participantes!G37</f>
        <v>1</v>
      </c>
      <c r="I38" s="1" t="n">
        <f aca="false">Participantes!H37</f>
        <v>0</v>
      </c>
      <c r="J38" s="82" t="str">
        <f aca="false">IF(H$2="","",IF(AND(H38=H$2,I38=I$2),3,IF(AND(H$2&gt;I$2,H38&gt;I38),1,IF(AND(I$2&gt;H$2,I38&gt;H38),1,IF(AND(H$2=I$2,H38=I38),1,0)))))</f>
        <v/>
      </c>
      <c r="K38" s="1" t="n">
        <f aca="false">Participantes!I37</f>
        <v>2</v>
      </c>
      <c r="L38" s="1" t="n">
        <f aca="false">Participantes!J37</f>
        <v>1</v>
      </c>
      <c r="M38" s="82" t="str">
        <f aca="false">IF(K$2="","",IF(AND(K38=K$2,L38=L$2),3,IF(AND(K$2&gt;L$2,K38&gt;L38),1,IF(AND(L$2&gt;K$2,L38&gt;K38),1,IF(AND(K$2=L$2,K38=L38),1,0)))))</f>
        <v/>
      </c>
      <c r="N38" s="1" t="n">
        <f aca="false">Participantes!K37</f>
        <v>0</v>
      </c>
      <c r="O38" s="1" t="n">
        <f aca="false">Participantes!L37</f>
        <v>1</v>
      </c>
      <c r="P38" s="82" t="str">
        <f aca="false">IF(N$2="","",IF(AND(N38=N$2,O38=O$2),3,IF(AND(N$2&gt;O$2,N38&gt;O38),1,IF(AND(O$2&gt;N$2,O38&gt;N38),1,IF(AND(N$2=O$2,N38=O38),1,0)))))</f>
        <v/>
      </c>
      <c r="Q38" s="1" t="n">
        <f aca="false">Participantes!M37</f>
        <v>1</v>
      </c>
      <c r="R38" s="1" t="n">
        <f aca="false">Participantes!N37</f>
        <v>2</v>
      </c>
      <c r="S38" s="82" t="str">
        <f aca="false">IF(Q$2="","",IF(AND(Q38=Q$2,R38=R$2),3,IF(AND(Q$2&gt;R$2,Q38&gt;R38),1,IF(AND(R$2&gt;Q$2,R38&gt;Q38),1,IF(AND(Q$2=R$2,Q38=R38),1,0)))))</f>
        <v/>
      </c>
      <c r="T38" s="1" t="n">
        <f aca="false">Participantes!O37</f>
        <v>2</v>
      </c>
      <c r="U38" s="1" t="n">
        <f aca="false">Participantes!P37</f>
        <v>1</v>
      </c>
      <c r="V38" s="82" t="str">
        <f aca="false">IF(T$2="","",IF(AND(T38=T$2,U38=U$2),3,IF(AND(T$2&gt;U$2,T38&gt;U38),1,IF(AND(U$2&gt;T$2,U38&gt;T38),1,IF(AND(T$2=U$2,T38=U38),1,0)))))</f>
        <v/>
      </c>
      <c r="W38" s="1" t="n">
        <f aca="false">Participantes!Q37</f>
        <v>0</v>
      </c>
      <c r="X38" s="1" t="n">
        <f aca="false">Participantes!R37</f>
        <v>1</v>
      </c>
      <c r="Y38" s="82" t="str">
        <f aca="false">IF(W$2="","",IF(AND(W38=W$2,X38=X$2),3,IF(AND(W$2&gt;X$2,W38&gt;X38),1,IF(AND(X$2&gt;W$2,X38&gt;W38),1,IF(AND(W$2=X$2,W38=X38),1,0)))))</f>
        <v/>
      </c>
      <c r="Z38" s="1" t="n">
        <f aca="false">Participantes!S37</f>
        <v>2</v>
      </c>
      <c r="AA38" s="1" t="n">
        <f aca="false">Participantes!T37</f>
        <v>3</v>
      </c>
      <c r="AB38" s="82" t="str">
        <f aca="false">IF(Z$2="","",IF(AND(Z38=Z$2,AA38=AA$2),3,IF(AND(Z$2&gt;AA$2,Z38&gt;AA38),1,IF(AND(AA$2&gt;Z$2,AA38&gt;Z38),1,IF(AND(Z$2=AA$2,Z38=AA38),1,0)))))</f>
        <v/>
      </c>
      <c r="AC38" s="1" t="n">
        <f aca="false">Participantes!U37</f>
        <v>3</v>
      </c>
      <c r="AD38" s="1" t="n">
        <f aca="false">Participantes!V37</f>
        <v>1</v>
      </c>
      <c r="AE38" s="82" t="str">
        <f aca="false">IF(AC$2="","",IF(AND(AC38=AC$2,AD38=AD$2),3,IF(AND(AC$2&gt;AD$2,AC38&gt;AD38),1,IF(AND(AD$2&gt;AC$2,AD38&gt;AC38),1,IF(AND(AC$2=AD$2,AC38=AD38),1,0)))))</f>
        <v/>
      </c>
      <c r="AF38" s="1" t="n">
        <f aca="false">Participantes!W37</f>
        <v>2</v>
      </c>
      <c r="AG38" s="1" t="n">
        <f aca="false">Participantes!X37</f>
        <v>1</v>
      </c>
      <c r="AH38" s="82" t="str">
        <f aca="false">IF(AF$2="","",IF(AND(AF38=AF$2,AG38=AG$2),3,IF(AND(AF$2&gt;AG$2,AF38&gt;AG38),1,IF(AND(AG$2&gt;AF$2,AG38&gt;AF38),1,IF(AND(AF$2=AG$2,AF38=AG38),1,0)))))</f>
        <v/>
      </c>
      <c r="AI38" s="1" t="n">
        <f aca="false">Participantes!Y37</f>
        <v>1</v>
      </c>
      <c r="AJ38" s="1" t="n">
        <f aca="false">Participantes!Z37</f>
        <v>1</v>
      </c>
      <c r="AK38" s="82" t="str">
        <f aca="false">IF(AI$2="","",IF(AND(AI38=AI$2,AJ38=AJ$2),3,IF(AND(AI$2&gt;AJ$2,AI38&gt;AJ38),1,IF(AND(AJ$2&gt;AI$2,AJ38&gt;AI38),1,IF(AND(AI$2=AJ$2,AI38=AJ38),1,0)))))</f>
        <v/>
      </c>
      <c r="AL38" s="1" t="n">
        <f aca="false">Participantes!AA37</f>
        <v>1</v>
      </c>
      <c r="AM38" s="1" t="n">
        <f aca="false">Participantes!AB37</f>
        <v>2</v>
      </c>
      <c r="AN38" s="82" t="str">
        <f aca="false">IF(AL$2="","",IF(AND(AL38=AL$2,AM38=AM$2),3,IF(AND(AL$2&gt;AM$2,AL38&gt;AM38),1,IF(AND(AM$2&gt;AL$2,AM38&gt;AL38),1,IF(AND(AL$2=AM$2,AL38=AM38),1,0)))))</f>
        <v/>
      </c>
      <c r="AO38" s="1" t="n">
        <f aca="false">Participantes!AC37</f>
        <v>3</v>
      </c>
      <c r="AP38" s="1" t="n">
        <f aca="false">Participantes!AD37</f>
        <v>0</v>
      </c>
      <c r="AQ38" s="82" t="str">
        <f aca="false">IF(AO$2="","",IF(AND(AO38=AO$2,AP38=AP$2),3,IF(AND(AO$2&gt;AP$2,AO38&gt;AP38),1,IF(AND(AP$2&gt;AO$2,AP38&gt;AO38),1,IF(AND(AO$2=AP$2,AO38=AP38),1,0)))))</f>
        <v/>
      </c>
      <c r="AR38" s="1" t="n">
        <f aca="false">Participantes!AE37</f>
        <v>1</v>
      </c>
      <c r="AS38" s="1" t="n">
        <f aca="false">Participantes!AF37</f>
        <v>0</v>
      </c>
      <c r="AT38" s="82" t="str">
        <f aca="false">IF(AR$2="","",IF(AND(AR38=AR$2,AS38=AS$2),3,IF(AND(AR$2&gt;AS$2,AR38&gt;AS38),1,IF(AND(AS$2&gt;AR$2,AS38&gt;AR38),1,IF(AND(AR$2=AS$2,AR38=AS38),1,0)))))</f>
        <v/>
      </c>
      <c r="AU38" s="1" t="n">
        <f aca="false">Participantes!AG37</f>
        <v>2</v>
      </c>
      <c r="AV38" s="1" t="n">
        <f aca="false">Participantes!AH37</f>
        <v>0</v>
      </c>
      <c r="AW38" s="82" t="str">
        <f aca="false">IF(AU$2="","",IF(AND(AU38=AU$2,AV38=AV$2),3,IF(AND(AU$2&gt;AV$2,AU38&gt;AV38),1,IF(AND(AV$2&gt;AU$2,AV38&gt;AU38),1,IF(AND(AU$2=AV$2,AU38=AV38),1,0)))))</f>
        <v/>
      </c>
      <c r="AX38" s="1" t="n">
        <f aca="false">Participantes!AI37</f>
        <v>2</v>
      </c>
      <c r="AY38" s="1" t="n">
        <f aca="false">Participantes!AJ37</f>
        <v>1</v>
      </c>
      <c r="AZ38" s="82" t="str">
        <f aca="false">IF(AX$2="","",IF(AND(AX38=AX$2,AY38=AY$2),3,IF(AND(AX$2&gt;AY$2,AX38&gt;AY38),1,IF(AND(AY$2&gt;AX$2,AY38&gt;AX38),1,IF(AND(AX$2=AY$2,AX38=AY38),1,0)))))</f>
        <v/>
      </c>
      <c r="BA38" s="1" t="n">
        <f aca="false">Participantes!AK37</f>
        <v>0</v>
      </c>
      <c r="BB38" s="1" t="n">
        <f aca="false">Participantes!AL37</f>
        <v>2</v>
      </c>
      <c r="BC38" s="82" t="str">
        <f aca="false">IF(BA$2="","",IF(AND(BA38=BA$2,BB38=BB$2),3,IF(AND(BA$2&gt;BB$2,BA38&gt;BB38),1,IF(AND(BB$2&gt;BA$2,BB38&gt;BA38),1,IF(AND(BA$2=BB$2,BA38=BB38),1,0)))))</f>
        <v/>
      </c>
      <c r="BD38" s="1" t="n">
        <f aca="false">Participantes!AM37</f>
        <v>2</v>
      </c>
      <c r="BE38" s="1" t="n">
        <f aca="false">Participantes!AN37</f>
        <v>0</v>
      </c>
      <c r="BF38" s="82" t="str">
        <f aca="false">IF(BD$2="","",IF(AND(BD38=BD$2,BE38=BE$2),3,IF(AND(BD$2&gt;BE$2,BD38&gt;BE38),1,IF(AND(BE$2&gt;BD$2,BE38&gt;BD38),1,IF(AND(BD$2=BE$2,BD38=BE38),1,0)))))</f>
        <v/>
      </c>
      <c r="BG38" s="1" t="n">
        <f aca="false">Participantes!AO37</f>
        <v>1</v>
      </c>
      <c r="BH38" s="1" t="n">
        <f aca="false">Participantes!AP37</f>
        <v>0</v>
      </c>
      <c r="BI38" s="82" t="str">
        <f aca="false">IF(BG$2="","",IF(AND(BG38=BG$2,BH38=BH$2),3,IF(AND(BG$2&gt;BH$2,BG38&gt;BH38),1,IF(AND(BH$2&gt;BG$2,BH38&gt;BG38),1,IF(AND(BG$2=BH$2,BG38=BH38),1,0)))))</f>
        <v/>
      </c>
      <c r="BJ38" s="1" t="n">
        <f aca="false">Participantes!AQ37</f>
        <v>0</v>
      </c>
      <c r="BK38" s="1" t="n">
        <f aca="false">Participantes!AR37</f>
        <v>0</v>
      </c>
      <c r="BL38" s="82" t="str">
        <f aca="false">IF(BJ$2="","",IF(AND(BJ38=BJ$2,BK38=BK$2),3,IF(AND(BJ$2&gt;BK$2,BJ38&gt;BK38),1,IF(AND(BK$2&gt;BJ$2,BK38&gt;BJ38),1,IF(AND(BJ$2=BK$2,BJ38=BK38),1,0)))))</f>
        <v/>
      </c>
      <c r="BM38" s="1" t="n">
        <f aca="false">Participantes!AS37</f>
        <v>0</v>
      </c>
      <c r="BN38" s="1" t="n">
        <f aca="false">Participantes!AT37</f>
        <v>0</v>
      </c>
      <c r="BO38" s="82" t="str">
        <f aca="false">IF(BM$2="","",IF(AND(BM38=BM$2,BN38=BN$2),3,IF(AND(BM$2&gt;BN$2,BM38&gt;BN38),1,IF(AND(BN$2&gt;BM$2,BN38&gt;BM38),1,IF(AND(BM$2=BN$2,BM38=BN38),1,0)))))</f>
        <v/>
      </c>
      <c r="BP38" s="1" t="n">
        <f aca="false">Participantes!AU37</f>
        <v>0</v>
      </c>
      <c r="BQ38" s="1" t="n">
        <f aca="false">Participantes!AV37</f>
        <v>0</v>
      </c>
      <c r="BR38" s="82" t="str">
        <f aca="false">IF(BP$2="","",IF(AND(BP38=BP$2,BQ38=BQ$2),3,IF(AND(BP$2&gt;BQ$2,BP38&gt;BQ38),1,IF(AND(BQ$2&gt;BP$2,BQ38&gt;BP38),1,IF(AND(BP$2=BQ$2,BP38=BQ38),1,0)))))</f>
        <v/>
      </c>
      <c r="BS38" s="1" t="n">
        <f aca="false">Participantes!AW37</f>
        <v>0</v>
      </c>
      <c r="BT38" s="1" t="n">
        <f aca="false">Participantes!AX37</f>
        <v>0</v>
      </c>
      <c r="BU38" s="82" t="str">
        <f aca="false">IF(BS$2="","",IF(AND(BS38=BS$2,BT38=BT$2),3,IF(AND(BS$2&gt;BT$2,BS38&gt;BT38),1,IF(AND(BT$2&gt;BS$2,BT38&gt;BS38),1,IF(AND(BS$2=BT$2,BS38=BT38),1,0)))))</f>
        <v/>
      </c>
      <c r="BV38" s="1" t="n">
        <f aca="false">Participantes!AY37</f>
        <v>0</v>
      </c>
      <c r="BW38" s="1" t="n">
        <f aca="false">Participantes!AZ37</f>
        <v>0</v>
      </c>
      <c r="BX38" s="82" t="str">
        <f aca="false">IF(BV$2="","",IF(AND(BV38=BV$2,BW38=BW$2),3,IF(AND(BV$2&gt;BW$2,BV38&gt;BW38),1,IF(AND(BW$2&gt;BV$2,BW38&gt;BV38),1,IF(AND(BV$2=BW$2,BV38=BW38),1,0)))))</f>
        <v/>
      </c>
      <c r="BY38" s="1" t="n">
        <f aca="false">Participantes!BA37</f>
        <v>0</v>
      </c>
      <c r="BZ38" s="1" t="n">
        <f aca="false">Participantes!BB37</f>
        <v>0</v>
      </c>
      <c r="CA38" s="82" t="str">
        <f aca="false">IF(BY$2="","",IF(AND(BY38=BY$2,BZ38=BZ$2),3,IF(AND(BY$2&gt;BZ$2,BY38&gt;BZ38),1,IF(AND(BZ$2&gt;BY$2,BZ38&gt;BY38),1,IF(AND(BY$2=BZ$2,BY38=BZ38),1,0)))))</f>
        <v/>
      </c>
      <c r="CB38" s="1" t="n">
        <f aca="false">Participantes!BC37</f>
        <v>0</v>
      </c>
      <c r="CC38" s="1" t="n">
        <f aca="false">Participantes!BD37</f>
        <v>0</v>
      </c>
      <c r="CD38" s="82" t="str">
        <f aca="false">IF(CB$2="","",IF(AND(CB38=CB$2,CC38=CC$2),3,IF(AND(CB$2&gt;CC$2,CB38&gt;CC38),1,IF(AND(CC$2&gt;CB$2,CC38&gt;CB38),1,IF(AND(CB$2=CC$2,CB38=CC38),1,0)))))</f>
        <v/>
      </c>
      <c r="CE38" s="1" t="n">
        <f aca="false">Participantes!BE37</f>
        <v>0</v>
      </c>
      <c r="CF38" s="1" t="n">
        <f aca="false">Participantes!BF37</f>
        <v>0</v>
      </c>
      <c r="CG38" s="82" t="str">
        <f aca="false">IF(CE$2="","",IF(AND(CE38=CE$2,CF38=CF$2),3,IF(AND(CE$2&gt;CF$2,CE38&gt;CF38),1,IF(AND(CF$2&gt;CE$2,CF38&gt;CE38),1,IF(AND(CE$2=CF$2,CE38=CF38),1,0)))))</f>
        <v/>
      </c>
      <c r="CH38" s="1" t="n">
        <f aca="false">Participantes!BG37</f>
        <v>0</v>
      </c>
      <c r="CI38" s="1" t="n">
        <f aca="false">Participantes!BH37</f>
        <v>0</v>
      </c>
      <c r="CJ38" s="82" t="str">
        <f aca="false">IF(CH$2="","",IF(AND(CH38=CH$2,CI38=CI$2),3,IF(AND(CH$2&gt;CI$2,CH38&gt;CI38),1,IF(AND(CI$2&gt;CH$2,CI38&gt;CH38),1,IF(AND(CH$2=CI$2,CH38=CI38),1,0)))))</f>
        <v/>
      </c>
      <c r="CK38" s="1" t="n">
        <f aca="false">Participantes!BI37</f>
        <v>0</v>
      </c>
      <c r="CL38" s="1" t="n">
        <f aca="false">Participantes!BJ37</f>
        <v>0</v>
      </c>
      <c r="CM38" s="82" t="str">
        <f aca="false">IF(CK$2="","",IF(AND(CK38=CK$2,CL38=CL$2),3,IF(AND(CK$2&gt;CL$2,CK38&gt;CL38),1,IF(AND(CL$2&gt;CK$2,CL38&gt;CK38),1,IF(AND(CK$2=CL$2,CK38=CL38),1,0)))))</f>
        <v/>
      </c>
      <c r="CN38" s="1" t="n">
        <f aca="false">Participantes!BK37</f>
        <v>0</v>
      </c>
      <c r="CO38" s="1" t="n">
        <f aca="false">Participantes!BL37</f>
        <v>0</v>
      </c>
      <c r="CP38" s="82" t="str">
        <f aca="false">IF(CN$2="","",IF(AND(CN38=CN$2,CO38=CO$2),3,IF(AND(CN$2&gt;CO$2,CN38&gt;CO38),1,IF(AND(CO$2&gt;CN$2,CO38&gt;CN38),1,IF(AND(CN$2=CO$2,CN38=CO38),1,0)))))</f>
        <v/>
      </c>
      <c r="CQ38" s="1" t="n">
        <f aca="false">Participantes!BM37</f>
        <v>0</v>
      </c>
      <c r="CR38" s="1" t="n">
        <f aca="false">Participantes!BN37</f>
        <v>0</v>
      </c>
      <c r="CS38" s="82" t="str">
        <f aca="false">IF(CQ$2="","",IF(AND(CQ38=CQ$2,CR38=CR$2),3,IF(AND(CQ$2&gt;CR$2,CQ38&gt;CR38),1,IF(AND(CR$2&gt;CQ$2,CR38&gt;CQ38),1,IF(AND(CQ$2=CR$2,CQ38=CR38),1,0)))))</f>
        <v/>
      </c>
      <c r="CT38" s="1" t="n">
        <f aca="false">Participantes!BO37</f>
        <v>0</v>
      </c>
      <c r="CU38" s="1" t="n">
        <f aca="false">Participantes!BP37</f>
        <v>0</v>
      </c>
      <c r="CV38" s="82" t="str">
        <f aca="false">IF(CT$2="","",IF(AND(CT38=CT$2,CU38=CU$2),3,IF(AND(CT$2&gt;CU$2,CT38&gt;CU38),1,IF(AND(CU$2&gt;CT$2,CU38&gt;CT38),1,IF(AND(CT$2=CU$2,CT38=CU38),1,0)))))</f>
        <v/>
      </c>
      <c r="CW38" s="1" t="n">
        <f aca="false">Participantes!BQ37</f>
        <v>0</v>
      </c>
      <c r="CX38" s="1" t="n">
        <f aca="false">Participantes!BR37</f>
        <v>0</v>
      </c>
      <c r="CY38" s="82" t="str">
        <f aca="false">IF(CW$2="","",IF(AND(CW38=CW$2,CX38=CX$2),3,IF(AND(CW$2&gt;CX$2,CW38&gt;CX38),1,IF(AND(CX$2&gt;CW$2,CX38&gt;CW38),1,IF(AND(CW$2=CX$2,CW38=CX38),1,0)))))</f>
        <v/>
      </c>
      <c r="CZ38" s="1" t="n">
        <f aca="false">Participantes!BS37</f>
        <v>0</v>
      </c>
      <c r="DA38" s="1" t="n">
        <f aca="false">Participantes!BT37</f>
        <v>0</v>
      </c>
      <c r="DB38" s="82" t="str">
        <f aca="false">IF(CZ$2="","",IF(AND(CZ38=CZ$2,DA38=DA$2),3,IF(AND(CZ$2&gt;DA$2,CZ38&gt;DA38),1,IF(AND(DA$2&gt;CZ$2,DA38&gt;CZ38),1,IF(AND(CZ$2=DA$2,CZ38=DA38),1,0)))))</f>
        <v/>
      </c>
      <c r="DC38" s="1" t="n">
        <f aca="false">Participantes!BU37</f>
        <v>0</v>
      </c>
      <c r="DD38" s="1" t="n">
        <f aca="false">Participantes!BV37</f>
        <v>0</v>
      </c>
      <c r="DE38" s="82" t="str">
        <f aca="false">IF(DC$2="","",IF(AND(DC38=DC$2,DD38=DD$2),3,IF(AND(DC$2&gt;DD$2,DC38&gt;DD38),1,IF(AND(DD$2&gt;DC$2,DD38&gt;DC38),1,IF(AND(DC$2=DD$2,DC38=DD38),1,0)))))</f>
        <v/>
      </c>
      <c r="DF38" s="1" t="n">
        <f aca="false">Participantes!BW37</f>
        <v>0</v>
      </c>
      <c r="DG38" s="1" t="n">
        <f aca="false">Participantes!BX37</f>
        <v>0</v>
      </c>
      <c r="DH38" s="82" t="str">
        <f aca="false">IF(DF$2="","",IF(AND(DF38=DF$2,DG38=DG$2),3,IF(AND(DF$2&gt;DG$2,DF38&gt;DG38),1,IF(AND(DG$2&gt;DF$2,DG38&gt;DF38),1,IF(AND(DF$2=DG$2,DF38=DG38),1,0)))))</f>
        <v/>
      </c>
      <c r="DI38" s="1" t="n">
        <f aca="false">Participantes!BY37</f>
        <v>0</v>
      </c>
      <c r="DJ38" s="1" t="n">
        <f aca="false">Participantes!BZ37</f>
        <v>0</v>
      </c>
      <c r="DK38" s="82" t="str">
        <f aca="false">IF(DI$2="","",IF(AND(DI38=DI$2,DJ38=DJ$2),3,IF(AND(DI$2&gt;DJ$2,DI38&gt;DJ38),1,IF(AND(DJ$2&gt;DI$2,DJ38&gt;DI38),1,IF(AND(DI$2=DJ$2,DI38=DJ38),1,0)))))</f>
        <v/>
      </c>
      <c r="DL38" s="1" t="n">
        <f aca="false">Participantes!CA37</f>
        <v>0</v>
      </c>
      <c r="DM38" s="1" t="n">
        <f aca="false">Participantes!CB37</f>
        <v>0</v>
      </c>
      <c r="DN38" s="82" t="str">
        <f aca="false">IF(DL$2="","",IF(AND(DL38=DL$2,DM38=DM$2),3,IF(AND(DL$2&gt;DM$2,DL38&gt;DM38),1,IF(AND(DM$2&gt;DL$2,DM38&gt;DL38),1,IF(AND(DL$2=DM$2,DL38=DM38),1,0)))))</f>
        <v/>
      </c>
      <c r="DO38" s="1" t="n">
        <f aca="false">Participantes!CC37</f>
        <v>0</v>
      </c>
      <c r="DP38" s="1" t="n">
        <f aca="false">Participantes!CD37</f>
        <v>0</v>
      </c>
      <c r="DQ38" s="82" t="str">
        <f aca="false">IF(DO$2="","",IF(AND(DO38=DO$2,DP38=DP$2),3,IF(AND(DO$2&gt;DP$2,DO38&gt;DP38),1,IF(AND(DP$2&gt;DO$2,DP38&gt;DO38),1,IF(AND(DO$2=DP$2,DO38=DP38),1,0)))))</f>
        <v/>
      </c>
      <c r="DR38" s="1" t="n">
        <f aca="false">Participantes!CE37</f>
        <v>0</v>
      </c>
      <c r="DS38" s="1" t="n">
        <f aca="false">Participantes!CF37</f>
        <v>0</v>
      </c>
      <c r="DT38" s="82" t="str">
        <f aca="false">IF(DR$2="","",IF(AND(DR38=DR$2,DS38=DS$2),3,IF(AND(DR$2&gt;DS$2,DR38&gt;DS38),1,IF(AND(DS$2&gt;DR$2,DS38&gt;DR38),1,IF(AND(DR$2=DS$2,DR38=DS38),1,0)))))</f>
        <v/>
      </c>
      <c r="DU38" s="1" t="n">
        <f aca="false">Participantes!CG37</f>
        <v>0</v>
      </c>
      <c r="DV38" s="1" t="n">
        <f aca="false">Participantes!CH37</f>
        <v>0</v>
      </c>
      <c r="DW38" s="82" t="str">
        <f aca="false">IF(DU$2="","",IF(AND(DU38=DU$2,DV38=DV$2),3,IF(AND(DU$2&gt;DV$2,DU38&gt;DV38),1,IF(AND(DV$2&gt;DU$2,DV38&gt;DU38),1,IF(AND(DU$2=DV$2,DU38=DV38),1,0)))))</f>
        <v/>
      </c>
      <c r="DX38" s="1" t="n">
        <f aca="false">Participantes!CI37</f>
        <v>0</v>
      </c>
      <c r="DY38" s="1" t="n">
        <f aca="false">Participantes!CJ37</f>
        <v>0</v>
      </c>
      <c r="DZ38" s="82" t="str">
        <f aca="false">IF(DX$2="","",IF(AND(DX38=DX$2,DY38=DY$2),3,IF(AND(DX$2&gt;DY$2,DX38&gt;DY38),1,IF(AND(DY$2&gt;DX$2,DY38&gt;DX38),1,IF(AND(DX$2=DY$2,DX38=DY38),1,0)))))</f>
        <v/>
      </c>
      <c r="EA38" s="1" t="n">
        <f aca="false">Participantes!CK37</f>
        <v>0</v>
      </c>
      <c r="EB38" s="1" t="n">
        <f aca="false">Participantes!CL37</f>
        <v>0</v>
      </c>
      <c r="EC38" s="82" t="str">
        <f aca="false">IF(EA$2="","",IF(AND(EA38=EA$2,EB38=EB$2),3,IF(AND(EA$2&gt;EB$2,EA38&gt;EB38),1,IF(AND(EB$2&gt;EA$2,EB38&gt;EA38),1,IF(AND(EA$2=EB$2,EA38=EB38),1,0)))))</f>
        <v/>
      </c>
      <c r="ED38" s="1" t="n">
        <f aca="false">Participantes!CM37</f>
        <v>0</v>
      </c>
      <c r="EE38" s="1" t="n">
        <f aca="false">Participantes!CN37</f>
        <v>0</v>
      </c>
      <c r="EF38" s="82" t="str">
        <f aca="false">IF(ED$2="","",IF(AND(ED38=ED$2,EE38=EE$2),3,IF(AND(ED$2&gt;EE$2,ED38&gt;EE38),1,IF(AND(EE$2&gt;ED$2,EE38&gt;ED38),1,IF(AND(ED$2=EE$2,ED38=EE38),1,0)))))</f>
        <v/>
      </c>
      <c r="EG38" s="1" t="n">
        <f aca="false">Participantes!CO37</f>
        <v>0</v>
      </c>
      <c r="EH38" s="1" t="n">
        <f aca="false">Participantes!CP37</f>
        <v>0</v>
      </c>
      <c r="EI38" s="82" t="str">
        <f aca="false">IF(EG$2="","",IF(AND(EG38=EG$2,EH38=EH$2),3,IF(AND(EG$2&gt;EH$2,EG38&gt;EH38),1,IF(AND(EH$2&gt;EG$2,EH38&gt;EG38),1,IF(AND(EG$2=EH$2,EG38=EH38),1,0)))))</f>
        <v/>
      </c>
      <c r="EJ38" s="1" t="n">
        <f aca="false">Participantes!CQ37</f>
        <v>0</v>
      </c>
      <c r="EK38" s="1" t="n">
        <f aca="false">Participantes!CR37</f>
        <v>0</v>
      </c>
      <c r="EL38" s="82" t="str">
        <f aca="false">IF(EJ$2="","",IF(AND(EJ38=EJ$2,EK38=EK$2),3,IF(AND(EJ$2&gt;EK$2,EJ38&gt;EK38),1,IF(AND(EK$2&gt;EJ$2,EK38&gt;EJ38),1,IF(AND(EJ$2=EK$2,EJ38=EK38),1,0)))))</f>
        <v/>
      </c>
      <c r="EM38" s="1" t="n">
        <f aca="false">Participantes!CS37</f>
        <v>0</v>
      </c>
      <c r="EN38" s="1" t="n">
        <f aca="false">Participantes!CT37</f>
        <v>0</v>
      </c>
      <c r="EO38" s="82" t="str">
        <f aca="false">IF(EM$2="","",IF(AND(EM38=EM$2,EN38=EN$2),3,IF(AND(EM$2&gt;EN$2,EM38&gt;EN38),1,IF(AND(EN$2&gt;EM$2,EN38&gt;EM38),1,IF(AND(EM$2=EN$2,EM38=EN38),1,0)))))</f>
        <v/>
      </c>
      <c r="EP38" s="1" t="n">
        <f aca="false">Participantes!CU37</f>
        <v>0</v>
      </c>
      <c r="EQ38" s="1" t="n">
        <f aca="false">Participantes!CV37</f>
        <v>0</v>
      </c>
      <c r="ER38" s="82" t="str">
        <f aca="false">IF(EP$2="","",IF(AND(EP38=EP$2,EQ38=EQ$2),3,IF(AND(EP$2&gt;EQ$2,EP38&gt;EQ38),1,IF(AND(EQ$2&gt;EP$2,EQ38&gt;EP38),1,IF(AND(EP$2=EQ$2,EP38=EQ38),1,0)))))</f>
        <v/>
      </c>
      <c r="ES38" s="1" t="n">
        <f aca="false">Participantes!CW37</f>
        <v>0</v>
      </c>
      <c r="ET38" s="1" t="n">
        <f aca="false">Participantes!CX37</f>
        <v>0</v>
      </c>
      <c r="EU38" s="82" t="str">
        <f aca="false">IF(ES$2="","",IF(AND(ES38=ES$2,ET38=ET$2),3,IF(AND(ES$2&gt;ET$2,ES38&gt;ET38),1,IF(AND(ET$2&gt;ES$2,ET38&gt;ES38),1,IF(AND(ES$2=ET$2,ES38=ET38),1,0)))))</f>
        <v/>
      </c>
      <c r="EV38" s="1" t="n">
        <f aca="false">Participantes!CY37</f>
        <v>0</v>
      </c>
      <c r="EW38" s="1" t="n">
        <f aca="false">Participantes!CZ37</f>
        <v>0</v>
      </c>
      <c r="EX38" s="82" t="str">
        <f aca="false">IF(EV$2="","",IF(AND(EV38=EV$2,EW38=EW$2),3,IF(AND(EV$2&gt;EW$2,EV38&gt;EW38),1,IF(AND(EW$2&gt;EV$2,EW38&gt;EV38),1,IF(AND(EV$2=EW$2,EV38=EW38),1,0)))))</f>
        <v/>
      </c>
      <c r="EY38" s="1" t="n">
        <f aca="false">Participantes!DA37</f>
        <v>0</v>
      </c>
      <c r="EZ38" s="1" t="n">
        <f aca="false">Participantes!DB37</f>
        <v>0</v>
      </c>
      <c r="FA38" s="82" t="str">
        <f aca="false">IF(EY$2="","",IF(AND(EY38=EY$2,EZ38=EZ$2),3,IF(AND(EY$2&gt;EZ$2,EY38&gt;EZ38),1,IF(AND(EZ$2&gt;EY$2,EZ38&gt;EY38),1,IF(AND(EY$2=EZ$2,EY38=EZ38),1,0)))))</f>
        <v/>
      </c>
      <c r="FB38" s="1" t="n">
        <f aca="false">Participantes!DC37</f>
        <v>0</v>
      </c>
      <c r="FC38" s="1" t="n">
        <f aca="false">Participantes!DD37</f>
        <v>0</v>
      </c>
      <c r="FD38" s="82" t="str">
        <f aca="false">IF(FB$2="","",IF(AND(FB38=FB$2,FC38=FC$2),3,IF(AND(FB$2&gt;FC$2,FB38&gt;FC38),1,IF(AND(FC$2&gt;FB$2,FC38&gt;FB38),1,IF(AND(FB$2=FC$2,FB38=FC38),1,0)))))</f>
        <v/>
      </c>
      <c r="FE38" s="1" t="n">
        <f aca="false">Participantes!DE37</f>
        <v>0</v>
      </c>
      <c r="FF38" s="1" t="n">
        <f aca="false">Participantes!DF37</f>
        <v>0</v>
      </c>
      <c r="FG38" s="82" t="str">
        <f aca="false">IF(FE$2="","",IF(AND(FE38=FE$2,FF38=FF$2),3,IF(AND(FE$2&gt;FF$2,FE38&gt;FF38),1,IF(AND(FF$2&gt;FE$2,FF38&gt;FE38),1,IF(AND(FE$2=FF$2,FE38=FF38),1,0)))))</f>
        <v/>
      </c>
      <c r="FH38" s="1" t="n">
        <f aca="false">Participantes!DG37</f>
        <v>0</v>
      </c>
      <c r="FI38" s="1" t="n">
        <f aca="false">Participantes!DH37</f>
        <v>0</v>
      </c>
      <c r="FJ38" s="82" t="str">
        <f aca="false">IF(FH$2="","",IF(AND(FH38=FH$2,FI38=FI$2),3,IF(AND(FH$2&gt;FI$2,FH38&gt;FI38),1,IF(AND(FI$2&gt;FH$2,FI38&gt;FH38),1,IF(AND(FH$2=FI$2,FH38=FI38),1,0)))))</f>
        <v/>
      </c>
      <c r="FK38" s="1" t="n">
        <f aca="false">Participantes!DI37</f>
        <v>0</v>
      </c>
      <c r="FL38" s="1" t="n">
        <f aca="false">Participantes!DJ37</f>
        <v>0</v>
      </c>
      <c r="FM38" s="82" t="str">
        <f aca="false">IF(FK$2="","",IF(AND(FK38=FK$2,FL38=FL$2),3,IF(AND(FK$2&gt;FL$2,FK38&gt;FL38),1,IF(AND(FL$2&gt;FK$2,FL38&gt;FK38),1,IF(AND(FK$2=FL$2,FK38=FL38),1,0)))))</f>
        <v/>
      </c>
      <c r="FN38" s="1" t="n">
        <f aca="false">Participantes!DK37</f>
        <v>0</v>
      </c>
      <c r="FO38" s="1" t="n">
        <f aca="false">Participantes!DL37</f>
        <v>0</v>
      </c>
      <c r="FP38" s="82" t="str">
        <f aca="false">IF(FN$2="","",IF(AND(FN38=FN$2,FO38=FO$2),3,IF(AND(FN$2&gt;FO$2,FN38&gt;FO38),1,IF(AND(FO$2&gt;FN$2,FO38&gt;FN38),1,IF(AND(FN$2=FO$2,FN38=FO38),1,0)))))</f>
        <v/>
      </c>
      <c r="FQ38" s="1" t="n">
        <f aca="false">Participantes!DM37</f>
        <v>0</v>
      </c>
      <c r="FR38" s="1" t="n">
        <f aca="false">Participantes!DN37</f>
        <v>0</v>
      </c>
      <c r="FS38" s="82" t="str">
        <f aca="false">IF(FQ$2="","",IF(AND(FQ38=FQ$2,FR38=FR$2),3,IF(AND(FQ$2&gt;FR$2,FQ38&gt;FR38),1,IF(AND(FR$2&gt;FQ$2,FR38&gt;FQ38),1,IF(AND(FQ$2=FR$2,FQ38=FR38),1,0)))))</f>
        <v/>
      </c>
      <c r="FT38" s="1" t="n">
        <f aca="false">Participantes!DO37</f>
        <v>0</v>
      </c>
      <c r="FU38" s="1" t="n">
        <f aca="false">Participantes!DP37</f>
        <v>0</v>
      </c>
      <c r="FV38" s="82" t="str">
        <f aca="false">IF(FT$2="","",IF(AND(FT38=FT$2,FU38=FU$2),3,IF(AND(FT$2&gt;FU$2,FT38&gt;FU38),1,IF(AND(FU$2&gt;FT$2,FU38&gt;FT38),1,IF(AND(FT$2=FU$2,FT38=FU38),1,0)))))</f>
        <v/>
      </c>
      <c r="FW38" s="1" t="n">
        <f aca="false">Participantes!DQ37</f>
        <v>0</v>
      </c>
      <c r="FX38" s="1" t="n">
        <f aca="false">Participantes!DR37</f>
        <v>0</v>
      </c>
      <c r="FY38" s="82" t="str">
        <f aca="false">IF(FW$2="","",IF(AND(FW38=FW$2,FX38=FX$2),3,IF(AND(FW$2&gt;FX$2,FW38&gt;FX38),1,IF(AND(FX$2&gt;FW$2,FX38&gt;FW38),1,IF(AND(FW$2=FX$2,FW38=FX38),1,0)))))</f>
        <v/>
      </c>
      <c r="FZ38" s="1" t="n">
        <f aca="false">Participantes!DS37</f>
        <v>0</v>
      </c>
      <c r="GA38" s="1" t="n">
        <f aca="false">Participantes!DT37</f>
        <v>0</v>
      </c>
      <c r="GB38" s="82" t="str">
        <f aca="false">IF(FZ$2="","",IF(AND(FZ38=FZ$2,GA38=GA$2),3,IF(AND(FZ$2&gt;GA$2,FZ38&gt;GA38),1,IF(AND(GA$2&gt;FZ$2,GA38&gt;FZ38),1,IF(AND(FZ$2=GA$2,FZ38=GA38),1,0)))))</f>
        <v/>
      </c>
      <c r="GC38" s="1" t="n">
        <f aca="false">Participantes!DU37</f>
        <v>0</v>
      </c>
      <c r="GD38" s="1" t="n">
        <f aca="false">Participantes!DV37</f>
        <v>0</v>
      </c>
      <c r="GE38" s="82" t="str">
        <f aca="false">IF(GC$2="","",IF(AND(GC38=GC$2,GD38=GD$2),3,IF(AND(GC$2&gt;GD$2,GC38&gt;GD38),1,IF(AND(GD$2&gt;GC$2,GD38&gt;GC38),1,IF(AND(GC$2=GD$2,GC38=GD38),1,0)))))</f>
        <v/>
      </c>
      <c r="GF38" s="1" t="n">
        <f aca="false">Participantes!DW37</f>
        <v>0</v>
      </c>
      <c r="GG38" s="1" t="n">
        <f aca="false">Participantes!DX37</f>
        <v>0</v>
      </c>
      <c r="GH38" s="82" t="str">
        <f aca="false">IF(GF$2="","",IF(AND(GF38=GF$2,GG38=GG$2),3,IF(AND(GF$2&gt;GG$2,GF38&gt;GG38),1,IF(AND(GG$2&gt;GF$2,GG38&gt;GF38),1,IF(AND(GF$2=GG$2,GF38=GG38),1,0)))))</f>
        <v/>
      </c>
      <c r="GI38" s="1" t="n">
        <f aca="false">Participantes!DY37</f>
        <v>0</v>
      </c>
      <c r="GJ38" s="1" t="n">
        <f aca="false">Participantes!DZ37</f>
        <v>0</v>
      </c>
      <c r="GK38" s="82" t="str">
        <f aca="false">IF(GI$2="","",IF(AND(GI38=GI$2,GJ38=GJ$2),3,IF(AND(GI$2&gt;GJ$2,GI38&gt;GJ38),1,IF(AND(GJ$2&gt;GI$2,GJ38&gt;GI38),1,IF(AND(GI$2=GJ$2,GI38=GJ38),1,0)))))</f>
        <v/>
      </c>
      <c r="GL38" s="1" t="n">
        <f aca="false">Participantes!EA37</f>
        <v>0</v>
      </c>
      <c r="GM38" s="1" t="n">
        <f aca="false">Participantes!EB37</f>
        <v>0</v>
      </c>
      <c r="GN38" s="82" t="str">
        <f aca="false">IF(GL$2="","",IF(AND(GL38=GL$2,GM38=GM$2),3,IF(AND(GL$2&gt;GM$2,GL38&gt;GM38),1,IF(AND(GM$2&gt;GL$2,GM38&gt;GL38),1,IF(AND(GL$2=GM$2,GL38=GM38),1,0)))))</f>
        <v/>
      </c>
      <c r="GO38" s="1" t="n">
        <f aca="false">Participantes!EC37</f>
        <v>0</v>
      </c>
      <c r="GP38" s="1" t="n">
        <f aca="false">Participantes!ED37</f>
        <v>0</v>
      </c>
      <c r="GQ38" s="82" t="str">
        <f aca="false">IF(GO$2="","",IF(AND(GO38=GO$2,GP38=GP$2),3,IF(AND(GO$2&gt;GP$2,GO38&gt;GP38),1,IF(AND(GP$2&gt;GO$2,GP38&gt;GO38),1,IF(AND(GO$2=GP$2,GO38=GP38),1,0)))))</f>
        <v/>
      </c>
      <c r="GR38" s="1" t="n">
        <f aca="false">Participantes!EE37</f>
        <v>0</v>
      </c>
      <c r="GS38" s="1" t="n">
        <f aca="false">Participantes!EF37</f>
        <v>0</v>
      </c>
      <c r="GT38" s="82" t="str">
        <f aca="false">IF(GR$2="","",IF(AND(GR38=GR$2,GS38=GS$2),3,IF(AND(GR$2&gt;GS$2,GR38&gt;GS38),1,IF(AND(GS$2&gt;GR$2,GS38&gt;GR38),1,IF(AND(GR$2=GS$2,GR38=GS38),1,0)))))</f>
        <v/>
      </c>
      <c r="GU38" s="1" t="n">
        <f aca="false">Participantes!EG37</f>
        <v>0</v>
      </c>
      <c r="GV38" s="1" t="n">
        <f aca="false">Participantes!EH37</f>
        <v>0</v>
      </c>
      <c r="GW38" s="82" t="str">
        <f aca="false">IF(GU$2="","",IF(AND(GU38=GU$2,GV38=GV$2),3,IF(AND(GU$2&gt;GV$2,GU38&gt;GV38),1,IF(AND(GV$2&gt;GU$2,GV38&gt;GU38),1,IF(AND(GU$2=GV$2,GU38=GV38),1,0)))))</f>
        <v/>
      </c>
      <c r="GX38" s="1" t="n">
        <f aca="false">Participantes!EI37</f>
        <v>0</v>
      </c>
      <c r="GY38" s="1" t="n">
        <f aca="false">Participantes!EJ37</f>
        <v>0</v>
      </c>
      <c r="GZ38" s="82" t="str">
        <f aca="false">IF(GX$2="","",IF(AND(GX38=GX$2,GY38=GY$2),3,IF(AND(GX$2&gt;GY$2,GX38&gt;GY38),1,IF(AND(GY$2&gt;GX$2,GY38&gt;GX38),1,IF(AND(GX$2=GY$2,GX38=GY38),1,0)))))</f>
        <v/>
      </c>
      <c r="HA38" s="1" t="n">
        <f aca="false">Participantes!EK37</f>
        <v>0</v>
      </c>
      <c r="HB38" s="1" t="n">
        <f aca="false">Participantes!EL37</f>
        <v>0</v>
      </c>
      <c r="HC38" s="82" t="str">
        <f aca="false">IF(HA$2="","",IF(AND(HA38=HA$2,HB38=HB$2),3,IF(AND(HA$2&gt;HB$2,HA38&gt;HB38),1,IF(AND(HB$2&gt;HA$2,HB38&gt;HA38),1,IF(AND(HA$2=HB$2,HA38=HB38),1,0)))))</f>
        <v/>
      </c>
      <c r="HD38" s="1" t="n">
        <f aca="false">Participantes!EM37</f>
        <v>0</v>
      </c>
      <c r="HE38" s="1" t="n">
        <f aca="false">Participantes!EN37</f>
        <v>0</v>
      </c>
      <c r="HF38" s="82" t="str">
        <f aca="false">IF(HD$2="","",IF(AND(HD38=HD$2,HE38=HE$2),3,IF(AND(HD$2&gt;HE$2,HD38&gt;HE38),1,IF(AND(HE$2&gt;HD$2,HE38&gt;HD38),1,IF(AND(HD$2=HE$2,HD38=HE38),1,0)))))</f>
        <v/>
      </c>
      <c r="HG38" s="1" t="n">
        <f aca="false">Participantes!EO37</f>
        <v>0</v>
      </c>
      <c r="HH38" s="1" t="n">
        <f aca="false">Participantes!EP37</f>
        <v>0</v>
      </c>
      <c r="HI38" s="82" t="str">
        <f aca="false">IF(HG$2="","",IF(AND(HG38=HG$2,HH38=HH$2),3,IF(AND(HG$2&gt;HH$2,HG38&gt;HH38),1,IF(AND(HH$2&gt;HG$2,HH38&gt;HG38),1,IF(AND(HG$2=HH$2,HG38=HH38),1,0)))))</f>
        <v/>
      </c>
      <c r="HJ38" s="83" t="n">
        <f aca="false">SUM(D38,G38,J38,M38,P38,S38,V38,Y38,AB38,AE38,AH38,AK38,AN38,AQ38,AT38,AW38,AZ38,BC38,BF38,BI38,BL38,BO38,BR38,BU38,BX38,CA38,CD38,CG38,CJ38,CM38,CP38,CS38,CV38,CY38,DB38,DE38,DH38,DK38,DN38,DQ38,DT38,DW38,DZ38,EC38,EF38,EI38,EL38,EO38,ER38,EU38,EX38,FA38,FD38,FG38,FJ38,FM38,FP38,FS38,FV38,FY38,GB38,GE38,GH38,GK38,GN38,GQ38,GT38,GW38,GZ38,HC38,HF38,HI38)</f>
        <v>1</v>
      </c>
    </row>
    <row r="39" customFormat="false" ht="15" hidden="false" customHeight="true" outlineLevel="0" collapsed="false">
      <c r="A39" s="81" t="str">
        <f aca="false">Participantes!B38</f>
        <v>Mily Frida</v>
      </c>
      <c r="B39" s="1" t="n">
        <f aca="false">Participantes!C38</f>
        <v>2</v>
      </c>
      <c r="C39" s="1" t="n">
        <f aca="false">Participantes!D38</f>
        <v>0</v>
      </c>
      <c r="D39" s="82" t="n">
        <f aca="false">IF(B$2="","",IF(AND(B39=B$2,C39=C$2),3,IF(AND(B$2&gt;C$2,B39&gt;C39),1,IF(AND(C$2&gt;B$2,C39&gt;B39),1,IF(AND(B$2=C$2,B39=C39),1,0)))))</f>
        <v>3</v>
      </c>
      <c r="E39" s="1" t="n">
        <f aca="false">Participantes!E38</f>
        <v>1</v>
      </c>
      <c r="F39" s="1" t="n">
        <f aca="false">Participantes!F38</f>
        <v>1</v>
      </c>
      <c r="G39" s="82" t="str">
        <f aca="false">IF(E$2="","",IF(AND(E39=E$2,F39=F$2),3,IF(AND(E$2&gt;F$2,E39&gt;F39),1,IF(AND(F$2&gt;E$2,F39&gt;E39),1,IF(AND(E$2=F$2,E39=F39),1,0)))))</f>
        <v/>
      </c>
      <c r="H39" s="1" t="n">
        <f aca="false">Participantes!G38</f>
        <v>0</v>
      </c>
      <c r="I39" s="1" t="n">
        <f aca="false">Participantes!H38</f>
        <v>1</v>
      </c>
      <c r="J39" s="82" t="str">
        <f aca="false">IF(H$2="","",IF(AND(H39=H$2,I39=I$2),3,IF(AND(H$2&gt;I$2,H39&gt;I39),1,IF(AND(I$2&gt;H$2,I39&gt;H39),1,IF(AND(H$2=I$2,H39=I39),1,0)))))</f>
        <v/>
      </c>
      <c r="K39" s="1" t="n">
        <f aca="false">Participantes!I38</f>
        <v>0</v>
      </c>
      <c r="L39" s="1" t="n">
        <f aca="false">Participantes!J38</f>
        <v>1</v>
      </c>
      <c r="M39" s="82" t="str">
        <f aca="false">IF(K$2="","",IF(AND(K39=K$2,L39=L$2),3,IF(AND(K$2&gt;L$2,K39&gt;L39),1,IF(AND(L$2&gt;K$2,L39&gt;K39),1,IF(AND(K$2=L$2,K39=L39),1,0)))))</f>
        <v/>
      </c>
      <c r="N39" s="1" t="n">
        <f aca="false">Participantes!K38</f>
        <v>0</v>
      </c>
      <c r="O39" s="1" t="n">
        <f aca="false">Participantes!L38</f>
        <v>0</v>
      </c>
      <c r="P39" s="82" t="str">
        <f aca="false">IF(N$2="","",IF(AND(N39=N$2,O39=O$2),3,IF(AND(N$2&gt;O$2,N39&gt;O39),1,IF(AND(O$2&gt;N$2,O39&gt;N39),1,IF(AND(N$2=O$2,N39=O39),1,0)))))</f>
        <v/>
      </c>
      <c r="Q39" s="1" t="n">
        <f aca="false">Participantes!M38</f>
        <v>1</v>
      </c>
      <c r="R39" s="1" t="n">
        <f aca="false">Participantes!N38</f>
        <v>0</v>
      </c>
      <c r="S39" s="82" t="str">
        <f aca="false">IF(Q$2="","",IF(AND(Q39=Q$2,R39=R$2),3,IF(AND(Q$2&gt;R$2,Q39&gt;R39),1,IF(AND(R$2&gt;Q$2,R39&gt;Q39),1,IF(AND(Q$2=R$2,Q39=R39),1,0)))))</f>
        <v/>
      </c>
      <c r="T39" s="1" t="n">
        <f aca="false">Participantes!O38</f>
        <v>3</v>
      </c>
      <c r="U39" s="1" t="n">
        <f aca="false">Participantes!P38</f>
        <v>1</v>
      </c>
      <c r="V39" s="82" t="str">
        <f aca="false">IF(T$2="","",IF(AND(T39=T$2,U39=U$2),3,IF(AND(T$2&gt;U$2,T39&gt;U39),1,IF(AND(U$2&gt;T$2,U39&gt;T39),1,IF(AND(T$2=U$2,T39=U39),1,0)))))</f>
        <v/>
      </c>
      <c r="W39" s="1" t="n">
        <f aca="false">Participantes!Q38</f>
        <v>0</v>
      </c>
      <c r="X39" s="1" t="n">
        <f aca="false">Participantes!R38</f>
        <v>1</v>
      </c>
      <c r="Y39" s="82" t="str">
        <f aca="false">IF(W$2="","",IF(AND(W39=W$2,X39=X$2),3,IF(AND(W$2&gt;X$2,W39&gt;X39),1,IF(AND(X$2&gt;W$2,X39&gt;W39),1,IF(AND(W$2=X$2,W39=X39),1,0)))))</f>
        <v/>
      </c>
      <c r="Z39" s="1" t="n">
        <f aca="false">Participantes!S38</f>
        <v>1</v>
      </c>
      <c r="AA39" s="1" t="n">
        <f aca="false">Participantes!T38</f>
        <v>0</v>
      </c>
      <c r="AB39" s="82" t="str">
        <f aca="false">IF(Z$2="","",IF(AND(Z39=Z$2,AA39=AA$2),3,IF(AND(Z$2&gt;AA$2,Z39&gt;AA39),1,IF(AND(AA$2&gt;Z$2,AA39&gt;Z39),1,IF(AND(Z$2=AA$2,Z39=AA39),1,0)))))</f>
        <v/>
      </c>
      <c r="AC39" s="1" t="n">
        <f aca="false">Participantes!U38</f>
        <v>2</v>
      </c>
      <c r="AD39" s="1" t="n">
        <f aca="false">Participantes!V38</f>
        <v>0</v>
      </c>
      <c r="AE39" s="82" t="str">
        <f aca="false">IF(AC$2="","",IF(AND(AC39=AC$2,AD39=AD$2),3,IF(AND(AC$2&gt;AD$2,AC39&gt;AD39),1,IF(AND(AD$2&gt;AC$2,AD39&gt;AC39),1,IF(AND(AC$2=AD$2,AC39=AD39),1,0)))))</f>
        <v/>
      </c>
      <c r="AF39" s="1" t="n">
        <f aca="false">Participantes!W38</f>
        <v>2</v>
      </c>
      <c r="AG39" s="1" t="n">
        <f aca="false">Participantes!X38</f>
        <v>1</v>
      </c>
      <c r="AH39" s="82" t="str">
        <f aca="false">IF(AF$2="","",IF(AND(AF39=AF$2,AG39=AG$2),3,IF(AND(AF$2&gt;AG$2,AF39&gt;AG39),1,IF(AND(AG$2&gt;AF$2,AG39&gt;AF39),1,IF(AND(AF$2=AG$2,AF39=AG39),1,0)))))</f>
        <v/>
      </c>
      <c r="AI39" s="1" t="n">
        <f aca="false">Participantes!Y38</f>
        <v>2</v>
      </c>
      <c r="AJ39" s="1" t="n">
        <f aca="false">Participantes!Z38</f>
        <v>1</v>
      </c>
      <c r="AK39" s="82" t="str">
        <f aca="false">IF(AI$2="","",IF(AND(AI39=AI$2,AJ39=AJ$2),3,IF(AND(AI$2&gt;AJ$2,AI39&gt;AJ39),1,IF(AND(AJ$2&gt;AI$2,AJ39&gt;AI39),1,IF(AND(AI$2=AJ$2,AI39=AJ39),1,0)))))</f>
        <v/>
      </c>
      <c r="AL39" s="1" t="n">
        <f aca="false">Participantes!AA38</f>
        <v>1</v>
      </c>
      <c r="AM39" s="1" t="n">
        <f aca="false">Participantes!AB38</f>
        <v>2</v>
      </c>
      <c r="AN39" s="82" t="str">
        <f aca="false">IF(AL$2="","",IF(AND(AL39=AL$2,AM39=AM$2),3,IF(AND(AL$2&gt;AM$2,AL39&gt;AM39),1,IF(AND(AM$2&gt;AL$2,AM39&gt;AL39),1,IF(AND(AL$2=AM$2,AL39=AM39),1,0)))))</f>
        <v/>
      </c>
      <c r="AO39" s="1" t="n">
        <f aca="false">Participantes!AC38</f>
        <v>2</v>
      </c>
      <c r="AP39" s="1" t="n">
        <f aca="false">Participantes!AD38</f>
        <v>0</v>
      </c>
      <c r="AQ39" s="82" t="str">
        <f aca="false">IF(AO$2="","",IF(AND(AO39=AO$2,AP39=AP$2),3,IF(AND(AO$2&gt;AP$2,AO39&gt;AP39),1,IF(AND(AP$2&gt;AO$2,AP39&gt;AO39),1,IF(AND(AO$2=AP$2,AO39=AP39),1,0)))))</f>
        <v/>
      </c>
      <c r="AR39" s="1" t="n">
        <f aca="false">Participantes!AE38</f>
        <v>0</v>
      </c>
      <c r="AS39" s="1" t="n">
        <f aca="false">Participantes!AF38</f>
        <v>0</v>
      </c>
      <c r="AT39" s="82" t="str">
        <f aca="false">IF(AR$2="","",IF(AND(AR39=AR$2,AS39=AS$2),3,IF(AND(AR$2&gt;AS$2,AR39&gt;AS39),1,IF(AND(AS$2&gt;AR$2,AS39&gt;AR39),1,IF(AND(AR$2=AS$2,AR39=AS39),1,0)))))</f>
        <v/>
      </c>
      <c r="AU39" s="1" t="n">
        <f aca="false">Participantes!AG38</f>
        <v>0</v>
      </c>
      <c r="AV39" s="1" t="n">
        <f aca="false">Participantes!AH38</f>
        <v>0</v>
      </c>
      <c r="AW39" s="82" t="str">
        <f aca="false">IF(AU$2="","",IF(AND(AU39=AU$2,AV39=AV$2),3,IF(AND(AU$2&gt;AV$2,AU39&gt;AV39),1,IF(AND(AV$2&gt;AU$2,AV39&gt;AU39),1,IF(AND(AU$2=AV$2,AU39=AV39),1,0)))))</f>
        <v/>
      </c>
      <c r="AX39" s="1" t="n">
        <f aca="false">Participantes!AI38</f>
        <v>0</v>
      </c>
      <c r="AY39" s="1" t="n">
        <f aca="false">Participantes!AJ38</f>
        <v>0</v>
      </c>
      <c r="AZ39" s="82" t="str">
        <f aca="false">IF(AX$2="","",IF(AND(AX39=AX$2,AY39=AY$2),3,IF(AND(AX$2&gt;AY$2,AX39&gt;AY39),1,IF(AND(AY$2&gt;AX$2,AY39&gt;AX39),1,IF(AND(AX$2=AY$2,AX39=AY39),1,0)))))</f>
        <v/>
      </c>
      <c r="BA39" s="1" t="n">
        <f aca="false">Participantes!AK38</f>
        <v>0</v>
      </c>
      <c r="BB39" s="1" t="n">
        <f aca="false">Participantes!AL38</f>
        <v>0</v>
      </c>
      <c r="BC39" s="82" t="str">
        <f aca="false">IF(BA$2="","",IF(AND(BA39=BA$2,BB39=BB$2),3,IF(AND(BA$2&gt;BB$2,BA39&gt;BB39),1,IF(AND(BB$2&gt;BA$2,BB39&gt;BA39),1,IF(AND(BA$2=BB$2,BA39=BB39),1,0)))))</f>
        <v/>
      </c>
      <c r="BD39" s="1" t="n">
        <f aca="false">Participantes!AM38</f>
        <v>0</v>
      </c>
      <c r="BE39" s="1" t="n">
        <f aca="false">Participantes!AN38</f>
        <v>0</v>
      </c>
      <c r="BF39" s="82" t="str">
        <f aca="false">IF(BD$2="","",IF(AND(BD39=BD$2,BE39=BE$2),3,IF(AND(BD$2&gt;BE$2,BD39&gt;BE39),1,IF(AND(BE$2&gt;BD$2,BE39&gt;BD39),1,IF(AND(BD$2=BE$2,BD39=BE39),1,0)))))</f>
        <v/>
      </c>
      <c r="BG39" s="1" t="n">
        <f aca="false">Participantes!AO38</f>
        <v>0</v>
      </c>
      <c r="BH39" s="1" t="n">
        <f aca="false">Participantes!AP38</f>
        <v>0</v>
      </c>
      <c r="BI39" s="82" t="str">
        <f aca="false">IF(BG$2="","",IF(AND(BG39=BG$2,BH39=BH$2),3,IF(AND(BG$2&gt;BH$2,BG39&gt;BH39),1,IF(AND(BH$2&gt;BG$2,BH39&gt;BG39),1,IF(AND(BG$2=BH$2,BG39=BH39),1,0)))))</f>
        <v/>
      </c>
      <c r="BJ39" s="1" t="n">
        <f aca="false">Participantes!AQ38</f>
        <v>0</v>
      </c>
      <c r="BK39" s="1" t="n">
        <f aca="false">Participantes!AR38</f>
        <v>0</v>
      </c>
      <c r="BL39" s="82" t="str">
        <f aca="false">IF(BJ$2="","",IF(AND(BJ39=BJ$2,BK39=BK$2),3,IF(AND(BJ$2&gt;BK$2,BJ39&gt;BK39),1,IF(AND(BK$2&gt;BJ$2,BK39&gt;BJ39),1,IF(AND(BJ$2=BK$2,BJ39=BK39),1,0)))))</f>
        <v/>
      </c>
      <c r="BM39" s="1" t="n">
        <f aca="false">Participantes!AS38</f>
        <v>0</v>
      </c>
      <c r="BN39" s="1" t="n">
        <f aca="false">Participantes!AT38</f>
        <v>0</v>
      </c>
      <c r="BO39" s="82" t="str">
        <f aca="false">IF(BM$2="","",IF(AND(BM39=BM$2,BN39=BN$2),3,IF(AND(BM$2&gt;BN$2,BM39&gt;BN39),1,IF(AND(BN$2&gt;BM$2,BN39&gt;BM39),1,IF(AND(BM$2=BN$2,BM39=BN39),1,0)))))</f>
        <v/>
      </c>
      <c r="BP39" s="1" t="n">
        <f aca="false">Participantes!AU38</f>
        <v>0</v>
      </c>
      <c r="BQ39" s="1" t="n">
        <f aca="false">Participantes!AV38</f>
        <v>0</v>
      </c>
      <c r="BR39" s="82" t="str">
        <f aca="false">IF(BP$2="","",IF(AND(BP39=BP$2,BQ39=BQ$2),3,IF(AND(BP$2&gt;BQ$2,BP39&gt;BQ39),1,IF(AND(BQ$2&gt;BP$2,BQ39&gt;BP39),1,IF(AND(BP$2=BQ$2,BP39=BQ39),1,0)))))</f>
        <v/>
      </c>
      <c r="BS39" s="1" t="n">
        <f aca="false">Participantes!AW38</f>
        <v>0</v>
      </c>
      <c r="BT39" s="1" t="n">
        <f aca="false">Participantes!AX38</f>
        <v>0</v>
      </c>
      <c r="BU39" s="82" t="str">
        <f aca="false">IF(BS$2="","",IF(AND(BS39=BS$2,BT39=BT$2),3,IF(AND(BS$2&gt;BT$2,BS39&gt;BT39),1,IF(AND(BT$2&gt;BS$2,BT39&gt;BS39),1,IF(AND(BS$2=BT$2,BS39=BT39),1,0)))))</f>
        <v/>
      </c>
      <c r="BV39" s="1" t="n">
        <f aca="false">Participantes!AY38</f>
        <v>0</v>
      </c>
      <c r="BW39" s="1" t="n">
        <f aca="false">Participantes!AZ38</f>
        <v>0</v>
      </c>
      <c r="BX39" s="82" t="str">
        <f aca="false">IF(BV$2="","",IF(AND(BV39=BV$2,BW39=BW$2),3,IF(AND(BV$2&gt;BW$2,BV39&gt;BW39),1,IF(AND(BW$2&gt;BV$2,BW39&gt;BV39),1,IF(AND(BV$2=BW$2,BV39=BW39),1,0)))))</f>
        <v/>
      </c>
      <c r="BY39" s="1" t="n">
        <f aca="false">Participantes!BA38</f>
        <v>0</v>
      </c>
      <c r="BZ39" s="1" t="n">
        <f aca="false">Participantes!BB38</f>
        <v>0</v>
      </c>
      <c r="CA39" s="82" t="str">
        <f aca="false">IF(BY$2="","",IF(AND(BY39=BY$2,BZ39=BZ$2),3,IF(AND(BY$2&gt;BZ$2,BY39&gt;BZ39),1,IF(AND(BZ$2&gt;BY$2,BZ39&gt;BY39),1,IF(AND(BY$2=BZ$2,BY39=BZ39),1,0)))))</f>
        <v/>
      </c>
      <c r="CB39" s="1" t="n">
        <f aca="false">Participantes!BC38</f>
        <v>0</v>
      </c>
      <c r="CC39" s="1" t="n">
        <f aca="false">Participantes!BD38</f>
        <v>0</v>
      </c>
      <c r="CD39" s="82" t="str">
        <f aca="false">IF(CB$2="","",IF(AND(CB39=CB$2,CC39=CC$2),3,IF(AND(CB$2&gt;CC$2,CB39&gt;CC39),1,IF(AND(CC$2&gt;CB$2,CC39&gt;CB39),1,IF(AND(CB$2=CC$2,CB39=CC39),1,0)))))</f>
        <v/>
      </c>
      <c r="CE39" s="1" t="n">
        <f aca="false">Participantes!BE38</f>
        <v>0</v>
      </c>
      <c r="CF39" s="1" t="n">
        <f aca="false">Participantes!BF38</f>
        <v>0</v>
      </c>
      <c r="CG39" s="82" t="str">
        <f aca="false">IF(CE$2="","",IF(AND(CE39=CE$2,CF39=CF$2),3,IF(AND(CE$2&gt;CF$2,CE39&gt;CF39),1,IF(AND(CF$2&gt;CE$2,CF39&gt;CE39),1,IF(AND(CE$2=CF$2,CE39=CF39),1,0)))))</f>
        <v/>
      </c>
      <c r="CH39" s="1" t="n">
        <f aca="false">Participantes!BG38</f>
        <v>0</v>
      </c>
      <c r="CI39" s="1" t="n">
        <f aca="false">Participantes!BH38</f>
        <v>0</v>
      </c>
      <c r="CJ39" s="82" t="str">
        <f aca="false">IF(CH$2="","",IF(AND(CH39=CH$2,CI39=CI$2),3,IF(AND(CH$2&gt;CI$2,CH39&gt;CI39),1,IF(AND(CI$2&gt;CH$2,CI39&gt;CH39),1,IF(AND(CH$2=CI$2,CH39=CI39),1,0)))))</f>
        <v/>
      </c>
      <c r="CK39" s="1" t="n">
        <f aca="false">Participantes!BI38</f>
        <v>0</v>
      </c>
      <c r="CL39" s="1" t="n">
        <f aca="false">Participantes!BJ38</f>
        <v>0</v>
      </c>
      <c r="CM39" s="82" t="str">
        <f aca="false">IF(CK$2="","",IF(AND(CK39=CK$2,CL39=CL$2),3,IF(AND(CK$2&gt;CL$2,CK39&gt;CL39),1,IF(AND(CL$2&gt;CK$2,CL39&gt;CK39),1,IF(AND(CK$2=CL$2,CK39=CL39),1,0)))))</f>
        <v/>
      </c>
      <c r="CN39" s="1" t="n">
        <f aca="false">Participantes!BK38</f>
        <v>0</v>
      </c>
      <c r="CO39" s="1" t="n">
        <f aca="false">Participantes!BL38</f>
        <v>0</v>
      </c>
      <c r="CP39" s="82" t="str">
        <f aca="false">IF(CN$2="","",IF(AND(CN39=CN$2,CO39=CO$2),3,IF(AND(CN$2&gt;CO$2,CN39&gt;CO39),1,IF(AND(CO$2&gt;CN$2,CO39&gt;CN39),1,IF(AND(CN$2=CO$2,CN39=CO39),1,0)))))</f>
        <v/>
      </c>
      <c r="CQ39" s="1" t="n">
        <f aca="false">Participantes!BM38</f>
        <v>0</v>
      </c>
      <c r="CR39" s="1" t="n">
        <f aca="false">Participantes!BN38</f>
        <v>0</v>
      </c>
      <c r="CS39" s="82" t="str">
        <f aca="false">IF(CQ$2="","",IF(AND(CQ39=CQ$2,CR39=CR$2),3,IF(AND(CQ$2&gt;CR$2,CQ39&gt;CR39),1,IF(AND(CR$2&gt;CQ$2,CR39&gt;CQ39),1,IF(AND(CQ$2=CR$2,CQ39=CR39),1,0)))))</f>
        <v/>
      </c>
      <c r="CT39" s="1" t="n">
        <f aca="false">Participantes!BO38</f>
        <v>0</v>
      </c>
      <c r="CU39" s="1" t="n">
        <f aca="false">Participantes!BP38</f>
        <v>0</v>
      </c>
      <c r="CV39" s="82" t="str">
        <f aca="false">IF(CT$2="","",IF(AND(CT39=CT$2,CU39=CU$2),3,IF(AND(CT$2&gt;CU$2,CT39&gt;CU39),1,IF(AND(CU$2&gt;CT$2,CU39&gt;CT39),1,IF(AND(CT$2=CU$2,CT39=CU39),1,0)))))</f>
        <v/>
      </c>
      <c r="CW39" s="1" t="n">
        <f aca="false">Participantes!BQ38</f>
        <v>0</v>
      </c>
      <c r="CX39" s="1" t="n">
        <f aca="false">Participantes!BR38</f>
        <v>0</v>
      </c>
      <c r="CY39" s="82" t="str">
        <f aca="false">IF(CW$2="","",IF(AND(CW39=CW$2,CX39=CX$2),3,IF(AND(CW$2&gt;CX$2,CW39&gt;CX39),1,IF(AND(CX$2&gt;CW$2,CX39&gt;CW39),1,IF(AND(CW$2=CX$2,CW39=CX39),1,0)))))</f>
        <v/>
      </c>
      <c r="CZ39" s="1" t="n">
        <f aca="false">Participantes!BS38</f>
        <v>0</v>
      </c>
      <c r="DA39" s="1" t="n">
        <f aca="false">Participantes!BT38</f>
        <v>0</v>
      </c>
      <c r="DB39" s="82" t="str">
        <f aca="false">IF(CZ$2="","",IF(AND(CZ39=CZ$2,DA39=DA$2),3,IF(AND(CZ$2&gt;DA$2,CZ39&gt;DA39),1,IF(AND(DA$2&gt;CZ$2,DA39&gt;CZ39),1,IF(AND(CZ$2=DA$2,CZ39=DA39),1,0)))))</f>
        <v/>
      </c>
      <c r="DC39" s="1" t="n">
        <f aca="false">Participantes!BU38</f>
        <v>0</v>
      </c>
      <c r="DD39" s="1" t="n">
        <f aca="false">Participantes!BV38</f>
        <v>0</v>
      </c>
      <c r="DE39" s="82" t="str">
        <f aca="false">IF(DC$2="","",IF(AND(DC39=DC$2,DD39=DD$2),3,IF(AND(DC$2&gt;DD$2,DC39&gt;DD39),1,IF(AND(DD$2&gt;DC$2,DD39&gt;DC39),1,IF(AND(DC$2=DD$2,DC39=DD39),1,0)))))</f>
        <v/>
      </c>
      <c r="DF39" s="1" t="n">
        <f aca="false">Participantes!BW38</f>
        <v>0</v>
      </c>
      <c r="DG39" s="1" t="n">
        <f aca="false">Participantes!BX38</f>
        <v>0</v>
      </c>
      <c r="DH39" s="82" t="str">
        <f aca="false">IF(DF$2="","",IF(AND(DF39=DF$2,DG39=DG$2),3,IF(AND(DF$2&gt;DG$2,DF39&gt;DG39),1,IF(AND(DG$2&gt;DF$2,DG39&gt;DF39),1,IF(AND(DF$2=DG$2,DF39=DG39),1,0)))))</f>
        <v/>
      </c>
      <c r="DI39" s="1" t="n">
        <f aca="false">Participantes!BY38</f>
        <v>0</v>
      </c>
      <c r="DJ39" s="1" t="n">
        <f aca="false">Participantes!BZ38</f>
        <v>0</v>
      </c>
      <c r="DK39" s="82" t="str">
        <f aca="false">IF(DI$2="","",IF(AND(DI39=DI$2,DJ39=DJ$2),3,IF(AND(DI$2&gt;DJ$2,DI39&gt;DJ39),1,IF(AND(DJ$2&gt;DI$2,DJ39&gt;DI39),1,IF(AND(DI$2=DJ$2,DI39=DJ39),1,0)))))</f>
        <v/>
      </c>
      <c r="DL39" s="1" t="n">
        <f aca="false">Participantes!CA38</f>
        <v>0</v>
      </c>
      <c r="DM39" s="1" t="n">
        <f aca="false">Participantes!CB38</f>
        <v>0</v>
      </c>
      <c r="DN39" s="82" t="str">
        <f aca="false">IF(DL$2="","",IF(AND(DL39=DL$2,DM39=DM$2),3,IF(AND(DL$2&gt;DM$2,DL39&gt;DM39),1,IF(AND(DM$2&gt;DL$2,DM39&gt;DL39),1,IF(AND(DL$2=DM$2,DL39=DM39),1,0)))))</f>
        <v/>
      </c>
      <c r="DO39" s="1" t="n">
        <f aca="false">Participantes!CC38</f>
        <v>0</v>
      </c>
      <c r="DP39" s="1" t="n">
        <f aca="false">Participantes!CD38</f>
        <v>0</v>
      </c>
      <c r="DQ39" s="82" t="str">
        <f aca="false">IF(DO$2="","",IF(AND(DO39=DO$2,DP39=DP$2),3,IF(AND(DO$2&gt;DP$2,DO39&gt;DP39),1,IF(AND(DP$2&gt;DO$2,DP39&gt;DO39),1,IF(AND(DO$2=DP$2,DO39=DP39),1,0)))))</f>
        <v/>
      </c>
      <c r="DR39" s="1" t="n">
        <f aca="false">Participantes!CE38</f>
        <v>0</v>
      </c>
      <c r="DS39" s="1" t="n">
        <f aca="false">Participantes!CF38</f>
        <v>0</v>
      </c>
      <c r="DT39" s="82" t="str">
        <f aca="false">IF(DR$2="","",IF(AND(DR39=DR$2,DS39=DS$2),3,IF(AND(DR$2&gt;DS$2,DR39&gt;DS39),1,IF(AND(DS$2&gt;DR$2,DS39&gt;DR39),1,IF(AND(DR$2=DS$2,DR39=DS39),1,0)))))</f>
        <v/>
      </c>
      <c r="DU39" s="1" t="n">
        <f aca="false">Participantes!CG38</f>
        <v>0</v>
      </c>
      <c r="DV39" s="1" t="n">
        <f aca="false">Participantes!CH38</f>
        <v>0</v>
      </c>
      <c r="DW39" s="82" t="str">
        <f aca="false">IF(DU$2="","",IF(AND(DU39=DU$2,DV39=DV$2),3,IF(AND(DU$2&gt;DV$2,DU39&gt;DV39),1,IF(AND(DV$2&gt;DU$2,DV39&gt;DU39),1,IF(AND(DU$2=DV$2,DU39=DV39),1,0)))))</f>
        <v/>
      </c>
      <c r="DX39" s="1" t="n">
        <f aca="false">Participantes!CI38</f>
        <v>0</v>
      </c>
      <c r="DY39" s="1" t="n">
        <f aca="false">Participantes!CJ38</f>
        <v>0</v>
      </c>
      <c r="DZ39" s="82" t="str">
        <f aca="false">IF(DX$2="","",IF(AND(DX39=DX$2,DY39=DY$2),3,IF(AND(DX$2&gt;DY$2,DX39&gt;DY39),1,IF(AND(DY$2&gt;DX$2,DY39&gt;DX39),1,IF(AND(DX$2=DY$2,DX39=DY39),1,0)))))</f>
        <v/>
      </c>
      <c r="EA39" s="1" t="n">
        <f aca="false">Participantes!CK38</f>
        <v>0</v>
      </c>
      <c r="EB39" s="1" t="n">
        <f aca="false">Participantes!CL38</f>
        <v>0</v>
      </c>
      <c r="EC39" s="82" t="str">
        <f aca="false">IF(EA$2="","",IF(AND(EA39=EA$2,EB39=EB$2),3,IF(AND(EA$2&gt;EB$2,EA39&gt;EB39),1,IF(AND(EB$2&gt;EA$2,EB39&gt;EA39),1,IF(AND(EA$2=EB$2,EA39=EB39),1,0)))))</f>
        <v/>
      </c>
      <c r="ED39" s="1" t="n">
        <f aca="false">Participantes!CM38</f>
        <v>0</v>
      </c>
      <c r="EE39" s="1" t="n">
        <f aca="false">Participantes!CN38</f>
        <v>0</v>
      </c>
      <c r="EF39" s="82" t="str">
        <f aca="false">IF(ED$2="","",IF(AND(ED39=ED$2,EE39=EE$2),3,IF(AND(ED$2&gt;EE$2,ED39&gt;EE39),1,IF(AND(EE$2&gt;ED$2,EE39&gt;ED39),1,IF(AND(ED$2=EE$2,ED39=EE39),1,0)))))</f>
        <v/>
      </c>
      <c r="EG39" s="1" t="n">
        <f aca="false">Participantes!CO38</f>
        <v>0</v>
      </c>
      <c r="EH39" s="1" t="n">
        <f aca="false">Participantes!CP38</f>
        <v>0</v>
      </c>
      <c r="EI39" s="82" t="str">
        <f aca="false">IF(EG$2="","",IF(AND(EG39=EG$2,EH39=EH$2),3,IF(AND(EG$2&gt;EH$2,EG39&gt;EH39),1,IF(AND(EH$2&gt;EG$2,EH39&gt;EG39),1,IF(AND(EG$2=EH$2,EG39=EH39),1,0)))))</f>
        <v/>
      </c>
      <c r="EJ39" s="1" t="n">
        <f aca="false">Participantes!CQ38</f>
        <v>0</v>
      </c>
      <c r="EK39" s="1" t="n">
        <f aca="false">Participantes!CR38</f>
        <v>0</v>
      </c>
      <c r="EL39" s="82" t="str">
        <f aca="false">IF(EJ$2="","",IF(AND(EJ39=EJ$2,EK39=EK$2),3,IF(AND(EJ$2&gt;EK$2,EJ39&gt;EK39),1,IF(AND(EK$2&gt;EJ$2,EK39&gt;EJ39),1,IF(AND(EJ$2=EK$2,EJ39=EK39),1,0)))))</f>
        <v/>
      </c>
      <c r="EM39" s="1" t="n">
        <f aca="false">Participantes!CS38</f>
        <v>0</v>
      </c>
      <c r="EN39" s="1" t="n">
        <f aca="false">Participantes!CT38</f>
        <v>0</v>
      </c>
      <c r="EO39" s="82" t="str">
        <f aca="false">IF(EM$2="","",IF(AND(EM39=EM$2,EN39=EN$2),3,IF(AND(EM$2&gt;EN$2,EM39&gt;EN39),1,IF(AND(EN$2&gt;EM$2,EN39&gt;EM39),1,IF(AND(EM$2=EN$2,EM39=EN39),1,0)))))</f>
        <v/>
      </c>
      <c r="EP39" s="1" t="n">
        <f aca="false">Participantes!CU38</f>
        <v>0</v>
      </c>
      <c r="EQ39" s="1" t="n">
        <f aca="false">Participantes!CV38</f>
        <v>0</v>
      </c>
      <c r="ER39" s="82" t="str">
        <f aca="false">IF(EP$2="","",IF(AND(EP39=EP$2,EQ39=EQ$2),3,IF(AND(EP$2&gt;EQ$2,EP39&gt;EQ39),1,IF(AND(EQ$2&gt;EP$2,EQ39&gt;EP39),1,IF(AND(EP$2=EQ$2,EP39=EQ39),1,0)))))</f>
        <v/>
      </c>
      <c r="ES39" s="1" t="n">
        <f aca="false">Participantes!CW38</f>
        <v>0</v>
      </c>
      <c r="ET39" s="1" t="n">
        <f aca="false">Participantes!CX38</f>
        <v>0</v>
      </c>
      <c r="EU39" s="82" t="str">
        <f aca="false">IF(ES$2="","",IF(AND(ES39=ES$2,ET39=ET$2),3,IF(AND(ES$2&gt;ET$2,ES39&gt;ET39),1,IF(AND(ET$2&gt;ES$2,ET39&gt;ES39),1,IF(AND(ES$2=ET$2,ES39=ET39),1,0)))))</f>
        <v/>
      </c>
      <c r="EV39" s="1" t="n">
        <f aca="false">Participantes!CY38</f>
        <v>0</v>
      </c>
      <c r="EW39" s="1" t="n">
        <f aca="false">Participantes!CZ38</f>
        <v>0</v>
      </c>
      <c r="EX39" s="82" t="str">
        <f aca="false">IF(EV$2="","",IF(AND(EV39=EV$2,EW39=EW$2),3,IF(AND(EV$2&gt;EW$2,EV39&gt;EW39),1,IF(AND(EW$2&gt;EV$2,EW39&gt;EV39),1,IF(AND(EV$2=EW$2,EV39=EW39),1,0)))))</f>
        <v/>
      </c>
      <c r="EY39" s="1" t="n">
        <f aca="false">Participantes!DA38</f>
        <v>0</v>
      </c>
      <c r="EZ39" s="1" t="n">
        <f aca="false">Participantes!DB38</f>
        <v>0</v>
      </c>
      <c r="FA39" s="82" t="str">
        <f aca="false">IF(EY$2="","",IF(AND(EY39=EY$2,EZ39=EZ$2),3,IF(AND(EY$2&gt;EZ$2,EY39&gt;EZ39),1,IF(AND(EZ$2&gt;EY$2,EZ39&gt;EY39),1,IF(AND(EY$2=EZ$2,EY39=EZ39),1,0)))))</f>
        <v/>
      </c>
      <c r="FB39" s="1" t="n">
        <f aca="false">Participantes!DC38</f>
        <v>0</v>
      </c>
      <c r="FC39" s="1" t="n">
        <f aca="false">Participantes!DD38</f>
        <v>0</v>
      </c>
      <c r="FD39" s="82" t="str">
        <f aca="false">IF(FB$2="","",IF(AND(FB39=FB$2,FC39=FC$2),3,IF(AND(FB$2&gt;FC$2,FB39&gt;FC39),1,IF(AND(FC$2&gt;FB$2,FC39&gt;FB39),1,IF(AND(FB$2=FC$2,FB39=FC39),1,0)))))</f>
        <v/>
      </c>
      <c r="FE39" s="1" t="n">
        <f aca="false">Participantes!DE38</f>
        <v>0</v>
      </c>
      <c r="FF39" s="1" t="n">
        <f aca="false">Participantes!DF38</f>
        <v>0</v>
      </c>
      <c r="FG39" s="82" t="str">
        <f aca="false">IF(FE$2="","",IF(AND(FE39=FE$2,FF39=FF$2),3,IF(AND(FE$2&gt;FF$2,FE39&gt;FF39),1,IF(AND(FF$2&gt;FE$2,FF39&gt;FE39),1,IF(AND(FE$2=FF$2,FE39=FF39),1,0)))))</f>
        <v/>
      </c>
      <c r="FH39" s="1" t="n">
        <f aca="false">Participantes!DG38</f>
        <v>0</v>
      </c>
      <c r="FI39" s="1" t="n">
        <f aca="false">Participantes!DH38</f>
        <v>0</v>
      </c>
      <c r="FJ39" s="82" t="str">
        <f aca="false">IF(FH$2="","",IF(AND(FH39=FH$2,FI39=FI$2),3,IF(AND(FH$2&gt;FI$2,FH39&gt;FI39),1,IF(AND(FI$2&gt;FH$2,FI39&gt;FH39),1,IF(AND(FH$2=FI$2,FH39=FI39),1,0)))))</f>
        <v/>
      </c>
      <c r="FK39" s="1" t="n">
        <f aca="false">Participantes!DI38</f>
        <v>0</v>
      </c>
      <c r="FL39" s="1" t="n">
        <f aca="false">Participantes!DJ38</f>
        <v>0</v>
      </c>
      <c r="FM39" s="82" t="str">
        <f aca="false">IF(FK$2="","",IF(AND(FK39=FK$2,FL39=FL$2),3,IF(AND(FK$2&gt;FL$2,FK39&gt;FL39),1,IF(AND(FL$2&gt;FK$2,FL39&gt;FK39),1,IF(AND(FK$2=FL$2,FK39=FL39),1,0)))))</f>
        <v/>
      </c>
      <c r="FN39" s="1" t="n">
        <f aca="false">Participantes!DK38</f>
        <v>0</v>
      </c>
      <c r="FO39" s="1" t="n">
        <f aca="false">Participantes!DL38</f>
        <v>0</v>
      </c>
      <c r="FP39" s="82" t="str">
        <f aca="false">IF(FN$2="","",IF(AND(FN39=FN$2,FO39=FO$2),3,IF(AND(FN$2&gt;FO$2,FN39&gt;FO39),1,IF(AND(FO$2&gt;FN$2,FO39&gt;FN39),1,IF(AND(FN$2=FO$2,FN39=FO39),1,0)))))</f>
        <v/>
      </c>
      <c r="FQ39" s="1" t="n">
        <f aca="false">Participantes!DM38</f>
        <v>0</v>
      </c>
      <c r="FR39" s="1" t="n">
        <f aca="false">Participantes!DN38</f>
        <v>0</v>
      </c>
      <c r="FS39" s="82" t="str">
        <f aca="false">IF(FQ$2="","",IF(AND(FQ39=FQ$2,FR39=FR$2),3,IF(AND(FQ$2&gt;FR$2,FQ39&gt;FR39),1,IF(AND(FR$2&gt;FQ$2,FR39&gt;FQ39),1,IF(AND(FQ$2=FR$2,FQ39=FR39),1,0)))))</f>
        <v/>
      </c>
      <c r="FT39" s="1" t="n">
        <f aca="false">Participantes!DO38</f>
        <v>0</v>
      </c>
      <c r="FU39" s="1" t="n">
        <f aca="false">Participantes!DP38</f>
        <v>0</v>
      </c>
      <c r="FV39" s="82" t="str">
        <f aca="false">IF(FT$2="","",IF(AND(FT39=FT$2,FU39=FU$2),3,IF(AND(FT$2&gt;FU$2,FT39&gt;FU39),1,IF(AND(FU$2&gt;FT$2,FU39&gt;FT39),1,IF(AND(FT$2=FU$2,FT39=FU39),1,0)))))</f>
        <v/>
      </c>
      <c r="FW39" s="1" t="n">
        <f aca="false">Participantes!DQ38</f>
        <v>0</v>
      </c>
      <c r="FX39" s="1" t="n">
        <f aca="false">Participantes!DR38</f>
        <v>0</v>
      </c>
      <c r="FY39" s="82" t="str">
        <f aca="false">IF(FW$2="","",IF(AND(FW39=FW$2,FX39=FX$2),3,IF(AND(FW$2&gt;FX$2,FW39&gt;FX39),1,IF(AND(FX$2&gt;FW$2,FX39&gt;FW39),1,IF(AND(FW$2=FX$2,FW39=FX39),1,0)))))</f>
        <v/>
      </c>
      <c r="FZ39" s="1" t="n">
        <f aca="false">Participantes!DS38</f>
        <v>0</v>
      </c>
      <c r="GA39" s="1" t="n">
        <f aca="false">Participantes!DT38</f>
        <v>0</v>
      </c>
      <c r="GB39" s="82" t="str">
        <f aca="false">IF(FZ$2="","",IF(AND(FZ39=FZ$2,GA39=GA$2),3,IF(AND(FZ$2&gt;GA$2,FZ39&gt;GA39),1,IF(AND(GA$2&gt;FZ$2,GA39&gt;FZ39),1,IF(AND(FZ$2=GA$2,FZ39=GA39),1,0)))))</f>
        <v/>
      </c>
      <c r="GC39" s="1" t="n">
        <f aca="false">Participantes!DU38</f>
        <v>0</v>
      </c>
      <c r="GD39" s="1" t="n">
        <f aca="false">Participantes!DV38</f>
        <v>0</v>
      </c>
      <c r="GE39" s="82" t="str">
        <f aca="false">IF(GC$2="","",IF(AND(GC39=GC$2,GD39=GD$2),3,IF(AND(GC$2&gt;GD$2,GC39&gt;GD39),1,IF(AND(GD$2&gt;GC$2,GD39&gt;GC39),1,IF(AND(GC$2=GD$2,GC39=GD39),1,0)))))</f>
        <v/>
      </c>
      <c r="GF39" s="1" t="n">
        <f aca="false">Participantes!DW38</f>
        <v>0</v>
      </c>
      <c r="GG39" s="1" t="n">
        <f aca="false">Participantes!DX38</f>
        <v>0</v>
      </c>
      <c r="GH39" s="82" t="str">
        <f aca="false">IF(GF$2="","",IF(AND(GF39=GF$2,GG39=GG$2),3,IF(AND(GF$2&gt;GG$2,GF39&gt;GG39),1,IF(AND(GG$2&gt;GF$2,GG39&gt;GF39),1,IF(AND(GF$2=GG$2,GF39=GG39),1,0)))))</f>
        <v/>
      </c>
      <c r="GI39" s="1" t="n">
        <f aca="false">Participantes!DY38</f>
        <v>0</v>
      </c>
      <c r="GJ39" s="1" t="n">
        <f aca="false">Participantes!DZ38</f>
        <v>0</v>
      </c>
      <c r="GK39" s="82" t="str">
        <f aca="false">IF(GI$2="","",IF(AND(GI39=GI$2,GJ39=GJ$2),3,IF(AND(GI$2&gt;GJ$2,GI39&gt;GJ39),1,IF(AND(GJ$2&gt;GI$2,GJ39&gt;GI39),1,IF(AND(GI$2=GJ$2,GI39=GJ39),1,0)))))</f>
        <v/>
      </c>
      <c r="GL39" s="1" t="n">
        <f aca="false">Participantes!EA38</f>
        <v>0</v>
      </c>
      <c r="GM39" s="1" t="n">
        <f aca="false">Participantes!EB38</f>
        <v>0</v>
      </c>
      <c r="GN39" s="82" t="str">
        <f aca="false">IF(GL$2="","",IF(AND(GL39=GL$2,GM39=GM$2),3,IF(AND(GL$2&gt;GM$2,GL39&gt;GM39),1,IF(AND(GM$2&gt;GL$2,GM39&gt;GL39),1,IF(AND(GL$2=GM$2,GL39=GM39),1,0)))))</f>
        <v/>
      </c>
      <c r="GO39" s="1" t="n">
        <f aca="false">Participantes!EC38</f>
        <v>0</v>
      </c>
      <c r="GP39" s="1" t="n">
        <f aca="false">Participantes!ED38</f>
        <v>0</v>
      </c>
      <c r="GQ39" s="82" t="str">
        <f aca="false">IF(GO$2="","",IF(AND(GO39=GO$2,GP39=GP$2),3,IF(AND(GO$2&gt;GP$2,GO39&gt;GP39),1,IF(AND(GP$2&gt;GO$2,GP39&gt;GO39),1,IF(AND(GO$2=GP$2,GO39=GP39),1,0)))))</f>
        <v/>
      </c>
      <c r="GR39" s="1" t="n">
        <f aca="false">Participantes!EE38</f>
        <v>0</v>
      </c>
      <c r="GS39" s="1" t="n">
        <f aca="false">Participantes!EF38</f>
        <v>0</v>
      </c>
      <c r="GT39" s="82" t="str">
        <f aca="false">IF(GR$2="","",IF(AND(GR39=GR$2,GS39=GS$2),3,IF(AND(GR$2&gt;GS$2,GR39&gt;GS39),1,IF(AND(GS$2&gt;GR$2,GS39&gt;GR39),1,IF(AND(GR$2=GS$2,GR39=GS39),1,0)))))</f>
        <v/>
      </c>
      <c r="GU39" s="1" t="n">
        <f aca="false">Participantes!EG38</f>
        <v>0</v>
      </c>
      <c r="GV39" s="1" t="n">
        <f aca="false">Participantes!EH38</f>
        <v>0</v>
      </c>
      <c r="GW39" s="82" t="str">
        <f aca="false">IF(GU$2="","",IF(AND(GU39=GU$2,GV39=GV$2),3,IF(AND(GU$2&gt;GV$2,GU39&gt;GV39),1,IF(AND(GV$2&gt;GU$2,GV39&gt;GU39),1,IF(AND(GU$2=GV$2,GU39=GV39),1,0)))))</f>
        <v/>
      </c>
      <c r="GX39" s="1" t="n">
        <f aca="false">Participantes!EI38</f>
        <v>0</v>
      </c>
      <c r="GY39" s="1" t="n">
        <f aca="false">Participantes!EJ38</f>
        <v>0</v>
      </c>
      <c r="GZ39" s="82" t="str">
        <f aca="false">IF(GX$2="","",IF(AND(GX39=GX$2,GY39=GY$2),3,IF(AND(GX$2&gt;GY$2,GX39&gt;GY39),1,IF(AND(GY$2&gt;GX$2,GY39&gt;GX39),1,IF(AND(GX$2=GY$2,GX39=GY39),1,0)))))</f>
        <v/>
      </c>
      <c r="HA39" s="1" t="n">
        <f aca="false">Participantes!EK38</f>
        <v>0</v>
      </c>
      <c r="HB39" s="1" t="n">
        <f aca="false">Participantes!EL38</f>
        <v>0</v>
      </c>
      <c r="HC39" s="82" t="str">
        <f aca="false">IF(HA$2="","",IF(AND(HA39=HA$2,HB39=HB$2),3,IF(AND(HA$2&gt;HB$2,HA39&gt;HB39),1,IF(AND(HB$2&gt;HA$2,HB39&gt;HA39),1,IF(AND(HA$2=HB$2,HA39=HB39),1,0)))))</f>
        <v/>
      </c>
      <c r="HD39" s="1" t="n">
        <f aca="false">Participantes!EM38</f>
        <v>0</v>
      </c>
      <c r="HE39" s="1" t="n">
        <f aca="false">Participantes!EN38</f>
        <v>0</v>
      </c>
      <c r="HF39" s="82" t="str">
        <f aca="false">IF(HD$2="","",IF(AND(HD39=HD$2,HE39=HE$2),3,IF(AND(HD$2&gt;HE$2,HD39&gt;HE39),1,IF(AND(HE$2&gt;HD$2,HE39&gt;HD39),1,IF(AND(HD$2=HE$2,HD39=HE39),1,0)))))</f>
        <v/>
      </c>
      <c r="HG39" s="1" t="n">
        <f aca="false">Participantes!EO38</f>
        <v>0</v>
      </c>
      <c r="HH39" s="1" t="n">
        <f aca="false">Participantes!EP38</f>
        <v>0</v>
      </c>
      <c r="HI39" s="82" t="str">
        <f aca="false">IF(HG$2="","",IF(AND(HG39=HG$2,HH39=HH$2),3,IF(AND(HG$2&gt;HH$2,HG39&gt;HH39),1,IF(AND(HH$2&gt;HG$2,HH39&gt;HG39),1,IF(AND(HG$2=HH$2,HG39=HH39),1,0)))))</f>
        <v/>
      </c>
      <c r="HJ39" s="83" t="n">
        <f aca="false">SUM(D39,G39,J39,M39,P39,S39,V39,Y39,AB39,AE39,AH39,AK39,AN39,AQ39,AT39,AW39,AZ39,BC39,BF39,BI39,BL39,BO39,BR39,BU39,BX39,CA39,CD39,CG39,CJ39,CM39,CP39,CS39,CV39,CY39,DB39,DE39,DH39,DK39,DN39,DQ39,DT39,DW39,DZ39,EC39,EF39,EI39,EL39,EO39,ER39,EU39,EX39,FA39,FD39,FG39,FJ39,FM39,FP39,FS39,FV39,FY39,GB39,GE39,GH39,GK39,GN39,GQ39,GT39,GW39,GZ39,HC39,HF39,HI39)</f>
        <v>3</v>
      </c>
    </row>
    <row r="40" customFormat="false" ht="15" hidden="false" customHeight="true" outlineLevel="0" collapsed="false">
      <c r="A40" s="81" t="str">
        <f aca="false">Participantes!B39</f>
        <v>Mily Oliver</v>
      </c>
      <c r="B40" s="1" t="n">
        <f aca="false">Participantes!C39</f>
        <v>2</v>
      </c>
      <c r="C40" s="1" t="n">
        <f aca="false">Participantes!D39</f>
        <v>0</v>
      </c>
      <c r="D40" s="82" t="n">
        <f aca="false">IF(B$2="","",IF(AND(B40=B$2,C40=C$2),3,IF(AND(B$2&gt;C$2,B40&gt;C40),1,IF(AND(C$2&gt;B$2,C40&gt;B40),1,IF(AND(B$2=C$2,B40=C40),1,0)))))</f>
        <v>3</v>
      </c>
      <c r="E40" s="1" t="n">
        <f aca="false">Participantes!E39</f>
        <v>1</v>
      </c>
      <c r="F40" s="1" t="n">
        <f aca="false">Participantes!F39</f>
        <v>1</v>
      </c>
      <c r="G40" s="82" t="str">
        <f aca="false">IF(E$2="","",IF(AND(E40=E$2,F40=F$2),3,IF(AND(E$2&gt;F$2,E40&gt;F40),1,IF(AND(F$2&gt;E$2,F40&gt;E40),1,IF(AND(E$2=F$2,E40=F40),1,0)))))</f>
        <v/>
      </c>
      <c r="H40" s="1" t="n">
        <f aca="false">Participantes!G39</f>
        <v>2</v>
      </c>
      <c r="I40" s="1" t="n">
        <f aca="false">Participantes!H39</f>
        <v>1</v>
      </c>
      <c r="J40" s="82" t="str">
        <f aca="false">IF(H$2="","",IF(AND(H40=H$2,I40=I$2),3,IF(AND(H$2&gt;I$2,H40&gt;I40),1,IF(AND(I$2&gt;H$2,I40&gt;H40),1,IF(AND(H$2=I$2,H40=I40),1,0)))))</f>
        <v/>
      </c>
      <c r="K40" s="1" t="n">
        <f aca="false">Participantes!I39</f>
        <v>2</v>
      </c>
      <c r="L40" s="1" t="n">
        <f aca="false">Participantes!J39</f>
        <v>0</v>
      </c>
      <c r="M40" s="82" t="str">
        <f aca="false">IF(K$2="","",IF(AND(K40=K$2,L40=L$2),3,IF(AND(K$2&gt;L$2,K40&gt;L40),1,IF(AND(L$2&gt;K$2,L40&gt;K40),1,IF(AND(K$2=L$2,K40=L40),1,0)))))</f>
        <v/>
      </c>
      <c r="N40" s="1" t="n">
        <f aca="false">Participantes!K39</f>
        <v>0</v>
      </c>
      <c r="O40" s="1" t="n">
        <f aca="false">Participantes!L39</f>
        <v>0</v>
      </c>
      <c r="P40" s="82" t="str">
        <f aca="false">IF(N$2="","",IF(AND(N40=N$2,O40=O$2),3,IF(AND(N$2&gt;O$2,N40&gt;O40),1,IF(AND(O$2&gt;N$2,O40&gt;N40),1,IF(AND(N$2=O$2,N40=O40),1,0)))))</f>
        <v/>
      </c>
      <c r="Q40" s="1" t="n">
        <f aca="false">Participantes!M39</f>
        <v>1</v>
      </c>
      <c r="R40" s="1" t="n">
        <f aca="false">Participantes!N39</f>
        <v>2</v>
      </c>
      <c r="S40" s="82" t="str">
        <f aca="false">IF(Q$2="","",IF(AND(Q40=Q$2,R40=R$2),3,IF(AND(Q$2&gt;R$2,Q40&gt;R40),1,IF(AND(R$2&gt;Q$2,R40&gt;Q40),1,IF(AND(Q$2=R$2,Q40=R40),1,0)))))</f>
        <v/>
      </c>
      <c r="T40" s="1" t="n">
        <f aca="false">Participantes!O39</f>
        <v>2</v>
      </c>
      <c r="U40" s="1" t="n">
        <f aca="false">Participantes!P39</f>
        <v>1</v>
      </c>
      <c r="V40" s="82" t="str">
        <f aca="false">IF(T$2="","",IF(AND(T40=T$2,U40=U$2),3,IF(AND(T$2&gt;U$2,T40&gt;U40),1,IF(AND(U$2&gt;T$2,U40&gt;T40),1,IF(AND(T$2=U$2,T40=U40),1,0)))))</f>
        <v/>
      </c>
      <c r="W40" s="1" t="n">
        <f aca="false">Participantes!Q39</f>
        <v>0</v>
      </c>
      <c r="X40" s="1" t="n">
        <f aca="false">Participantes!R39</f>
        <v>2</v>
      </c>
      <c r="Y40" s="82" t="str">
        <f aca="false">IF(W$2="","",IF(AND(W40=W$2,X40=X$2),3,IF(AND(W$2&gt;X$2,W40&gt;X40),1,IF(AND(X$2&gt;W$2,X40&gt;W40),1,IF(AND(W$2=X$2,W40=X40),1,0)))))</f>
        <v/>
      </c>
      <c r="Z40" s="1" t="n">
        <f aca="false">Participantes!S39</f>
        <v>1</v>
      </c>
      <c r="AA40" s="1" t="n">
        <f aca="false">Participantes!T39</f>
        <v>1</v>
      </c>
      <c r="AB40" s="82" t="str">
        <f aca="false">IF(Z$2="","",IF(AND(Z40=Z$2,AA40=AA$2),3,IF(AND(Z$2&gt;AA$2,Z40&gt;AA40),1,IF(AND(AA$2&gt;Z$2,AA40&gt;Z40),1,IF(AND(Z$2=AA$2,Z40=AA40),1,0)))))</f>
        <v/>
      </c>
      <c r="AC40" s="1" t="n">
        <f aca="false">Participantes!U39</f>
        <v>3</v>
      </c>
      <c r="AD40" s="1" t="n">
        <f aca="false">Participantes!V39</f>
        <v>0</v>
      </c>
      <c r="AE40" s="82" t="str">
        <f aca="false">IF(AC$2="","",IF(AND(AC40=AC$2,AD40=AD$2),3,IF(AND(AC$2&gt;AD$2,AC40&gt;AD40),1,IF(AND(AD$2&gt;AC$2,AD40&gt;AC40),1,IF(AND(AC$2=AD$2,AC40=AD40),1,0)))))</f>
        <v/>
      </c>
      <c r="AF40" s="1" t="n">
        <f aca="false">Participantes!W39</f>
        <v>2</v>
      </c>
      <c r="AG40" s="1" t="n">
        <f aca="false">Participantes!X39</f>
        <v>1</v>
      </c>
      <c r="AH40" s="82" t="str">
        <f aca="false">IF(AF$2="","",IF(AND(AF40=AF$2,AG40=AG$2),3,IF(AND(AF$2&gt;AG$2,AF40&gt;AG40),1,IF(AND(AG$2&gt;AF$2,AG40&gt;AF40),1,IF(AND(AF$2=AG$2,AF40=AG40),1,0)))))</f>
        <v/>
      </c>
      <c r="AI40" s="1" t="n">
        <f aca="false">Participantes!Y39</f>
        <v>1</v>
      </c>
      <c r="AJ40" s="1" t="n">
        <f aca="false">Participantes!Z39</f>
        <v>0</v>
      </c>
      <c r="AK40" s="82" t="str">
        <f aca="false">IF(AI$2="","",IF(AND(AI40=AI$2,AJ40=AJ$2),3,IF(AND(AI$2&gt;AJ$2,AI40&gt;AJ40),1,IF(AND(AJ$2&gt;AI$2,AJ40&gt;AI40),1,IF(AND(AI$2=AJ$2,AI40=AJ40),1,0)))))</f>
        <v/>
      </c>
      <c r="AL40" s="1" t="n">
        <f aca="false">Participantes!AA39</f>
        <v>1</v>
      </c>
      <c r="AM40" s="1" t="n">
        <f aca="false">Participantes!AB39</f>
        <v>2</v>
      </c>
      <c r="AN40" s="82" t="str">
        <f aca="false">IF(AL$2="","",IF(AND(AL40=AL$2,AM40=AM$2),3,IF(AND(AL$2&gt;AM$2,AL40&gt;AM40),1,IF(AND(AM$2&gt;AL$2,AM40&gt;AL40),1,IF(AND(AL$2=AM$2,AL40=AM40),1,0)))))</f>
        <v/>
      </c>
      <c r="AO40" s="1" t="n">
        <f aca="false">Participantes!AC39</f>
        <v>3</v>
      </c>
      <c r="AP40" s="1" t="n">
        <f aca="false">Participantes!AD39</f>
        <v>0</v>
      </c>
      <c r="AQ40" s="82" t="str">
        <f aca="false">IF(AO$2="","",IF(AND(AO40=AO$2,AP40=AP$2),3,IF(AND(AO$2&gt;AP$2,AO40&gt;AP40),1,IF(AND(AP$2&gt;AO$2,AP40&gt;AO40),1,IF(AND(AO$2=AP$2,AO40=AP40),1,0)))))</f>
        <v/>
      </c>
      <c r="AR40" s="1" t="n">
        <f aca="false">Participantes!AE39</f>
        <v>0</v>
      </c>
      <c r="AS40" s="1" t="n">
        <f aca="false">Participantes!AF39</f>
        <v>0</v>
      </c>
      <c r="AT40" s="82" t="str">
        <f aca="false">IF(AR$2="","",IF(AND(AR40=AR$2,AS40=AS$2),3,IF(AND(AR$2&gt;AS$2,AR40&gt;AS40),1,IF(AND(AS$2&gt;AR$2,AS40&gt;AR40),1,IF(AND(AR$2=AS$2,AR40=AS40),1,0)))))</f>
        <v/>
      </c>
      <c r="AU40" s="1" t="n">
        <f aca="false">Participantes!AG39</f>
        <v>0</v>
      </c>
      <c r="AV40" s="1" t="n">
        <f aca="false">Participantes!AH39</f>
        <v>0</v>
      </c>
      <c r="AW40" s="82" t="str">
        <f aca="false">IF(AU$2="","",IF(AND(AU40=AU$2,AV40=AV$2),3,IF(AND(AU$2&gt;AV$2,AU40&gt;AV40),1,IF(AND(AV$2&gt;AU$2,AV40&gt;AU40),1,IF(AND(AU$2=AV$2,AU40=AV40),1,0)))))</f>
        <v/>
      </c>
      <c r="AX40" s="1" t="n">
        <f aca="false">Participantes!AI39</f>
        <v>0</v>
      </c>
      <c r="AY40" s="1" t="n">
        <f aca="false">Participantes!AJ39</f>
        <v>0</v>
      </c>
      <c r="AZ40" s="82" t="str">
        <f aca="false">IF(AX$2="","",IF(AND(AX40=AX$2,AY40=AY$2),3,IF(AND(AX$2&gt;AY$2,AX40&gt;AY40),1,IF(AND(AY$2&gt;AX$2,AY40&gt;AX40),1,IF(AND(AX$2=AY$2,AX40=AY40),1,0)))))</f>
        <v/>
      </c>
      <c r="BA40" s="1" t="n">
        <f aca="false">Participantes!AK39</f>
        <v>0</v>
      </c>
      <c r="BB40" s="1" t="n">
        <f aca="false">Participantes!AL39</f>
        <v>0</v>
      </c>
      <c r="BC40" s="82" t="str">
        <f aca="false">IF(BA$2="","",IF(AND(BA40=BA$2,BB40=BB$2),3,IF(AND(BA$2&gt;BB$2,BA40&gt;BB40),1,IF(AND(BB$2&gt;BA$2,BB40&gt;BA40),1,IF(AND(BA$2=BB$2,BA40=BB40),1,0)))))</f>
        <v/>
      </c>
      <c r="BD40" s="1" t="n">
        <f aca="false">Participantes!AM39</f>
        <v>0</v>
      </c>
      <c r="BE40" s="1" t="n">
        <f aca="false">Participantes!AN39</f>
        <v>0</v>
      </c>
      <c r="BF40" s="82" t="str">
        <f aca="false">IF(BD$2="","",IF(AND(BD40=BD$2,BE40=BE$2),3,IF(AND(BD$2&gt;BE$2,BD40&gt;BE40),1,IF(AND(BE$2&gt;BD$2,BE40&gt;BD40),1,IF(AND(BD$2=BE$2,BD40=BE40),1,0)))))</f>
        <v/>
      </c>
      <c r="BG40" s="1" t="n">
        <f aca="false">Participantes!AO39</f>
        <v>0</v>
      </c>
      <c r="BH40" s="1" t="n">
        <f aca="false">Participantes!AP39</f>
        <v>0</v>
      </c>
      <c r="BI40" s="82" t="str">
        <f aca="false">IF(BG$2="","",IF(AND(BG40=BG$2,BH40=BH$2),3,IF(AND(BG$2&gt;BH$2,BG40&gt;BH40),1,IF(AND(BH$2&gt;BG$2,BH40&gt;BG40),1,IF(AND(BG$2=BH$2,BG40=BH40),1,0)))))</f>
        <v/>
      </c>
      <c r="BJ40" s="1" t="n">
        <f aca="false">Participantes!AQ39</f>
        <v>0</v>
      </c>
      <c r="BK40" s="1" t="n">
        <f aca="false">Participantes!AR39</f>
        <v>0</v>
      </c>
      <c r="BL40" s="82" t="str">
        <f aca="false">IF(BJ$2="","",IF(AND(BJ40=BJ$2,BK40=BK$2),3,IF(AND(BJ$2&gt;BK$2,BJ40&gt;BK40),1,IF(AND(BK$2&gt;BJ$2,BK40&gt;BJ40),1,IF(AND(BJ$2=BK$2,BJ40=BK40),1,0)))))</f>
        <v/>
      </c>
      <c r="BM40" s="1" t="n">
        <f aca="false">Participantes!AS39</f>
        <v>0</v>
      </c>
      <c r="BN40" s="1" t="n">
        <f aca="false">Participantes!AT39</f>
        <v>0</v>
      </c>
      <c r="BO40" s="82" t="str">
        <f aca="false">IF(BM$2="","",IF(AND(BM40=BM$2,BN40=BN$2),3,IF(AND(BM$2&gt;BN$2,BM40&gt;BN40),1,IF(AND(BN$2&gt;BM$2,BN40&gt;BM40),1,IF(AND(BM$2=BN$2,BM40=BN40),1,0)))))</f>
        <v/>
      </c>
      <c r="BP40" s="1" t="n">
        <f aca="false">Participantes!AU39</f>
        <v>0</v>
      </c>
      <c r="BQ40" s="1" t="n">
        <f aca="false">Participantes!AV39</f>
        <v>0</v>
      </c>
      <c r="BR40" s="82" t="str">
        <f aca="false">IF(BP$2="","",IF(AND(BP40=BP$2,BQ40=BQ$2),3,IF(AND(BP$2&gt;BQ$2,BP40&gt;BQ40),1,IF(AND(BQ$2&gt;BP$2,BQ40&gt;BP40),1,IF(AND(BP$2=BQ$2,BP40=BQ40),1,0)))))</f>
        <v/>
      </c>
      <c r="BS40" s="1" t="n">
        <f aca="false">Participantes!AW39</f>
        <v>0</v>
      </c>
      <c r="BT40" s="1" t="n">
        <f aca="false">Participantes!AX39</f>
        <v>0</v>
      </c>
      <c r="BU40" s="82" t="str">
        <f aca="false">IF(BS$2="","",IF(AND(BS40=BS$2,BT40=BT$2),3,IF(AND(BS$2&gt;BT$2,BS40&gt;BT40),1,IF(AND(BT$2&gt;BS$2,BT40&gt;BS40),1,IF(AND(BS$2=BT$2,BS40=BT40),1,0)))))</f>
        <v/>
      </c>
      <c r="BV40" s="1" t="n">
        <f aca="false">Participantes!AY39</f>
        <v>0</v>
      </c>
      <c r="BW40" s="1" t="n">
        <f aca="false">Participantes!AZ39</f>
        <v>0</v>
      </c>
      <c r="BX40" s="82" t="str">
        <f aca="false">IF(BV$2="","",IF(AND(BV40=BV$2,BW40=BW$2),3,IF(AND(BV$2&gt;BW$2,BV40&gt;BW40),1,IF(AND(BW$2&gt;BV$2,BW40&gt;BV40),1,IF(AND(BV$2=BW$2,BV40=BW40),1,0)))))</f>
        <v/>
      </c>
      <c r="BY40" s="1" t="n">
        <f aca="false">Participantes!BA39</f>
        <v>0</v>
      </c>
      <c r="BZ40" s="1" t="n">
        <f aca="false">Participantes!BB39</f>
        <v>0</v>
      </c>
      <c r="CA40" s="82" t="str">
        <f aca="false">IF(BY$2="","",IF(AND(BY40=BY$2,BZ40=BZ$2),3,IF(AND(BY$2&gt;BZ$2,BY40&gt;BZ40),1,IF(AND(BZ$2&gt;BY$2,BZ40&gt;BY40),1,IF(AND(BY$2=BZ$2,BY40=BZ40),1,0)))))</f>
        <v/>
      </c>
      <c r="CB40" s="1" t="n">
        <f aca="false">Participantes!BC39</f>
        <v>0</v>
      </c>
      <c r="CC40" s="1" t="n">
        <f aca="false">Participantes!BD39</f>
        <v>0</v>
      </c>
      <c r="CD40" s="82" t="str">
        <f aca="false">IF(CB$2="","",IF(AND(CB40=CB$2,CC40=CC$2),3,IF(AND(CB$2&gt;CC$2,CB40&gt;CC40),1,IF(AND(CC$2&gt;CB$2,CC40&gt;CB40),1,IF(AND(CB$2=CC$2,CB40=CC40),1,0)))))</f>
        <v/>
      </c>
      <c r="CE40" s="1" t="n">
        <f aca="false">Participantes!BE39</f>
        <v>0</v>
      </c>
      <c r="CF40" s="1" t="n">
        <f aca="false">Participantes!BF39</f>
        <v>0</v>
      </c>
      <c r="CG40" s="82" t="str">
        <f aca="false">IF(CE$2="","",IF(AND(CE40=CE$2,CF40=CF$2),3,IF(AND(CE$2&gt;CF$2,CE40&gt;CF40),1,IF(AND(CF$2&gt;CE$2,CF40&gt;CE40),1,IF(AND(CE$2=CF$2,CE40=CF40),1,0)))))</f>
        <v/>
      </c>
      <c r="CH40" s="1" t="n">
        <f aca="false">Participantes!BG39</f>
        <v>0</v>
      </c>
      <c r="CI40" s="1" t="n">
        <f aca="false">Participantes!BH39</f>
        <v>0</v>
      </c>
      <c r="CJ40" s="82" t="str">
        <f aca="false">IF(CH$2="","",IF(AND(CH40=CH$2,CI40=CI$2),3,IF(AND(CH$2&gt;CI$2,CH40&gt;CI40),1,IF(AND(CI$2&gt;CH$2,CI40&gt;CH40),1,IF(AND(CH$2=CI$2,CH40=CI40),1,0)))))</f>
        <v/>
      </c>
      <c r="CK40" s="1" t="n">
        <f aca="false">Participantes!BI39</f>
        <v>0</v>
      </c>
      <c r="CL40" s="1" t="n">
        <f aca="false">Participantes!BJ39</f>
        <v>0</v>
      </c>
      <c r="CM40" s="82" t="str">
        <f aca="false">IF(CK$2="","",IF(AND(CK40=CK$2,CL40=CL$2),3,IF(AND(CK$2&gt;CL$2,CK40&gt;CL40),1,IF(AND(CL$2&gt;CK$2,CL40&gt;CK40),1,IF(AND(CK$2=CL$2,CK40=CL40),1,0)))))</f>
        <v/>
      </c>
      <c r="CN40" s="1" t="n">
        <f aca="false">Participantes!BK39</f>
        <v>0</v>
      </c>
      <c r="CO40" s="1" t="n">
        <f aca="false">Participantes!BL39</f>
        <v>0</v>
      </c>
      <c r="CP40" s="82" t="str">
        <f aca="false">IF(CN$2="","",IF(AND(CN40=CN$2,CO40=CO$2),3,IF(AND(CN$2&gt;CO$2,CN40&gt;CO40),1,IF(AND(CO$2&gt;CN$2,CO40&gt;CN40),1,IF(AND(CN$2=CO$2,CN40=CO40),1,0)))))</f>
        <v/>
      </c>
      <c r="CQ40" s="1" t="n">
        <f aca="false">Participantes!BM39</f>
        <v>0</v>
      </c>
      <c r="CR40" s="1" t="n">
        <f aca="false">Participantes!BN39</f>
        <v>0</v>
      </c>
      <c r="CS40" s="82" t="str">
        <f aca="false">IF(CQ$2="","",IF(AND(CQ40=CQ$2,CR40=CR$2),3,IF(AND(CQ$2&gt;CR$2,CQ40&gt;CR40),1,IF(AND(CR$2&gt;CQ$2,CR40&gt;CQ40),1,IF(AND(CQ$2=CR$2,CQ40=CR40),1,0)))))</f>
        <v/>
      </c>
      <c r="CT40" s="1" t="n">
        <f aca="false">Participantes!BO39</f>
        <v>0</v>
      </c>
      <c r="CU40" s="1" t="n">
        <f aca="false">Participantes!BP39</f>
        <v>0</v>
      </c>
      <c r="CV40" s="82" t="str">
        <f aca="false">IF(CT$2="","",IF(AND(CT40=CT$2,CU40=CU$2),3,IF(AND(CT$2&gt;CU$2,CT40&gt;CU40),1,IF(AND(CU$2&gt;CT$2,CU40&gt;CT40),1,IF(AND(CT$2=CU$2,CT40=CU40),1,0)))))</f>
        <v/>
      </c>
      <c r="CW40" s="1" t="n">
        <f aca="false">Participantes!BQ39</f>
        <v>0</v>
      </c>
      <c r="CX40" s="1" t="n">
        <f aca="false">Participantes!BR39</f>
        <v>0</v>
      </c>
      <c r="CY40" s="82" t="str">
        <f aca="false">IF(CW$2="","",IF(AND(CW40=CW$2,CX40=CX$2),3,IF(AND(CW$2&gt;CX$2,CW40&gt;CX40),1,IF(AND(CX$2&gt;CW$2,CX40&gt;CW40),1,IF(AND(CW$2=CX$2,CW40=CX40),1,0)))))</f>
        <v/>
      </c>
      <c r="CZ40" s="1" t="n">
        <f aca="false">Participantes!BS39</f>
        <v>0</v>
      </c>
      <c r="DA40" s="1" t="n">
        <f aca="false">Participantes!BT39</f>
        <v>0</v>
      </c>
      <c r="DB40" s="82" t="str">
        <f aca="false">IF(CZ$2="","",IF(AND(CZ40=CZ$2,DA40=DA$2),3,IF(AND(CZ$2&gt;DA$2,CZ40&gt;DA40),1,IF(AND(DA$2&gt;CZ$2,DA40&gt;CZ40),1,IF(AND(CZ$2=DA$2,CZ40=DA40),1,0)))))</f>
        <v/>
      </c>
      <c r="DC40" s="1" t="n">
        <f aca="false">Participantes!BU39</f>
        <v>0</v>
      </c>
      <c r="DD40" s="1" t="n">
        <f aca="false">Participantes!BV39</f>
        <v>0</v>
      </c>
      <c r="DE40" s="82" t="str">
        <f aca="false">IF(DC$2="","",IF(AND(DC40=DC$2,DD40=DD$2),3,IF(AND(DC$2&gt;DD$2,DC40&gt;DD40),1,IF(AND(DD$2&gt;DC$2,DD40&gt;DC40),1,IF(AND(DC$2=DD$2,DC40=DD40),1,0)))))</f>
        <v/>
      </c>
      <c r="DF40" s="1" t="n">
        <f aca="false">Participantes!BW39</f>
        <v>0</v>
      </c>
      <c r="DG40" s="1" t="n">
        <f aca="false">Participantes!BX39</f>
        <v>0</v>
      </c>
      <c r="DH40" s="82" t="str">
        <f aca="false">IF(DF$2="","",IF(AND(DF40=DF$2,DG40=DG$2),3,IF(AND(DF$2&gt;DG$2,DF40&gt;DG40),1,IF(AND(DG$2&gt;DF$2,DG40&gt;DF40),1,IF(AND(DF$2=DG$2,DF40=DG40),1,0)))))</f>
        <v/>
      </c>
      <c r="DI40" s="1" t="n">
        <f aca="false">Participantes!BY39</f>
        <v>0</v>
      </c>
      <c r="DJ40" s="1" t="n">
        <f aca="false">Participantes!BZ39</f>
        <v>0</v>
      </c>
      <c r="DK40" s="82" t="str">
        <f aca="false">IF(DI$2="","",IF(AND(DI40=DI$2,DJ40=DJ$2),3,IF(AND(DI$2&gt;DJ$2,DI40&gt;DJ40),1,IF(AND(DJ$2&gt;DI$2,DJ40&gt;DI40),1,IF(AND(DI$2=DJ$2,DI40=DJ40),1,0)))))</f>
        <v/>
      </c>
      <c r="DL40" s="1" t="n">
        <f aca="false">Participantes!CA39</f>
        <v>0</v>
      </c>
      <c r="DM40" s="1" t="n">
        <f aca="false">Participantes!CB39</f>
        <v>0</v>
      </c>
      <c r="DN40" s="82" t="str">
        <f aca="false">IF(DL$2="","",IF(AND(DL40=DL$2,DM40=DM$2),3,IF(AND(DL$2&gt;DM$2,DL40&gt;DM40),1,IF(AND(DM$2&gt;DL$2,DM40&gt;DL40),1,IF(AND(DL$2=DM$2,DL40=DM40),1,0)))))</f>
        <v/>
      </c>
      <c r="DO40" s="1" t="n">
        <f aca="false">Participantes!CC39</f>
        <v>0</v>
      </c>
      <c r="DP40" s="1" t="n">
        <f aca="false">Participantes!CD39</f>
        <v>0</v>
      </c>
      <c r="DQ40" s="82" t="str">
        <f aca="false">IF(DO$2="","",IF(AND(DO40=DO$2,DP40=DP$2),3,IF(AND(DO$2&gt;DP$2,DO40&gt;DP40),1,IF(AND(DP$2&gt;DO$2,DP40&gt;DO40),1,IF(AND(DO$2=DP$2,DO40=DP40),1,0)))))</f>
        <v/>
      </c>
      <c r="DR40" s="1" t="n">
        <f aca="false">Participantes!CE39</f>
        <v>0</v>
      </c>
      <c r="DS40" s="1" t="n">
        <f aca="false">Participantes!CF39</f>
        <v>0</v>
      </c>
      <c r="DT40" s="82" t="str">
        <f aca="false">IF(DR$2="","",IF(AND(DR40=DR$2,DS40=DS$2),3,IF(AND(DR$2&gt;DS$2,DR40&gt;DS40),1,IF(AND(DS$2&gt;DR$2,DS40&gt;DR40),1,IF(AND(DR$2=DS$2,DR40=DS40),1,0)))))</f>
        <v/>
      </c>
      <c r="DU40" s="1" t="n">
        <f aca="false">Participantes!CG39</f>
        <v>0</v>
      </c>
      <c r="DV40" s="1" t="n">
        <f aca="false">Participantes!CH39</f>
        <v>0</v>
      </c>
      <c r="DW40" s="82" t="str">
        <f aca="false">IF(DU$2="","",IF(AND(DU40=DU$2,DV40=DV$2),3,IF(AND(DU$2&gt;DV$2,DU40&gt;DV40),1,IF(AND(DV$2&gt;DU$2,DV40&gt;DU40),1,IF(AND(DU$2=DV$2,DU40=DV40),1,0)))))</f>
        <v/>
      </c>
      <c r="DX40" s="1" t="n">
        <f aca="false">Participantes!CI39</f>
        <v>0</v>
      </c>
      <c r="DY40" s="1" t="n">
        <f aca="false">Participantes!CJ39</f>
        <v>0</v>
      </c>
      <c r="DZ40" s="82" t="str">
        <f aca="false">IF(DX$2="","",IF(AND(DX40=DX$2,DY40=DY$2),3,IF(AND(DX$2&gt;DY$2,DX40&gt;DY40),1,IF(AND(DY$2&gt;DX$2,DY40&gt;DX40),1,IF(AND(DX$2=DY$2,DX40=DY40),1,0)))))</f>
        <v/>
      </c>
      <c r="EA40" s="1" t="n">
        <f aca="false">Participantes!CK39</f>
        <v>0</v>
      </c>
      <c r="EB40" s="1" t="n">
        <f aca="false">Participantes!CL39</f>
        <v>0</v>
      </c>
      <c r="EC40" s="82" t="str">
        <f aca="false">IF(EA$2="","",IF(AND(EA40=EA$2,EB40=EB$2),3,IF(AND(EA$2&gt;EB$2,EA40&gt;EB40),1,IF(AND(EB$2&gt;EA$2,EB40&gt;EA40),1,IF(AND(EA$2=EB$2,EA40=EB40),1,0)))))</f>
        <v/>
      </c>
      <c r="ED40" s="1" t="n">
        <f aca="false">Participantes!CM39</f>
        <v>0</v>
      </c>
      <c r="EE40" s="1" t="n">
        <f aca="false">Participantes!CN39</f>
        <v>0</v>
      </c>
      <c r="EF40" s="82" t="str">
        <f aca="false">IF(ED$2="","",IF(AND(ED40=ED$2,EE40=EE$2),3,IF(AND(ED$2&gt;EE$2,ED40&gt;EE40),1,IF(AND(EE$2&gt;ED$2,EE40&gt;ED40),1,IF(AND(ED$2=EE$2,ED40=EE40),1,0)))))</f>
        <v/>
      </c>
      <c r="EG40" s="1" t="n">
        <f aca="false">Participantes!CO39</f>
        <v>0</v>
      </c>
      <c r="EH40" s="1" t="n">
        <f aca="false">Participantes!CP39</f>
        <v>0</v>
      </c>
      <c r="EI40" s="82" t="str">
        <f aca="false">IF(EG$2="","",IF(AND(EG40=EG$2,EH40=EH$2),3,IF(AND(EG$2&gt;EH$2,EG40&gt;EH40),1,IF(AND(EH$2&gt;EG$2,EH40&gt;EG40),1,IF(AND(EG$2=EH$2,EG40=EH40),1,0)))))</f>
        <v/>
      </c>
      <c r="EJ40" s="1" t="n">
        <f aca="false">Participantes!CQ39</f>
        <v>0</v>
      </c>
      <c r="EK40" s="1" t="n">
        <f aca="false">Participantes!CR39</f>
        <v>0</v>
      </c>
      <c r="EL40" s="82" t="str">
        <f aca="false">IF(EJ$2="","",IF(AND(EJ40=EJ$2,EK40=EK$2),3,IF(AND(EJ$2&gt;EK$2,EJ40&gt;EK40),1,IF(AND(EK$2&gt;EJ$2,EK40&gt;EJ40),1,IF(AND(EJ$2=EK$2,EJ40=EK40),1,0)))))</f>
        <v/>
      </c>
      <c r="EM40" s="1" t="n">
        <f aca="false">Participantes!CS39</f>
        <v>0</v>
      </c>
      <c r="EN40" s="1" t="n">
        <f aca="false">Participantes!CT39</f>
        <v>0</v>
      </c>
      <c r="EO40" s="82" t="str">
        <f aca="false">IF(EM$2="","",IF(AND(EM40=EM$2,EN40=EN$2),3,IF(AND(EM$2&gt;EN$2,EM40&gt;EN40),1,IF(AND(EN$2&gt;EM$2,EN40&gt;EM40),1,IF(AND(EM$2=EN$2,EM40=EN40),1,0)))))</f>
        <v/>
      </c>
      <c r="EP40" s="1" t="n">
        <f aca="false">Participantes!CU39</f>
        <v>0</v>
      </c>
      <c r="EQ40" s="1" t="n">
        <f aca="false">Participantes!CV39</f>
        <v>0</v>
      </c>
      <c r="ER40" s="82" t="str">
        <f aca="false">IF(EP$2="","",IF(AND(EP40=EP$2,EQ40=EQ$2),3,IF(AND(EP$2&gt;EQ$2,EP40&gt;EQ40),1,IF(AND(EQ$2&gt;EP$2,EQ40&gt;EP40),1,IF(AND(EP$2=EQ$2,EP40=EQ40),1,0)))))</f>
        <v/>
      </c>
      <c r="ES40" s="1" t="n">
        <f aca="false">Participantes!CW39</f>
        <v>0</v>
      </c>
      <c r="ET40" s="1" t="n">
        <f aca="false">Participantes!CX39</f>
        <v>0</v>
      </c>
      <c r="EU40" s="82" t="str">
        <f aca="false">IF(ES$2="","",IF(AND(ES40=ES$2,ET40=ET$2),3,IF(AND(ES$2&gt;ET$2,ES40&gt;ET40),1,IF(AND(ET$2&gt;ES$2,ET40&gt;ES40),1,IF(AND(ES$2=ET$2,ES40=ET40),1,0)))))</f>
        <v/>
      </c>
      <c r="EV40" s="1" t="n">
        <f aca="false">Participantes!CY39</f>
        <v>0</v>
      </c>
      <c r="EW40" s="1" t="n">
        <f aca="false">Participantes!CZ39</f>
        <v>0</v>
      </c>
      <c r="EX40" s="82" t="str">
        <f aca="false">IF(EV$2="","",IF(AND(EV40=EV$2,EW40=EW$2),3,IF(AND(EV$2&gt;EW$2,EV40&gt;EW40),1,IF(AND(EW$2&gt;EV$2,EW40&gt;EV40),1,IF(AND(EV$2=EW$2,EV40=EW40),1,0)))))</f>
        <v/>
      </c>
      <c r="EY40" s="1" t="n">
        <f aca="false">Participantes!DA39</f>
        <v>0</v>
      </c>
      <c r="EZ40" s="1" t="n">
        <f aca="false">Participantes!DB39</f>
        <v>0</v>
      </c>
      <c r="FA40" s="82" t="str">
        <f aca="false">IF(EY$2="","",IF(AND(EY40=EY$2,EZ40=EZ$2),3,IF(AND(EY$2&gt;EZ$2,EY40&gt;EZ40),1,IF(AND(EZ$2&gt;EY$2,EZ40&gt;EY40),1,IF(AND(EY$2=EZ$2,EY40=EZ40),1,0)))))</f>
        <v/>
      </c>
      <c r="FB40" s="1" t="n">
        <f aca="false">Participantes!DC39</f>
        <v>0</v>
      </c>
      <c r="FC40" s="1" t="n">
        <f aca="false">Participantes!DD39</f>
        <v>0</v>
      </c>
      <c r="FD40" s="82" t="str">
        <f aca="false">IF(FB$2="","",IF(AND(FB40=FB$2,FC40=FC$2),3,IF(AND(FB$2&gt;FC$2,FB40&gt;FC40),1,IF(AND(FC$2&gt;FB$2,FC40&gt;FB40),1,IF(AND(FB$2=FC$2,FB40=FC40),1,0)))))</f>
        <v/>
      </c>
      <c r="FE40" s="1" t="n">
        <f aca="false">Participantes!DE39</f>
        <v>0</v>
      </c>
      <c r="FF40" s="1" t="n">
        <f aca="false">Participantes!DF39</f>
        <v>0</v>
      </c>
      <c r="FG40" s="82" t="str">
        <f aca="false">IF(FE$2="","",IF(AND(FE40=FE$2,FF40=FF$2),3,IF(AND(FE$2&gt;FF$2,FE40&gt;FF40),1,IF(AND(FF$2&gt;FE$2,FF40&gt;FE40),1,IF(AND(FE$2=FF$2,FE40=FF40),1,0)))))</f>
        <v/>
      </c>
      <c r="FH40" s="1" t="n">
        <f aca="false">Participantes!DG39</f>
        <v>0</v>
      </c>
      <c r="FI40" s="1" t="n">
        <f aca="false">Participantes!DH39</f>
        <v>0</v>
      </c>
      <c r="FJ40" s="82" t="str">
        <f aca="false">IF(FH$2="","",IF(AND(FH40=FH$2,FI40=FI$2),3,IF(AND(FH$2&gt;FI$2,FH40&gt;FI40),1,IF(AND(FI$2&gt;FH$2,FI40&gt;FH40),1,IF(AND(FH$2=FI$2,FH40=FI40),1,0)))))</f>
        <v/>
      </c>
      <c r="FK40" s="1" t="n">
        <f aca="false">Participantes!DI39</f>
        <v>0</v>
      </c>
      <c r="FL40" s="1" t="n">
        <f aca="false">Participantes!DJ39</f>
        <v>0</v>
      </c>
      <c r="FM40" s="82" t="str">
        <f aca="false">IF(FK$2="","",IF(AND(FK40=FK$2,FL40=FL$2),3,IF(AND(FK$2&gt;FL$2,FK40&gt;FL40),1,IF(AND(FL$2&gt;FK$2,FL40&gt;FK40),1,IF(AND(FK$2=FL$2,FK40=FL40),1,0)))))</f>
        <v/>
      </c>
      <c r="FN40" s="1" t="n">
        <f aca="false">Participantes!DK39</f>
        <v>0</v>
      </c>
      <c r="FO40" s="1" t="n">
        <f aca="false">Participantes!DL39</f>
        <v>0</v>
      </c>
      <c r="FP40" s="82" t="str">
        <f aca="false">IF(FN$2="","",IF(AND(FN40=FN$2,FO40=FO$2),3,IF(AND(FN$2&gt;FO$2,FN40&gt;FO40),1,IF(AND(FO$2&gt;FN$2,FO40&gt;FN40),1,IF(AND(FN$2=FO$2,FN40=FO40),1,0)))))</f>
        <v/>
      </c>
      <c r="FQ40" s="1" t="n">
        <f aca="false">Participantes!DM39</f>
        <v>0</v>
      </c>
      <c r="FR40" s="1" t="n">
        <f aca="false">Participantes!DN39</f>
        <v>0</v>
      </c>
      <c r="FS40" s="82" t="str">
        <f aca="false">IF(FQ$2="","",IF(AND(FQ40=FQ$2,FR40=FR$2),3,IF(AND(FQ$2&gt;FR$2,FQ40&gt;FR40),1,IF(AND(FR$2&gt;FQ$2,FR40&gt;FQ40),1,IF(AND(FQ$2=FR$2,FQ40=FR40),1,0)))))</f>
        <v/>
      </c>
      <c r="FT40" s="1" t="n">
        <f aca="false">Participantes!DO39</f>
        <v>0</v>
      </c>
      <c r="FU40" s="1" t="n">
        <f aca="false">Participantes!DP39</f>
        <v>0</v>
      </c>
      <c r="FV40" s="82" t="str">
        <f aca="false">IF(FT$2="","",IF(AND(FT40=FT$2,FU40=FU$2),3,IF(AND(FT$2&gt;FU$2,FT40&gt;FU40),1,IF(AND(FU$2&gt;FT$2,FU40&gt;FT40),1,IF(AND(FT$2=FU$2,FT40=FU40),1,0)))))</f>
        <v/>
      </c>
      <c r="FW40" s="1" t="n">
        <f aca="false">Participantes!DQ39</f>
        <v>0</v>
      </c>
      <c r="FX40" s="1" t="n">
        <f aca="false">Participantes!DR39</f>
        <v>0</v>
      </c>
      <c r="FY40" s="82" t="str">
        <f aca="false">IF(FW$2="","",IF(AND(FW40=FW$2,FX40=FX$2),3,IF(AND(FW$2&gt;FX$2,FW40&gt;FX40),1,IF(AND(FX$2&gt;FW$2,FX40&gt;FW40),1,IF(AND(FW$2=FX$2,FW40=FX40),1,0)))))</f>
        <v/>
      </c>
      <c r="FZ40" s="1" t="n">
        <f aca="false">Participantes!DS39</f>
        <v>0</v>
      </c>
      <c r="GA40" s="1" t="n">
        <f aca="false">Participantes!DT39</f>
        <v>0</v>
      </c>
      <c r="GB40" s="82" t="str">
        <f aca="false">IF(FZ$2="","",IF(AND(FZ40=FZ$2,GA40=GA$2),3,IF(AND(FZ$2&gt;GA$2,FZ40&gt;GA40),1,IF(AND(GA$2&gt;FZ$2,GA40&gt;FZ40),1,IF(AND(FZ$2=GA$2,FZ40=GA40),1,0)))))</f>
        <v/>
      </c>
      <c r="GC40" s="1" t="n">
        <f aca="false">Participantes!DU39</f>
        <v>0</v>
      </c>
      <c r="GD40" s="1" t="n">
        <f aca="false">Participantes!DV39</f>
        <v>0</v>
      </c>
      <c r="GE40" s="82" t="str">
        <f aca="false">IF(GC$2="","",IF(AND(GC40=GC$2,GD40=GD$2),3,IF(AND(GC$2&gt;GD$2,GC40&gt;GD40),1,IF(AND(GD$2&gt;GC$2,GD40&gt;GC40),1,IF(AND(GC$2=GD$2,GC40=GD40),1,0)))))</f>
        <v/>
      </c>
      <c r="GF40" s="1" t="n">
        <f aca="false">Participantes!DW39</f>
        <v>0</v>
      </c>
      <c r="GG40" s="1" t="n">
        <f aca="false">Participantes!DX39</f>
        <v>0</v>
      </c>
      <c r="GH40" s="82" t="str">
        <f aca="false">IF(GF$2="","",IF(AND(GF40=GF$2,GG40=GG$2),3,IF(AND(GF$2&gt;GG$2,GF40&gt;GG40),1,IF(AND(GG$2&gt;GF$2,GG40&gt;GF40),1,IF(AND(GF$2=GG$2,GF40=GG40),1,0)))))</f>
        <v/>
      </c>
      <c r="GI40" s="1" t="n">
        <f aca="false">Participantes!DY39</f>
        <v>0</v>
      </c>
      <c r="GJ40" s="1" t="n">
        <f aca="false">Participantes!DZ39</f>
        <v>0</v>
      </c>
      <c r="GK40" s="82" t="str">
        <f aca="false">IF(GI$2="","",IF(AND(GI40=GI$2,GJ40=GJ$2),3,IF(AND(GI$2&gt;GJ$2,GI40&gt;GJ40),1,IF(AND(GJ$2&gt;GI$2,GJ40&gt;GI40),1,IF(AND(GI$2=GJ$2,GI40=GJ40),1,0)))))</f>
        <v/>
      </c>
      <c r="GL40" s="1" t="n">
        <f aca="false">Participantes!EA39</f>
        <v>0</v>
      </c>
      <c r="GM40" s="1" t="n">
        <f aca="false">Participantes!EB39</f>
        <v>0</v>
      </c>
      <c r="GN40" s="82" t="str">
        <f aca="false">IF(GL$2="","",IF(AND(GL40=GL$2,GM40=GM$2),3,IF(AND(GL$2&gt;GM$2,GL40&gt;GM40),1,IF(AND(GM$2&gt;GL$2,GM40&gt;GL40),1,IF(AND(GL$2=GM$2,GL40=GM40),1,0)))))</f>
        <v/>
      </c>
      <c r="GO40" s="1" t="n">
        <f aca="false">Participantes!EC39</f>
        <v>0</v>
      </c>
      <c r="GP40" s="1" t="n">
        <f aca="false">Participantes!ED39</f>
        <v>0</v>
      </c>
      <c r="GQ40" s="82" t="str">
        <f aca="false">IF(GO$2="","",IF(AND(GO40=GO$2,GP40=GP$2),3,IF(AND(GO$2&gt;GP$2,GO40&gt;GP40),1,IF(AND(GP$2&gt;GO$2,GP40&gt;GO40),1,IF(AND(GO$2=GP$2,GO40=GP40),1,0)))))</f>
        <v/>
      </c>
      <c r="GR40" s="1" t="n">
        <f aca="false">Participantes!EE39</f>
        <v>0</v>
      </c>
      <c r="GS40" s="1" t="n">
        <f aca="false">Participantes!EF39</f>
        <v>0</v>
      </c>
      <c r="GT40" s="82" t="str">
        <f aca="false">IF(GR$2="","",IF(AND(GR40=GR$2,GS40=GS$2),3,IF(AND(GR$2&gt;GS$2,GR40&gt;GS40),1,IF(AND(GS$2&gt;GR$2,GS40&gt;GR40),1,IF(AND(GR$2=GS$2,GR40=GS40),1,0)))))</f>
        <v/>
      </c>
      <c r="GU40" s="1" t="n">
        <f aca="false">Participantes!EG39</f>
        <v>0</v>
      </c>
      <c r="GV40" s="1" t="n">
        <f aca="false">Participantes!EH39</f>
        <v>0</v>
      </c>
      <c r="GW40" s="82" t="str">
        <f aca="false">IF(GU$2="","",IF(AND(GU40=GU$2,GV40=GV$2),3,IF(AND(GU$2&gt;GV$2,GU40&gt;GV40),1,IF(AND(GV$2&gt;GU$2,GV40&gt;GU40),1,IF(AND(GU$2=GV$2,GU40=GV40),1,0)))))</f>
        <v/>
      </c>
      <c r="GX40" s="1" t="n">
        <f aca="false">Participantes!EI39</f>
        <v>0</v>
      </c>
      <c r="GY40" s="1" t="n">
        <f aca="false">Participantes!EJ39</f>
        <v>0</v>
      </c>
      <c r="GZ40" s="82" t="str">
        <f aca="false">IF(GX$2="","",IF(AND(GX40=GX$2,GY40=GY$2),3,IF(AND(GX$2&gt;GY$2,GX40&gt;GY40),1,IF(AND(GY$2&gt;GX$2,GY40&gt;GX40),1,IF(AND(GX$2=GY$2,GX40=GY40),1,0)))))</f>
        <v/>
      </c>
      <c r="HA40" s="1" t="n">
        <f aca="false">Participantes!EK39</f>
        <v>0</v>
      </c>
      <c r="HB40" s="1" t="n">
        <f aca="false">Participantes!EL39</f>
        <v>0</v>
      </c>
      <c r="HC40" s="82" t="str">
        <f aca="false">IF(HA$2="","",IF(AND(HA40=HA$2,HB40=HB$2),3,IF(AND(HA$2&gt;HB$2,HA40&gt;HB40),1,IF(AND(HB$2&gt;HA$2,HB40&gt;HA40),1,IF(AND(HA$2=HB$2,HA40=HB40),1,0)))))</f>
        <v/>
      </c>
      <c r="HD40" s="1" t="n">
        <f aca="false">Participantes!EM39</f>
        <v>0</v>
      </c>
      <c r="HE40" s="1" t="n">
        <f aca="false">Participantes!EN39</f>
        <v>0</v>
      </c>
      <c r="HF40" s="82" t="str">
        <f aca="false">IF(HD$2="","",IF(AND(HD40=HD$2,HE40=HE$2),3,IF(AND(HD$2&gt;HE$2,HD40&gt;HE40),1,IF(AND(HE$2&gt;HD$2,HE40&gt;HD40),1,IF(AND(HD$2=HE$2,HD40=HE40),1,0)))))</f>
        <v/>
      </c>
      <c r="HG40" s="1" t="n">
        <f aca="false">Participantes!EO39</f>
        <v>0</v>
      </c>
      <c r="HH40" s="1" t="n">
        <f aca="false">Participantes!EP39</f>
        <v>0</v>
      </c>
      <c r="HI40" s="82" t="str">
        <f aca="false">IF(HG$2="","",IF(AND(HG40=HG$2,HH40=HH$2),3,IF(AND(HG$2&gt;HH$2,HG40&gt;HH40),1,IF(AND(HH$2&gt;HG$2,HH40&gt;HG40),1,IF(AND(HG$2=HH$2,HG40=HH40),1,0)))))</f>
        <v/>
      </c>
      <c r="HJ40" s="83" t="n">
        <f aca="false">SUM(D40,G40,J40,M40,P40,S40,V40,Y40,AB40,AE40,AH40,AK40,AN40,AQ40,AT40,AW40,AZ40,BC40,BF40,BI40,BL40,BO40,BR40,BU40,BX40,CA40,CD40,CG40,CJ40,CM40,CP40,CS40,CV40,CY40,DB40,DE40,DH40,DK40,DN40,DQ40,DT40,DW40,DZ40,EC40,EF40,EI40,EL40,EO40,ER40,EU40,EX40,FA40,FD40,FG40,FJ40,FM40,FP40,FS40,FV40,FY40,GB40,GE40,GH40,GK40,GN40,GQ40,GT40,GW40,GZ40,HC40,HF40,HI40)</f>
        <v>3</v>
      </c>
    </row>
    <row r="41" customFormat="false" ht="15" hidden="false" customHeight="true" outlineLevel="0" collapsed="false">
      <c r="A41" s="81" t="str">
        <f aca="false">Participantes!B40</f>
        <v>Mily Zeynneth</v>
      </c>
      <c r="B41" s="1" t="n">
        <f aca="false">Participantes!C40</f>
        <v>3</v>
      </c>
      <c r="C41" s="1" t="n">
        <f aca="false">Participantes!D40</f>
        <v>1</v>
      </c>
      <c r="D41" s="82" t="n">
        <f aca="false">IF(B$2="","",IF(AND(B41=B$2,C41=C$2),3,IF(AND(B$2&gt;C$2,B41&gt;C41),1,IF(AND(C$2&gt;B$2,C41&gt;B41),1,IF(AND(B$2=C$2,B41=C41),1,0)))))</f>
        <v>1</v>
      </c>
      <c r="E41" s="1" t="n">
        <f aca="false">Participantes!E40</f>
        <v>2</v>
      </c>
      <c r="F41" s="1" t="n">
        <f aca="false">Participantes!F40</f>
        <v>2</v>
      </c>
      <c r="G41" s="82" t="str">
        <f aca="false">IF(E$2="","",IF(AND(E41=E$2,F41=F$2),3,IF(AND(E$2&gt;F$2,E41&gt;F41),1,IF(AND(F$2&gt;E$2,F41&gt;E41),1,IF(AND(E$2=F$2,E41=F41),1,0)))))</f>
        <v/>
      </c>
      <c r="H41" s="1" t="n">
        <f aca="false">Participantes!G40</f>
        <v>3</v>
      </c>
      <c r="I41" s="1" t="n">
        <f aca="false">Participantes!H40</f>
        <v>1</v>
      </c>
      <c r="J41" s="82" t="str">
        <f aca="false">IF(H$2="","",IF(AND(H41=H$2,I41=I$2),3,IF(AND(H$2&gt;I$2,H41&gt;I41),1,IF(AND(I$2&gt;H$2,I41&gt;H41),1,IF(AND(H$2=I$2,H41=I41),1,0)))))</f>
        <v/>
      </c>
      <c r="K41" s="1" t="n">
        <f aca="false">Participantes!I40</f>
        <v>3</v>
      </c>
      <c r="L41" s="1" t="n">
        <f aca="false">Participantes!J40</f>
        <v>0</v>
      </c>
      <c r="M41" s="82" t="str">
        <f aca="false">IF(K$2="","",IF(AND(K41=K$2,L41=L$2),3,IF(AND(K$2&gt;L$2,K41&gt;L41),1,IF(AND(L$2&gt;K$2,L41&gt;K41),1,IF(AND(K$2=L$2,K41=L41),1,0)))))</f>
        <v/>
      </c>
      <c r="N41" s="1" t="n">
        <f aca="false">Participantes!K40</f>
        <v>0</v>
      </c>
      <c r="O41" s="1" t="n">
        <f aca="false">Participantes!L40</f>
        <v>1</v>
      </c>
      <c r="P41" s="82" t="str">
        <f aca="false">IF(N$2="","",IF(AND(N41=N$2,O41=O$2),3,IF(AND(N$2&gt;O$2,N41&gt;O41),1,IF(AND(O$2&gt;N$2,O41&gt;N41),1,IF(AND(N$2=O$2,N41=O41),1,0)))))</f>
        <v/>
      </c>
      <c r="Q41" s="1" t="n">
        <f aca="false">Participantes!M40</f>
        <v>2</v>
      </c>
      <c r="R41" s="1" t="n">
        <f aca="false">Participantes!N40</f>
        <v>3</v>
      </c>
      <c r="S41" s="82" t="str">
        <f aca="false">IF(Q$2="","",IF(AND(Q41=Q$2,R41=R$2),3,IF(AND(Q$2&gt;R$2,Q41&gt;R41),1,IF(AND(R$2&gt;Q$2,R41&gt;Q41),1,IF(AND(Q$2=R$2,Q41=R41),1,0)))))</f>
        <v/>
      </c>
      <c r="T41" s="1" t="n">
        <f aca="false">Participantes!O40</f>
        <v>3</v>
      </c>
      <c r="U41" s="1" t="n">
        <f aca="false">Participantes!P40</f>
        <v>1</v>
      </c>
      <c r="V41" s="82" t="str">
        <f aca="false">IF(T$2="","",IF(AND(T41=T$2,U41=U$2),3,IF(AND(T$2&gt;U$2,T41&gt;U41),1,IF(AND(U$2&gt;T$2,U41&gt;T41),1,IF(AND(T$2=U$2,T41=U41),1,0)))))</f>
        <v/>
      </c>
      <c r="W41" s="1" t="n">
        <f aca="false">Participantes!Q40</f>
        <v>0</v>
      </c>
      <c r="X41" s="1" t="n">
        <f aca="false">Participantes!R40</f>
        <v>0</v>
      </c>
      <c r="Y41" s="82" t="str">
        <f aca="false">IF(W$2="","",IF(AND(W41=W$2,X41=X$2),3,IF(AND(W$2&gt;X$2,W41&gt;X41),1,IF(AND(X$2&gt;W$2,X41&gt;W41),1,IF(AND(W$2=X$2,W41=X41),1,0)))))</f>
        <v/>
      </c>
      <c r="Z41" s="1" t="n">
        <f aca="false">Participantes!S40</f>
        <v>1</v>
      </c>
      <c r="AA41" s="1" t="n">
        <f aca="false">Participantes!T40</f>
        <v>2</v>
      </c>
      <c r="AB41" s="82" t="str">
        <f aca="false">IF(Z$2="","",IF(AND(Z41=Z$2,AA41=AA$2),3,IF(AND(Z$2&gt;AA$2,Z41&gt;AA41),1,IF(AND(AA$2&gt;Z$2,AA41&gt;Z41),1,IF(AND(Z$2=AA$2,Z41=AA41),1,0)))))</f>
        <v/>
      </c>
      <c r="AC41" s="1" t="n">
        <f aca="false">Participantes!U40</f>
        <v>4</v>
      </c>
      <c r="AD41" s="1" t="n">
        <f aca="false">Participantes!V40</f>
        <v>0</v>
      </c>
      <c r="AE41" s="82" t="str">
        <f aca="false">IF(AC$2="","",IF(AND(AC41=AC$2,AD41=AD$2),3,IF(AND(AC$2&gt;AD$2,AC41&gt;AD41),1,IF(AND(AD$2&gt;AC$2,AD41&gt;AC41),1,IF(AND(AC$2=AD$2,AC41=AD41),1,0)))))</f>
        <v/>
      </c>
      <c r="AF41" s="1" t="n">
        <f aca="false">Participantes!W40</f>
        <v>3</v>
      </c>
      <c r="AG41" s="1" t="n">
        <f aca="false">Participantes!X40</f>
        <v>1</v>
      </c>
      <c r="AH41" s="82" t="str">
        <f aca="false">IF(AF$2="","",IF(AND(AF41=AF$2,AG41=AG$2),3,IF(AND(AF$2&gt;AG$2,AF41&gt;AG41),1,IF(AND(AG$2&gt;AF$2,AG41&gt;AF41),1,IF(AND(AF$2=AG$2,AF41=AG41),1,0)))))</f>
        <v/>
      </c>
      <c r="AI41" s="1" t="n">
        <f aca="false">Participantes!Y40</f>
        <v>2</v>
      </c>
      <c r="AJ41" s="1" t="n">
        <f aca="false">Participantes!Z40</f>
        <v>1</v>
      </c>
      <c r="AK41" s="82" t="str">
        <f aca="false">IF(AI$2="","",IF(AND(AI41=AI$2,AJ41=AJ$2),3,IF(AND(AI$2&gt;AJ$2,AI41&gt;AJ41),1,IF(AND(AJ$2&gt;AI$2,AJ41&gt;AI41),1,IF(AND(AI$2=AJ$2,AI41=AJ41),1,0)))))</f>
        <v/>
      </c>
      <c r="AL41" s="1" t="n">
        <f aca="false">Participantes!AA40</f>
        <v>2</v>
      </c>
      <c r="AM41" s="1" t="n">
        <f aca="false">Participantes!AB40</f>
        <v>3</v>
      </c>
      <c r="AN41" s="82" t="str">
        <f aca="false">IF(AL$2="","",IF(AND(AL41=AL$2,AM41=AM$2),3,IF(AND(AL$2&gt;AM$2,AL41&gt;AM41),1,IF(AND(AM$2&gt;AL$2,AM41&gt;AL41),1,IF(AND(AL$2=AM$2,AL41=AM41),1,0)))))</f>
        <v/>
      </c>
      <c r="AO41" s="1" t="n">
        <f aca="false">Participantes!AC40</f>
        <v>4</v>
      </c>
      <c r="AP41" s="1" t="n">
        <f aca="false">Participantes!AD40</f>
        <v>1</v>
      </c>
      <c r="AQ41" s="82" t="str">
        <f aca="false">IF(AO$2="","",IF(AND(AO41=AO$2,AP41=AP$2),3,IF(AND(AO$2&gt;AP$2,AO41&gt;AP41),1,IF(AND(AP$2&gt;AO$2,AP41&gt;AO41),1,IF(AND(AO$2=AP$2,AO41=AP41),1,0)))))</f>
        <v/>
      </c>
      <c r="AR41" s="1" t="n">
        <f aca="false">Participantes!AE40</f>
        <v>0</v>
      </c>
      <c r="AS41" s="1" t="n">
        <f aca="false">Participantes!AF40</f>
        <v>0</v>
      </c>
      <c r="AT41" s="82" t="str">
        <f aca="false">IF(AR$2="","",IF(AND(AR41=AR$2,AS41=AS$2),3,IF(AND(AR$2&gt;AS$2,AR41&gt;AS41),1,IF(AND(AS$2&gt;AR$2,AS41&gt;AR41),1,IF(AND(AR$2=AS$2,AR41=AS41),1,0)))))</f>
        <v/>
      </c>
      <c r="AU41" s="1" t="n">
        <f aca="false">Participantes!AG40</f>
        <v>0</v>
      </c>
      <c r="AV41" s="1" t="n">
        <f aca="false">Participantes!AH40</f>
        <v>0</v>
      </c>
      <c r="AW41" s="82" t="str">
        <f aca="false">IF(AU$2="","",IF(AND(AU41=AU$2,AV41=AV$2),3,IF(AND(AU$2&gt;AV$2,AU41&gt;AV41),1,IF(AND(AV$2&gt;AU$2,AV41&gt;AU41),1,IF(AND(AU$2=AV$2,AU41=AV41),1,0)))))</f>
        <v/>
      </c>
      <c r="AX41" s="1" t="n">
        <f aca="false">Participantes!AI40</f>
        <v>0</v>
      </c>
      <c r="AY41" s="1" t="n">
        <f aca="false">Participantes!AJ40</f>
        <v>0</v>
      </c>
      <c r="AZ41" s="82" t="str">
        <f aca="false">IF(AX$2="","",IF(AND(AX41=AX$2,AY41=AY$2),3,IF(AND(AX$2&gt;AY$2,AX41&gt;AY41),1,IF(AND(AY$2&gt;AX$2,AY41&gt;AX41),1,IF(AND(AX$2=AY$2,AX41=AY41),1,0)))))</f>
        <v/>
      </c>
      <c r="BA41" s="1" t="n">
        <f aca="false">Participantes!AK40</f>
        <v>0</v>
      </c>
      <c r="BB41" s="1" t="n">
        <f aca="false">Participantes!AL40</f>
        <v>0</v>
      </c>
      <c r="BC41" s="82" t="str">
        <f aca="false">IF(BA$2="","",IF(AND(BA41=BA$2,BB41=BB$2),3,IF(AND(BA$2&gt;BB$2,BA41&gt;BB41),1,IF(AND(BB$2&gt;BA$2,BB41&gt;BA41),1,IF(AND(BA$2=BB$2,BA41=BB41),1,0)))))</f>
        <v/>
      </c>
      <c r="BD41" s="1" t="n">
        <f aca="false">Participantes!AM40</f>
        <v>0</v>
      </c>
      <c r="BE41" s="1" t="n">
        <f aca="false">Participantes!AN40</f>
        <v>0</v>
      </c>
      <c r="BF41" s="82" t="str">
        <f aca="false">IF(BD$2="","",IF(AND(BD41=BD$2,BE41=BE$2),3,IF(AND(BD$2&gt;BE$2,BD41&gt;BE41),1,IF(AND(BE$2&gt;BD$2,BE41&gt;BD41),1,IF(AND(BD$2=BE$2,BD41=BE41),1,0)))))</f>
        <v/>
      </c>
      <c r="BG41" s="1" t="n">
        <f aca="false">Participantes!AO40</f>
        <v>0</v>
      </c>
      <c r="BH41" s="1" t="n">
        <f aca="false">Participantes!AP40</f>
        <v>0</v>
      </c>
      <c r="BI41" s="82" t="str">
        <f aca="false">IF(BG$2="","",IF(AND(BG41=BG$2,BH41=BH$2),3,IF(AND(BG$2&gt;BH$2,BG41&gt;BH41),1,IF(AND(BH$2&gt;BG$2,BH41&gt;BG41),1,IF(AND(BG$2=BH$2,BG41=BH41),1,0)))))</f>
        <v/>
      </c>
      <c r="BJ41" s="1" t="n">
        <f aca="false">Participantes!AQ40</f>
        <v>0</v>
      </c>
      <c r="BK41" s="1" t="n">
        <f aca="false">Participantes!AR40</f>
        <v>0</v>
      </c>
      <c r="BL41" s="82" t="str">
        <f aca="false">IF(BJ$2="","",IF(AND(BJ41=BJ$2,BK41=BK$2),3,IF(AND(BJ$2&gt;BK$2,BJ41&gt;BK41),1,IF(AND(BK$2&gt;BJ$2,BK41&gt;BJ41),1,IF(AND(BJ$2=BK$2,BJ41=BK41),1,0)))))</f>
        <v/>
      </c>
      <c r="BM41" s="1" t="n">
        <f aca="false">Participantes!AS40</f>
        <v>0</v>
      </c>
      <c r="BN41" s="1" t="n">
        <f aca="false">Participantes!AT40</f>
        <v>0</v>
      </c>
      <c r="BO41" s="82" t="str">
        <f aca="false">IF(BM$2="","",IF(AND(BM41=BM$2,BN41=BN$2),3,IF(AND(BM$2&gt;BN$2,BM41&gt;BN41),1,IF(AND(BN$2&gt;BM$2,BN41&gt;BM41),1,IF(AND(BM$2=BN$2,BM41=BN41),1,0)))))</f>
        <v/>
      </c>
      <c r="BP41" s="1" t="n">
        <f aca="false">Participantes!AU40</f>
        <v>0</v>
      </c>
      <c r="BQ41" s="1" t="n">
        <f aca="false">Participantes!AV40</f>
        <v>0</v>
      </c>
      <c r="BR41" s="82" t="str">
        <f aca="false">IF(BP$2="","",IF(AND(BP41=BP$2,BQ41=BQ$2),3,IF(AND(BP$2&gt;BQ$2,BP41&gt;BQ41),1,IF(AND(BQ$2&gt;BP$2,BQ41&gt;BP41),1,IF(AND(BP$2=BQ$2,BP41=BQ41),1,0)))))</f>
        <v/>
      </c>
      <c r="BS41" s="1" t="n">
        <f aca="false">Participantes!AW40</f>
        <v>0</v>
      </c>
      <c r="BT41" s="1" t="n">
        <f aca="false">Participantes!AX40</f>
        <v>0</v>
      </c>
      <c r="BU41" s="82" t="str">
        <f aca="false">IF(BS$2="","",IF(AND(BS41=BS$2,BT41=BT$2),3,IF(AND(BS$2&gt;BT$2,BS41&gt;BT41),1,IF(AND(BT$2&gt;BS$2,BT41&gt;BS41),1,IF(AND(BS$2=BT$2,BS41=BT41),1,0)))))</f>
        <v/>
      </c>
      <c r="BV41" s="1" t="n">
        <f aca="false">Participantes!AY40</f>
        <v>0</v>
      </c>
      <c r="BW41" s="1" t="n">
        <f aca="false">Participantes!AZ40</f>
        <v>0</v>
      </c>
      <c r="BX41" s="82" t="str">
        <f aca="false">IF(BV$2="","",IF(AND(BV41=BV$2,BW41=BW$2),3,IF(AND(BV$2&gt;BW$2,BV41&gt;BW41),1,IF(AND(BW$2&gt;BV$2,BW41&gt;BV41),1,IF(AND(BV$2=BW$2,BV41=BW41),1,0)))))</f>
        <v/>
      </c>
      <c r="BY41" s="1" t="n">
        <f aca="false">Participantes!BA40</f>
        <v>0</v>
      </c>
      <c r="BZ41" s="1" t="n">
        <f aca="false">Participantes!BB40</f>
        <v>0</v>
      </c>
      <c r="CA41" s="82" t="str">
        <f aca="false">IF(BY$2="","",IF(AND(BY41=BY$2,BZ41=BZ$2),3,IF(AND(BY$2&gt;BZ$2,BY41&gt;BZ41),1,IF(AND(BZ$2&gt;BY$2,BZ41&gt;BY41),1,IF(AND(BY$2=BZ$2,BY41=BZ41),1,0)))))</f>
        <v/>
      </c>
      <c r="CB41" s="1" t="n">
        <f aca="false">Participantes!BC40</f>
        <v>0</v>
      </c>
      <c r="CC41" s="1" t="n">
        <f aca="false">Participantes!BD40</f>
        <v>0</v>
      </c>
      <c r="CD41" s="82" t="str">
        <f aca="false">IF(CB$2="","",IF(AND(CB41=CB$2,CC41=CC$2),3,IF(AND(CB$2&gt;CC$2,CB41&gt;CC41),1,IF(AND(CC$2&gt;CB$2,CC41&gt;CB41),1,IF(AND(CB$2=CC$2,CB41=CC41),1,0)))))</f>
        <v/>
      </c>
      <c r="CE41" s="1" t="n">
        <f aca="false">Participantes!BE40</f>
        <v>0</v>
      </c>
      <c r="CF41" s="1" t="n">
        <f aca="false">Participantes!BF40</f>
        <v>0</v>
      </c>
      <c r="CG41" s="82" t="str">
        <f aca="false">IF(CE$2="","",IF(AND(CE41=CE$2,CF41=CF$2),3,IF(AND(CE$2&gt;CF$2,CE41&gt;CF41),1,IF(AND(CF$2&gt;CE$2,CF41&gt;CE41),1,IF(AND(CE$2=CF$2,CE41=CF41),1,0)))))</f>
        <v/>
      </c>
      <c r="CH41" s="1" t="n">
        <f aca="false">Participantes!BG40</f>
        <v>0</v>
      </c>
      <c r="CI41" s="1" t="n">
        <f aca="false">Participantes!BH40</f>
        <v>0</v>
      </c>
      <c r="CJ41" s="82" t="str">
        <f aca="false">IF(CH$2="","",IF(AND(CH41=CH$2,CI41=CI$2),3,IF(AND(CH$2&gt;CI$2,CH41&gt;CI41),1,IF(AND(CI$2&gt;CH$2,CI41&gt;CH41),1,IF(AND(CH$2=CI$2,CH41=CI41),1,0)))))</f>
        <v/>
      </c>
      <c r="CK41" s="1" t="n">
        <f aca="false">Participantes!BI40</f>
        <v>0</v>
      </c>
      <c r="CL41" s="1" t="n">
        <f aca="false">Participantes!BJ40</f>
        <v>0</v>
      </c>
      <c r="CM41" s="82" t="str">
        <f aca="false">IF(CK$2="","",IF(AND(CK41=CK$2,CL41=CL$2),3,IF(AND(CK$2&gt;CL$2,CK41&gt;CL41),1,IF(AND(CL$2&gt;CK$2,CL41&gt;CK41),1,IF(AND(CK$2=CL$2,CK41=CL41),1,0)))))</f>
        <v/>
      </c>
      <c r="CN41" s="1" t="n">
        <f aca="false">Participantes!BK40</f>
        <v>0</v>
      </c>
      <c r="CO41" s="1" t="n">
        <f aca="false">Participantes!BL40</f>
        <v>0</v>
      </c>
      <c r="CP41" s="82" t="str">
        <f aca="false">IF(CN$2="","",IF(AND(CN41=CN$2,CO41=CO$2),3,IF(AND(CN$2&gt;CO$2,CN41&gt;CO41),1,IF(AND(CO$2&gt;CN$2,CO41&gt;CN41),1,IF(AND(CN$2=CO$2,CN41=CO41),1,0)))))</f>
        <v/>
      </c>
      <c r="CQ41" s="1" t="n">
        <f aca="false">Participantes!BM40</f>
        <v>0</v>
      </c>
      <c r="CR41" s="1" t="n">
        <f aca="false">Participantes!BN40</f>
        <v>0</v>
      </c>
      <c r="CS41" s="82" t="str">
        <f aca="false">IF(CQ$2="","",IF(AND(CQ41=CQ$2,CR41=CR$2),3,IF(AND(CQ$2&gt;CR$2,CQ41&gt;CR41),1,IF(AND(CR$2&gt;CQ$2,CR41&gt;CQ41),1,IF(AND(CQ$2=CR$2,CQ41=CR41),1,0)))))</f>
        <v/>
      </c>
      <c r="CT41" s="1" t="n">
        <f aca="false">Participantes!BO40</f>
        <v>0</v>
      </c>
      <c r="CU41" s="1" t="n">
        <f aca="false">Participantes!BP40</f>
        <v>0</v>
      </c>
      <c r="CV41" s="82" t="str">
        <f aca="false">IF(CT$2="","",IF(AND(CT41=CT$2,CU41=CU$2),3,IF(AND(CT$2&gt;CU$2,CT41&gt;CU41),1,IF(AND(CU$2&gt;CT$2,CU41&gt;CT41),1,IF(AND(CT$2=CU$2,CT41=CU41),1,0)))))</f>
        <v/>
      </c>
      <c r="CW41" s="1" t="n">
        <f aca="false">Participantes!BQ40</f>
        <v>0</v>
      </c>
      <c r="CX41" s="1" t="n">
        <f aca="false">Participantes!BR40</f>
        <v>0</v>
      </c>
      <c r="CY41" s="82" t="str">
        <f aca="false">IF(CW$2="","",IF(AND(CW41=CW$2,CX41=CX$2),3,IF(AND(CW$2&gt;CX$2,CW41&gt;CX41),1,IF(AND(CX$2&gt;CW$2,CX41&gt;CW41),1,IF(AND(CW$2=CX$2,CW41=CX41),1,0)))))</f>
        <v/>
      </c>
      <c r="CZ41" s="1" t="n">
        <f aca="false">Participantes!BS40</f>
        <v>0</v>
      </c>
      <c r="DA41" s="1" t="n">
        <f aca="false">Participantes!BT40</f>
        <v>0</v>
      </c>
      <c r="DB41" s="82" t="str">
        <f aca="false">IF(CZ$2="","",IF(AND(CZ41=CZ$2,DA41=DA$2),3,IF(AND(CZ$2&gt;DA$2,CZ41&gt;DA41),1,IF(AND(DA$2&gt;CZ$2,DA41&gt;CZ41),1,IF(AND(CZ$2=DA$2,CZ41=DA41),1,0)))))</f>
        <v/>
      </c>
      <c r="DC41" s="1" t="n">
        <f aca="false">Participantes!BU40</f>
        <v>0</v>
      </c>
      <c r="DD41" s="1" t="n">
        <f aca="false">Participantes!BV40</f>
        <v>0</v>
      </c>
      <c r="DE41" s="82" t="str">
        <f aca="false">IF(DC$2="","",IF(AND(DC41=DC$2,DD41=DD$2),3,IF(AND(DC$2&gt;DD$2,DC41&gt;DD41),1,IF(AND(DD$2&gt;DC$2,DD41&gt;DC41),1,IF(AND(DC$2=DD$2,DC41=DD41),1,0)))))</f>
        <v/>
      </c>
      <c r="DF41" s="1" t="n">
        <f aca="false">Participantes!BW40</f>
        <v>0</v>
      </c>
      <c r="DG41" s="1" t="n">
        <f aca="false">Participantes!BX40</f>
        <v>0</v>
      </c>
      <c r="DH41" s="82" t="str">
        <f aca="false">IF(DF$2="","",IF(AND(DF41=DF$2,DG41=DG$2),3,IF(AND(DF$2&gt;DG$2,DF41&gt;DG41),1,IF(AND(DG$2&gt;DF$2,DG41&gt;DF41),1,IF(AND(DF$2=DG$2,DF41=DG41),1,0)))))</f>
        <v/>
      </c>
      <c r="DI41" s="1" t="n">
        <f aca="false">Participantes!BY40</f>
        <v>0</v>
      </c>
      <c r="DJ41" s="1" t="n">
        <f aca="false">Participantes!BZ40</f>
        <v>0</v>
      </c>
      <c r="DK41" s="82" t="str">
        <f aca="false">IF(DI$2="","",IF(AND(DI41=DI$2,DJ41=DJ$2),3,IF(AND(DI$2&gt;DJ$2,DI41&gt;DJ41),1,IF(AND(DJ$2&gt;DI$2,DJ41&gt;DI41),1,IF(AND(DI$2=DJ$2,DI41=DJ41),1,0)))))</f>
        <v/>
      </c>
      <c r="DL41" s="1" t="n">
        <f aca="false">Participantes!CA40</f>
        <v>0</v>
      </c>
      <c r="DM41" s="1" t="n">
        <f aca="false">Participantes!CB40</f>
        <v>0</v>
      </c>
      <c r="DN41" s="82" t="str">
        <f aca="false">IF(DL$2="","",IF(AND(DL41=DL$2,DM41=DM$2),3,IF(AND(DL$2&gt;DM$2,DL41&gt;DM41),1,IF(AND(DM$2&gt;DL$2,DM41&gt;DL41),1,IF(AND(DL$2=DM$2,DL41=DM41),1,0)))))</f>
        <v/>
      </c>
      <c r="DO41" s="1" t="n">
        <f aca="false">Participantes!CC40</f>
        <v>0</v>
      </c>
      <c r="DP41" s="1" t="n">
        <f aca="false">Participantes!CD40</f>
        <v>0</v>
      </c>
      <c r="DQ41" s="82" t="str">
        <f aca="false">IF(DO$2="","",IF(AND(DO41=DO$2,DP41=DP$2),3,IF(AND(DO$2&gt;DP$2,DO41&gt;DP41),1,IF(AND(DP$2&gt;DO$2,DP41&gt;DO41),1,IF(AND(DO$2=DP$2,DO41=DP41),1,0)))))</f>
        <v/>
      </c>
      <c r="DR41" s="1" t="n">
        <f aca="false">Participantes!CE40</f>
        <v>0</v>
      </c>
      <c r="DS41" s="1" t="n">
        <f aca="false">Participantes!CF40</f>
        <v>0</v>
      </c>
      <c r="DT41" s="82" t="str">
        <f aca="false">IF(DR$2="","",IF(AND(DR41=DR$2,DS41=DS$2),3,IF(AND(DR$2&gt;DS$2,DR41&gt;DS41),1,IF(AND(DS$2&gt;DR$2,DS41&gt;DR41),1,IF(AND(DR$2=DS$2,DR41=DS41),1,0)))))</f>
        <v/>
      </c>
      <c r="DU41" s="1" t="n">
        <f aca="false">Participantes!CG40</f>
        <v>0</v>
      </c>
      <c r="DV41" s="1" t="n">
        <f aca="false">Participantes!CH40</f>
        <v>0</v>
      </c>
      <c r="DW41" s="82" t="str">
        <f aca="false">IF(DU$2="","",IF(AND(DU41=DU$2,DV41=DV$2),3,IF(AND(DU$2&gt;DV$2,DU41&gt;DV41),1,IF(AND(DV$2&gt;DU$2,DV41&gt;DU41),1,IF(AND(DU$2=DV$2,DU41=DV41),1,0)))))</f>
        <v/>
      </c>
      <c r="DX41" s="1" t="n">
        <f aca="false">Participantes!CI40</f>
        <v>0</v>
      </c>
      <c r="DY41" s="1" t="n">
        <f aca="false">Participantes!CJ40</f>
        <v>0</v>
      </c>
      <c r="DZ41" s="82" t="str">
        <f aca="false">IF(DX$2="","",IF(AND(DX41=DX$2,DY41=DY$2),3,IF(AND(DX$2&gt;DY$2,DX41&gt;DY41),1,IF(AND(DY$2&gt;DX$2,DY41&gt;DX41),1,IF(AND(DX$2=DY$2,DX41=DY41),1,0)))))</f>
        <v/>
      </c>
      <c r="EA41" s="1" t="n">
        <f aca="false">Participantes!CK40</f>
        <v>0</v>
      </c>
      <c r="EB41" s="1" t="n">
        <f aca="false">Participantes!CL40</f>
        <v>0</v>
      </c>
      <c r="EC41" s="82" t="str">
        <f aca="false">IF(EA$2="","",IF(AND(EA41=EA$2,EB41=EB$2),3,IF(AND(EA$2&gt;EB$2,EA41&gt;EB41),1,IF(AND(EB$2&gt;EA$2,EB41&gt;EA41),1,IF(AND(EA$2=EB$2,EA41=EB41),1,0)))))</f>
        <v/>
      </c>
      <c r="ED41" s="1" t="n">
        <f aca="false">Participantes!CM40</f>
        <v>0</v>
      </c>
      <c r="EE41" s="1" t="n">
        <f aca="false">Participantes!CN40</f>
        <v>0</v>
      </c>
      <c r="EF41" s="82" t="str">
        <f aca="false">IF(ED$2="","",IF(AND(ED41=ED$2,EE41=EE$2),3,IF(AND(ED$2&gt;EE$2,ED41&gt;EE41),1,IF(AND(EE$2&gt;ED$2,EE41&gt;ED41),1,IF(AND(ED$2=EE$2,ED41=EE41),1,0)))))</f>
        <v/>
      </c>
      <c r="EG41" s="1" t="n">
        <f aca="false">Participantes!CO40</f>
        <v>0</v>
      </c>
      <c r="EH41" s="1" t="n">
        <f aca="false">Participantes!CP40</f>
        <v>0</v>
      </c>
      <c r="EI41" s="82" t="str">
        <f aca="false">IF(EG$2="","",IF(AND(EG41=EG$2,EH41=EH$2),3,IF(AND(EG$2&gt;EH$2,EG41&gt;EH41),1,IF(AND(EH$2&gt;EG$2,EH41&gt;EG41),1,IF(AND(EG$2=EH$2,EG41=EH41),1,0)))))</f>
        <v/>
      </c>
      <c r="EJ41" s="1" t="n">
        <f aca="false">Participantes!CQ40</f>
        <v>0</v>
      </c>
      <c r="EK41" s="1" t="n">
        <f aca="false">Participantes!CR40</f>
        <v>0</v>
      </c>
      <c r="EL41" s="82" t="str">
        <f aca="false">IF(EJ$2="","",IF(AND(EJ41=EJ$2,EK41=EK$2),3,IF(AND(EJ$2&gt;EK$2,EJ41&gt;EK41),1,IF(AND(EK$2&gt;EJ$2,EK41&gt;EJ41),1,IF(AND(EJ$2=EK$2,EJ41=EK41),1,0)))))</f>
        <v/>
      </c>
      <c r="EM41" s="1" t="n">
        <f aca="false">Participantes!CS40</f>
        <v>0</v>
      </c>
      <c r="EN41" s="1" t="n">
        <f aca="false">Participantes!CT40</f>
        <v>0</v>
      </c>
      <c r="EO41" s="82" t="str">
        <f aca="false">IF(EM$2="","",IF(AND(EM41=EM$2,EN41=EN$2),3,IF(AND(EM$2&gt;EN$2,EM41&gt;EN41),1,IF(AND(EN$2&gt;EM$2,EN41&gt;EM41),1,IF(AND(EM$2=EN$2,EM41=EN41),1,0)))))</f>
        <v/>
      </c>
      <c r="EP41" s="1" t="n">
        <f aca="false">Participantes!CU40</f>
        <v>0</v>
      </c>
      <c r="EQ41" s="1" t="n">
        <f aca="false">Participantes!CV40</f>
        <v>0</v>
      </c>
      <c r="ER41" s="82" t="str">
        <f aca="false">IF(EP$2="","",IF(AND(EP41=EP$2,EQ41=EQ$2),3,IF(AND(EP$2&gt;EQ$2,EP41&gt;EQ41),1,IF(AND(EQ$2&gt;EP$2,EQ41&gt;EP41),1,IF(AND(EP$2=EQ$2,EP41=EQ41),1,0)))))</f>
        <v/>
      </c>
      <c r="ES41" s="1" t="n">
        <f aca="false">Participantes!CW40</f>
        <v>0</v>
      </c>
      <c r="ET41" s="1" t="n">
        <f aca="false">Participantes!CX40</f>
        <v>0</v>
      </c>
      <c r="EU41" s="82" t="str">
        <f aca="false">IF(ES$2="","",IF(AND(ES41=ES$2,ET41=ET$2),3,IF(AND(ES$2&gt;ET$2,ES41&gt;ET41),1,IF(AND(ET$2&gt;ES$2,ET41&gt;ES41),1,IF(AND(ES$2=ET$2,ES41=ET41),1,0)))))</f>
        <v/>
      </c>
      <c r="EV41" s="1" t="n">
        <f aca="false">Participantes!CY40</f>
        <v>0</v>
      </c>
      <c r="EW41" s="1" t="n">
        <f aca="false">Participantes!CZ40</f>
        <v>0</v>
      </c>
      <c r="EX41" s="82" t="str">
        <f aca="false">IF(EV$2="","",IF(AND(EV41=EV$2,EW41=EW$2),3,IF(AND(EV$2&gt;EW$2,EV41&gt;EW41),1,IF(AND(EW$2&gt;EV$2,EW41&gt;EV41),1,IF(AND(EV$2=EW$2,EV41=EW41),1,0)))))</f>
        <v/>
      </c>
      <c r="EY41" s="1" t="n">
        <f aca="false">Participantes!DA40</f>
        <v>0</v>
      </c>
      <c r="EZ41" s="1" t="n">
        <f aca="false">Participantes!DB40</f>
        <v>0</v>
      </c>
      <c r="FA41" s="82" t="str">
        <f aca="false">IF(EY$2="","",IF(AND(EY41=EY$2,EZ41=EZ$2),3,IF(AND(EY$2&gt;EZ$2,EY41&gt;EZ41),1,IF(AND(EZ$2&gt;EY$2,EZ41&gt;EY41),1,IF(AND(EY$2=EZ$2,EY41=EZ41),1,0)))))</f>
        <v/>
      </c>
      <c r="FB41" s="1" t="n">
        <f aca="false">Participantes!DC40</f>
        <v>0</v>
      </c>
      <c r="FC41" s="1" t="n">
        <f aca="false">Participantes!DD40</f>
        <v>0</v>
      </c>
      <c r="FD41" s="82" t="str">
        <f aca="false">IF(FB$2="","",IF(AND(FB41=FB$2,FC41=FC$2),3,IF(AND(FB$2&gt;FC$2,FB41&gt;FC41),1,IF(AND(FC$2&gt;FB$2,FC41&gt;FB41),1,IF(AND(FB$2=FC$2,FB41=FC41),1,0)))))</f>
        <v/>
      </c>
      <c r="FE41" s="1" t="n">
        <f aca="false">Participantes!DE40</f>
        <v>0</v>
      </c>
      <c r="FF41" s="1" t="n">
        <f aca="false">Participantes!DF40</f>
        <v>0</v>
      </c>
      <c r="FG41" s="82" t="str">
        <f aca="false">IF(FE$2="","",IF(AND(FE41=FE$2,FF41=FF$2),3,IF(AND(FE$2&gt;FF$2,FE41&gt;FF41),1,IF(AND(FF$2&gt;FE$2,FF41&gt;FE41),1,IF(AND(FE$2=FF$2,FE41=FF41),1,0)))))</f>
        <v/>
      </c>
      <c r="FH41" s="1" t="n">
        <f aca="false">Participantes!DG40</f>
        <v>0</v>
      </c>
      <c r="FI41" s="1" t="n">
        <f aca="false">Participantes!DH40</f>
        <v>0</v>
      </c>
      <c r="FJ41" s="82" t="str">
        <f aca="false">IF(FH$2="","",IF(AND(FH41=FH$2,FI41=FI$2),3,IF(AND(FH$2&gt;FI$2,FH41&gt;FI41),1,IF(AND(FI$2&gt;FH$2,FI41&gt;FH41),1,IF(AND(FH$2=FI$2,FH41=FI41),1,0)))))</f>
        <v/>
      </c>
      <c r="FK41" s="1" t="n">
        <f aca="false">Participantes!DI40</f>
        <v>0</v>
      </c>
      <c r="FL41" s="1" t="n">
        <f aca="false">Participantes!DJ40</f>
        <v>0</v>
      </c>
      <c r="FM41" s="82" t="str">
        <f aca="false">IF(FK$2="","",IF(AND(FK41=FK$2,FL41=FL$2),3,IF(AND(FK$2&gt;FL$2,FK41&gt;FL41),1,IF(AND(FL$2&gt;FK$2,FL41&gt;FK41),1,IF(AND(FK$2=FL$2,FK41=FL41),1,0)))))</f>
        <v/>
      </c>
      <c r="FN41" s="1" t="n">
        <f aca="false">Participantes!DK40</f>
        <v>0</v>
      </c>
      <c r="FO41" s="1" t="n">
        <f aca="false">Participantes!DL40</f>
        <v>0</v>
      </c>
      <c r="FP41" s="82" t="str">
        <f aca="false">IF(FN$2="","",IF(AND(FN41=FN$2,FO41=FO$2),3,IF(AND(FN$2&gt;FO$2,FN41&gt;FO41),1,IF(AND(FO$2&gt;FN$2,FO41&gt;FN41),1,IF(AND(FN$2=FO$2,FN41=FO41),1,0)))))</f>
        <v/>
      </c>
      <c r="FQ41" s="1" t="n">
        <f aca="false">Participantes!DM40</f>
        <v>0</v>
      </c>
      <c r="FR41" s="1" t="n">
        <f aca="false">Participantes!DN40</f>
        <v>0</v>
      </c>
      <c r="FS41" s="82" t="str">
        <f aca="false">IF(FQ$2="","",IF(AND(FQ41=FQ$2,FR41=FR$2),3,IF(AND(FQ$2&gt;FR$2,FQ41&gt;FR41),1,IF(AND(FR$2&gt;FQ$2,FR41&gt;FQ41),1,IF(AND(FQ$2=FR$2,FQ41=FR41),1,0)))))</f>
        <v/>
      </c>
      <c r="FT41" s="1" t="n">
        <f aca="false">Participantes!DO40</f>
        <v>0</v>
      </c>
      <c r="FU41" s="1" t="n">
        <f aca="false">Participantes!DP40</f>
        <v>0</v>
      </c>
      <c r="FV41" s="82" t="str">
        <f aca="false">IF(FT$2="","",IF(AND(FT41=FT$2,FU41=FU$2),3,IF(AND(FT$2&gt;FU$2,FT41&gt;FU41),1,IF(AND(FU$2&gt;FT$2,FU41&gt;FT41),1,IF(AND(FT$2=FU$2,FT41=FU41),1,0)))))</f>
        <v/>
      </c>
      <c r="FW41" s="1" t="n">
        <f aca="false">Participantes!DQ40</f>
        <v>0</v>
      </c>
      <c r="FX41" s="1" t="n">
        <f aca="false">Participantes!DR40</f>
        <v>0</v>
      </c>
      <c r="FY41" s="82" t="str">
        <f aca="false">IF(FW$2="","",IF(AND(FW41=FW$2,FX41=FX$2),3,IF(AND(FW$2&gt;FX$2,FW41&gt;FX41),1,IF(AND(FX$2&gt;FW$2,FX41&gt;FW41),1,IF(AND(FW$2=FX$2,FW41=FX41),1,0)))))</f>
        <v/>
      </c>
      <c r="FZ41" s="1" t="n">
        <f aca="false">Participantes!DS40</f>
        <v>0</v>
      </c>
      <c r="GA41" s="1" t="n">
        <f aca="false">Participantes!DT40</f>
        <v>0</v>
      </c>
      <c r="GB41" s="82" t="str">
        <f aca="false">IF(FZ$2="","",IF(AND(FZ41=FZ$2,GA41=GA$2),3,IF(AND(FZ$2&gt;GA$2,FZ41&gt;GA41),1,IF(AND(GA$2&gt;FZ$2,GA41&gt;FZ41),1,IF(AND(FZ$2=GA$2,FZ41=GA41),1,0)))))</f>
        <v/>
      </c>
      <c r="GC41" s="1" t="n">
        <f aca="false">Participantes!DU40</f>
        <v>0</v>
      </c>
      <c r="GD41" s="1" t="n">
        <f aca="false">Participantes!DV40</f>
        <v>0</v>
      </c>
      <c r="GE41" s="82" t="str">
        <f aca="false">IF(GC$2="","",IF(AND(GC41=GC$2,GD41=GD$2),3,IF(AND(GC$2&gt;GD$2,GC41&gt;GD41),1,IF(AND(GD$2&gt;GC$2,GD41&gt;GC41),1,IF(AND(GC$2=GD$2,GC41=GD41),1,0)))))</f>
        <v/>
      </c>
      <c r="GF41" s="1" t="n">
        <f aca="false">Participantes!DW40</f>
        <v>0</v>
      </c>
      <c r="GG41" s="1" t="n">
        <f aca="false">Participantes!DX40</f>
        <v>0</v>
      </c>
      <c r="GH41" s="82" t="str">
        <f aca="false">IF(GF$2="","",IF(AND(GF41=GF$2,GG41=GG$2),3,IF(AND(GF$2&gt;GG$2,GF41&gt;GG41),1,IF(AND(GG$2&gt;GF$2,GG41&gt;GF41),1,IF(AND(GF$2=GG$2,GF41=GG41),1,0)))))</f>
        <v/>
      </c>
      <c r="GI41" s="1" t="n">
        <f aca="false">Participantes!DY40</f>
        <v>0</v>
      </c>
      <c r="GJ41" s="1" t="n">
        <f aca="false">Participantes!DZ40</f>
        <v>0</v>
      </c>
      <c r="GK41" s="82" t="str">
        <f aca="false">IF(GI$2="","",IF(AND(GI41=GI$2,GJ41=GJ$2),3,IF(AND(GI$2&gt;GJ$2,GI41&gt;GJ41),1,IF(AND(GJ$2&gt;GI$2,GJ41&gt;GI41),1,IF(AND(GI$2=GJ$2,GI41=GJ41),1,0)))))</f>
        <v/>
      </c>
      <c r="GL41" s="1" t="n">
        <f aca="false">Participantes!EA40</f>
        <v>0</v>
      </c>
      <c r="GM41" s="1" t="n">
        <f aca="false">Participantes!EB40</f>
        <v>0</v>
      </c>
      <c r="GN41" s="82" t="str">
        <f aca="false">IF(GL$2="","",IF(AND(GL41=GL$2,GM41=GM$2),3,IF(AND(GL$2&gt;GM$2,GL41&gt;GM41),1,IF(AND(GM$2&gt;GL$2,GM41&gt;GL41),1,IF(AND(GL$2=GM$2,GL41=GM41),1,0)))))</f>
        <v/>
      </c>
      <c r="GO41" s="1" t="n">
        <f aca="false">Participantes!EC40</f>
        <v>0</v>
      </c>
      <c r="GP41" s="1" t="n">
        <f aca="false">Participantes!ED40</f>
        <v>0</v>
      </c>
      <c r="GQ41" s="82" t="str">
        <f aca="false">IF(GO$2="","",IF(AND(GO41=GO$2,GP41=GP$2),3,IF(AND(GO$2&gt;GP$2,GO41&gt;GP41),1,IF(AND(GP$2&gt;GO$2,GP41&gt;GO41),1,IF(AND(GO$2=GP$2,GO41=GP41),1,0)))))</f>
        <v/>
      </c>
      <c r="GR41" s="1" t="n">
        <f aca="false">Participantes!EE40</f>
        <v>0</v>
      </c>
      <c r="GS41" s="1" t="n">
        <f aca="false">Participantes!EF40</f>
        <v>0</v>
      </c>
      <c r="GT41" s="82" t="str">
        <f aca="false">IF(GR$2="","",IF(AND(GR41=GR$2,GS41=GS$2),3,IF(AND(GR$2&gt;GS$2,GR41&gt;GS41),1,IF(AND(GS$2&gt;GR$2,GS41&gt;GR41),1,IF(AND(GR$2=GS$2,GR41=GS41),1,0)))))</f>
        <v/>
      </c>
      <c r="GU41" s="1" t="n">
        <f aca="false">Participantes!EG40</f>
        <v>0</v>
      </c>
      <c r="GV41" s="1" t="n">
        <f aca="false">Participantes!EH40</f>
        <v>0</v>
      </c>
      <c r="GW41" s="82" t="str">
        <f aca="false">IF(GU$2="","",IF(AND(GU41=GU$2,GV41=GV$2),3,IF(AND(GU$2&gt;GV$2,GU41&gt;GV41),1,IF(AND(GV$2&gt;GU$2,GV41&gt;GU41),1,IF(AND(GU$2=GV$2,GU41=GV41),1,0)))))</f>
        <v/>
      </c>
      <c r="GX41" s="1" t="n">
        <f aca="false">Participantes!EI40</f>
        <v>0</v>
      </c>
      <c r="GY41" s="1" t="n">
        <f aca="false">Participantes!EJ40</f>
        <v>0</v>
      </c>
      <c r="GZ41" s="82" t="str">
        <f aca="false">IF(GX$2="","",IF(AND(GX41=GX$2,GY41=GY$2),3,IF(AND(GX$2&gt;GY$2,GX41&gt;GY41),1,IF(AND(GY$2&gt;GX$2,GY41&gt;GX41),1,IF(AND(GX$2=GY$2,GX41=GY41),1,0)))))</f>
        <v/>
      </c>
      <c r="HA41" s="1" t="n">
        <f aca="false">Participantes!EK40</f>
        <v>0</v>
      </c>
      <c r="HB41" s="1" t="n">
        <f aca="false">Participantes!EL40</f>
        <v>0</v>
      </c>
      <c r="HC41" s="82" t="str">
        <f aca="false">IF(HA$2="","",IF(AND(HA41=HA$2,HB41=HB$2),3,IF(AND(HA$2&gt;HB$2,HA41&gt;HB41),1,IF(AND(HB$2&gt;HA$2,HB41&gt;HA41),1,IF(AND(HA$2=HB$2,HA41=HB41),1,0)))))</f>
        <v/>
      </c>
      <c r="HD41" s="1" t="n">
        <f aca="false">Participantes!EM40</f>
        <v>0</v>
      </c>
      <c r="HE41" s="1" t="n">
        <f aca="false">Participantes!EN40</f>
        <v>0</v>
      </c>
      <c r="HF41" s="82" t="str">
        <f aca="false">IF(HD$2="","",IF(AND(HD41=HD$2,HE41=HE$2),3,IF(AND(HD$2&gt;HE$2,HD41&gt;HE41),1,IF(AND(HE$2&gt;HD$2,HE41&gt;HD41),1,IF(AND(HD$2=HE$2,HD41=HE41),1,0)))))</f>
        <v/>
      </c>
      <c r="HG41" s="1" t="n">
        <f aca="false">Participantes!EO40</f>
        <v>0</v>
      </c>
      <c r="HH41" s="1" t="n">
        <f aca="false">Participantes!EP40</f>
        <v>0</v>
      </c>
      <c r="HI41" s="82" t="str">
        <f aca="false">IF(HG$2="","",IF(AND(HG41=HG$2,HH41=HH$2),3,IF(AND(HG$2&gt;HH$2,HG41&gt;HH41),1,IF(AND(HH$2&gt;HG$2,HH41&gt;HG41),1,IF(AND(HG$2=HH$2,HG41=HH41),1,0)))))</f>
        <v/>
      </c>
      <c r="HJ41" s="83" t="n">
        <f aca="false">SUM(D41,G41,J41,M41,P41,S41,V41,Y41,AB41,AE41,AH41,AK41,AN41,AQ41,AT41,AW41,AZ41,BC41,BF41,BI41,BL41,BO41,BR41,BU41,BX41,CA41,CD41,CG41,CJ41,CM41,CP41,CS41,CV41,CY41,DB41,DE41,DH41,DK41,DN41,DQ41,DT41,DW41,DZ41,EC41,EF41,EI41,EL41,EO41,ER41,EU41,EX41,FA41,FD41,FG41,FJ41,FM41,FP41,FS41,FV41,FY41,GB41,GE41,GH41,GK41,GN41,GQ41,GT41,GW41,GZ41,HC41,HF41,HI41)</f>
        <v>1</v>
      </c>
    </row>
    <row r="42" customFormat="false" ht="15" hidden="false" customHeight="true" outlineLevel="0" collapsed="false">
      <c r="A42" s="81" t="str">
        <f aca="false">Participantes!B41</f>
        <v>Nefreteri</v>
      </c>
      <c r="B42" s="1" t="n">
        <f aca="false">Participantes!C41</f>
        <v>1</v>
      </c>
      <c r="C42" s="1" t="n">
        <f aca="false">Participantes!D41</f>
        <v>2</v>
      </c>
      <c r="D42" s="82" t="n">
        <f aca="false">IF(B$2="","",IF(AND(B42=B$2,C42=C$2),3,IF(AND(B$2&gt;C$2,B42&gt;C42),1,IF(AND(C$2&gt;B$2,C42&gt;B42),1,IF(AND(B$2=C$2,B42=C42),1,0)))))</f>
        <v>0</v>
      </c>
      <c r="E42" s="1" t="n">
        <f aca="false">Participantes!E41</f>
        <v>3</v>
      </c>
      <c r="F42" s="1" t="n">
        <f aca="false">Participantes!F41</f>
        <v>0</v>
      </c>
      <c r="G42" s="82" t="str">
        <f aca="false">IF(E$2="","",IF(AND(E42=E$2,F42=F$2),3,IF(AND(E$2&gt;F$2,E42&gt;F42),1,IF(AND(F$2&gt;E$2,F42&gt;E42),1,IF(AND(E$2=F$2,E42=F42),1,0)))))</f>
        <v/>
      </c>
      <c r="H42" s="1" t="n">
        <f aca="false">Participantes!G41</f>
        <v>2</v>
      </c>
      <c r="I42" s="1" t="n">
        <f aca="false">Participantes!H41</f>
        <v>0</v>
      </c>
      <c r="J42" s="82" t="str">
        <f aca="false">IF(H$2="","",IF(AND(H42=H$2,I42=I$2),3,IF(AND(H$2&gt;I$2,H42&gt;I42),1,IF(AND(I$2&gt;H$2,I42&gt;H42),1,IF(AND(H$2=I$2,H42=I42),1,0)))))</f>
        <v/>
      </c>
      <c r="K42" s="1" t="n">
        <f aca="false">Participantes!I41</f>
        <v>1</v>
      </c>
      <c r="L42" s="1" t="n">
        <f aca="false">Participantes!J41</f>
        <v>2</v>
      </c>
      <c r="M42" s="82" t="str">
        <f aca="false">IF(K$2="","",IF(AND(K42=K$2,L42=L$2),3,IF(AND(K$2&gt;L$2,K42&gt;L42),1,IF(AND(L$2&gt;K$2,L42&gt;K42),1,IF(AND(K$2=L$2,K42=L42),1,0)))))</f>
        <v/>
      </c>
      <c r="N42" s="1" t="n">
        <f aca="false">Participantes!K41</f>
        <v>0</v>
      </c>
      <c r="O42" s="1" t="n">
        <f aca="false">Participantes!L41</f>
        <v>1</v>
      </c>
      <c r="P42" s="82" t="str">
        <f aca="false">IF(N$2="","",IF(AND(N42=N$2,O42=O$2),3,IF(AND(N$2&gt;O$2,N42&gt;O42),1,IF(AND(O$2&gt;N$2,O42&gt;N42),1,IF(AND(N$2=O$2,N42=O42),1,0)))))</f>
        <v/>
      </c>
      <c r="Q42" s="1" t="n">
        <f aca="false">Participantes!M41</f>
        <v>2</v>
      </c>
      <c r="R42" s="1" t="n">
        <f aca="false">Participantes!N41</f>
        <v>2</v>
      </c>
      <c r="S42" s="82" t="str">
        <f aca="false">IF(Q$2="","",IF(AND(Q42=Q$2,R42=R$2),3,IF(AND(Q$2&gt;R$2,Q42&gt;R42),1,IF(AND(R$2&gt;Q$2,R42&gt;Q42),1,IF(AND(Q$2=R$2,Q42=R42),1,0)))))</f>
        <v/>
      </c>
      <c r="T42" s="1" t="n">
        <f aca="false">Participantes!O41</f>
        <v>1</v>
      </c>
      <c r="U42" s="1" t="n">
        <f aca="false">Participantes!P41</f>
        <v>1</v>
      </c>
      <c r="V42" s="82" t="str">
        <f aca="false">IF(T$2="","",IF(AND(T42=T$2,U42=U$2),3,IF(AND(T$2&gt;U$2,T42&gt;U42),1,IF(AND(U$2&gt;T$2,U42&gt;T42),1,IF(AND(T$2=U$2,T42=U42),1,0)))))</f>
        <v/>
      </c>
      <c r="W42" s="1" t="n">
        <f aca="false">Participantes!Q41</f>
        <v>0</v>
      </c>
      <c r="X42" s="1" t="n">
        <f aca="false">Participantes!R41</f>
        <v>2</v>
      </c>
      <c r="Y42" s="82" t="str">
        <f aca="false">IF(W$2="","",IF(AND(W42=W$2,X42=X$2),3,IF(AND(W$2&gt;X$2,W42&gt;X42),1,IF(AND(X$2&gt;W$2,X42&gt;W42),1,IF(AND(W$2=X$2,W42=X42),1,0)))))</f>
        <v/>
      </c>
      <c r="Z42" s="1" t="n">
        <f aca="false">Participantes!S41</f>
        <v>2</v>
      </c>
      <c r="AA42" s="1" t="n">
        <f aca="false">Participantes!T41</f>
        <v>1</v>
      </c>
      <c r="AB42" s="82" t="str">
        <f aca="false">IF(Z$2="","",IF(AND(Z42=Z$2,AA42=AA$2),3,IF(AND(Z$2&gt;AA$2,Z42&gt;AA42),1,IF(AND(AA$2&gt;Z$2,AA42&gt;Z42),1,IF(AND(Z$2=AA$2,Z42=AA42),1,0)))))</f>
        <v/>
      </c>
      <c r="AC42" s="1" t="n">
        <f aca="false">Participantes!U41</f>
        <v>3</v>
      </c>
      <c r="AD42" s="1" t="n">
        <f aca="false">Participantes!V41</f>
        <v>0</v>
      </c>
      <c r="AE42" s="82" t="str">
        <f aca="false">IF(AC$2="","",IF(AND(AC42=AC$2,AD42=AD$2),3,IF(AND(AC$2&gt;AD$2,AC42&gt;AD42),1,IF(AND(AD$2&gt;AC$2,AD42&gt;AC42),1,IF(AND(AC$2=AD$2,AC42=AD42),1,0)))))</f>
        <v/>
      </c>
      <c r="AF42" s="1" t="n">
        <f aca="false">Participantes!W41</f>
        <v>2</v>
      </c>
      <c r="AG42" s="1" t="n">
        <f aca="false">Participantes!X41</f>
        <v>1</v>
      </c>
      <c r="AH42" s="82" t="str">
        <f aca="false">IF(AF$2="","",IF(AND(AF42=AF$2,AG42=AG$2),3,IF(AND(AF$2&gt;AG$2,AF42&gt;AG42),1,IF(AND(AG$2&gt;AF$2,AG42&gt;AF42),1,IF(AND(AF$2=AG$2,AF42=AG42),1,0)))))</f>
        <v/>
      </c>
      <c r="AI42" s="1" t="n">
        <f aca="false">Participantes!Y41</f>
        <v>2</v>
      </c>
      <c r="AJ42" s="1" t="n">
        <f aca="false">Participantes!Z41</f>
        <v>0</v>
      </c>
      <c r="AK42" s="82" t="str">
        <f aca="false">IF(AI$2="","",IF(AND(AI42=AI$2,AJ42=AJ$2),3,IF(AND(AI$2&gt;AJ$2,AI42&gt;AJ42),1,IF(AND(AJ$2&gt;AI$2,AJ42&gt;AI42),1,IF(AND(AI$2=AJ$2,AI42=AJ42),1,0)))))</f>
        <v/>
      </c>
      <c r="AL42" s="1" t="n">
        <f aca="false">Participantes!AA41</f>
        <v>1</v>
      </c>
      <c r="AM42" s="1" t="n">
        <f aca="false">Participantes!AB41</f>
        <v>3</v>
      </c>
      <c r="AN42" s="82" t="str">
        <f aca="false">IF(AL$2="","",IF(AND(AL42=AL$2,AM42=AM$2),3,IF(AND(AL$2&gt;AM$2,AL42&gt;AM42),1,IF(AND(AM$2&gt;AL$2,AM42&gt;AL42),1,IF(AND(AL$2=AM$2,AL42=AM42),1,0)))))</f>
        <v/>
      </c>
      <c r="AO42" s="1" t="n">
        <f aca="false">Participantes!AC41</f>
        <v>3</v>
      </c>
      <c r="AP42" s="1" t="n">
        <f aca="false">Participantes!AD41</f>
        <v>0</v>
      </c>
      <c r="AQ42" s="82" t="str">
        <f aca="false">IF(AO$2="","",IF(AND(AO42=AO$2,AP42=AP$2),3,IF(AND(AO$2&gt;AP$2,AO42&gt;AP42),1,IF(AND(AP$2&gt;AO$2,AP42&gt;AO42),1,IF(AND(AO$2=AP$2,AO42=AP42),1,0)))))</f>
        <v/>
      </c>
      <c r="AR42" s="1" t="n">
        <f aca="false">Participantes!AE41</f>
        <v>0</v>
      </c>
      <c r="AS42" s="1" t="n">
        <f aca="false">Participantes!AF41</f>
        <v>0</v>
      </c>
      <c r="AT42" s="82" t="str">
        <f aca="false">IF(AR$2="","",IF(AND(AR42=AR$2,AS42=AS$2),3,IF(AND(AR$2&gt;AS$2,AR42&gt;AS42),1,IF(AND(AS$2&gt;AR$2,AS42&gt;AR42),1,IF(AND(AR$2=AS$2,AR42=AS42),1,0)))))</f>
        <v/>
      </c>
      <c r="AU42" s="1" t="n">
        <f aca="false">Participantes!AG41</f>
        <v>0</v>
      </c>
      <c r="AV42" s="1" t="n">
        <f aca="false">Participantes!AH41</f>
        <v>0</v>
      </c>
      <c r="AW42" s="82" t="str">
        <f aca="false">IF(AU$2="","",IF(AND(AU42=AU$2,AV42=AV$2),3,IF(AND(AU$2&gt;AV$2,AU42&gt;AV42),1,IF(AND(AV$2&gt;AU$2,AV42&gt;AU42),1,IF(AND(AU$2=AV$2,AU42=AV42),1,0)))))</f>
        <v/>
      </c>
      <c r="AX42" s="1" t="n">
        <f aca="false">Participantes!AI41</f>
        <v>0</v>
      </c>
      <c r="AY42" s="1" t="n">
        <f aca="false">Participantes!AJ41</f>
        <v>0</v>
      </c>
      <c r="AZ42" s="82" t="str">
        <f aca="false">IF(AX$2="","",IF(AND(AX42=AX$2,AY42=AY$2),3,IF(AND(AX$2&gt;AY$2,AX42&gt;AY42),1,IF(AND(AY$2&gt;AX$2,AY42&gt;AX42),1,IF(AND(AX$2=AY$2,AX42=AY42),1,0)))))</f>
        <v/>
      </c>
      <c r="BA42" s="1" t="n">
        <f aca="false">Participantes!AK41</f>
        <v>0</v>
      </c>
      <c r="BB42" s="1" t="n">
        <f aca="false">Participantes!AL41</f>
        <v>0</v>
      </c>
      <c r="BC42" s="82" t="str">
        <f aca="false">IF(BA$2="","",IF(AND(BA42=BA$2,BB42=BB$2),3,IF(AND(BA$2&gt;BB$2,BA42&gt;BB42),1,IF(AND(BB$2&gt;BA$2,BB42&gt;BA42),1,IF(AND(BA$2=BB$2,BA42=BB42),1,0)))))</f>
        <v/>
      </c>
      <c r="BD42" s="1" t="n">
        <f aca="false">Participantes!AM41</f>
        <v>0</v>
      </c>
      <c r="BE42" s="1" t="n">
        <f aca="false">Participantes!AN41</f>
        <v>0</v>
      </c>
      <c r="BF42" s="82" t="str">
        <f aca="false">IF(BD$2="","",IF(AND(BD42=BD$2,BE42=BE$2),3,IF(AND(BD$2&gt;BE$2,BD42&gt;BE42),1,IF(AND(BE$2&gt;BD$2,BE42&gt;BD42),1,IF(AND(BD$2=BE$2,BD42=BE42),1,0)))))</f>
        <v/>
      </c>
      <c r="BG42" s="1" t="n">
        <f aca="false">Participantes!AO41</f>
        <v>0</v>
      </c>
      <c r="BH42" s="1" t="n">
        <f aca="false">Participantes!AP41</f>
        <v>0</v>
      </c>
      <c r="BI42" s="82" t="str">
        <f aca="false">IF(BG$2="","",IF(AND(BG42=BG$2,BH42=BH$2),3,IF(AND(BG$2&gt;BH$2,BG42&gt;BH42),1,IF(AND(BH$2&gt;BG$2,BH42&gt;BG42),1,IF(AND(BG$2=BH$2,BG42=BH42),1,0)))))</f>
        <v/>
      </c>
      <c r="BJ42" s="1" t="n">
        <f aca="false">Participantes!AQ41</f>
        <v>0</v>
      </c>
      <c r="BK42" s="1" t="n">
        <f aca="false">Participantes!AR41</f>
        <v>0</v>
      </c>
      <c r="BL42" s="82" t="str">
        <f aca="false">IF(BJ$2="","",IF(AND(BJ42=BJ$2,BK42=BK$2),3,IF(AND(BJ$2&gt;BK$2,BJ42&gt;BK42),1,IF(AND(BK$2&gt;BJ$2,BK42&gt;BJ42),1,IF(AND(BJ$2=BK$2,BJ42=BK42),1,0)))))</f>
        <v/>
      </c>
      <c r="BM42" s="1" t="n">
        <f aca="false">Participantes!AS41</f>
        <v>0</v>
      </c>
      <c r="BN42" s="1" t="n">
        <f aca="false">Participantes!AT41</f>
        <v>0</v>
      </c>
      <c r="BO42" s="82" t="str">
        <f aca="false">IF(BM$2="","",IF(AND(BM42=BM$2,BN42=BN$2),3,IF(AND(BM$2&gt;BN$2,BM42&gt;BN42),1,IF(AND(BN$2&gt;BM$2,BN42&gt;BM42),1,IF(AND(BM$2=BN$2,BM42=BN42),1,0)))))</f>
        <v/>
      </c>
      <c r="BP42" s="1" t="n">
        <f aca="false">Participantes!AU41</f>
        <v>0</v>
      </c>
      <c r="BQ42" s="1" t="n">
        <f aca="false">Participantes!AV41</f>
        <v>0</v>
      </c>
      <c r="BR42" s="82" t="str">
        <f aca="false">IF(BP$2="","",IF(AND(BP42=BP$2,BQ42=BQ$2),3,IF(AND(BP$2&gt;BQ$2,BP42&gt;BQ42),1,IF(AND(BQ$2&gt;BP$2,BQ42&gt;BP42),1,IF(AND(BP$2=BQ$2,BP42=BQ42),1,0)))))</f>
        <v/>
      </c>
      <c r="BS42" s="1" t="n">
        <f aca="false">Participantes!AW41</f>
        <v>0</v>
      </c>
      <c r="BT42" s="1" t="n">
        <f aca="false">Participantes!AX41</f>
        <v>0</v>
      </c>
      <c r="BU42" s="82" t="str">
        <f aca="false">IF(BS$2="","",IF(AND(BS42=BS$2,BT42=BT$2),3,IF(AND(BS$2&gt;BT$2,BS42&gt;BT42),1,IF(AND(BT$2&gt;BS$2,BT42&gt;BS42),1,IF(AND(BS$2=BT$2,BS42=BT42),1,0)))))</f>
        <v/>
      </c>
      <c r="BV42" s="1" t="n">
        <f aca="false">Participantes!AY41</f>
        <v>0</v>
      </c>
      <c r="BW42" s="1" t="n">
        <f aca="false">Participantes!AZ41</f>
        <v>0</v>
      </c>
      <c r="BX42" s="82" t="str">
        <f aca="false">IF(BV$2="","",IF(AND(BV42=BV$2,BW42=BW$2),3,IF(AND(BV$2&gt;BW$2,BV42&gt;BW42),1,IF(AND(BW$2&gt;BV$2,BW42&gt;BV42),1,IF(AND(BV$2=BW$2,BV42=BW42),1,0)))))</f>
        <v/>
      </c>
      <c r="BY42" s="1" t="n">
        <f aca="false">Participantes!BA41</f>
        <v>0</v>
      </c>
      <c r="BZ42" s="1" t="n">
        <f aca="false">Participantes!BB41</f>
        <v>0</v>
      </c>
      <c r="CA42" s="82" t="str">
        <f aca="false">IF(BY$2="","",IF(AND(BY42=BY$2,BZ42=BZ$2),3,IF(AND(BY$2&gt;BZ$2,BY42&gt;BZ42),1,IF(AND(BZ$2&gt;BY$2,BZ42&gt;BY42),1,IF(AND(BY$2=BZ$2,BY42=BZ42),1,0)))))</f>
        <v/>
      </c>
      <c r="CB42" s="1" t="n">
        <f aca="false">Participantes!BC41</f>
        <v>0</v>
      </c>
      <c r="CC42" s="1" t="n">
        <f aca="false">Participantes!BD41</f>
        <v>0</v>
      </c>
      <c r="CD42" s="82" t="str">
        <f aca="false">IF(CB$2="","",IF(AND(CB42=CB$2,CC42=CC$2),3,IF(AND(CB$2&gt;CC$2,CB42&gt;CC42),1,IF(AND(CC$2&gt;CB$2,CC42&gt;CB42),1,IF(AND(CB$2=CC$2,CB42=CC42),1,0)))))</f>
        <v/>
      </c>
      <c r="CE42" s="1" t="n">
        <f aca="false">Participantes!BE41</f>
        <v>0</v>
      </c>
      <c r="CF42" s="1" t="n">
        <f aca="false">Participantes!BF41</f>
        <v>0</v>
      </c>
      <c r="CG42" s="82" t="str">
        <f aca="false">IF(CE$2="","",IF(AND(CE42=CE$2,CF42=CF$2),3,IF(AND(CE$2&gt;CF$2,CE42&gt;CF42),1,IF(AND(CF$2&gt;CE$2,CF42&gt;CE42),1,IF(AND(CE$2=CF$2,CE42=CF42),1,0)))))</f>
        <v/>
      </c>
      <c r="CH42" s="1" t="n">
        <f aca="false">Participantes!BG41</f>
        <v>0</v>
      </c>
      <c r="CI42" s="1" t="n">
        <f aca="false">Participantes!BH41</f>
        <v>0</v>
      </c>
      <c r="CJ42" s="82" t="str">
        <f aca="false">IF(CH$2="","",IF(AND(CH42=CH$2,CI42=CI$2),3,IF(AND(CH$2&gt;CI$2,CH42&gt;CI42),1,IF(AND(CI$2&gt;CH$2,CI42&gt;CH42),1,IF(AND(CH$2=CI$2,CH42=CI42),1,0)))))</f>
        <v/>
      </c>
      <c r="CK42" s="1" t="n">
        <f aca="false">Participantes!BI41</f>
        <v>0</v>
      </c>
      <c r="CL42" s="1" t="n">
        <f aca="false">Participantes!BJ41</f>
        <v>0</v>
      </c>
      <c r="CM42" s="82" t="str">
        <f aca="false">IF(CK$2="","",IF(AND(CK42=CK$2,CL42=CL$2),3,IF(AND(CK$2&gt;CL$2,CK42&gt;CL42),1,IF(AND(CL$2&gt;CK$2,CL42&gt;CK42),1,IF(AND(CK$2=CL$2,CK42=CL42),1,0)))))</f>
        <v/>
      </c>
      <c r="CN42" s="1" t="n">
        <f aca="false">Participantes!BK41</f>
        <v>0</v>
      </c>
      <c r="CO42" s="1" t="n">
        <f aca="false">Participantes!BL41</f>
        <v>0</v>
      </c>
      <c r="CP42" s="82" t="str">
        <f aca="false">IF(CN$2="","",IF(AND(CN42=CN$2,CO42=CO$2),3,IF(AND(CN$2&gt;CO$2,CN42&gt;CO42),1,IF(AND(CO$2&gt;CN$2,CO42&gt;CN42),1,IF(AND(CN$2=CO$2,CN42=CO42),1,0)))))</f>
        <v/>
      </c>
      <c r="CQ42" s="1" t="n">
        <f aca="false">Participantes!BM41</f>
        <v>0</v>
      </c>
      <c r="CR42" s="1" t="n">
        <f aca="false">Participantes!BN41</f>
        <v>0</v>
      </c>
      <c r="CS42" s="82" t="str">
        <f aca="false">IF(CQ$2="","",IF(AND(CQ42=CQ$2,CR42=CR$2),3,IF(AND(CQ$2&gt;CR$2,CQ42&gt;CR42),1,IF(AND(CR$2&gt;CQ$2,CR42&gt;CQ42),1,IF(AND(CQ$2=CR$2,CQ42=CR42),1,0)))))</f>
        <v/>
      </c>
      <c r="CT42" s="1" t="n">
        <f aca="false">Participantes!BO41</f>
        <v>0</v>
      </c>
      <c r="CU42" s="1" t="n">
        <f aca="false">Participantes!BP41</f>
        <v>0</v>
      </c>
      <c r="CV42" s="82" t="str">
        <f aca="false">IF(CT$2="","",IF(AND(CT42=CT$2,CU42=CU$2),3,IF(AND(CT$2&gt;CU$2,CT42&gt;CU42),1,IF(AND(CU$2&gt;CT$2,CU42&gt;CT42),1,IF(AND(CT$2=CU$2,CT42=CU42),1,0)))))</f>
        <v/>
      </c>
      <c r="CW42" s="1" t="n">
        <f aca="false">Participantes!BQ41</f>
        <v>0</v>
      </c>
      <c r="CX42" s="1" t="n">
        <f aca="false">Participantes!BR41</f>
        <v>0</v>
      </c>
      <c r="CY42" s="82" t="str">
        <f aca="false">IF(CW$2="","",IF(AND(CW42=CW$2,CX42=CX$2),3,IF(AND(CW$2&gt;CX$2,CW42&gt;CX42),1,IF(AND(CX$2&gt;CW$2,CX42&gt;CW42),1,IF(AND(CW$2=CX$2,CW42=CX42),1,0)))))</f>
        <v/>
      </c>
      <c r="CZ42" s="1" t="n">
        <f aca="false">Participantes!BS41</f>
        <v>0</v>
      </c>
      <c r="DA42" s="1" t="n">
        <f aca="false">Participantes!BT41</f>
        <v>0</v>
      </c>
      <c r="DB42" s="82" t="str">
        <f aca="false">IF(CZ$2="","",IF(AND(CZ42=CZ$2,DA42=DA$2),3,IF(AND(CZ$2&gt;DA$2,CZ42&gt;DA42),1,IF(AND(DA$2&gt;CZ$2,DA42&gt;CZ42),1,IF(AND(CZ$2=DA$2,CZ42=DA42),1,0)))))</f>
        <v/>
      </c>
      <c r="DC42" s="1" t="n">
        <f aca="false">Participantes!BU41</f>
        <v>0</v>
      </c>
      <c r="DD42" s="1" t="n">
        <f aca="false">Participantes!BV41</f>
        <v>0</v>
      </c>
      <c r="DE42" s="82" t="str">
        <f aca="false">IF(DC$2="","",IF(AND(DC42=DC$2,DD42=DD$2),3,IF(AND(DC$2&gt;DD$2,DC42&gt;DD42),1,IF(AND(DD$2&gt;DC$2,DD42&gt;DC42),1,IF(AND(DC$2=DD$2,DC42=DD42),1,0)))))</f>
        <v/>
      </c>
      <c r="DF42" s="1" t="n">
        <f aca="false">Participantes!BW41</f>
        <v>0</v>
      </c>
      <c r="DG42" s="1" t="n">
        <f aca="false">Participantes!BX41</f>
        <v>0</v>
      </c>
      <c r="DH42" s="82" t="str">
        <f aca="false">IF(DF$2="","",IF(AND(DF42=DF$2,DG42=DG$2),3,IF(AND(DF$2&gt;DG$2,DF42&gt;DG42),1,IF(AND(DG$2&gt;DF$2,DG42&gt;DF42),1,IF(AND(DF$2=DG$2,DF42=DG42),1,0)))))</f>
        <v/>
      </c>
      <c r="DI42" s="1" t="n">
        <f aca="false">Participantes!BY41</f>
        <v>0</v>
      </c>
      <c r="DJ42" s="1" t="n">
        <f aca="false">Participantes!BZ41</f>
        <v>0</v>
      </c>
      <c r="DK42" s="82" t="str">
        <f aca="false">IF(DI$2="","",IF(AND(DI42=DI$2,DJ42=DJ$2),3,IF(AND(DI$2&gt;DJ$2,DI42&gt;DJ42),1,IF(AND(DJ$2&gt;DI$2,DJ42&gt;DI42),1,IF(AND(DI$2=DJ$2,DI42=DJ42),1,0)))))</f>
        <v/>
      </c>
      <c r="DL42" s="1" t="n">
        <f aca="false">Participantes!CA41</f>
        <v>0</v>
      </c>
      <c r="DM42" s="1" t="n">
        <f aca="false">Participantes!CB41</f>
        <v>0</v>
      </c>
      <c r="DN42" s="82" t="str">
        <f aca="false">IF(DL$2="","",IF(AND(DL42=DL$2,DM42=DM$2),3,IF(AND(DL$2&gt;DM$2,DL42&gt;DM42),1,IF(AND(DM$2&gt;DL$2,DM42&gt;DL42),1,IF(AND(DL$2=DM$2,DL42=DM42),1,0)))))</f>
        <v/>
      </c>
      <c r="DO42" s="1" t="n">
        <f aca="false">Participantes!CC41</f>
        <v>0</v>
      </c>
      <c r="DP42" s="1" t="n">
        <f aca="false">Participantes!CD41</f>
        <v>0</v>
      </c>
      <c r="DQ42" s="82" t="str">
        <f aca="false">IF(DO$2="","",IF(AND(DO42=DO$2,DP42=DP$2),3,IF(AND(DO$2&gt;DP$2,DO42&gt;DP42),1,IF(AND(DP$2&gt;DO$2,DP42&gt;DO42),1,IF(AND(DO$2=DP$2,DO42=DP42),1,0)))))</f>
        <v/>
      </c>
      <c r="DR42" s="1" t="n">
        <f aca="false">Participantes!CE41</f>
        <v>0</v>
      </c>
      <c r="DS42" s="1" t="n">
        <f aca="false">Participantes!CF41</f>
        <v>0</v>
      </c>
      <c r="DT42" s="82" t="str">
        <f aca="false">IF(DR$2="","",IF(AND(DR42=DR$2,DS42=DS$2),3,IF(AND(DR$2&gt;DS$2,DR42&gt;DS42),1,IF(AND(DS$2&gt;DR$2,DS42&gt;DR42),1,IF(AND(DR$2=DS$2,DR42=DS42),1,0)))))</f>
        <v/>
      </c>
      <c r="DU42" s="1" t="n">
        <f aca="false">Participantes!CG41</f>
        <v>0</v>
      </c>
      <c r="DV42" s="1" t="n">
        <f aca="false">Participantes!CH41</f>
        <v>0</v>
      </c>
      <c r="DW42" s="82" t="str">
        <f aca="false">IF(DU$2="","",IF(AND(DU42=DU$2,DV42=DV$2),3,IF(AND(DU$2&gt;DV$2,DU42&gt;DV42),1,IF(AND(DV$2&gt;DU$2,DV42&gt;DU42),1,IF(AND(DU$2=DV$2,DU42=DV42),1,0)))))</f>
        <v/>
      </c>
      <c r="DX42" s="1" t="n">
        <f aca="false">Participantes!CI41</f>
        <v>0</v>
      </c>
      <c r="DY42" s="1" t="n">
        <f aca="false">Participantes!CJ41</f>
        <v>0</v>
      </c>
      <c r="DZ42" s="82" t="str">
        <f aca="false">IF(DX$2="","",IF(AND(DX42=DX$2,DY42=DY$2),3,IF(AND(DX$2&gt;DY$2,DX42&gt;DY42),1,IF(AND(DY$2&gt;DX$2,DY42&gt;DX42),1,IF(AND(DX$2=DY$2,DX42=DY42),1,0)))))</f>
        <v/>
      </c>
      <c r="EA42" s="1" t="n">
        <f aca="false">Participantes!CK41</f>
        <v>0</v>
      </c>
      <c r="EB42" s="1" t="n">
        <f aca="false">Participantes!CL41</f>
        <v>0</v>
      </c>
      <c r="EC42" s="82" t="str">
        <f aca="false">IF(EA$2="","",IF(AND(EA42=EA$2,EB42=EB$2),3,IF(AND(EA$2&gt;EB$2,EA42&gt;EB42),1,IF(AND(EB$2&gt;EA$2,EB42&gt;EA42),1,IF(AND(EA$2=EB$2,EA42=EB42),1,0)))))</f>
        <v/>
      </c>
      <c r="ED42" s="1" t="n">
        <f aca="false">Participantes!CM41</f>
        <v>0</v>
      </c>
      <c r="EE42" s="1" t="n">
        <f aca="false">Participantes!CN41</f>
        <v>0</v>
      </c>
      <c r="EF42" s="82" t="str">
        <f aca="false">IF(ED$2="","",IF(AND(ED42=ED$2,EE42=EE$2),3,IF(AND(ED$2&gt;EE$2,ED42&gt;EE42),1,IF(AND(EE$2&gt;ED$2,EE42&gt;ED42),1,IF(AND(ED$2=EE$2,ED42=EE42),1,0)))))</f>
        <v/>
      </c>
      <c r="EG42" s="1" t="n">
        <f aca="false">Participantes!CO41</f>
        <v>0</v>
      </c>
      <c r="EH42" s="1" t="n">
        <f aca="false">Participantes!CP41</f>
        <v>0</v>
      </c>
      <c r="EI42" s="82" t="str">
        <f aca="false">IF(EG$2="","",IF(AND(EG42=EG$2,EH42=EH$2),3,IF(AND(EG$2&gt;EH$2,EG42&gt;EH42),1,IF(AND(EH$2&gt;EG$2,EH42&gt;EG42),1,IF(AND(EG$2=EH$2,EG42=EH42),1,0)))))</f>
        <v/>
      </c>
      <c r="EJ42" s="1" t="n">
        <f aca="false">Participantes!CQ41</f>
        <v>0</v>
      </c>
      <c r="EK42" s="1" t="n">
        <f aca="false">Participantes!CR41</f>
        <v>0</v>
      </c>
      <c r="EL42" s="82" t="str">
        <f aca="false">IF(EJ$2="","",IF(AND(EJ42=EJ$2,EK42=EK$2),3,IF(AND(EJ$2&gt;EK$2,EJ42&gt;EK42),1,IF(AND(EK$2&gt;EJ$2,EK42&gt;EJ42),1,IF(AND(EJ$2=EK$2,EJ42=EK42),1,0)))))</f>
        <v/>
      </c>
      <c r="EM42" s="1" t="n">
        <f aca="false">Participantes!CS41</f>
        <v>0</v>
      </c>
      <c r="EN42" s="1" t="n">
        <f aca="false">Participantes!CT41</f>
        <v>0</v>
      </c>
      <c r="EO42" s="82" t="str">
        <f aca="false">IF(EM$2="","",IF(AND(EM42=EM$2,EN42=EN$2),3,IF(AND(EM$2&gt;EN$2,EM42&gt;EN42),1,IF(AND(EN$2&gt;EM$2,EN42&gt;EM42),1,IF(AND(EM$2=EN$2,EM42=EN42),1,0)))))</f>
        <v/>
      </c>
      <c r="EP42" s="1" t="n">
        <f aca="false">Participantes!CU41</f>
        <v>0</v>
      </c>
      <c r="EQ42" s="1" t="n">
        <f aca="false">Participantes!CV41</f>
        <v>0</v>
      </c>
      <c r="ER42" s="82" t="str">
        <f aca="false">IF(EP$2="","",IF(AND(EP42=EP$2,EQ42=EQ$2),3,IF(AND(EP$2&gt;EQ$2,EP42&gt;EQ42),1,IF(AND(EQ$2&gt;EP$2,EQ42&gt;EP42),1,IF(AND(EP$2=EQ$2,EP42=EQ42),1,0)))))</f>
        <v/>
      </c>
      <c r="ES42" s="1" t="n">
        <f aca="false">Participantes!CW41</f>
        <v>0</v>
      </c>
      <c r="ET42" s="1" t="n">
        <f aca="false">Participantes!CX41</f>
        <v>0</v>
      </c>
      <c r="EU42" s="82" t="str">
        <f aca="false">IF(ES$2="","",IF(AND(ES42=ES$2,ET42=ET$2),3,IF(AND(ES$2&gt;ET$2,ES42&gt;ET42),1,IF(AND(ET$2&gt;ES$2,ET42&gt;ES42),1,IF(AND(ES$2=ET$2,ES42=ET42),1,0)))))</f>
        <v/>
      </c>
      <c r="EV42" s="1" t="n">
        <f aca="false">Participantes!CY41</f>
        <v>0</v>
      </c>
      <c r="EW42" s="1" t="n">
        <f aca="false">Participantes!CZ41</f>
        <v>0</v>
      </c>
      <c r="EX42" s="82" t="str">
        <f aca="false">IF(EV$2="","",IF(AND(EV42=EV$2,EW42=EW$2),3,IF(AND(EV$2&gt;EW$2,EV42&gt;EW42),1,IF(AND(EW$2&gt;EV$2,EW42&gt;EV42),1,IF(AND(EV$2=EW$2,EV42=EW42),1,0)))))</f>
        <v/>
      </c>
      <c r="EY42" s="1" t="n">
        <f aca="false">Participantes!DA41</f>
        <v>0</v>
      </c>
      <c r="EZ42" s="1" t="n">
        <f aca="false">Participantes!DB41</f>
        <v>0</v>
      </c>
      <c r="FA42" s="82" t="str">
        <f aca="false">IF(EY$2="","",IF(AND(EY42=EY$2,EZ42=EZ$2),3,IF(AND(EY$2&gt;EZ$2,EY42&gt;EZ42),1,IF(AND(EZ$2&gt;EY$2,EZ42&gt;EY42),1,IF(AND(EY$2=EZ$2,EY42=EZ42),1,0)))))</f>
        <v/>
      </c>
      <c r="FB42" s="1" t="n">
        <f aca="false">Participantes!DC41</f>
        <v>0</v>
      </c>
      <c r="FC42" s="1" t="n">
        <f aca="false">Participantes!DD41</f>
        <v>0</v>
      </c>
      <c r="FD42" s="82" t="str">
        <f aca="false">IF(FB$2="","",IF(AND(FB42=FB$2,FC42=FC$2),3,IF(AND(FB$2&gt;FC$2,FB42&gt;FC42),1,IF(AND(FC$2&gt;FB$2,FC42&gt;FB42),1,IF(AND(FB$2=FC$2,FB42=FC42),1,0)))))</f>
        <v/>
      </c>
      <c r="FE42" s="1" t="n">
        <f aca="false">Participantes!DE41</f>
        <v>0</v>
      </c>
      <c r="FF42" s="1" t="n">
        <f aca="false">Participantes!DF41</f>
        <v>0</v>
      </c>
      <c r="FG42" s="82" t="str">
        <f aca="false">IF(FE$2="","",IF(AND(FE42=FE$2,FF42=FF$2),3,IF(AND(FE$2&gt;FF$2,FE42&gt;FF42),1,IF(AND(FF$2&gt;FE$2,FF42&gt;FE42),1,IF(AND(FE$2=FF$2,FE42=FF42),1,0)))))</f>
        <v/>
      </c>
      <c r="FH42" s="1" t="n">
        <f aca="false">Participantes!DG41</f>
        <v>0</v>
      </c>
      <c r="FI42" s="1" t="n">
        <f aca="false">Participantes!DH41</f>
        <v>0</v>
      </c>
      <c r="FJ42" s="82" t="str">
        <f aca="false">IF(FH$2="","",IF(AND(FH42=FH$2,FI42=FI$2),3,IF(AND(FH$2&gt;FI$2,FH42&gt;FI42),1,IF(AND(FI$2&gt;FH$2,FI42&gt;FH42),1,IF(AND(FH$2=FI$2,FH42=FI42),1,0)))))</f>
        <v/>
      </c>
      <c r="FK42" s="1" t="n">
        <f aca="false">Participantes!DI41</f>
        <v>0</v>
      </c>
      <c r="FL42" s="1" t="n">
        <f aca="false">Participantes!DJ41</f>
        <v>0</v>
      </c>
      <c r="FM42" s="82" t="str">
        <f aca="false">IF(FK$2="","",IF(AND(FK42=FK$2,FL42=FL$2),3,IF(AND(FK$2&gt;FL$2,FK42&gt;FL42),1,IF(AND(FL$2&gt;FK$2,FL42&gt;FK42),1,IF(AND(FK$2=FL$2,FK42=FL42),1,0)))))</f>
        <v/>
      </c>
      <c r="FN42" s="1" t="n">
        <f aca="false">Participantes!DK41</f>
        <v>0</v>
      </c>
      <c r="FO42" s="1" t="n">
        <f aca="false">Participantes!DL41</f>
        <v>0</v>
      </c>
      <c r="FP42" s="82" t="str">
        <f aca="false">IF(FN$2="","",IF(AND(FN42=FN$2,FO42=FO$2),3,IF(AND(FN$2&gt;FO$2,FN42&gt;FO42),1,IF(AND(FO$2&gt;FN$2,FO42&gt;FN42),1,IF(AND(FN$2=FO$2,FN42=FO42),1,0)))))</f>
        <v/>
      </c>
      <c r="FQ42" s="1" t="n">
        <f aca="false">Participantes!DM41</f>
        <v>0</v>
      </c>
      <c r="FR42" s="1" t="n">
        <f aca="false">Participantes!DN41</f>
        <v>0</v>
      </c>
      <c r="FS42" s="82" t="str">
        <f aca="false">IF(FQ$2="","",IF(AND(FQ42=FQ$2,FR42=FR$2),3,IF(AND(FQ$2&gt;FR$2,FQ42&gt;FR42),1,IF(AND(FR$2&gt;FQ$2,FR42&gt;FQ42),1,IF(AND(FQ$2=FR$2,FQ42=FR42),1,0)))))</f>
        <v/>
      </c>
      <c r="FT42" s="1" t="n">
        <f aca="false">Participantes!DO41</f>
        <v>0</v>
      </c>
      <c r="FU42" s="1" t="n">
        <f aca="false">Participantes!DP41</f>
        <v>0</v>
      </c>
      <c r="FV42" s="82" t="str">
        <f aca="false">IF(FT$2="","",IF(AND(FT42=FT$2,FU42=FU$2),3,IF(AND(FT$2&gt;FU$2,FT42&gt;FU42),1,IF(AND(FU$2&gt;FT$2,FU42&gt;FT42),1,IF(AND(FT$2=FU$2,FT42=FU42),1,0)))))</f>
        <v/>
      </c>
      <c r="FW42" s="1" t="n">
        <f aca="false">Participantes!DQ41</f>
        <v>0</v>
      </c>
      <c r="FX42" s="1" t="n">
        <f aca="false">Participantes!DR41</f>
        <v>0</v>
      </c>
      <c r="FY42" s="82" t="str">
        <f aca="false">IF(FW$2="","",IF(AND(FW42=FW$2,FX42=FX$2),3,IF(AND(FW$2&gt;FX$2,FW42&gt;FX42),1,IF(AND(FX$2&gt;FW$2,FX42&gt;FW42),1,IF(AND(FW$2=FX$2,FW42=FX42),1,0)))))</f>
        <v/>
      </c>
      <c r="FZ42" s="1" t="n">
        <f aca="false">Participantes!DS41</f>
        <v>0</v>
      </c>
      <c r="GA42" s="1" t="n">
        <f aca="false">Participantes!DT41</f>
        <v>0</v>
      </c>
      <c r="GB42" s="82" t="str">
        <f aca="false">IF(FZ$2="","",IF(AND(FZ42=FZ$2,GA42=GA$2),3,IF(AND(FZ$2&gt;GA$2,FZ42&gt;GA42),1,IF(AND(GA$2&gt;FZ$2,GA42&gt;FZ42),1,IF(AND(FZ$2=GA$2,FZ42=GA42),1,0)))))</f>
        <v/>
      </c>
      <c r="GC42" s="1" t="n">
        <f aca="false">Participantes!DU41</f>
        <v>0</v>
      </c>
      <c r="GD42" s="1" t="n">
        <f aca="false">Participantes!DV41</f>
        <v>0</v>
      </c>
      <c r="GE42" s="82" t="str">
        <f aca="false">IF(GC$2="","",IF(AND(GC42=GC$2,GD42=GD$2),3,IF(AND(GC$2&gt;GD$2,GC42&gt;GD42),1,IF(AND(GD$2&gt;GC$2,GD42&gt;GC42),1,IF(AND(GC$2=GD$2,GC42=GD42),1,0)))))</f>
        <v/>
      </c>
      <c r="GF42" s="1" t="n">
        <f aca="false">Participantes!DW41</f>
        <v>0</v>
      </c>
      <c r="GG42" s="1" t="n">
        <f aca="false">Participantes!DX41</f>
        <v>0</v>
      </c>
      <c r="GH42" s="82" t="str">
        <f aca="false">IF(GF$2="","",IF(AND(GF42=GF$2,GG42=GG$2),3,IF(AND(GF$2&gt;GG$2,GF42&gt;GG42),1,IF(AND(GG$2&gt;GF$2,GG42&gt;GF42),1,IF(AND(GF$2=GG$2,GF42=GG42),1,0)))))</f>
        <v/>
      </c>
      <c r="GI42" s="1" t="n">
        <f aca="false">Participantes!DY41</f>
        <v>0</v>
      </c>
      <c r="GJ42" s="1" t="n">
        <f aca="false">Participantes!DZ41</f>
        <v>0</v>
      </c>
      <c r="GK42" s="82" t="str">
        <f aca="false">IF(GI$2="","",IF(AND(GI42=GI$2,GJ42=GJ$2),3,IF(AND(GI$2&gt;GJ$2,GI42&gt;GJ42),1,IF(AND(GJ$2&gt;GI$2,GJ42&gt;GI42),1,IF(AND(GI$2=GJ$2,GI42=GJ42),1,0)))))</f>
        <v/>
      </c>
      <c r="GL42" s="1" t="n">
        <f aca="false">Participantes!EA41</f>
        <v>0</v>
      </c>
      <c r="GM42" s="1" t="n">
        <f aca="false">Participantes!EB41</f>
        <v>0</v>
      </c>
      <c r="GN42" s="82" t="str">
        <f aca="false">IF(GL$2="","",IF(AND(GL42=GL$2,GM42=GM$2),3,IF(AND(GL$2&gt;GM$2,GL42&gt;GM42),1,IF(AND(GM$2&gt;GL$2,GM42&gt;GL42),1,IF(AND(GL$2=GM$2,GL42=GM42),1,0)))))</f>
        <v/>
      </c>
      <c r="GO42" s="1" t="n">
        <f aca="false">Participantes!EC41</f>
        <v>0</v>
      </c>
      <c r="GP42" s="1" t="n">
        <f aca="false">Participantes!ED41</f>
        <v>0</v>
      </c>
      <c r="GQ42" s="82" t="str">
        <f aca="false">IF(GO$2="","",IF(AND(GO42=GO$2,GP42=GP$2),3,IF(AND(GO$2&gt;GP$2,GO42&gt;GP42),1,IF(AND(GP$2&gt;GO$2,GP42&gt;GO42),1,IF(AND(GO$2=GP$2,GO42=GP42),1,0)))))</f>
        <v/>
      </c>
      <c r="GR42" s="1" t="n">
        <f aca="false">Participantes!EE41</f>
        <v>0</v>
      </c>
      <c r="GS42" s="1" t="n">
        <f aca="false">Participantes!EF41</f>
        <v>0</v>
      </c>
      <c r="GT42" s="82" t="str">
        <f aca="false">IF(GR$2="","",IF(AND(GR42=GR$2,GS42=GS$2),3,IF(AND(GR$2&gt;GS$2,GR42&gt;GS42),1,IF(AND(GS$2&gt;GR$2,GS42&gt;GR42),1,IF(AND(GR$2=GS$2,GR42=GS42),1,0)))))</f>
        <v/>
      </c>
      <c r="GU42" s="1" t="n">
        <f aca="false">Participantes!EG41</f>
        <v>0</v>
      </c>
      <c r="GV42" s="1" t="n">
        <f aca="false">Participantes!EH41</f>
        <v>0</v>
      </c>
      <c r="GW42" s="82" t="str">
        <f aca="false">IF(GU$2="","",IF(AND(GU42=GU$2,GV42=GV$2),3,IF(AND(GU$2&gt;GV$2,GU42&gt;GV42),1,IF(AND(GV$2&gt;GU$2,GV42&gt;GU42),1,IF(AND(GU$2=GV$2,GU42=GV42),1,0)))))</f>
        <v/>
      </c>
      <c r="GX42" s="1" t="n">
        <f aca="false">Participantes!EI41</f>
        <v>0</v>
      </c>
      <c r="GY42" s="1" t="n">
        <f aca="false">Participantes!EJ41</f>
        <v>0</v>
      </c>
      <c r="GZ42" s="82" t="str">
        <f aca="false">IF(GX$2="","",IF(AND(GX42=GX$2,GY42=GY$2),3,IF(AND(GX$2&gt;GY$2,GX42&gt;GY42),1,IF(AND(GY$2&gt;GX$2,GY42&gt;GX42),1,IF(AND(GX$2=GY$2,GX42=GY42),1,0)))))</f>
        <v/>
      </c>
      <c r="HA42" s="1" t="n">
        <f aca="false">Participantes!EK41</f>
        <v>0</v>
      </c>
      <c r="HB42" s="1" t="n">
        <f aca="false">Participantes!EL41</f>
        <v>0</v>
      </c>
      <c r="HC42" s="82" t="str">
        <f aca="false">IF(HA$2="","",IF(AND(HA42=HA$2,HB42=HB$2),3,IF(AND(HA$2&gt;HB$2,HA42&gt;HB42),1,IF(AND(HB$2&gt;HA$2,HB42&gt;HA42),1,IF(AND(HA$2=HB$2,HA42=HB42),1,0)))))</f>
        <v/>
      </c>
      <c r="HD42" s="1" t="n">
        <f aca="false">Participantes!EM41</f>
        <v>0</v>
      </c>
      <c r="HE42" s="1" t="n">
        <f aca="false">Participantes!EN41</f>
        <v>0</v>
      </c>
      <c r="HF42" s="82" t="str">
        <f aca="false">IF(HD$2="","",IF(AND(HD42=HD$2,HE42=HE$2),3,IF(AND(HD$2&gt;HE$2,HD42&gt;HE42),1,IF(AND(HE$2&gt;HD$2,HE42&gt;HD42),1,IF(AND(HD$2=HE$2,HD42=HE42),1,0)))))</f>
        <v/>
      </c>
      <c r="HG42" s="1" t="n">
        <f aca="false">Participantes!EO41</f>
        <v>0</v>
      </c>
      <c r="HH42" s="1" t="n">
        <f aca="false">Participantes!EP41</f>
        <v>0</v>
      </c>
      <c r="HI42" s="82" t="str">
        <f aca="false">IF(HG$2="","",IF(AND(HG42=HG$2,HH42=HH$2),3,IF(AND(HG$2&gt;HH$2,HG42&gt;HH42),1,IF(AND(HH$2&gt;HG$2,HH42&gt;HG42),1,IF(AND(HG$2=HH$2,HG42=HH42),1,0)))))</f>
        <v/>
      </c>
      <c r="HJ42" s="83" t="n">
        <f aca="false">SUM(D42,G42,J42,M42,P42,S42,V42,Y42,AB42,AE42,AH42,AK42,AN42,AQ42,AT42,AW42,AZ42,BC42,BF42,BI42,BL42,BO42,BR42,BU42,BX42,CA42,CD42,CG42,CJ42,CM42,CP42,CS42,CV42,CY42,DB42,DE42,DH42,DK42,DN42,DQ42,DT42,DW42,DZ42,EC42,EF42,EI42,EL42,EO42,ER42,EU42,EX42,FA42,FD42,FG42,FJ42,FM42,FP42,FS42,FV42,FY42,GB42,GE42,GH42,GK42,GN42,GQ42,GT42,GW42,GZ42,HC42,HF42,HI42)</f>
        <v>0</v>
      </c>
    </row>
    <row r="43" customFormat="false" ht="15" hidden="false" customHeight="true" outlineLevel="0" collapsed="false">
      <c r="A43" s="81" t="str">
        <f aca="false">Participantes!B42</f>
        <v>Ninoshka</v>
      </c>
      <c r="B43" s="1" t="n">
        <f aca="false">Participantes!C42</f>
        <v>2</v>
      </c>
      <c r="C43" s="1" t="n">
        <f aca="false">Participantes!D42</f>
        <v>1</v>
      </c>
      <c r="D43" s="82" t="n">
        <f aca="false">IF(B$2="","",IF(AND(B43=B$2,C43=C$2),3,IF(AND(B$2&gt;C$2,B43&gt;C43),1,IF(AND(C$2&gt;B$2,C43&gt;B43),1,IF(AND(B$2=C$2,B43=C43),1,0)))))</f>
        <v>1</v>
      </c>
      <c r="E43" s="1" t="n">
        <f aca="false">Participantes!E42</f>
        <v>1</v>
      </c>
      <c r="F43" s="1" t="n">
        <f aca="false">Participantes!F42</f>
        <v>1</v>
      </c>
      <c r="G43" s="82" t="str">
        <f aca="false">IF(E$2="","",IF(AND(E43=E$2,F43=F$2),3,IF(AND(E$2&gt;F$2,E43&gt;F43),1,IF(AND(F$2&gt;E$2,F43&gt;E43),1,IF(AND(E$2=F$2,E43=F43),1,0)))))</f>
        <v/>
      </c>
      <c r="H43" s="1" t="n">
        <f aca="false">Participantes!G42</f>
        <v>2</v>
      </c>
      <c r="I43" s="1" t="n">
        <f aca="false">Participantes!H42</f>
        <v>0</v>
      </c>
      <c r="J43" s="82" t="str">
        <f aca="false">IF(H$2="","",IF(AND(H43=H$2,I43=I$2),3,IF(AND(H$2&gt;I$2,H43&gt;I43),1,IF(AND(I$2&gt;H$2,I43&gt;H43),1,IF(AND(H$2=I$2,H43=I43),1,0)))))</f>
        <v/>
      </c>
      <c r="K43" s="1" t="n">
        <f aca="false">Participantes!I42</f>
        <v>1</v>
      </c>
      <c r="L43" s="1" t="n">
        <f aca="false">Participantes!J42</f>
        <v>2</v>
      </c>
      <c r="M43" s="82" t="str">
        <f aca="false">IF(K$2="","",IF(AND(K43=K$2,L43=L$2),3,IF(AND(K$2&gt;L$2,K43&gt;L43),1,IF(AND(L$2&gt;K$2,L43&gt;K43),1,IF(AND(K$2=L$2,K43=L43),1,0)))))</f>
        <v/>
      </c>
      <c r="N43" s="1" t="n">
        <f aca="false">Participantes!K42</f>
        <v>0</v>
      </c>
      <c r="O43" s="1" t="n">
        <f aca="false">Participantes!L42</f>
        <v>2</v>
      </c>
      <c r="P43" s="82" t="str">
        <f aca="false">IF(N$2="","",IF(AND(N43=N$2,O43=O$2),3,IF(AND(N$2&gt;O$2,N43&gt;O43),1,IF(AND(O$2&gt;N$2,O43&gt;N43),1,IF(AND(N$2=O$2,N43=O43),1,0)))))</f>
        <v/>
      </c>
      <c r="Q43" s="1" t="n">
        <f aca="false">Participantes!M42</f>
        <v>1</v>
      </c>
      <c r="R43" s="1" t="n">
        <f aca="false">Participantes!N42</f>
        <v>2</v>
      </c>
      <c r="S43" s="82" t="str">
        <f aca="false">IF(Q$2="","",IF(AND(Q43=Q$2,R43=R$2),3,IF(AND(Q$2&gt;R$2,Q43&gt;R43),1,IF(AND(R$2&gt;Q$2,R43&gt;Q43),1,IF(AND(Q$2=R$2,Q43=R43),1,0)))))</f>
        <v/>
      </c>
      <c r="T43" s="1" t="n">
        <f aca="false">Participantes!O42</f>
        <v>3</v>
      </c>
      <c r="U43" s="1" t="n">
        <f aca="false">Participantes!P42</f>
        <v>1</v>
      </c>
      <c r="V43" s="82" t="str">
        <f aca="false">IF(T$2="","",IF(AND(T43=T$2,U43=U$2),3,IF(AND(T$2&gt;U$2,T43&gt;U43),1,IF(AND(U$2&gt;T$2,U43&gt;T43),1,IF(AND(T$2=U$2,T43=U43),1,0)))))</f>
        <v/>
      </c>
      <c r="W43" s="1" t="n">
        <f aca="false">Participantes!Q42</f>
        <v>0</v>
      </c>
      <c r="X43" s="1" t="n">
        <f aca="false">Participantes!R42</f>
        <v>2</v>
      </c>
      <c r="Y43" s="82" t="str">
        <f aca="false">IF(W$2="","",IF(AND(W43=W$2,X43=X$2),3,IF(AND(W$2&gt;X$2,W43&gt;X43),1,IF(AND(X$2&gt;W$2,X43&gt;W43),1,IF(AND(W$2=X$2,W43=X43),1,0)))))</f>
        <v/>
      </c>
      <c r="Z43" s="1" t="n">
        <f aca="false">Participantes!S42</f>
        <v>1</v>
      </c>
      <c r="AA43" s="1" t="n">
        <f aca="false">Participantes!T42</f>
        <v>1</v>
      </c>
      <c r="AB43" s="82" t="str">
        <f aca="false">IF(Z$2="","",IF(AND(Z43=Z$2,AA43=AA$2),3,IF(AND(Z$2&gt;AA$2,Z43&gt;AA43),1,IF(AND(AA$2&gt;Z$2,AA43&gt;Z43),1,IF(AND(Z$2=AA$2,Z43=AA43),1,0)))))</f>
        <v/>
      </c>
      <c r="AC43" s="1" t="n">
        <f aca="false">Participantes!U42</f>
        <v>4</v>
      </c>
      <c r="AD43" s="1" t="n">
        <f aca="false">Participantes!V42</f>
        <v>0</v>
      </c>
      <c r="AE43" s="82" t="str">
        <f aca="false">IF(AC$2="","",IF(AND(AC43=AC$2,AD43=AD$2),3,IF(AND(AC$2&gt;AD$2,AC43&gt;AD43),1,IF(AND(AD$2&gt;AC$2,AD43&gt;AC43),1,IF(AND(AC$2=AD$2,AC43=AD43),1,0)))))</f>
        <v/>
      </c>
      <c r="AF43" s="1" t="n">
        <f aca="false">Participantes!W42</f>
        <v>2</v>
      </c>
      <c r="AG43" s="1" t="n">
        <f aca="false">Participantes!X42</f>
        <v>1</v>
      </c>
      <c r="AH43" s="82" t="str">
        <f aca="false">IF(AF$2="","",IF(AND(AF43=AF$2,AG43=AG$2),3,IF(AND(AF$2&gt;AG$2,AF43&gt;AG43),1,IF(AND(AG$2&gt;AF$2,AG43&gt;AF43),1,IF(AND(AF$2=AG$2,AF43=AG43),1,0)))))</f>
        <v/>
      </c>
      <c r="AI43" s="1" t="n">
        <f aca="false">Participantes!Y42</f>
        <v>2</v>
      </c>
      <c r="AJ43" s="1" t="n">
        <f aca="false">Participantes!Z42</f>
        <v>0</v>
      </c>
      <c r="AK43" s="82" t="str">
        <f aca="false">IF(AI$2="","",IF(AND(AI43=AI$2,AJ43=AJ$2),3,IF(AND(AI$2&gt;AJ$2,AI43&gt;AJ43),1,IF(AND(AJ$2&gt;AI$2,AJ43&gt;AI43),1,IF(AND(AI$2=AJ$2,AI43=AJ43),1,0)))))</f>
        <v/>
      </c>
      <c r="AL43" s="1" t="n">
        <f aca="false">Participantes!AA42</f>
        <v>0</v>
      </c>
      <c r="AM43" s="1" t="n">
        <f aca="false">Participantes!AB42</f>
        <v>2</v>
      </c>
      <c r="AN43" s="82" t="str">
        <f aca="false">IF(AL$2="","",IF(AND(AL43=AL$2,AM43=AM$2),3,IF(AND(AL$2&gt;AM$2,AL43&gt;AM43),1,IF(AND(AM$2&gt;AL$2,AM43&gt;AL43),1,IF(AND(AL$2=AM$2,AL43=AM43),1,0)))))</f>
        <v/>
      </c>
      <c r="AO43" s="1" t="n">
        <f aca="false">Participantes!AC42</f>
        <v>3</v>
      </c>
      <c r="AP43" s="1" t="n">
        <f aca="false">Participantes!AD42</f>
        <v>0</v>
      </c>
      <c r="AQ43" s="82" t="str">
        <f aca="false">IF(AO$2="","",IF(AND(AO43=AO$2,AP43=AP$2),3,IF(AND(AO$2&gt;AP$2,AO43&gt;AP43),1,IF(AND(AP$2&gt;AO$2,AP43&gt;AO43),1,IF(AND(AO$2=AP$2,AO43=AP43),1,0)))))</f>
        <v/>
      </c>
      <c r="AR43" s="1" t="n">
        <f aca="false">Participantes!AE42</f>
        <v>0</v>
      </c>
      <c r="AS43" s="1" t="n">
        <f aca="false">Participantes!AF42</f>
        <v>0</v>
      </c>
      <c r="AT43" s="82" t="str">
        <f aca="false">IF(AR$2="","",IF(AND(AR43=AR$2,AS43=AS$2),3,IF(AND(AR$2&gt;AS$2,AR43&gt;AS43),1,IF(AND(AS$2&gt;AR$2,AS43&gt;AR43),1,IF(AND(AR$2=AS$2,AR43=AS43),1,0)))))</f>
        <v/>
      </c>
      <c r="AU43" s="1" t="n">
        <f aca="false">Participantes!AG42</f>
        <v>0</v>
      </c>
      <c r="AV43" s="1" t="n">
        <f aca="false">Participantes!AH42</f>
        <v>0</v>
      </c>
      <c r="AW43" s="82" t="str">
        <f aca="false">IF(AU$2="","",IF(AND(AU43=AU$2,AV43=AV$2),3,IF(AND(AU$2&gt;AV$2,AU43&gt;AV43),1,IF(AND(AV$2&gt;AU$2,AV43&gt;AU43),1,IF(AND(AU$2=AV$2,AU43=AV43),1,0)))))</f>
        <v/>
      </c>
      <c r="AX43" s="1" t="n">
        <f aca="false">Participantes!AI42</f>
        <v>0</v>
      </c>
      <c r="AY43" s="1" t="n">
        <f aca="false">Participantes!AJ42</f>
        <v>0</v>
      </c>
      <c r="AZ43" s="82" t="str">
        <f aca="false">IF(AX$2="","",IF(AND(AX43=AX$2,AY43=AY$2),3,IF(AND(AX$2&gt;AY$2,AX43&gt;AY43),1,IF(AND(AY$2&gt;AX$2,AY43&gt;AX43),1,IF(AND(AX$2=AY$2,AX43=AY43),1,0)))))</f>
        <v/>
      </c>
      <c r="BA43" s="1" t="n">
        <f aca="false">Participantes!AK42</f>
        <v>0</v>
      </c>
      <c r="BB43" s="1" t="n">
        <f aca="false">Participantes!AL42</f>
        <v>0</v>
      </c>
      <c r="BC43" s="82" t="str">
        <f aca="false">IF(BA$2="","",IF(AND(BA43=BA$2,BB43=BB$2),3,IF(AND(BA$2&gt;BB$2,BA43&gt;BB43),1,IF(AND(BB$2&gt;BA$2,BB43&gt;BA43),1,IF(AND(BA$2=BB$2,BA43=BB43),1,0)))))</f>
        <v/>
      </c>
      <c r="BD43" s="1" t="n">
        <f aca="false">Participantes!AM42</f>
        <v>0</v>
      </c>
      <c r="BE43" s="1" t="n">
        <f aca="false">Participantes!AN42</f>
        <v>0</v>
      </c>
      <c r="BF43" s="82" t="str">
        <f aca="false">IF(BD$2="","",IF(AND(BD43=BD$2,BE43=BE$2),3,IF(AND(BD$2&gt;BE$2,BD43&gt;BE43),1,IF(AND(BE$2&gt;BD$2,BE43&gt;BD43),1,IF(AND(BD$2=BE$2,BD43=BE43),1,0)))))</f>
        <v/>
      </c>
      <c r="BG43" s="1" t="n">
        <f aca="false">Participantes!AO42</f>
        <v>0</v>
      </c>
      <c r="BH43" s="1" t="n">
        <f aca="false">Participantes!AP42</f>
        <v>0</v>
      </c>
      <c r="BI43" s="82" t="str">
        <f aca="false">IF(BG$2="","",IF(AND(BG43=BG$2,BH43=BH$2),3,IF(AND(BG$2&gt;BH$2,BG43&gt;BH43),1,IF(AND(BH$2&gt;BG$2,BH43&gt;BG43),1,IF(AND(BG$2=BH$2,BG43=BH43),1,0)))))</f>
        <v/>
      </c>
      <c r="BJ43" s="1" t="n">
        <f aca="false">Participantes!AQ42</f>
        <v>0</v>
      </c>
      <c r="BK43" s="1" t="n">
        <f aca="false">Participantes!AR42</f>
        <v>0</v>
      </c>
      <c r="BL43" s="82" t="str">
        <f aca="false">IF(BJ$2="","",IF(AND(BJ43=BJ$2,BK43=BK$2),3,IF(AND(BJ$2&gt;BK$2,BJ43&gt;BK43),1,IF(AND(BK$2&gt;BJ$2,BK43&gt;BJ43),1,IF(AND(BJ$2=BK$2,BJ43=BK43),1,0)))))</f>
        <v/>
      </c>
      <c r="BM43" s="1" t="n">
        <f aca="false">Participantes!AS42</f>
        <v>0</v>
      </c>
      <c r="BN43" s="1" t="n">
        <f aca="false">Participantes!AT42</f>
        <v>0</v>
      </c>
      <c r="BO43" s="82" t="str">
        <f aca="false">IF(BM$2="","",IF(AND(BM43=BM$2,BN43=BN$2),3,IF(AND(BM$2&gt;BN$2,BM43&gt;BN43),1,IF(AND(BN$2&gt;BM$2,BN43&gt;BM43),1,IF(AND(BM$2=BN$2,BM43=BN43),1,0)))))</f>
        <v/>
      </c>
      <c r="BP43" s="1" t="n">
        <f aca="false">Participantes!AU42</f>
        <v>0</v>
      </c>
      <c r="BQ43" s="1" t="n">
        <f aca="false">Participantes!AV42</f>
        <v>0</v>
      </c>
      <c r="BR43" s="82" t="str">
        <f aca="false">IF(BP$2="","",IF(AND(BP43=BP$2,BQ43=BQ$2),3,IF(AND(BP$2&gt;BQ$2,BP43&gt;BQ43),1,IF(AND(BQ$2&gt;BP$2,BQ43&gt;BP43),1,IF(AND(BP$2=BQ$2,BP43=BQ43),1,0)))))</f>
        <v/>
      </c>
      <c r="BS43" s="1" t="n">
        <f aca="false">Participantes!AW42</f>
        <v>0</v>
      </c>
      <c r="BT43" s="1" t="n">
        <f aca="false">Participantes!AX42</f>
        <v>0</v>
      </c>
      <c r="BU43" s="82" t="str">
        <f aca="false">IF(BS$2="","",IF(AND(BS43=BS$2,BT43=BT$2),3,IF(AND(BS$2&gt;BT$2,BS43&gt;BT43),1,IF(AND(BT$2&gt;BS$2,BT43&gt;BS43),1,IF(AND(BS$2=BT$2,BS43=BT43),1,0)))))</f>
        <v/>
      </c>
      <c r="BV43" s="1" t="n">
        <f aca="false">Participantes!AY42</f>
        <v>0</v>
      </c>
      <c r="BW43" s="1" t="n">
        <f aca="false">Participantes!AZ42</f>
        <v>0</v>
      </c>
      <c r="BX43" s="82" t="str">
        <f aca="false">IF(BV$2="","",IF(AND(BV43=BV$2,BW43=BW$2),3,IF(AND(BV$2&gt;BW$2,BV43&gt;BW43),1,IF(AND(BW$2&gt;BV$2,BW43&gt;BV43),1,IF(AND(BV$2=BW$2,BV43=BW43),1,0)))))</f>
        <v/>
      </c>
      <c r="BY43" s="1" t="n">
        <f aca="false">Participantes!BA42</f>
        <v>0</v>
      </c>
      <c r="BZ43" s="1" t="n">
        <f aca="false">Participantes!BB42</f>
        <v>0</v>
      </c>
      <c r="CA43" s="82" t="str">
        <f aca="false">IF(BY$2="","",IF(AND(BY43=BY$2,BZ43=BZ$2),3,IF(AND(BY$2&gt;BZ$2,BY43&gt;BZ43),1,IF(AND(BZ$2&gt;BY$2,BZ43&gt;BY43),1,IF(AND(BY$2=BZ$2,BY43=BZ43),1,0)))))</f>
        <v/>
      </c>
      <c r="CB43" s="1" t="n">
        <f aca="false">Participantes!BC42</f>
        <v>0</v>
      </c>
      <c r="CC43" s="1" t="n">
        <f aca="false">Participantes!BD42</f>
        <v>0</v>
      </c>
      <c r="CD43" s="82" t="str">
        <f aca="false">IF(CB$2="","",IF(AND(CB43=CB$2,CC43=CC$2),3,IF(AND(CB$2&gt;CC$2,CB43&gt;CC43),1,IF(AND(CC$2&gt;CB$2,CC43&gt;CB43),1,IF(AND(CB$2=CC$2,CB43=CC43),1,0)))))</f>
        <v/>
      </c>
      <c r="CE43" s="1" t="n">
        <f aca="false">Participantes!BE42</f>
        <v>0</v>
      </c>
      <c r="CF43" s="1" t="n">
        <f aca="false">Participantes!BF42</f>
        <v>0</v>
      </c>
      <c r="CG43" s="82" t="str">
        <f aca="false">IF(CE$2="","",IF(AND(CE43=CE$2,CF43=CF$2),3,IF(AND(CE$2&gt;CF$2,CE43&gt;CF43),1,IF(AND(CF$2&gt;CE$2,CF43&gt;CE43),1,IF(AND(CE$2=CF$2,CE43=CF43),1,0)))))</f>
        <v/>
      </c>
      <c r="CH43" s="1" t="n">
        <f aca="false">Participantes!BG42</f>
        <v>0</v>
      </c>
      <c r="CI43" s="1" t="n">
        <f aca="false">Participantes!BH42</f>
        <v>0</v>
      </c>
      <c r="CJ43" s="82" t="str">
        <f aca="false">IF(CH$2="","",IF(AND(CH43=CH$2,CI43=CI$2),3,IF(AND(CH$2&gt;CI$2,CH43&gt;CI43),1,IF(AND(CI$2&gt;CH$2,CI43&gt;CH43),1,IF(AND(CH$2=CI$2,CH43=CI43),1,0)))))</f>
        <v/>
      </c>
      <c r="CK43" s="1" t="n">
        <f aca="false">Participantes!BI42</f>
        <v>0</v>
      </c>
      <c r="CL43" s="1" t="n">
        <f aca="false">Participantes!BJ42</f>
        <v>0</v>
      </c>
      <c r="CM43" s="82" t="str">
        <f aca="false">IF(CK$2="","",IF(AND(CK43=CK$2,CL43=CL$2),3,IF(AND(CK$2&gt;CL$2,CK43&gt;CL43),1,IF(AND(CL$2&gt;CK$2,CL43&gt;CK43),1,IF(AND(CK$2=CL$2,CK43=CL43),1,0)))))</f>
        <v/>
      </c>
      <c r="CN43" s="1" t="n">
        <f aca="false">Participantes!BK42</f>
        <v>0</v>
      </c>
      <c r="CO43" s="1" t="n">
        <f aca="false">Participantes!BL42</f>
        <v>0</v>
      </c>
      <c r="CP43" s="82" t="str">
        <f aca="false">IF(CN$2="","",IF(AND(CN43=CN$2,CO43=CO$2),3,IF(AND(CN$2&gt;CO$2,CN43&gt;CO43),1,IF(AND(CO$2&gt;CN$2,CO43&gt;CN43),1,IF(AND(CN$2=CO$2,CN43=CO43),1,0)))))</f>
        <v/>
      </c>
      <c r="CQ43" s="1" t="n">
        <f aca="false">Participantes!BM42</f>
        <v>0</v>
      </c>
      <c r="CR43" s="1" t="n">
        <f aca="false">Participantes!BN42</f>
        <v>0</v>
      </c>
      <c r="CS43" s="82" t="str">
        <f aca="false">IF(CQ$2="","",IF(AND(CQ43=CQ$2,CR43=CR$2),3,IF(AND(CQ$2&gt;CR$2,CQ43&gt;CR43),1,IF(AND(CR$2&gt;CQ$2,CR43&gt;CQ43),1,IF(AND(CQ$2=CR$2,CQ43=CR43),1,0)))))</f>
        <v/>
      </c>
      <c r="CT43" s="1" t="n">
        <f aca="false">Participantes!BO42</f>
        <v>0</v>
      </c>
      <c r="CU43" s="1" t="n">
        <f aca="false">Participantes!BP42</f>
        <v>0</v>
      </c>
      <c r="CV43" s="82" t="str">
        <f aca="false">IF(CT$2="","",IF(AND(CT43=CT$2,CU43=CU$2),3,IF(AND(CT$2&gt;CU$2,CT43&gt;CU43),1,IF(AND(CU$2&gt;CT$2,CU43&gt;CT43),1,IF(AND(CT$2=CU$2,CT43=CU43),1,0)))))</f>
        <v/>
      </c>
      <c r="CW43" s="1" t="n">
        <f aca="false">Participantes!BQ42</f>
        <v>0</v>
      </c>
      <c r="CX43" s="1" t="n">
        <f aca="false">Participantes!BR42</f>
        <v>0</v>
      </c>
      <c r="CY43" s="82" t="str">
        <f aca="false">IF(CW$2="","",IF(AND(CW43=CW$2,CX43=CX$2),3,IF(AND(CW$2&gt;CX$2,CW43&gt;CX43),1,IF(AND(CX$2&gt;CW$2,CX43&gt;CW43),1,IF(AND(CW$2=CX$2,CW43=CX43),1,0)))))</f>
        <v/>
      </c>
      <c r="CZ43" s="1" t="n">
        <f aca="false">Participantes!BS42</f>
        <v>0</v>
      </c>
      <c r="DA43" s="1" t="n">
        <f aca="false">Participantes!BT42</f>
        <v>0</v>
      </c>
      <c r="DB43" s="82" t="str">
        <f aca="false">IF(CZ$2="","",IF(AND(CZ43=CZ$2,DA43=DA$2),3,IF(AND(CZ$2&gt;DA$2,CZ43&gt;DA43),1,IF(AND(DA$2&gt;CZ$2,DA43&gt;CZ43),1,IF(AND(CZ$2=DA$2,CZ43=DA43),1,0)))))</f>
        <v/>
      </c>
      <c r="DC43" s="1" t="n">
        <f aca="false">Participantes!BU42</f>
        <v>0</v>
      </c>
      <c r="DD43" s="1" t="n">
        <f aca="false">Participantes!BV42</f>
        <v>0</v>
      </c>
      <c r="DE43" s="82" t="str">
        <f aca="false">IF(DC$2="","",IF(AND(DC43=DC$2,DD43=DD$2),3,IF(AND(DC$2&gt;DD$2,DC43&gt;DD43),1,IF(AND(DD$2&gt;DC$2,DD43&gt;DC43),1,IF(AND(DC$2=DD$2,DC43=DD43),1,0)))))</f>
        <v/>
      </c>
      <c r="DF43" s="1" t="n">
        <f aca="false">Participantes!BW42</f>
        <v>0</v>
      </c>
      <c r="DG43" s="1" t="n">
        <f aca="false">Participantes!BX42</f>
        <v>0</v>
      </c>
      <c r="DH43" s="82" t="str">
        <f aca="false">IF(DF$2="","",IF(AND(DF43=DF$2,DG43=DG$2),3,IF(AND(DF$2&gt;DG$2,DF43&gt;DG43),1,IF(AND(DG$2&gt;DF$2,DG43&gt;DF43),1,IF(AND(DF$2=DG$2,DF43=DG43),1,0)))))</f>
        <v/>
      </c>
      <c r="DI43" s="1" t="n">
        <f aca="false">Participantes!BY42</f>
        <v>0</v>
      </c>
      <c r="DJ43" s="1" t="n">
        <f aca="false">Participantes!BZ42</f>
        <v>0</v>
      </c>
      <c r="DK43" s="82" t="str">
        <f aca="false">IF(DI$2="","",IF(AND(DI43=DI$2,DJ43=DJ$2),3,IF(AND(DI$2&gt;DJ$2,DI43&gt;DJ43),1,IF(AND(DJ$2&gt;DI$2,DJ43&gt;DI43),1,IF(AND(DI$2=DJ$2,DI43=DJ43),1,0)))))</f>
        <v/>
      </c>
      <c r="DL43" s="1" t="n">
        <f aca="false">Participantes!CA42</f>
        <v>0</v>
      </c>
      <c r="DM43" s="1" t="n">
        <f aca="false">Participantes!CB42</f>
        <v>0</v>
      </c>
      <c r="DN43" s="82" t="str">
        <f aca="false">IF(DL$2="","",IF(AND(DL43=DL$2,DM43=DM$2),3,IF(AND(DL$2&gt;DM$2,DL43&gt;DM43),1,IF(AND(DM$2&gt;DL$2,DM43&gt;DL43),1,IF(AND(DL$2=DM$2,DL43=DM43),1,0)))))</f>
        <v/>
      </c>
      <c r="DO43" s="1" t="n">
        <f aca="false">Participantes!CC42</f>
        <v>0</v>
      </c>
      <c r="DP43" s="1" t="n">
        <f aca="false">Participantes!CD42</f>
        <v>0</v>
      </c>
      <c r="DQ43" s="82" t="str">
        <f aca="false">IF(DO$2="","",IF(AND(DO43=DO$2,DP43=DP$2),3,IF(AND(DO$2&gt;DP$2,DO43&gt;DP43),1,IF(AND(DP$2&gt;DO$2,DP43&gt;DO43),1,IF(AND(DO$2=DP$2,DO43=DP43),1,0)))))</f>
        <v/>
      </c>
      <c r="DR43" s="1" t="n">
        <f aca="false">Participantes!CE42</f>
        <v>0</v>
      </c>
      <c r="DS43" s="1" t="n">
        <f aca="false">Participantes!CF42</f>
        <v>0</v>
      </c>
      <c r="DT43" s="82" t="str">
        <f aca="false">IF(DR$2="","",IF(AND(DR43=DR$2,DS43=DS$2),3,IF(AND(DR$2&gt;DS$2,DR43&gt;DS43),1,IF(AND(DS$2&gt;DR$2,DS43&gt;DR43),1,IF(AND(DR$2=DS$2,DR43=DS43),1,0)))))</f>
        <v/>
      </c>
      <c r="DU43" s="1" t="n">
        <f aca="false">Participantes!CG42</f>
        <v>0</v>
      </c>
      <c r="DV43" s="1" t="n">
        <f aca="false">Participantes!CH42</f>
        <v>0</v>
      </c>
      <c r="DW43" s="82" t="str">
        <f aca="false">IF(DU$2="","",IF(AND(DU43=DU$2,DV43=DV$2),3,IF(AND(DU$2&gt;DV$2,DU43&gt;DV43),1,IF(AND(DV$2&gt;DU$2,DV43&gt;DU43),1,IF(AND(DU$2=DV$2,DU43=DV43),1,0)))))</f>
        <v/>
      </c>
      <c r="DX43" s="1" t="n">
        <f aca="false">Participantes!CI42</f>
        <v>0</v>
      </c>
      <c r="DY43" s="1" t="n">
        <f aca="false">Participantes!CJ42</f>
        <v>0</v>
      </c>
      <c r="DZ43" s="82" t="str">
        <f aca="false">IF(DX$2="","",IF(AND(DX43=DX$2,DY43=DY$2),3,IF(AND(DX$2&gt;DY$2,DX43&gt;DY43),1,IF(AND(DY$2&gt;DX$2,DY43&gt;DX43),1,IF(AND(DX$2=DY$2,DX43=DY43),1,0)))))</f>
        <v/>
      </c>
      <c r="EA43" s="1" t="n">
        <f aca="false">Participantes!CK42</f>
        <v>0</v>
      </c>
      <c r="EB43" s="1" t="n">
        <f aca="false">Participantes!CL42</f>
        <v>0</v>
      </c>
      <c r="EC43" s="82" t="str">
        <f aca="false">IF(EA$2="","",IF(AND(EA43=EA$2,EB43=EB$2),3,IF(AND(EA$2&gt;EB$2,EA43&gt;EB43),1,IF(AND(EB$2&gt;EA$2,EB43&gt;EA43),1,IF(AND(EA$2=EB$2,EA43=EB43),1,0)))))</f>
        <v/>
      </c>
      <c r="ED43" s="1" t="n">
        <f aca="false">Participantes!CM42</f>
        <v>0</v>
      </c>
      <c r="EE43" s="1" t="n">
        <f aca="false">Participantes!CN42</f>
        <v>0</v>
      </c>
      <c r="EF43" s="82" t="str">
        <f aca="false">IF(ED$2="","",IF(AND(ED43=ED$2,EE43=EE$2),3,IF(AND(ED$2&gt;EE$2,ED43&gt;EE43),1,IF(AND(EE$2&gt;ED$2,EE43&gt;ED43),1,IF(AND(ED$2=EE$2,ED43=EE43),1,0)))))</f>
        <v/>
      </c>
      <c r="EG43" s="1" t="n">
        <f aca="false">Participantes!CO42</f>
        <v>0</v>
      </c>
      <c r="EH43" s="1" t="n">
        <f aca="false">Participantes!CP42</f>
        <v>0</v>
      </c>
      <c r="EI43" s="82" t="str">
        <f aca="false">IF(EG$2="","",IF(AND(EG43=EG$2,EH43=EH$2),3,IF(AND(EG$2&gt;EH$2,EG43&gt;EH43),1,IF(AND(EH$2&gt;EG$2,EH43&gt;EG43),1,IF(AND(EG$2=EH$2,EG43=EH43),1,0)))))</f>
        <v/>
      </c>
      <c r="EJ43" s="1" t="n">
        <f aca="false">Participantes!CQ42</f>
        <v>0</v>
      </c>
      <c r="EK43" s="1" t="n">
        <f aca="false">Participantes!CR42</f>
        <v>0</v>
      </c>
      <c r="EL43" s="82" t="str">
        <f aca="false">IF(EJ$2="","",IF(AND(EJ43=EJ$2,EK43=EK$2),3,IF(AND(EJ$2&gt;EK$2,EJ43&gt;EK43),1,IF(AND(EK$2&gt;EJ$2,EK43&gt;EJ43),1,IF(AND(EJ$2=EK$2,EJ43=EK43),1,0)))))</f>
        <v/>
      </c>
      <c r="EM43" s="1" t="n">
        <f aca="false">Participantes!CS42</f>
        <v>0</v>
      </c>
      <c r="EN43" s="1" t="n">
        <f aca="false">Participantes!CT42</f>
        <v>0</v>
      </c>
      <c r="EO43" s="82" t="str">
        <f aca="false">IF(EM$2="","",IF(AND(EM43=EM$2,EN43=EN$2),3,IF(AND(EM$2&gt;EN$2,EM43&gt;EN43),1,IF(AND(EN$2&gt;EM$2,EN43&gt;EM43),1,IF(AND(EM$2=EN$2,EM43=EN43),1,0)))))</f>
        <v/>
      </c>
      <c r="EP43" s="1" t="n">
        <f aca="false">Participantes!CU42</f>
        <v>0</v>
      </c>
      <c r="EQ43" s="1" t="n">
        <f aca="false">Participantes!CV42</f>
        <v>0</v>
      </c>
      <c r="ER43" s="82" t="str">
        <f aca="false">IF(EP$2="","",IF(AND(EP43=EP$2,EQ43=EQ$2),3,IF(AND(EP$2&gt;EQ$2,EP43&gt;EQ43),1,IF(AND(EQ$2&gt;EP$2,EQ43&gt;EP43),1,IF(AND(EP$2=EQ$2,EP43=EQ43),1,0)))))</f>
        <v/>
      </c>
      <c r="ES43" s="1" t="n">
        <f aca="false">Participantes!CW42</f>
        <v>0</v>
      </c>
      <c r="ET43" s="1" t="n">
        <f aca="false">Participantes!CX42</f>
        <v>0</v>
      </c>
      <c r="EU43" s="82" t="str">
        <f aca="false">IF(ES$2="","",IF(AND(ES43=ES$2,ET43=ET$2),3,IF(AND(ES$2&gt;ET$2,ES43&gt;ET43),1,IF(AND(ET$2&gt;ES$2,ET43&gt;ES43),1,IF(AND(ES$2=ET$2,ES43=ET43),1,0)))))</f>
        <v/>
      </c>
      <c r="EV43" s="1" t="n">
        <f aca="false">Participantes!CY42</f>
        <v>0</v>
      </c>
      <c r="EW43" s="1" t="n">
        <f aca="false">Participantes!CZ42</f>
        <v>0</v>
      </c>
      <c r="EX43" s="82" t="str">
        <f aca="false">IF(EV$2="","",IF(AND(EV43=EV$2,EW43=EW$2),3,IF(AND(EV$2&gt;EW$2,EV43&gt;EW43),1,IF(AND(EW$2&gt;EV$2,EW43&gt;EV43),1,IF(AND(EV$2=EW$2,EV43=EW43),1,0)))))</f>
        <v/>
      </c>
      <c r="EY43" s="1" t="n">
        <f aca="false">Participantes!DA42</f>
        <v>0</v>
      </c>
      <c r="EZ43" s="1" t="n">
        <f aca="false">Participantes!DB42</f>
        <v>0</v>
      </c>
      <c r="FA43" s="82" t="str">
        <f aca="false">IF(EY$2="","",IF(AND(EY43=EY$2,EZ43=EZ$2),3,IF(AND(EY$2&gt;EZ$2,EY43&gt;EZ43),1,IF(AND(EZ$2&gt;EY$2,EZ43&gt;EY43),1,IF(AND(EY$2=EZ$2,EY43=EZ43),1,0)))))</f>
        <v/>
      </c>
      <c r="FB43" s="1" t="n">
        <f aca="false">Participantes!DC42</f>
        <v>0</v>
      </c>
      <c r="FC43" s="1" t="n">
        <f aca="false">Participantes!DD42</f>
        <v>0</v>
      </c>
      <c r="FD43" s="82" t="str">
        <f aca="false">IF(FB$2="","",IF(AND(FB43=FB$2,FC43=FC$2),3,IF(AND(FB$2&gt;FC$2,FB43&gt;FC43),1,IF(AND(FC$2&gt;FB$2,FC43&gt;FB43),1,IF(AND(FB$2=FC$2,FB43=FC43),1,0)))))</f>
        <v/>
      </c>
      <c r="FE43" s="1" t="n">
        <f aca="false">Participantes!DE42</f>
        <v>0</v>
      </c>
      <c r="FF43" s="1" t="n">
        <f aca="false">Participantes!DF42</f>
        <v>0</v>
      </c>
      <c r="FG43" s="82" t="str">
        <f aca="false">IF(FE$2="","",IF(AND(FE43=FE$2,FF43=FF$2),3,IF(AND(FE$2&gt;FF$2,FE43&gt;FF43),1,IF(AND(FF$2&gt;FE$2,FF43&gt;FE43),1,IF(AND(FE$2=FF$2,FE43=FF43),1,0)))))</f>
        <v/>
      </c>
      <c r="FH43" s="1" t="n">
        <f aca="false">Participantes!DG42</f>
        <v>0</v>
      </c>
      <c r="FI43" s="1" t="n">
        <f aca="false">Participantes!DH42</f>
        <v>0</v>
      </c>
      <c r="FJ43" s="82" t="str">
        <f aca="false">IF(FH$2="","",IF(AND(FH43=FH$2,FI43=FI$2),3,IF(AND(FH$2&gt;FI$2,FH43&gt;FI43),1,IF(AND(FI$2&gt;FH$2,FI43&gt;FH43),1,IF(AND(FH$2=FI$2,FH43=FI43),1,0)))))</f>
        <v/>
      </c>
      <c r="FK43" s="1" t="n">
        <f aca="false">Participantes!DI42</f>
        <v>0</v>
      </c>
      <c r="FL43" s="1" t="n">
        <f aca="false">Participantes!DJ42</f>
        <v>0</v>
      </c>
      <c r="FM43" s="82" t="str">
        <f aca="false">IF(FK$2="","",IF(AND(FK43=FK$2,FL43=FL$2),3,IF(AND(FK$2&gt;FL$2,FK43&gt;FL43),1,IF(AND(FL$2&gt;FK$2,FL43&gt;FK43),1,IF(AND(FK$2=FL$2,FK43=FL43),1,0)))))</f>
        <v/>
      </c>
      <c r="FN43" s="1" t="n">
        <f aca="false">Participantes!DK42</f>
        <v>0</v>
      </c>
      <c r="FO43" s="1" t="n">
        <f aca="false">Participantes!DL42</f>
        <v>0</v>
      </c>
      <c r="FP43" s="82" t="str">
        <f aca="false">IF(FN$2="","",IF(AND(FN43=FN$2,FO43=FO$2),3,IF(AND(FN$2&gt;FO$2,FN43&gt;FO43),1,IF(AND(FO$2&gt;FN$2,FO43&gt;FN43),1,IF(AND(FN$2=FO$2,FN43=FO43),1,0)))))</f>
        <v/>
      </c>
      <c r="FQ43" s="1" t="n">
        <f aca="false">Participantes!DM42</f>
        <v>0</v>
      </c>
      <c r="FR43" s="1" t="n">
        <f aca="false">Participantes!DN42</f>
        <v>0</v>
      </c>
      <c r="FS43" s="82" t="str">
        <f aca="false">IF(FQ$2="","",IF(AND(FQ43=FQ$2,FR43=FR$2),3,IF(AND(FQ$2&gt;FR$2,FQ43&gt;FR43),1,IF(AND(FR$2&gt;FQ$2,FR43&gt;FQ43),1,IF(AND(FQ$2=FR$2,FQ43=FR43),1,0)))))</f>
        <v/>
      </c>
      <c r="FT43" s="1" t="n">
        <f aca="false">Participantes!DO42</f>
        <v>0</v>
      </c>
      <c r="FU43" s="1" t="n">
        <f aca="false">Participantes!DP42</f>
        <v>0</v>
      </c>
      <c r="FV43" s="82" t="str">
        <f aca="false">IF(FT$2="","",IF(AND(FT43=FT$2,FU43=FU$2),3,IF(AND(FT$2&gt;FU$2,FT43&gt;FU43),1,IF(AND(FU$2&gt;FT$2,FU43&gt;FT43),1,IF(AND(FT$2=FU$2,FT43=FU43),1,0)))))</f>
        <v/>
      </c>
      <c r="FW43" s="1" t="n">
        <f aca="false">Participantes!DQ42</f>
        <v>0</v>
      </c>
      <c r="FX43" s="1" t="n">
        <f aca="false">Participantes!DR42</f>
        <v>0</v>
      </c>
      <c r="FY43" s="82" t="str">
        <f aca="false">IF(FW$2="","",IF(AND(FW43=FW$2,FX43=FX$2),3,IF(AND(FW$2&gt;FX$2,FW43&gt;FX43),1,IF(AND(FX$2&gt;FW$2,FX43&gt;FW43),1,IF(AND(FW$2=FX$2,FW43=FX43),1,0)))))</f>
        <v/>
      </c>
      <c r="FZ43" s="1" t="n">
        <f aca="false">Participantes!DS42</f>
        <v>0</v>
      </c>
      <c r="GA43" s="1" t="n">
        <f aca="false">Participantes!DT42</f>
        <v>0</v>
      </c>
      <c r="GB43" s="82" t="str">
        <f aca="false">IF(FZ$2="","",IF(AND(FZ43=FZ$2,GA43=GA$2),3,IF(AND(FZ$2&gt;GA$2,FZ43&gt;GA43),1,IF(AND(GA$2&gt;FZ$2,GA43&gt;FZ43),1,IF(AND(FZ$2=GA$2,FZ43=GA43),1,0)))))</f>
        <v/>
      </c>
      <c r="GC43" s="1" t="n">
        <f aca="false">Participantes!DU42</f>
        <v>0</v>
      </c>
      <c r="GD43" s="1" t="n">
        <f aca="false">Participantes!DV42</f>
        <v>0</v>
      </c>
      <c r="GE43" s="82" t="str">
        <f aca="false">IF(GC$2="","",IF(AND(GC43=GC$2,GD43=GD$2),3,IF(AND(GC$2&gt;GD$2,GC43&gt;GD43),1,IF(AND(GD$2&gt;GC$2,GD43&gt;GC43),1,IF(AND(GC$2=GD$2,GC43=GD43),1,0)))))</f>
        <v/>
      </c>
      <c r="GF43" s="1" t="n">
        <f aca="false">Participantes!DW42</f>
        <v>0</v>
      </c>
      <c r="GG43" s="1" t="n">
        <f aca="false">Participantes!DX42</f>
        <v>0</v>
      </c>
      <c r="GH43" s="82" t="str">
        <f aca="false">IF(GF$2="","",IF(AND(GF43=GF$2,GG43=GG$2),3,IF(AND(GF$2&gt;GG$2,GF43&gt;GG43),1,IF(AND(GG$2&gt;GF$2,GG43&gt;GF43),1,IF(AND(GF$2=GG$2,GF43=GG43),1,0)))))</f>
        <v/>
      </c>
      <c r="GI43" s="1" t="n">
        <f aca="false">Participantes!DY42</f>
        <v>0</v>
      </c>
      <c r="GJ43" s="1" t="n">
        <f aca="false">Participantes!DZ42</f>
        <v>0</v>
      </c>
      <c r="GK43" s="82" t="str">
        <f aca="false">IF(GI$2="","",IF(AND(GI43=GI$2,GJ43=GJ$2),3,IF(AND(GI$2&gt;GJ$2,GI43&gt;GJ43),1,IF(AND(GJ$2&gt;GI$2,GJ43&gt;GI43),1,IF(AND(GI$2=GJ$2,GI43=GJ43),1,0)))))</f>
        <v/>
      </c>
      <c r="GL43" s="1" t="n">
        <f aca="false">Participantes!EA42</f>
        <v>0</v>
      </c>
      <c r="GM43" s="1" t="n">
        <f aca="false">Participantes!EB42</f>
        <v>0</v>
      </c>
      <c r="GN43" s="82" t="str">
        <f aca="false">IF(GL$2="","",IF(AND(GL43=GL$2,GM43=GM$2),3,IF(AND(GL$2&gt;GM$2,GL43&gt;GM43),1,IF(AND(GM$2&gt;GL$2,GM43&gt;GL43),1,IF(AND(GL$2=GM$2,GL43=GM43),1,0)))))</f>
        <v/>
      </c>
      <c r="GO43" s="1" t="n">
        <f aca="false">Participantes!EC42</f>
        <v>0</v>
      </c>
      <c r="GP43" s="1" t="n">
        <f aca="false">Participantes!ED42</f>
        <v>0</v>
      </c>
      <c r="GQ43" s="82" t="str">
        <f aca="false">IF(GO$2="","",IF(AND(GO43=GO$2,GP43=GP$2),3,IF(AND(GO$2&gt;GP$2,GO43&gt;GP43),1,IF(AND(GP$2&gt;GO$2,GP43&gt;GO43),1,IF(AND(GO$2=GP$2,GO43=GP43),1,0)))))</f>
        <v/>
      </c>
      <c r="GR43" s="1" t="n">
        <f aca="false">Participantes!EE42</f>
        <v>0</v>
      </c>
      <c r="GS43" s="1" t="n">
        <f aca="false">Participantes!EF42</f>
        <v>0</v>
      </c>
      <c r="GT43" s="82" t="str">
        <f aca="false">IF(GR$2="","",IF(AND(GR43=GR$2,GS43=GS$2),3,IF(AND(GR$2&gt;GS$2,GR43&gt;GS43),1,IF(AND(GS$2&gt;GR$2,GS43&gt;GR43),1,IF(AND(GR$2=GS$2,GR43=GS43),1,0)))))</f>
        <v/>
      </c>
      <c r="GU43" s="1" t="n">
        <f aca="false">Participantes!EG42</f>
        <v>0</v>
      </c>
      <c r="GV43" s="1" t="n">
        <f aca="false">Participantes!EH42</f>
        <v>0</v>
      </c>
      <c r="GW43" s="82" t="str">
        <f aca="false">IF(GU$2="","",IF(AND(GU43=GU$2,GV43=GV$2),3,IF(AND(GU$2&gt;GV$2,GU43&gt;GV43),1,IF(AND(GV$2&gt;GU$2,GV43&gt;GU43),1,IF(AND(GU$2=GV$2,GU43=GV43),1,0)))))</f>
        <v/>
      </c>
      <c r="GX43" s="1" t="n">
        <f aca="false">Participantes!EI42</f>
        <v>0</v>
      </c>
      <c r="GY43" s="1" t="n">
        <f aca="false">Participantes!EJ42</f>
        <v>0</v>
      </c>
      <c r="GZ43" s="82" t="str">
        <f aca="false">IF(GX$2="","",IF(AND(GX43=GX$2,GY43=GY$2),3,IF(AND(GX$2&gt;GY$2,GX43&gt;GY43),1,IF(AND(GY$2&gt;GX$2,GY43&gt;GX43),1,IF(AND(GX$2=GY$2,GX43=GY43),1,0)))))</f>
        <v/>
      </c>
      <c r="HA43" s="1" t="n">
        <f aca="false">Participantes!EK42</f>
        <v>0</v>
      </c>
      <c r="HB43" s="1" t="n">
        <f aca="false">Participantes!EL42</f>
        <v>0</v>
      </c>
      <c r="HC43" s="82" t="str">
        <f aca="false">IF(HA$2="","",IF(AND(HA43=HA$2,HB43=HB$2),3,IF(AND(HA$2&gt;HB$2,HA43&gt;HB43),1,IF(AND(HB$2&gt;HA$2,HB43&gt;HA43),1,IF(AND(HA$2=HB$2,HA43=HB43),1,0)))))</f>
        <v/>
      </c>
      <c r="HD43" s="1" t="n">
        <f aca="false">Participantes!EM42</f>
        <v>0</v>
      </c>
      <c r="HE43" s="1" t="n">
        <f aca="false">Participantes!EN42</f>
        <v>0</v>
      </c>
      <c r="HF43" s="82" t="str">
        <f aca="false">IF(HD$2="","",IF(AND(HD43=HD$2,HE43=HE$2),3,IF(AND(HD$2&gt;HE$2,HD43&gt;HE43),1,IF(AND(HE$2&gt;HD$2,HE43&gt;HD43),1,IF(AND(HD$2=HE$2,HD43=HE43),1,0)))))</f>
        <v/>
      </c>
      <c r="HG43" s="1" t="n">
        <f aca="false">Participantes!EO42</f>
        <v>0</v>
      </c>
      <c r="HH43" s="1" t="n">
        <f aca="false">Participantes!EP42</f>
        <v>0</v>
      </c>
      <c r="HI43" s="82" t="str">
        <f aca="false">IF(HG$2="","",IF(AND(HG43=HG$2,HH43=HH$2),3,IF(AND(HG$2&gt;HH$2,HG43&gt;HH43),1,IF(AND(HH$2&gt;HG$2,HH43&gt;HG43),1,IF(AND(HG$2=HH$2,HG43=HH43),1,0)))))</f>
        <v/>
      </c>
      <c r="HJ43" s="83" t="n">
        <f aca="false">SUM(D43,G43,J43,M43,P43,S43,V43,Y43,AB43,AE43,AH43,AK43,AN43,AQ43,AT43,AW43,AZ43,BC43,BF43,BI43,BL43,BO43,BR43,BU43,BX43,CA43,CD43,CG43,CJ43,CM43,CP43,CS43,CV43,CY43,DB43,DE43,DH43,DK43,DN43,DQ43,DT43,DW43,DZ43,EC43,EF43,EI43,EL43,EO43,ER43,EU43,EX43,FA43,FD43,FG43,FJ43,FM43,FP43,FS43,FV43,FY43,GB43,GE43,GH43,GK43,GN43,GQ43,GT43,GW43,GZ43,HC43,HF43,HI43)</f>
        <v>1</v>
      </c>
    </row>
    <row r="44" customFormat="false" ht="15" hidden="false" customHeight="true" outlineLevel="0" collapsed="false">
      <c r="A44" s="81" t="str">
        <f aca="false">Participantes!B43</f>
        <v>Osvaldo</v>
      </c>
      <c r="B44" s="1" t="n">
        <f aca="false">Participantes!C43</f>
        <v>2</v>
      </c>
      <c r="C44" s="1" t="n">
        <f aca="false">Participantes!D43</f>
        <v>1</v>
      </c>
      <c r="D44" s="82" t="n">
        <f aca="false">IF(B$2="","",IF(AND(B44=B$2,C44=C$2),3,IF(AND(B$2&gt;C$2,B44&gt;C44),1,IF(AND(C$2&gt;B$2,C44&gt;B44),1,IF(AND(B$2=C$2,B44=C44),1,0)))))</f>
        <v>1</v>
      </c>
      <c r="E44" s="1" t="n">
        <f aca="false">Participantes!E43</f>
        <v>2</v>
      </c>
      <c r="F44" s="1" t="n">
        <f aca="false">Participantes!F43</f>
        <v>1</v>
      </c>
      <c r="G44" s="82" t="str">
        <f aca="false">IF(E$2="","",IF(AND(E44=E$2,F44=F$2),3,IF(AND(E$2&gt;F$2,E44&gt;F44),1,IF(AND(F$2&gt;E$2,F44&gt;E44),1,IF(AND(E$2=F$2,E44=F44),1,0)))))</f>
        <v/>
      </c>
      <c r="H44" s="1" t="n">
        <f aca="false">Participantes!G43</f>
        <v>2</v>
      </c>
      <c r="I44" s="1" t="n">
        <f aca="false">Participantes!H43</f>
        <v>1</v>
      </c>
      <c r="J44" s="82" t="str">
        <f aca="false">IF(H$2="","",IF(AND(H44=H$2,I44=I$2),3,IF(AND(H$2&gt;I$2,H44&gt;I44),1,IF(AND(I$2&gt;H$2,I44&gt;H44),1,IF(AND(H$2=I$2,H44=I44),1,0)))))</f>
        <v/>
      </c>
      <c r="K44" s="1" t="n">
        <f aca="false">Participantes!I43</f>
        <v>2</v>
      </c>
      <c r="L44" s="1" t="n">
        <f aca="false">Participantes!J43</f>
        <v>1</v>
      </c>
      <c r="M44" s="82" t="str">
        <f aca="false">IF(K$2="","",IF(AND(K44=K$2,L44=L$2),3,IF(AND(K$2&gt;L$2,K44&gt;L44),1,IF(AND(L$2&gt;K$2,L44&gt;K44),1,IF(AND(K$2=L$2,K44=L44),1,0)))))</f>
        <v/>
      </c>
      <c r="N44" s="1" t="n">
        <f aca="false">Participantes!K43</f>
        <v>1</v>
      </c>
      <c r="O44" s="1" t="n">
        <f aca="false">Participantes!L43</f>
        <v>1</v>
      </c>
      <c r="P44" s="82" t="str">
        <f aca="false">IF(N$2="","",IF(AND(N44=N$2,O44=O$2),3,IF(AND(N$2&gt;O$2,N44&gt;O44),1,IF(AND(O$2&gt;N$2,O44&gt;N44),1,IF(AND(N$2=O$2,N44=O44),1,0)))))</f>
        <v/>
      </c>
      <c r="Q44" s="1" t="n">
        <f aca="false">Participantes!M43</f>
        <v>0</v>
      </c>
      <c r="R44" s="1" t="n">
        <f aca="false">Participantes!N43</f>
        <v>2</v>
      </c>
      <c r="S44" s="82" t="str">
        <f aca="false">IF(Q$2="","",IF(AND(Q44=Q$2,R44=R$2),3,IF(AND(Q$2&gt;R$2,Q44&gt;R44),1,IF(AND(R$2&gt;Q$2,R44&gt;Q44),1,IF(AND(Q$2=R$2,Q44=R44),1,0)))))</f>
        <v/>
      </c>
      <c r="T44" s="1" t="n">
        <f aca="false">Participantes!O43</f>
        <v>3</v>
      </c>
      <c r="U44" s="1" t="n">
        <f aca="false">Participantes!P43</f>
        <v>2</v>
      </c>
      <c r="V44" s="82" t="str">
        <f aca="false">IF(T$2="","",IF(AND(T44=T$2,U44=U$2),3,IF(AND(T$2&gt;U$2,T44&gt;U44),1,IF(AND(U$2&gt;T$2,U44&gt;T44),1,IF(AND(T$2=U$2,T44=U44),1,0)))))</f>
        <v/>
      </c>
      <c r="W44" s="1" t="n">
        <f aca="false">Participantes!Q43</f>
        <v>1</v>
      </c>
      <c r="X44" s="1" t="n">
        <f aca="false">Participantes!R43</f>
        <v>1</v>
      </c>
      <c r="Y44" s="82" t="str">
        <f aca="false">IF(W$2="","",IF(AND(W44=W$2,X44=X$2),3,IF(AND(W$2&gt;X$2,W44&gt;X44),1,IF(AND(X$2&gt;W$2,X44&gt;W44),1,IF(AND(W$2=X$2,W44=X44),1,0)))))</f>
        <v/>
      </c>
      <c r="Z44" s="1" t="n">
        <f aca="false">Participantes!S43</f>
        <v>1</v>
      </c>
      <c r="AA44" s="1" t="n">
        <f aca="false">Participantes!T43</f>
        <v>3</v>
      </c>
      <c r="AB44" s="82" t="str">
        <f aca="false">IF(Z$2="","",IF(AND(Z44=Z$2,AA44=AA$2),3,IF(AND(Z$2&gt;AA$2,Z44&gt;AA44),1,IF(AND(AA$2&gt;Z$2,AA44&gt;Z44),1,IF(AND(Z$2=AA$2,Z44=AA44),1,0)))))</f>
        <v/>
      </c>
      <c r="AC44" s="1" t="n">
        <f aca="false">Participantes!U43</f>
        <v>3</v>
      </c>
      <c r="AD44" s="1" t="n">
        <f aca="false">Participantes!V43</f>
        <v>1</v>
      </c>
      <c r="AE44" s="82" t="str">
        <f aca="false">IF(AC$2="","",IF(AND(AC44=AC$2,AD44=AD$2),3,IF(AND(AC$2&gt;AD$2,AC44&gt;AD44),1,IF(AND(AD$2&gt;AC$2,AD44&gt;AC44),1,IF(AND(AC$2=AD$2,AC44=AD44),1,0)))))</f>
        <v/>
      </c>
      <c r="AF44" s="1" t="n">
        <f aca="false">Participantes!W43</f>
        <v>2</v>
      </c>
      <c r="AG44" s="1" t="n">
        <f aca="false">Participantes!X43</f>
        <v>0</v>
      </c>
      <c r="AH44" s="82" t="str">
        <f aca="false">IF(AF$2="","",IF(AND(AF44=AF$2,AG44=AG$2),3,IF(AND(AF$2&gt;AG$2,AF44&gt;AG44),1,IF(AND(AG$2&gt;AF$2,AG44&gt;AF44),1,IF(AND(AF$2=AG$2,AF44=AG44),1,0)))))</f>
        <v/>
      </c>
      <c r="AI44" s="1" t="n">
        <f aca="false">Participantes!Y43</f>
        <v>3</v>
      </c>
      <c r="AJ44" s="1" t="n">
        <f aca="false">Participantes!Z43</f>
        <v>1</v>
      </c>
      <c r="AK44" s="82" t="str">
        <f aca="false">IF(AI$2="","",IF(AND(AI44=AI$2,AJ44=AJ$2),3,IF(AND(AI$2&gt;AJ$2,AI44&gt;AJ44),1,IF(AND(AJ$2&gt;AI$2,AJ44&gt;AI44),1,IF(AND(AI$2=AJ$2,AI44=AJ44),1,0)))))</f>
        <v/>
      </c>
      <c r="AL44" s="1" t="n">
        <f aca="false">Participantes!AA43</f>
        <v>0</v>
      </c>
      <c r="AM44" s="1" t="n">
        <f aca="false">Participantes!AB43</f>
        <v>1</v>
      </c>
      <c r="AN44" s="82" t="str">
        <f aca="false">IF(AL$2="","",IF(AND(AL44=AL$2,AM44=AM$2),3,IF(AND(AL$2&gt;AM$2,AL44&gt;AM44),1,IF(AND(AM$2&gt;AL$2,AM44&gt;AL44),1,IF(AND(AL$2=AM$2,AL44=AM44),1,0)))))</f>
        <v/>
      </c>
      <c r="AO44" s="1" t="n">
        <f aca="false">Participantes!AC43</f>
        <v>4</v>
      </c>
      <c r="AP44" s="1" t="n">
        <f aca="false">Participantes!AD43</f>
        <v>0</v>
      </c>
      <c r="AQ44" s="82" t="str">
        <f aca="false">IF(AO$2="","",IF(AND(AO44=AO$2,AP44=AP$2),3,IF(AND(AO$2&gt;AP$2,AO44&gt;AP44),1,IF(AND(AP$2&gt;AO$2,AP44&gt;AO44),1,IF(AND(AO$2=AP$2,AO44=AP44),1,0)))))</f>
        <v/>
      </c>
      <c r="AR44" s="1" t="n">
        <f aca="false">Participantes!AE43</f>
        <v>0</v>
      </c>
      <c r="AS44" s="1" t="n">
        <f aca="false">Participantes!AF43</f>
        <v>0</v>
      </c>
      <c r="AT44" s="82" t="str">
        <f aca="false">IF(AR$2="","",IF(AND(AR44=AR$2,AS44=AS$2),3,IF(AND(AR$2&gt;AS$2,AR44&gt;AS44),1,IF(AND(AS$2&gt;AR$2,AS44&gt;AR44),1,IF(AND(AR$2=AS$2,AR44=AS44),1,0)))))</f>
        <v/>
      </c>
      <c r="AU44" s="1" t="n">
        <f aca="false">Participantes!AG43</f>
        <v>0</v>
      </c>
      <c r="AV44" s="1" t="n">
        <f aca="false">Participantes!AH43</f>
        <v>0</v>
      </c>
      <c r="AW44" s="82" t="str">
        <f aca="false">IF(AU$2="","",IF(AND(AU44=AU$2,AV44=AV$2),3,IF(AND(AU$2&gt;AV$2,AU44&gt;AV44),1,IF(AND(AV$2&gt;AU$2,AV44&gt;AU44),1,IF(AND(AU$2=AV$2,AU44=AV44),1,0)))))</f>
        <v/>
      </c>
      <c r="AX44" s="1" t="n">
        <f aca="false">Participantes!AI43</f>
        <v>0</v>
      </c>
      <c r="AY44" s="1" t="n">
        <f aca="false">Participantes!AJ43</f>
        <v>0</v>
      </c>
      <c r="AZ44" s="82" t="str">
        <f aca="false">IF(AX$2="","",IF(AND(AX44=AX$2,AY44=AY$2),3,IF(AND(AX$2&gt;AY$2,AX44&gt;AY44),1,IF(AND(AY$2&gt;AX$2,AY44&gt;AX44),1,IF(AND(AX$2=AY$2,AX44=AY44),1,0)))))</f>
        <v/>
      </c>
      <c r="BA44" s="1" t="n">
        <f aca="false">Participantes!AK43</f>
        <v>0</v>
      </c>
      <c r="BB44" s="1" t="n">
        <f aca="false">Participantes!AL43</f>
        <v>0</v>
      </c>
      <c r="BC44" s="82" t="str">
        <f aca="false">IF(BA$2="","",IF(AND(BA44=BA$2,BB44=BB$2),3,IF(AND(BA$2&gt;BB$2,BA44&gt;BB44),1,IF(AND(BB$2&gt;BA$2,BB44&gt;BA44),1,IF(AND(BA$2=BB$2,BA44=BB44),1,0)))))</f>
        <v/>
      </c>
      <c r="BD44" s="1" t="n">
        <f aca="false">Participantes!AM43</f>
        <v>0</v>
      </c>
      <c r="BE44" s="1" t="n">
        <f aca="false">Participantes!AN43</f>
        <v>0</v>
      </c>
      <c r="BF44" s="82" t="str">
        <f aca="false">IF(BD$2="","",IF(AND(BD44=BD$2,BE44=BE$2),3,IF(AND(BD$2&gt;BE$2,BD44&gt;BE44),1,IF(AND(BE$2&gt;BD$2,BE44&gt;BD44),1,IF(AND(BD$2=BE$2,BD44=BE44),1,0)))))</f>
        <v/>
      </c>
      <c r="BG44" s="1" t="n">
        <f aca="false">Participantes!AO43</f>
        <v>0</v>
      </c>
      <c r="BH44" s="1" t="n">
        <f aca="false">Participantes!AP43</f>
        <v>0</v>
      </c>
      <c r="BI44" s="82" t="str">
        <f aca="false">IF(BG$2="","",IF(AND(BG44=BG$2,BH44=BH$2),3,IF(AND(BG$2&gt;BH$2,BG44&gt;BH44),1,IF(AND(BH$2&gt;BG$2,BH44&gt;BG44),1,IF(AND(BG$2=BH$2,BG44=BH44),1,0)))))</f>
        <v/>
      </c>
      <c r="BJ44" s="1" t="n">
        <f aca="false">Participantes!AQ43</f>
        <v>0</v>
      </c>
      <c r="BK44" s="1" t="n">
        <f aca="false">Participantes!AR43</f>
        <v>0</v>
      </c>
      <c r="BL44" s="82" t="str">
        <f aca="false">IF(BJ$2="","",IF(AND(BJ44=BJ$2,BK44=BK$2),3,IF(AND(BJ$2&gt;BK$2,BJ44&gt;BK44),1,IF(AND(BK$2&gt;BJ$2,BK44&gt;BJ44),1,IF(AND(BJ$2=BK$2,BJ44=BK44),1,0)))))</f>
        <v/>
      </c>
      <c r="BM44" s="1" t="n">
        <f aca="false">Participantes!AS43</f>
        <v>0</v>
      </c>
      <c r="BN44" s="1" t="n">
        <f aca="false">Participantes!AT43</f>
        <v>0</v>
      </c>
      <c r="BO44" s="82" t="str">
        <f aca="false">IF(BM$2="","",IF(AND(BM44=BM$2,BN44=BN$2),3,IF(AND(BM$2&gt;BN$2,BM44&gt;BN44),1,IF(AND(BN$2&gt;BM$2,BN44&gt;BM44),1,IF(AND(BM$2=BN$2,BM44=BN44),1,0)))))</f>
        <v/>
      </c>
      <c r="BP44" s="1" t="n">
        <f aca="false">Participantes!AU43</f>
        <v>0</v>
      </c>
      <c r="BQ44" s="1" t="n">
        <f aca="false">Participantes!AV43</f>
        <v>0</v>
      </c>
      <c r="BR44" s="82" t="str">
        <f aca="false">IF(BP$2="","",IF(AND(BP44=BP$2,BQ44=BQ$2),3,IF(AND(BP$2&gt;BQ$2,BP44&gt;BQ44),1,IF(AND(BQ$2&gt;BP$2,BQ44&gt;BP44),1,IF(AND(BP$2=BQ$2,BP44=BQ44),1,0)))))</f>
        <v/>
      </c>
      <c r="BS44" s="1" t="n">
        <f aca="false">Participantes!AW43</f>
        <v>0</v>
      </c>
      <c r="BT44" s="1" t="n">
        <f aca="false">Participantes!AX43</f>
        <v>0</v>
      </c>
      <c r="BU44" s="82" t="str">
        <f aca="false">IF(BS$2="","",IF(AND(BS44=BS$2,BT44=BT$2),3,IF(AND(BS$2&gt;BT$2,BS44&gt;BT44),1,IF(AND(BT$2&gt;BS$2,BT44&gt;BS44),1,IF(AND(BS$2=BT$2,BS44=BT44),1,0)))))</f>
        <v/>
      </c>
      <c r="BV44" s="1" t="n">
        <f aca="false">Participantes!AY43</f>
        <v>0</v>
      </c>
      <c r="BW44" s="1" t="n">
        <f aca="false">Participantes!AZ43</f>
        <v>0</v>
      </c>
      <c r="BX44" s="82" t="str">
        <f aca="false">IF(BV$2="","",IF(AND(BV44=BV$2,BW44=BW$2),3,IF(AND(BV$2&gt;BW$2,BV44&gt;BW44),1,IF(AND(BW$2&gt;BV$2,BW44&gt;BV44),1,IF(AND(BV$2=BW$2,BV44=BW44),1,0)))))</f>
        <v/>
      </c>
      <c r="BY44" s="1" t="n">
        <f aca="false">Participantes!BA43</f>
        <v>0</v>
      </c>
      <c r="BZ44" s="1" t="n">
        <f aca="false">Participantes!BB43</f>
        <v>0</v>
      </c>
      <c r="CA44" s="82" t="str">
        <f aca="false">IF(BY$2="","",IF(AND(BY44=BY$2,BZ44=BZ$2),3,IF(AND(BY$2&gt;BZ$2,BY44&gt;BZ44),1,IF(AND(BZ$2&gt;BY$2,BZ44&gt;BY44),1,IF(AND(BY$2=BZ$2,BY44=BZ44),1,0)))))</f>
        <v/>
      </c>
      <c r="CB44" s="1" t="n">
        <f aca="false">Participantes!BC43</f>
        <v>0</v>
      </c>
      <c r="CC44" s="1" t="n">
        <f aca="false">Participantes!BD43</f>
        <v>0</v>
      </c>
      <c r="CD44" s="82" t="str">
        <f aca="false">IF(CB$2="","",IF(AND(CB44=CB$2,CC44=CC$2),3,IF(AND(CB$2&gt;CC$2,CB44&gt;CC44),1,IF(AND(CC$2&gt;CB$2,CC44&gt;CB44),1,IF(AND(CB$2=CC$2,CB44=CC44),1,0)))))</f>
        <v/>
      </c>
      <c r="CE44" s="1" t="n">
        <f aca="false">Participantes!BE43</f>
        <v>0</v>
      </c>
      <c r="CF44" s="1" t="n">
        <f aca="false">Participantes!BF43</f>
        <v>0</v>
      </c>
      <c r="CG44" s="82" t="str">
        <f aca="false">IF(CE$2="","",IF(AND(CE44=CE$2,CF44=CF$2),3,IF(AND(CE$2&gt;CF$2,CE44&gt;CF44),1,IF(AND(CF$2&gt;CE$2,CF44&gt;CE44),1,IF(AND(CE$2=CF$2,CE44=CF44),1,0)))))</f>
        <v/>
      </c>
      <c r="CH44" s="1" t="n">
        <f aca="false">Participantes!BG43</f>
        <v>0</v>
      </c>
      <c r="CI44" s="1" t="n">
        <f aca="false">Participantes!BH43</f>
        <v>0</v>
      </c>
      <c r="CJ44" s="82" t="str">
        <f aca="false">IF(CH$2="","",IF(AND(CH44=CH$2,CI44=CI$2),3,IF(AND(CH$2&gt;CI$2,CH44&gt;CI44),1,IF(AND(CI$2&gt;CH$2,CI44&gt;CH44),1,IF(AND(CH$2=CI$2,CH44=CI44),1,0)))))</f>
        <v/>
      </c>
      <c r="CK44" s="1" t="n">
        <f aca="false">Participantes!BI43</f>
        <v>0</v>
      </c>
      <c r="CL44" s="1" t="n">
        <f aca="false">Participantes!BJ43</f>
        <v>0</v>
      </c>
      <c r="CM44" s="82" t="str">
        <f aca="false">IF(CK$2="","",IF(AND(CK44=CK$2,CL44=CL$2),3,IF(AND(CK$2&gt;CL$2,CK44&gt;CL44),1,IF(AND(CL$2&gt;CK$2,CL44&gt;CK44),1,IF(AND(CK$2=CL$2,CK44=CL44),1,0)))))</f>
        <v/>
      </c>
      <c r="CN44" s="1" t="n">
        <f aca="false">Participantes!BK43</f>
        <v>0</v>
      </c>
      <c r="CO44" s="1" t="n">
        <f aca="false">Participantes!BL43</f>
        <v>0</v>
      </c>
      <c r="CP44" s="82" t="str">
        <f aca="false">IF(CN$2="","",IF(AND(CN44=CN$2,CO44=CO$2),3,IF(AND(CN$2&gt;CO$2,CN44&gt;CO44),1,IF(AND(CO$2&gt;CN$2,CO44&gt;CN44),1,IF(AND(CN$2=CO$2,CN44=CO44),1,0)))))</f>
        <v/>
      </c>
      <c r="CQ44" s="1" t="n">
        <f aca="false">Participantes!BM43</f>
        <v>0</v>
      </c>
      <c r="CR44" s="1" t="n">
        <f aca="false">Participantes!BN43</f>
        <v>0</v>
      </c>
      <c r="CS44" s="82" t="str">
        <f aca="false">IF(CQ$2="","",IF(AND(CQ44=CQ$2,CR44=CR$2),3,IF(AND(CQ$2&gt;CR$2,CQ44&gt;CR44),1,IF(AND(CR$2&gt;CQ$2,CR44&gt;CQ44),1,IF(AND(CQ$2=CR$2,CQ44=CR44),1,0)))))</f>
        <v/>
      </c>
      <c r="CT44" s="1" t="n">
        <f aca="false">Participantes!BO43</f>
        <v>0</v>
      </c>
      <c r="CU44" s="1" t="n">
        <f aca="false">Participantes!BP43</f>
        <v>0</v>
      </c>
      <c r="CV44" s="82" t="str">
        <f aca="false">IF(CT$2="","",IF(AND(CT44=CT$2,CU44=CU$2),3,IF(AND(CT$2&gt;CU$2,CT44&gt;CU44),1,IF(AND(CU$2&gt;CT$2,CU44&gt;CT44),1,IF(AND(CT$2=CU$2,CT44=CU44),1,0)))))</f>
        <v/>
      </c>
      <c r="CW44" s="1" t="n">
        <f aca="false">Participantes!BQ43</f>
        <v>0</v>
      </c>
      <c r="CX44" s="1" t="n">
        <f aca="false">Participantes!BR43</f>
        <v>0</v>
      </c>
      <c r="CY44" s="82" t="str">
        <f aca="false">IF(CW$2="","",IF(AND(CW44=CW$2,CX44=CX$2),3,IF(AND(CW$2&gt;CX$2,CW44&gt;CX44),1,IF(AND(CX$2&gt;CW$2,CX44&gt;CW44),1,IF(AND(CW$2=CX$2,CW44=CX44),1,0)))))</f>
        <v/>
      </c>
      <c r="CZ44" s="1" t="n">
        <f aca="false">Participantes!BS43</f>
        <v>0</v>
      </c>
      <c r="DA44" s="1" t="n">
        <f aca="false">Participantes!BT43</f>
        <v>0</v>
      </c>
      <c r="DB44" s="82" t="str">
        <f aca="false">IF(CZ$2="","",IF(AND(CZ44=CZ$2,DA44=DA$2),3,IF(AND(CZ$2&gt;DA$2,CZ44&gt;DA44),1,IF(AND(DA$2&gt;CZ$2,DA44&gt;CZ44),1,IF(AND(CZ$2=DA$2,CZ44=DA44),1,0)))))</f>
        <v/>
      </c>
      <c r="DC44" s="1" t="n">
        <f aca="false">Participantes!BU43</f>
        <v>0</v>
      </c>
      <c r="DD44" s="1" t="n">
        <f aca="false">Participantes!BV43</f>
        <v>0</v>
      </c>
      <c r="DE44" s="82" t="str">
        <f aca="false">IF(DC$2="","",IF(AND(DC44=DC$2,DD44=DD$2),3,IF(AND(DC$2&gt;DD$2,DC44&gt;DD44),1,IF(AND(DD$2&gt;DC$2,DD44&gt;DC44),1,IF(AND(DC$2=DD$2,DC44=DD44),1,0)))))</f>
        <v/>
      </c>
      <c r="DF44" s="1" t="n">
        <f aca="false">Participantes!BW43</f>
        <v>0</v>
      </c>
      <c r="DG44" s="1" t="n">
        <f aca="false">Participantes!BX43</f>
        <v>0</v>
      </c>
      <c r="DH44" s="82" t="str">
        <f aca="false">IF(DF$2="","",IF(AND(DF44=DF$2,DG44=DG$2),3,IF(AND(DF$2&gt;DG$2,DF44&gt;DG44),1,IF(AND(DG$2&gt;DF$2,DG44&gt;DF44),1,IF(AND(DF$2=DG$2,DF44=DG44),1,0)))))</f>
        <v/>
      </c>
      <c r="DI44" s="1" t="n">
        <f aca="false">Participantes!BY43</f>
        <v>0</v>
      </c>
      <c r="DJ44" s="1" t="n">
        <f aca="false">Participantes!BZ43</f>
        <v>0</v>
      </c>
      <c r="DK44" s="82" t="str">
        <f aca="false">IF(DI$2="","",IF(AND(DI44=DI$2,DJ44=DJ$2),3,IF(AND(DI$2&gt;DJ$2,DI44&gt;DJ44),1,IF(AND(DJ$2&gt;DI$2,DJ44&gt;DI44),1,IF(AND(DI$2=DJ$2,DI44=DJ44),1,0)))))</f>
        <v/>
      </c>
      <c r="DL44" s="1" t="n">
        <f aca="false">Participantes!CA43</f>
        <v>0</v>
      </c>
      <c r="DM44" s="1" t="n">
        <f aca="false">Participantes!CB43</f>
        <v>0</v>
      </c>
      <c r="DN44" s="82" t="str">
        <f aca="false">IF(DL$2="","",IF(AND(DL44=DL$2,DM44=DM$2),3,IF(AND(DL$2&gt;DM$2,DL44&gt;DM44),1,IF(AND(DM$2&gt;DL$2,DM44&gt;DL44),1,IF(AND(DL$2=DM$2,DL44=DM44),1,0)))))</f>
        <v/>
      </c>
      <c r="DO44" s="1" t="n">
        <f aca="false">Participantes!CC43</f>
        <v>0</v>
      </c>
      <c r="DP44" s="1" t="n">
        <f aca="false">Participantes!CD43</f>
        <v>0</v>
      </c>
      <c r="DQ44" s="82" t="str">
        <f aca="false">IF(DO$2="","",IF(AND(DO44=DO$2,DP44=DP$2),3,IF(AND(DO$2&gt;DP$2,DO44&gt;DP44),1,IF(AND(DP$2&gt;DO$2,DP44&gt;DO44),1,IF(AND(DO$2=DP$2,DO44=DP44),1,0)))))</f>
        <v/>
      </c>
      <c r="DR44" s="1" t="n">
        <f aca="false">Participantes!CE43</f>
        <v>0</v>
      </c>
      <c r="DS44" s="1" t="n">
        <f aca="false">Participantes!CF43</f>
        <v>0</v>
      </c>
      <c r="DT44" s="82" t="str">
        <f aca="false">IF(DR$2="","",IF(AND(DR44=DR$2,DS44=DS$2),3,IF(AND(DR$2&gt;DS$2,DR44&gt;DS44),1,IF(AND(DS$2&gt;DR$2,DS44&gt;DR44),1,IF(AND(DR$2=DS$2,DR44=DS44),1,0)))))</f>
        <v/>
      </c>
      <c r="DU44" s="1" t="n">
        <f aca="false">Participantes!CG43</f>
        <v>0</v>
      </c>
      <c r="DV44" s="1" t="n">
        <f aca="false">Participantes!CH43</f>
        <v>0</v>
      </c>
      <c r="DW44" s="82" t="str">
        <f aca="false">IF(DU$2="","",IF(AND(DU44=DU$2,DV44=DV$2),3,IF(AND(DU$2&gt;DV$2,DU44&gt;DV44),1,IF(AND(DV$2&gt;DU$2,DV44&gt;DU44),1,IF(AND(DU$2=DV$2,DU44=DV44),1,0)))))</f>
        <v/>
      </c>
      <c r="DX44" s="1" t="n">
        <f aca="false">Participantes!CI43</f>
        <v>0</v>
      </c>
      <c r="DY44" s="1" t="n">
        <f aca="false">Participantes!CJ43</f>
        <v>0</v>
      </c>
      <c r="DZ44" s="82" t="str">
        <f aca="false">IF(DX$2="","",IF(AND(DX44=DX$2,DY44=DY$2),3,IF(AND(DX$2&gt;DY$2,DX44&gt;DY44),1,IF(AND(DY$2&gt;DX$2,DY44&gt;DX44),1,IF(AND(DX$2=DY$2,DX44=DY44),1,0)))))</f>
        <v/>
      </c>
      <c r="EA44" s="1" t="n">
        <f aca="false">Participantes!CK43</f>
        <v>0</v>
      </c>
      <c r="EB44" s="1" t="n">
        <f aca="false">Participantes!CL43</f>
        <v>0</v>
      </c>
      <c r="EC44" s="82" t="str">
        <f aca="false">IF(EA$2="","",IF(AND(EA44=EA$2,EB44=EB$2),3,IF(AND(EA$2&gt;EB$2,EA44&gt;EB44),1,IF(AND(EB$2&gt;EA$2,EB44&gt;EA44),1,IF(AND(EA$2=EB$2,EA44=EB44),1,0)))))</f>
        <v/>
      </c>
      <c r="ED44" s="1" t="n">
        <f aca="false">Participantes!CM43</f>
        <v>0</v>
      </c>
      <c r="EE44" s="1" t="n">
        <f aca="false">Participantes!CN43</f>
        <v>0</v>
      </c>
      <c r="EF44" s="82" t="str">
        <f aca="false">IF(ED$2="","",IF(AND(ED44=ED$2,EE44=EE$2),3,IF(AND(ED$2&gt;EE$2,ED44&gt;EE44),1,IF(AND(EE$2&gt;ED$2,EE44&gt;ED44),1,IF(AND(ED$2=EE$2,ED44=EE44),1,0)))))</f>
        <v/>
      </c>
      <c r="EG44" s="1" t="n">
        <f aca="false">Participantes!CO43</f>
        <v>0</v>
      </c>
      <c r="EH44" s="1" t="n">
        <f aca="false">Participantes!CP43</f>
        <v>0</v>
      </c>
      <c r="EI44" s="82" t="str">
        <f aca="false">IF(EG$2="","",IF(AND(EG44=EG$2,EH44=EH$2),3,IF(AND(EG$2&gt;EH$2,EG44&gt;EH44),1,IF(AND(EH$2&gt;EG$2,EH44&gt;EG44),1,IF(AND(EG$2=EH$2,EG44=EH44),1,0)))))</f>
        <v/>
      </c>
      <c r="EJ44" s="1" t="n">
        <f aca="false">Participantes!CQ43</f>
        <v>0</v>
      </c>
      <c r="EK44" s="1" t="n">
        <f aca="false">Participantes!CR43</f>
        <v>0</v>
      </c>
      <c r="EL44" s="82" t="str">
        <f aca="false">IF(EJ$2="","",IF(AND(EJ44=EJ$2,EK44=EK$2),3,IF(AND(EJ$2&gt;EK$2,EJ44&gt;EK44),1,IF(AND(EK$2&gt;EJ$2,EK44&gt;EJ44),1,IF(AND(EJ$2=EK$2,EJ44=EK44),1,0)))))</f>
        <v/>
      </c>
      <c r="EM44" s="1" t="n">
        <f aca="false">Participantes!CS43</f>
        <v>0</v>
      </c>
      <c r="EN44" s="1" t="n">
        <f aca="false">Participantes!CT43</f>
        <v>0</v>
      </c>
      <c r="EO44" s="82" t="str">
        <f aca="false">IF(EM$2="","",IF(AND(EM44=EM$2,EN44=EN$2),3,IF(AND(EM$2&gt;EN$2,EM44&gt;EN44),1,IF(AND(EN$2&gt;EM$2,EN44&gt;EM44),1,IF(AND(EM$2=EN$2,EM44=EN44),1,0)))))</f>
        <v/>
      </c>
      <c r="EP44" s="1" t="n">
        <f aca="false">Participantes!CU43</f>
        <v>0</v>
      </c>
      <c r="EQ44" s="1" t="n">
        <f aca="false">Participantes!CV43</f>
        <v>0</v>
      </c>
      <c r="ER44" s="82" t="str">
        <f aca="false">IF(EP$2="","",IF(AND(EP44=EP$2,EQ44=EQ$2),3,IF(AND(EP$2&gt;EQ$2,EP44&gt;EQ44),1,IF(AND(EQ$2&gt;EP$2,EQ44&gt;EP44),1,IF(AND(EP$2=EQ$2,EP44=EQ44),1,0)))))</f>
        <v/>
      </c>
      <c r="ES44" s="1" t="n">
        <f aca="false">Participantes!CW43</f>
        <v>0</v>
      </c>
      <c r="ET44" s="1" t="n">
        <f aca="false">Participantes!CX43</f>
        <v>0</v>
      </c>
      <c r="EU44" s="82" t="str">
        <f aca="false">IF(ES$2="","",IF(AND(ES44=ES$2,ET44=ET$2),3,IF(AND(ES$2&gt;ET$2,ES44&gt;ET44),1,IF(AND(ET$2&gt;ES$2,ET44&gt;ES44),1,IF(AND(ES$2=ET$2,ES44=ET44),1,0)))))</f>
        <v/>
      </c>
      <c r="EV44" s="1" t="n">
        <f aca="false">Participantes!CY43</f>
        <v>0</v>
      </c>
      <c r="EW44" s="1" t="n">
        <f aca="false">Participantes!CZ43</f>
        <v>0</v>
      </c>
      <c r="EX44" s="82" t="str">
        <f aca="false">IF(EV$2="","",IF(AND(EV44=EV$2,EW44=EW$2),3,IF(AND(EV$2&gt;EW$2,EV44&gt;EW44),1,IF(AND(EW$2&gt;EV$2,EW44&gt;EV44),1,IF(AND(EV$2=EW$2,EV44=EW44),1,0)))))</f>
        <v/>
      </c>
      <c r="EY44" s="1" t="n">
        <f aca="false">Participantes!DA43</f>
        <v>0</v>
      </c>
      <c r="EZ44" s="1" t="n">
        <f aca="false">Participantes!DB43</f>
        <v>0</v>
      </c>
      <c r="FA44" s="82" t="str">
        <f aca="false">IF(EY$2="","",IF(AND(EY44=EY$2,EZ44=EZ$2),3,IF(AND(EY$2&gt;EZ$2,EY44&gt;EZ44),1,IF(AND(EZ$2&gt;EY$2,EZ44&gt;EY44),1,IF(AND(EY$2=EZ$2,EY44=EZ44),1,0)))))</f>
        <v/>
      </c>
      <c r="FB44" s="1" t="n">
        <f aca="false">Participantes!DC43</f>
        <v>0</v>
      </c>
      <c r="FC44" s="1" t="n">
        <f aca="false">Participantes!DD43</f>
        <v>0</v>
      </c>
      <c r="FD44" s="82" t="str">
        <f aca="false">IF(FB$2="","",IF(AND(FB44=FB$2,FC44=FC$2),3,IF(AND(FB$2&gt;FC$2,FB44&gt;FC44),1,IF(AND(FC$2&gt;FB$2,FC44&gt;FB44),1,IF(AND(FB$2=FC$2,FB44=FC44),1,0)))))</f>
        <v/>
      </c>
      <c r="FE44" s="1" t="n">
        <f aca="false">Participantes!DE43</f>
        <v>0</v>
      </c>
      <c r="FF44" s="1" t="n">
        <f aca="false">Participantes!DF43</f>
        <v>0</v>
      </c>
      <c r="FG44" s="82" t="str">
        <f aca="false">IF(FE$2="","",IF(AND(FE44=FE$2,FF44=FF$2),3,IF(AND(FE$2&gt;FF$2,FE44&gt;FF44),1,IF(AND(FF$2&gt;FE$2,FF44&gt;FE44),1,IF(AND(FE$2=FF$2,FE44=FF44),1,0)))))</f>
        <v/>
      </c>
      <c r="FH44" s="1" t="n">
        <f aca="false">Participantes!DG43</f>
        <v>0</v>
      </c>
      <c r="FI44" s="1" t="n">
        <f aca="false">Participantes!DH43</f>
        <v>0</v>
      </c>
      <c r="FJ44" s="82" t="str">
        <f aca="false">IF(FH$2="","",IF(AND(FH44=FH$2,FI44=FI$2),3,IF(AND(FH$2&gt;FI$2,FH44&gt;FI44),1,IF(AND(FI$2&gt;FH$2,FI44&gt;FH44),1,IF(AND(FH$2=FI$2,FH44=FI44),1,0)))))</f>
        <v/>
      </c>
      <c r="FK44" s="1" t="n">
        <f aca="false">Participantes!DI43</f>
        <v>0</v>
      </c>
      <c r="FL44" s="1" t="n">
        <f aca="false">Participantes!DJ43</f>
        <v>0</v>
      </c>
      <c r="FM44" s="82" t="str">
        <f aca="false">IF(FK$2="","",IF(AND(FK44=FK$2,FL44=FL$2),3,IF(AND(FK$2&gt;FL$2,FK44&gt;FL44),1,IF(AND(FL$2&gt;FK$2,FL44&gt;FK44),1,IF(AND(FK$2=FL$2,FK44=FL44),1,0)))))</f>
        <v/>
      </c>
      <c r="FN44" s="1" t="n">
        <f aca="false">Participantes!DK43</f>
        <v>0</v>
      </c>
      <c r="FO44" s="1" t="n">
        <f aca="false">Participantes!DL43</f>
        <v>0</v>
      </c>
      <c r="FP44" s="82" t="str">
        <f aca="false">IF(FN$2="","",IF(AND(FN44=FN$2,FO44=FO$2),3,IF(AND(FN$2&gt;FO$2,FN44&gt;FO44),1,IF(AND(FO$2&gt;FN$2,FO44&gt;FN44),1,IF(AND(FN$2=FO$2,FN44=FO44),1,0)))))</f>
        <v/>
      </c>
      <c r="FQ44" s="1" t="n">
        <f aca="false">Participantes!DM43</f>
        <v>0</v>
      </c>
      <c r="FR44" s="1" t="n">
        <f aca="false">Participantes!DN43</f>
        <v>0</v>
      </c>
      <c r="FS44" s="82" t="str">
        <f aca="false">IF(FQ$2="","",IF(AND(FQ44=FQ$2,FR44=FR$2),3,IF(AND(FQ$2&gt;FR$2,FQ44&gt;FR44),1,IF(AND(FR$2&gt;FQ$2,FR44&gt;FQ44),1,IF(AND(FQ$2=FR$2,FQ44=FR44),1,0)))))</f>
        <v/>
      </c>
      <c r="FT44" s="1" t="n">
        <f aca="false">Participantes!DO43</f>
        <v>0</v>
      </c>
      <c r="FU44" s="1" t="n">
        <f aca="false">Participantes!DP43</f>
        <v>0</v>
      </c>
      <c r="FV44" s="82" t="str">
        <f aca="false">IF(FT$2="","",IF(AND(FT44=FT$2,FU44=FU$2),3,IF(AND(FT$2&gt;FU$2,FT44&gt;FU44),1,IF(AND(FU$2&gt;FT$2,FU44&gt;FT44),1,IF(AND(FT$2=FU$2,FT44=FU44),1,0)))))</f>
        <v/>
      </c>
      <c r="FW44" s="1" t="n">
        <f aca="false">Participantes!DQ43</f>
        <v>0</v>
      </c>
      <c r="FX44" s="1" t="n">
        <f aca="false">Participantes!DR43</f>
        <v>0</v>
      </c>
      <c r="FY44" s="82" t="str">
        <f aca="false">IF(FW$2="","",IF(AND(FW44=FW$2,FX44=FX$2),3,IF(AND(FW$2&gt;FX$2,FW44&gt;FX44),1,IF(AND(FX$2&gt;FW$2,FX44&gt;FW44),1,IF(AND(FW$2=FX$2,FW44=FX44),1,0)))))</f>
        <v/>
      </c>
      <c r="FZ44" s="1" t="n">
        <f aca="false">Participantes!DS43</f>
        <v>0</v>
      </c>
      <c r="GA44" s="1" t="n">
        <f aca="false">Participantes!DT43</f>
        <v>0</v>
      </c>
      <c r="GB44" s="82" t="str">
        <f aca="false">IF(FZ$2="","",IF(AND(FZ44=FZ$2,GA44=GA$2),3,IF(AND(FZ$2&gt;GA$2,FZ44&gt;GA44),1,IF(AND(GA$2&gt;FZ$2,GA44&gt;FZ44),1,IF(AND(FZ$2=GA$2,FZ44=GA44),1,0)))))</f>
        <v/>
      </c>
      <c r="GC44" s="1" t="n">
        <f aca="false">Participantes!DU43</f>
        <v>0</v>
      </c>
      <c r="GD44" s="1" t="n">
        <f aca="false">Participantes!DV43</f>
        <v>0</v>
      </c>
      <c r="GE44" s="82" t="str">
        <f aca="false">IF(GC$2="","",IF(AND(GC44=GC$2,GD44=GD$2),3,IF(AND(GC$2&gt;GD$2,GC44&gt;GD44),1,IF(AND(GD$2&gt;GC$2,GD44&gt;GC44),1,IF(AND(GC$2=GD$2,GC44=GD44),1,0)))))</f>
        <v/>
      </c>
      <c r="GF44" s="1" t="n">
        <f aca="false">Participantes!DW43</f>
        <v>0</v>
      </c>
      <c r="GG44" s="1" t="n">
        <f aca="false">Participantes!DX43</f>
        <v>0</v>
      </c>
      <c r="GH44" s="82" t="str">
        <f aca="false">IF(GF$2="","",IF(AND(GF44=GF$2,GG44=GG$2),3,IF(AND(GF$2&gt;GG$2,GF44&gt;GG44),1,IF(AND(GG$2&gt;GF$2,GG44&gt;GF44),1,IF(AND(GF$2=GG$2,GF44=GG44),1,0)))))</f>
        <v/>
      </c>
      <c r="GI44" s="1" t="n">
        <f aca="false">Participantes!DY43</f>
        <v>0</v>
      </c>
      <c r="GJ44" s="1" t="n">
        <f aca="false">Participantes!DZ43</f>
        <v>0</v>
      </c>
      <c r="GK44" s="82" t="str">
        <f aca="false">IF(GI$2="","",IF(AND(GI44=GI$2,GJ44=GJ$2),3,IF(AND(GI$2&gt;GJ$2,GI44&gt;GJ44),1,IF(AND(GJ$2&gt;GI$2,GJ44&gt;GI44),1,IF(AND(GI$2=GJ$2,GI44=GJ44),1,0)))))</f>
        <v/>
      </c>
      <c r="GL44" s="1" t="n">
        <f aca="false">Participantes!EA43</f>
        <v>0</v>
      </c>
      <c r="GM44" s="1" t="n">
        <f aca="false">Participantes!EB43</f>
        <v>0</v>
      </c>
      <c r="GN44" s="82" t="str">
        <f aca="false">IF(GL$2="","",IF(AND(GL44=GL$2,GM44=GM$2),3,IF(AND(GL$2&gt;GM$2,GL44&gt;GM44),1,IF(AND(GM$2&gt;GL$2,GM44&gt;GL44),1,IF(AND(GL$2=GM$2,GL44=GM44),1,0)))))</f>
        <v/>
      </c>
      <c r="GO44" s="1" t="n">
        <f aca="false">Participantes!EC43</f>
        <v>0</v>
      </c>
      <c r="GP44" s="1" t="n">
        <f aca="false">Participantes!ED43</f>
        <v>0</v>
      </c>
      <c r="GQ44" s="82" t="str">
        <f aca="false">IF(GO$2="","",IF(AND(GO44=GO$2,GP44=GP$2),3,IF(AND(GO$2&gt;GP$2,GO44&gt;GP44),1,IF(AND(GP$2&gt;GO$2,GP44&gt;GO44),1,IF(AND(GO$2=GP$2,GO44=GP44),1,0)))))</f>
        <v/>
      </c>
      <c r="GR44" s="1" t="n">
        <f aca="false">Participantes!EE43</f>
        <v>0</v>
      </c>
      <c r="GS44" s="1" t="n">
        <f aca="false">Participantes!EF43</f>
        <v>0</v>
      </c>
      <c r="GT44" s="82" t="str">
        <f aca="false">IF(GR$2="","",IF(AND(GR44=GR$2,GS44=GS$2),3,IF(AND(GR$2&gt;GS$2,GR44&gt;GS44),1,IF(AND(GS$2&gt;GR$2,GS44&gt;GR44),1,IF(AND(GR$2=GS$2,GR44=GS44),1,0)))))</f>
        <v/>
      </c>
      <c r="GU44" s="1" t="n">
        <f aca="false">Participantes!EG43</f>
        <v>0</v>
      </c>
      <c r="GV44" s="1" t="n">
        <f aca="false">Participantes!EH43</f>
        <v>0</v>
      </c>
      <c r="GW44" s="82" t="str">
        <f aca="false">IF(GU$2="","",IF(AND(GU44=GU$2,GV44=GV$2),3,IF(AND(GU$2&gt;GV$2,GU44&gt;GV44),1,IF(AND(GV$2&gt;GU$2,GV44&gt;GU44),1,IF(AND(GU$2=GV$2,GU44=GV44),1,0)))))</f>
        <v/>
      </c>
      <c r="GX44" s="1" t="n">
        <f aca="false">Participantes!EI43</f>
        <v>0</v>
      </c>
      <c r="GY44" s="1" t="n">
        <f aca="false">Participantes!EJ43</f>
        <v>0</v>
      </c>
      <c r="GZ44" s="82" t="str">
        <f aca="false">IF(GX$2="","",IF(AND(GX44=GX$2,GY44=GY$2),3,IF(AND(GX$2&gt;GY$2,GX44&gt;GY44),1,IF(AND(GY$2&gt;GX$2,GY44&gt;GX44),1,IF(AND(GX$2=GY$2,GX44=GY44),1,0)))))</f>
        <v/>
      </c>
      <c r="HA44" s="1" t="n">
        <f aca="false">Participantes!EK43</f>
        <v>0</v>
      </c>
      <c r="HB44" s="1" t="n">
        <f aca="false">Participantes!EL43</f>
        <v>0</v>
      </c>
      <c r="HC44" s="82" t="str">
        <f aca="false">IF(HA$2="","",IF(AND(HA44=HA$2,HB44=HB$2),3,IF(AND(HA$2&gt;HB$2,HA44&gt;HB44),1,IF(AND(HB$2&gt;HA$2,HB44&gt;HA44),1,IF(AND(HA$2=HB$2,HA44=HB44),1,0)))))</f>
        <v/>
      </c>
      <c r="HD44" s="1" t="n">
        <f aca="false">Participantes!EM43</f>
        <v>0</v>
      </c>
      <c r="HE44" s="1" t="n">
        <f aca="false">Participantes!EN43</f>
        <v>0</v>
      </c>
      <c r="HF44" s="82" t="str">
        <f aca="false">IF(HD$2="","",IF(AND(HD44=HD$2,HE44=HE$2),3,IF(AND(HD$2&gt;HE$2,HD44&gt;HE44),1,IF(AND(HE$2&gt;HD$2,HE44&gt;HD44),1,IF(AND(HD$2=HE$2,HD44=HE44),1,0)))))</f>
        <v/>
      </c>
      <c r="HG44" s="1" t="n">
        <f aca="false">Participantes!EO43</f>
        <v>0</v>
      </c>
      <c r="HH44" s="1" t="n">
        <f aca="false">Participantes!EP43</f>
        <v>0</v>
      </c>
      <c r="HI44" s="82" t="str">
        <f aca="false">IF(HG$2="","",IF(AND(HG44=HG$2,HH44=HH$2),3,IF(AND(HG$2&gt;HH$2,HG44&gt;HH44),1,IF(AND(HH$2&gt;HG$2,HH44&gt;HG44),1,IF(AND(HG$2=HH$2,HG44=HH44),1,0)))))</f>
        <v/>
      </c>
      <c r="HJ44" s="83" t="n">
        <f aca="false">SUM(D44,G44,J44,M44,P44,S44,V44,Y44,AB44,AE44,AH44,AK44,AN44,AQ44,AT44,AW44,AZ44,BC44,BF44,BI44,BL44,BO44,BR44,BU44,BX44,CA44,CD44,CG44,CJ44,CM44,CP44,CS44,CV44,CY44,DB44,DE44,DH44,DK44,DN44,DQ44,DT44,DW44,DZ44,EC44,EF44,EI44,EL44,EO44,ER44,EU44,EX44,FA44,FD44,FG44,FJ44,FM44,FP44,FS44,FV44,FY44,GB44,GE44,GH44,GK44,GN44,GQ44,GT44,GW44,GZ44,HC44,HF44,HI44)</f>
        <v>1</v>
      </c>
    </row>
    <row r="45" customFormat="false" ht="15" hidden="false" customHeight="true" outlineLevel="0" collapsed="false">
      <c r="A45" s="81" t="str">
        <f aca="false">Participantes!B44</f>
        <v>Peter</v>
      </c>
      <c r="B45" s="1" t="n">
        <f aca="false">Participantes!C44</f>
        <v>2</v>
      </c>
      <c r="C45" s="1" t="n">
        <f aca="false">Participantes!D44</f>
        <v>0</v>
      </c>
      <c r="D45" s="82" t="n">
        <f aca="false">IF(B$2="","",IF(AND(B45=B$2,C45=C$2),3,IF(AND(B$2&gt;C$2,B45&gt;C45),1,IF(AND(C$2&gt;B$2,C45&gt;B45),1,IF(AND(B$2=C$2,B45=C45),1,0)))))</f>
        <v>3</v>
      </c>
      <c r="E45" s="1" t="n">
        <f aca="false">Participantes!E44</f>
        <v>1</v>
      </c>
      <c r="F45" s="1" t="n">
        <f aca="false">Participantes!F44</f>
        <v>0</v>
      </c>
      <c r="G45" s="82" t="str">
        <f aca="false">IF(E$2="","",IF(AND(E45=E$2,F45=F$2),3,IF(AND(E$2&gt;F$2,E45&gt;F45),1,IF(AND(F$2&gt;E$2,F45&gt;E45),1,IF(AND(E$2=F$2,E45=F45),1,0)))))</f>
        <v/>
      </c>
      <c r="H45" s="1" t="n">
        <f aca="false">Participantes!G44</f>
        <v>1</v>
      </c>
      <c r="I45" s="1" t="n">
        <f aca="false">Participantes!H44</f>
        <v>1</v>
      </c>
      <c r="J45" s="82" t="str">
        <f aca="false">IF(H$2="","",IF(AND(H45=H$2,I45=I$2),3,IF(AND(H$2&gt;I$2,H45&gt;I45),1,IF(AND(I$2&gt;H$2,I45&gt;H45),1,IF(AND(H$2=I$2,H45=I45),1,0)))))</f>
        <v/>
      </c>
      <c r="K45" s="1" t="n">
        <f aca="false">Participantes!I44</f>
        <v>2</v>
      </c>
      <c r="L45" s="1" t="n">
        <f aca="false">Participantes!J44</f>
        <v>2</v>
      </c>
      <c r="M45" s="82" t="str">
        <f aca="false">IF(K$2="","",IF(AND(K45=K$2,L45=L$2),3,IF(AND(K$2&gt;L$2,K45&gt;L45),1,IF(AND(L$2&gt;K$2,L45&gt;K45),1,IF(AND(K$2=L$2,K45=L45),1,0)))))</f>
        <v/>
      </c>
      <c r="N45" s="1" t="n">
        <f aca="false">Participantes!K44</f>
        <v>0</v>
      </c>
      <c r="O45" s="1" t="n">
        <f aca="false">Participantes!L44</f>
        <v>3</v>
      </c>
      <c r="P45" s="82" t="str">
        <f aca="false">IF(N$2="","",IF(AND(N45=N$2,O45=O$2),3,IF(AND(N$2&gt;O$2,N45&gt;O45),1,IF(AND(O$2&gt;N$2,O45&gt;N45),1,IF(AND(N$2=O$2,N45=O45),1,0)))))</f>
        <v/>
      </c>
      <c r="Q45" s="1" t="n">
        <f aca="false">Participantes!M44</f>
        <v>1</v>
      </c>
      <c r="R45" s="1" t="n">
        <f aca="false">Participantes!N44</f>
        <v>2</v>
      </c>
      <c r="S45" s="82" t="str">
        <f aca="false">IF(Q$2="","",IF(AND(Q45=Q$2,R45=R$2),3,IF(AND(Q$2&gt;R$2,Q45&gt;R45),1,IF(AND(R$2&gt;Q$2,R45&gt;Q45),1,IF(AND(Q$2=R$2,Q45=R45),1,0)))))</f>
        <v/>
      </c>
      <c r="T45" s="1" t="n">
        <f aca="false">Participantes!O44</f>
        <v>1</v>
      </c>
      <c r="U45" s="1" t="n">
        <f aca="false">Participantes!P44</f>
        <v>2</v>
      </c>
      <c r="V45" s="82" t="str">
        <f aca="false">IF(T$2="","",IF(AND(T45=T$2,U45=U$2),3,IF(AND(T$2&gt;U$2,T45&gt;U45),1,IF(AND(U$2&gt;T$2,U45&gt;T45),1,IF(AND(T$2=U$2,T45=U45),1,0)))))</f>
        <v/>
      </c>
      <c r="W45" s="1" t="n">
        <f aca="false">Participantes!Q44</f>
        <v>0</v>
      </c>
      <c r="X45" s="1" t="n">
        <f aca="false">Participantes!R44</f>
        <v>2</v>
      </c>
      <c r="Y45" s="82" t="str">
        <f aca="false">IF(W$2="","",IF(AND(W45=W$2,X45=X$2),3,IF(AND(W$2&gt;X$2,W45&gt;X45),1,IF(AND(X$2&gt;W$2,X45&gt;W45),1,IF(AND(W$2=X$2,W45=X45),1,0)))))</f>
        <v/>
      </c>
      <c r="Z45" s="1" t="n">
        <f aca="false">Participantes!S44</f>
        <v>0</v>
      </c>
      <c r="AA45" s="1" t="n">
        <f aca="false">Participantes!T44</f>
        <v>2</v>
      </c>
      <c r="AB45" s="82" t="str">
        <f aca="false">IF(Z$2="","",IF(AND(Z45=Z$2,AA45=AA$2),3,IF(AND(Z$2&gt;AA$2,Z45&gt;AA45),1,IF(AND(AA$2&gt;Z$2,AA45&gt;Z45),1,IF(AND(Z$2=AA$2,Z45=AA45),1,0)))))</f>
        <v/>
      </c>
      <c r="AC45" s="1" t="n">
        <f aca="false">Participantes!U44</f>
        <v>4</v>
      </c>
      <c r="AD45" s="1" t="n">
        <f aca="false">Participantes!V44</f>
        <v>0</v>
      </c>
      <c r="AE45" s="82" t="str">
        <f aca="false">IF(AC$2="","",IF(AND(AC45=AC$2,AD45=AD$2),3,IF(AND(AC$2&gt;AD$2,AC45&gt;AD45),1,IF(AND(AD$2&gt;AC$2,AD45&gt;AC45),1,IF(AND(AC$2=AD$2,AC45=AD45),1,0)))))</f>
        <v/>
      </c>
      <c r="AF45" s="1" t="n">
        <f aca="false">Participantes!W44</f>
        <v>2</v>
      </c>
      <c r="AG45" s="1" t="n">
        <f aca="false">Participantes!X44</f>
        <v>2</v>
      </c>
      <c r="AH45" s="82" t="str">
        <f aca="false">IF(AF$2="","",IF(AND(AF45=AF$2,AG45=AG$2),3,IF(AND(AF$2&gt;AG$2,AF45&gt;AG45),1,IF(AND(AG$2&gt;AF$2,AG45&gt;AF45),1,IF(AND(AF$2=AG$2,AF45=AG45),1,0)))))</f>
        <v/>
      </c>
      <c r="AI45" s="1" t="n">
        <f aca="false">Participantes!Y44</f>
        <v>2</v>
      </c>
      <c r="AJ45" s="1" t="n">
        <f aca="false">Participantes!Z44</f>
        <v>0</v>
      </c>
      <c r="AK45" s="82" t="str">
        <f aca="false">IF(AI$2="","",IF(AND(AI45=AI$2,AJ45=AJ$2),3,IF(AND(AI$2&gt;AJ$2,AI45&gt;AJ45),1,IF(AND(AJ$2&gt;AI$2,AJ45&gt;AI45),1,IF(AND(AI$2=AJ$2,AI45=AJ45),1,0)))))</f>
        <v/>
      </c>
      <c r="AL45" s="1" t="n">
        <f aca="false">Participantes!AA44</f>
        <v>1</v>
      </c>
      <c r="AM45" s="1" t="n">
        <f aca="false">Participantes!AB44</f>
        <v>3</v>
      </c>
      <c r="AN45" s="82" t="str">
        <f aca="false">IF(AL$2="","",IF(AND(AL45=AL$2,AM45=AM$2),3,IF(AND(AL$2&gt;AM$2,AL45&gt;AM45),1,IF(AND(AM$2&gt;AL$2,AM45&gt;AL45),1,IF(AND(AL$2=AM$2,AL45=AM45),1,0)))))</f>
        <v/>
      </c>
      <c r="AO45" s="1" t="n">
        <f aca="false">Participantes!AC44</f>
        <v>3</v>
      </c>
      <c r="AP45" s="1" t="n">
        <f aca="false">Participantes!AD44</f>
        <v>0</v>
      </c>
      <c r="AQ45" s="82" t="str">
        <f aca="false">IF(AO$2="","",IF(AND(AO45=AO$2,AP45=AP$2),3,IF(AND(AO$2&gt;AP$2,AO45&gt;AP45),1,IF(AND(AP$2&gt;AO$2,AP45&gt;AO45),1,IF(AND(AO$2=AP$2,AO45=AP45),1,0)))))</f>
        <v/>
      </c>
      <c r="AR45" s="1" t="n">
        <f aca="false">Participantes!AE44</f>
        <v>0</v>
      </c>
      <c r="AS45" s="1" t="n">
        <f aca="false">Participantes!AF44</f>
        <v>0</v>
      </c>
      <c r="AT45" s="82" t="str">
        <f aca="false">IF(AR$2="","",IF(AND(AR45=AR$2,AS45=AS$2),3,IF(AND(AR$2&gt;AS$2,AR45&gt;AS45),1,IF(AND(AS$2&gt;AR$2,AS45&gt;AR45),1,IF(AND(AR$2=AS$2,AR45=AS45),1,0)))))</f>
        <v/>
      </c>
      <c r="AU45" s="1" t="n">
        <f aca="false">Participantes!AG44</f>
        <v>0</v>
      </c>
      <c r="AV45" s="1" t="n">
        <f aca="false">Participantes!AH44</f>
        <v>0</v>
      </c>
      <c r="AW45" s="82" t="str">
        <f aca="false">IF(AU$2="","",IF(AND(AU45=AU$2,AV45=AV$2),3,IF(AND(AU$2&gt;AV$2,AU45&gt;AV45),1,IF(AND(AV$2&gt;AU$2,AV45&gt;AU45),1,IF(AND(AU$2=AV$2,AU45=AV45),1,0)))))</f>
        <v/>
      </c>
      <c r="AX45" s="1" t="n">
        <f aca="false">Participantes!AI44</f>
        <v>0</v>
      </c>
      <c r="AY45" s="1" t="n">
        <f aca="false">Participantes!AJ44</f>
        <v>0</v>
      </c>
      <c r="AZ45" s="82" t="str">
        <f aca="false">IF(AX$2="","",IF(AND(AX45=AX$2,AY45=AY$2),3,IF(AND(AX$2&gt;AY$2,AX45&gt;AY45),1,IF(AND(AY$2&gt;AX$2,AY45&gt;AX45),1,IF(AND(AX$2=AY$2,AX45=AY45),1,0)))))</f>
        <v/>
      </c>
      <c r="BA45" s="1" t="n">
        <f aca="false">Participantes!AK44</f>
        <v>0</v>
      </c>
      <c r="BB45" s="1" t="n">
        <f aca="false">Participantes!AL44</f>
        <v>0</v>
      </c>
      <c r="BC45" s="82" t="str">
        <f aca="false">IF(BA$2="","",IF(AND(BA45=BA$2,BB45=BB$2),3,IF(AND(BA$2&gt;BB$2,BA45&gt;BB45),1,IF(AND(BB$2&gt;BA$2,BB45&gt;BA45),1,IF(AND(BA$2=BB$2,BA45=BB45),1,0)))))</f>
        <v/>
      </c>
      <c r="BD45" s="1" t="n">
        <f aca="false">Participantes!AM44</f>
        <v>0</v>
      </c>
      <c r="BE45" s="1" t="n">
        <f aca="false">Participantes!AN44</f>
        <v>0</v>
      </c>
      <c r="BF45" s="82" t="str">
        <f aca="false">IF(BD$2="","",IF(AND(BD45=BD$2,BE45=BE$2),3,IF(AND(BD$2&gt;BE$2,BD45&gt;BE45),1,IF(AND(BE$2&gt;BD$2,BE45&gt;BD45),1,IF(AND(BD$2=BE$2,BD45=BE45),1,0)))))</f>
        <v/>
      </c>
      <c r="BG45" s="1" t="n">
        <f aca="false">Participantes!AO44</f>
        <v>0</v>
      </c>
      <c r="BH45" s="1" t="n">
        <f aca="false">Participantes!AP44</f>
        <v>0</v>
      </c>
      <c r="BI45" s="82" t="str">
        <f aca="false">IF(BG$2="","",IF(AND(BG45=BG$2,BH45=BH$2),3,IF(AND(BG$2&gt;BH$2,BG45&gt;BH45),1,IF(AND(BH$2&gt;BG$2,BH45&gt;BG45),1,IF(AND(BG$2=BH$2,BG45=BH45),1,0)))))</f>
        <v/>
      </c>
      <c r="BJ45" s="1" t="n">
        <f aca="false">Participantes!AQ44</f>
        <v>0</v>
      </c>
      <c r="BK45" s="1" t="n">
        <f aca="false">Participantes!AR44</f>
        <v>0</v>
      </c>
      <c r="BL45" s="82" t="str">
        <f aca="false">IF(BJ$2="","",IF(AND(BJ45=BJ$2,BK45=BK$2),3,IF(AND(BJ$2&gt;BK$2,BJ45&gt;BK45),1,IF(AND(BK$2&gt;BJ$2,BK45&gt;BJ45),1,IF(AND(BJ$2=BK$2,BJ45=BK45),1,0)))))</f>
        <v/>
      </c>
      <c r="BM45" s="1" t="n">
        <f aca="false">Participantes!AS44</f>
        <v>0</v>
      </c>
      <c r="BN45" s="1" t="n">
        <f aca="false">Participantes!AT44</f>
        <v>0</v>
      </c>
      <c r="BO45" s="82" t="str">
        <f aca="false">IF(BM$2="","",IF(AND(BM45=BM$2,BN45=BN$2),3,IF(AND(BM$2&gt;BN$2,BM45&gt;BN45),1,IF(AND(BN$2&gt;BM$2,BN45&gt;BM45),1,IF(AND(BM$2=BN$2,BM45=BN45),1,0)))))</f>
        <v/>
      </c>
      <c r="BP45" s="1" t="n">
        <f aca="false">Participantes!AU44</f>
        <v>0</v>
      </c>
      <c r="BQ45" s="1" t="n">
        <f aca="false">Participantes!AV44</f>
        <v>0</v>
      </c>
      <c r="BR45" s="82" t="str">
        <f aca="false">IF(BP$2="","",IF(AND(BP45=BP$2,BQ45=BQ$2),3,IF(AND(BP$2&gt;BQ$2,BP45&gt;BQ45),1,IF(AND(BQ$2&gt;BP$2,BQ45&gt;BP45),1,IF(AND(BP$2=BQ$2,BP45=BQ45),1,0)))))</f>
        <v/>
      </c>
      <c r="BS45" s="1" t="n">
        <f aca="false">Participantes!AW44</f>
        <v>0</v>
      </c>
      <c r="BT45" s="1" t="n">
        <f aca="false">Participantes!AX44</f>
        <v>0</v>
      </c>
      <c r="BU45" s="82" t="str">
        <f aca="false">IF(BS$2="","",IF(AND(BS45=BS$2,BT45=BT$2),3,IF(AND(BS$2&gt;BT$2,BS45&gt;BT45),1,IF(AND(BT$2&gt;BS$2,BT45&gt;BS45),1,IF(AND(BS$2=BT$2,BS45=BT45),1,0)))))</f>
        <v/>
      </c>
      <c r="BV45" s="1" t="n">
        <f aca="false">Participantes!AY44</f>
        <v>0</v>
      </c>
      <c r="BW45" s="1" t="n">
        <f aca="false">Participantes!AZ44</f>
        <v>0</v>
      </c>
      <c r="BX45" s="82" t="str">
        <f aca="false">IF(BV$2="","",IF(AND(BV45=BV$2,BW45=BW$2),3,IF(AND(BV$2&gt;BW$2,BV45&gt;BW45),1,IF(AND(BW$2&gt;BV$2,BW45&gt;BV45),1,IF(AND(BV$2=BW$2,BV45=BW45),1,0)))))</f>
        <v/>
      </c>
      <c r="BY45" s="1" t="n">
        <f aca="false">Participantes!BA44</f>
        <v>0</v>
      </c>
      <c r="BZ45" s="1" t="n">
        <f aca="false">Participantes!BB44</f>
        <v>0</v>
      </c>
      <c r="CA45" s="82" t="str">
        <f aca="false">IF(BY$2="","",IF(AND(BY45=BY$2,BZ45=BZ$2),3,IF(AND(BY$2&gt;BZ$2,BY45&gt;BZ45),1,IF(AND(BZ$2&gt;BY$2,BZ45&gt;BY45),1,IF(AND(BY$2=BZ$2,BY45=BZ45),1,0)))))</f>
        <v/>
      </c>
      <c r="CB45" s="1" t="n">
        <f aca="false">Participantes!BC44</f>
        <v>0</v>
      </c>
      <c r="CC45" s="1" t="n">
        <f aca="false">Participantes!BD44</f>
        <v>0</v>
      </c>
      <c r="CD45" s="82" t="str">
        <f aca="false">IF(CB$2="","",IF(AND(CB45=CB$2,CC45=CC$2),3,IF(AND(CB$2&gt;CC$2,CB45&gt;CC45),1,IF(AND(CC$2&gt;CB$2,CC45&gt;CB45),1,IF(AND(CB$2=CC$2,CB45=CC45),1,0)))))</f>
        <v/>
      </c>
      <c r="CE45" s="1" t="n">
        <f aca="false">Participantes!BE44</f>
        <v>0</v>
      </c>
      <c r="CF45" s="1" t="n">
        <f aca="false">Participantes!BF44</f>
        <v>0</v>
      </c>
      <c r="CG45" s="82" t="str">
        <f aca="false">IF(CE$2="","",IF(AND(CE45=CE$2,CF45=CF$2),3,IF(AND(CE$2&gt;CF$2,CE45&gt;CF45),1,IF(AND(CF$2&gt;CE$2,CF45&gt;CE45),1,IF(AND(CE$2=CF$2,CE45=CF45),1,0)))))</f>
        <v/>
      </c>
      <c r="CH45" s="1" t="n">
        <f aca="false">Participantes!BG44</f>
        <v>0</v>
      </c>
      <c r="CI45" s="1" t="n">
        <f aca="false">Participantes!BH44</f>
        <v>0</v>
      </c>
      <c r="CJ45" s="82" t="str">
        <f aca="false">IF(CH$2="","",IF(AND(CH45=CH$2,CI45=CI$2),3,IF(AND(CH$2&gt;CI$2,CH45&gt;CI45),1,IF(AND(CI$2&gt;CH$2,CI45&gt;CH45),1,IF(AND(CH$2=CI$2,CH45=CI45),1,0)))))</f>
        <v/>
      </c>
      <c r="CK45" s="1" t="n">
        <f aca="false">Participantes!BI44</f>
        <v>0</v>
      </c>
      <c r="CL45" s="1" t="n">
        <f aca="false">Participantes!BJ44</f>
        <v>0</v>
      </c>
      <c r="CM45" s="82" t="str">
        <f aca="false">IF(CK$2="","",IF(AND(CK45=CK$2,CL45=CL$2),3,IF(AND(CK$2&gt;CL$2,CK45&gt;CL45),1,IF(AND(CL$2&gt;CK$2,CL45&gt;CK45),1,IF(AND(CK$2=CL$2,CK45=CL45),1,0)))))</f>
        <v/>
      </c>
      <c r="CN45" s="1" t="n">
        <f aca="false">Participantes!BK44</f>
        <v>0</v>
      </c>
      <c r="CO45" s="1" t="n">
        <f aca="false">Participantes!BL44</f>
        <v>0</v>
      </c>
      <c r="CP45" s="82" t="str">
        <f aca="false">IF(CN$2="","",IF(AND(CN45=CN$2,CO45=CO$2),3,IF(AND(CN$2&gt;CO$2,CN45&gt;CO45),1,IF(AND(CO$2&gt;CN$2,CO45&gt;CN45),1,IF(AND(CN$2=CO$2,CN45=CO45),1,0)))))</f>
        <v/>
      </c>
      <c r="CQ45" s="1" t="n">
        <f aca="false">Participantes!BM44</f>
        <v>0</v>
      </c>
      <c r="CR45" s="1" t="n">
        <f aca="false">Participantes!BN44</f>
        <v>0</v>
      </c>
      <c r="CS45" s="82" t="str">
        <f aca="false">IF(CQ$2="","",IF(AND(CQ45=CQ$2,CR45=CR$2),3,IF(AND(CQ$2&gt;CR$2,CQ45&gt;CR45),1,IF(AND(CR$2&gt;CQ$2,CR45&gt;CQ45),1,IF(AND(CQ$2=CR$2,CQ45=CR45),1,0)))))</f>
        <v/>
      </c>
      <c r="CT45" s="1" t="n">
        <f aca="false">Participantes!BO44</f>
        <v>0</v>
      </c>
      <c r="CU45" s="1" t="n">
        <f aca="false">Participantes!BP44</f>
        <v>0</v>
      </c>
      <c r="CV45" s="82" t="str">
        <f aca="false">IF(CT$2="","",IF(AND(CT45=CT$2,CU45=CU$2),3,IF(AND(CT$2&gt;CU$2,CT45&gt;CU45),1,IF(AND(CU$2&gt;CT$2,CU45&gt;CT45),1,IF(AND(CT$2=CU$2,CT45=CU45),1,0)))))</f>
        <v/>
      </c>
      <c r="CW45" s="1" t="n">
        <f aca="false">Participantes!BQ44</f>
        <v>0</v>
      </c>
      <c r="CX45" s="1" t="n">
        <f aca="false">Participantes!BR44</f>
        <v>0</v>
      </c>
      <c r="CY45" s="82" t="str">
        <f aca="false">IF(CW$2="","",IF(AND(CW45=CW$2,CX45=CX$2),3,IF(AND(CW$2&gt;CX$2,CW45&gt;CX45),1,IF(AND(CX$2&gt;CW$2,CX45&gt;CW45),1,IF(AND(CW$2=CX$2,CW45=CX45),1,0)))))</f>
        <v/>
      </c>
      <c r="CZ45" s="1" t="n">
        <f aca="false">Participantes!BS44</f>
        <v>0</v>
      </c>
      <c r="DA45" s="1" t="n">
        <f aca="false">Participantes!BT44</f>
        <v>0</v>
      </c>
      <c r="DB45" s="82" t="str">
        <f aca="false">IF(CZ$2="","",IF(AND(CZ45=CZ$2,DA45=DA$2),3,IF(AND(CZ$2&gt;DA$2,CZ45&gt;DA45),1,IF(AND(DA$2&gt;CZ$2,DA45&gt;CZ45),1,IF(AND(CZ$2=DA$2,CZ45=DA45),1,0)))))</f>
        <v/>
      </c>
      <c r="DC45" s="1" t="n">
        <f aca="false">Participantes!BU44</f>
        <v>0</v>
      </c>
      <c r="DD45" s="1" t="n">
        <f aca="false">Participantes!BV44</f>
        <v>0</v>
      </c>
      <c r="DE45" s="82" t="str">
        <f aca="false">IF(DC$2="","",IF(AND(DC45=DC$2,DD45=DD$2),3,IF(AND(DC$2&gt;DD$2,DC45&gt;DD45),1,IF(AND(DD$2&gt;DC$2,DD45&gt;DC45),1,IF(AND(DC$2=DD$2,DC45=DD45),1,0)))))</f>
        <v/>
      </c>
      <c r="DF45" s="1" t="n">
        <f aca="false">Participantes!BW44</f>
        <v>0</v>
      </c>
      <c r="DG45" s="1" t="n">
        <f aca="false">Participantes!BX44</f>
        <v>0</v>
      </c>
      <c r="DH45" s="82" t="str">
        <f aca="false">IF(DF$2="","",IF(AND(DF45=DF$2,DG45=DG$2),3,IF(AND(DF$2&gt;DG$2,DF45&gt;DG45),1,IF(AND(DG$2&gt;DF$2,DG45&gt;DF45),1,IF(AND(DF$2=DG$2,DF45=DG45),1,0)))))</f>
        <v/>
      </c>
      <c r="DI45" s="1" t="n">
        <f aca="false">Participantes!BY44</f>
        <v>0</v>
      </c>
      <c r="DJ45" s="1" t="n">
        <f aca="false">Participantes!BZ44</f>
        <v>0</v>
      </c>
      <c r="DK45" s="82" t="str">
        <f aca="false">IF(DI$2="","",IF(AND(DI45=DI$2,DJ45=DJ$2),3,IF(AND(DI$2&gt;DJ$2,DI45&gt;DJ45),1,IF(AND(DJ$2&gt;DI$2,DJ45&gt;DI45),1,IF(AND(DI$2=DJ$2,DI45=DJ45),1,0)))))</f>
        <v/>
      </c>
      <c r="DL45" s="1" t="n">
        <f aca="false">Participantes!CA44</f>
        <v>0</v>
      </c>
      <c r="DM45" s="1" t="n">
        <f aca="false">Participantes!CB44</f>
        <v>0</v>
      </c>
      <c r="DN45" s="82" t="str">
        <f aca="false">IF(DL$2="","",IF(AND(DL45=DL$2,DM45=DM$2),3,IF(AND(DL$2&gt;DM$2,DL45&gt;DM45),1,IF(AND(DM$2&gt;DL$2,DM45&gt;DL45),1,IF(AND(DL$2=DM$2,DL45=DM45),1,0)))))</f>
        <v/>
      </c>
      <c r="DO45" s="1" t="n">
        <f aca="false">Participantes!CC44</f>
        <v>0</v>
      </c>
      <c r="DP45" s="1" t="n">
        <f aca="false">Participantes!CD44</f>
        <v>0</v>
      </c>
      <c r="DQ45" s="82" t="str">
        <f aca="false">IF(DO$2="","",IF(AND(DO45=DO$2,DP45=DP$2),3,IF(AND(DO$2&gt;DP$2,DO45&gt;DP45),1,IF(AND(DP$2&gt;DO$2,DP45&gt;DO45),1,IF(AND(DO$2=DP$2,DO45=DP45),1,0)))))</f>
        <v/>
      </c>
      <c r="DR45" s="1" t="n">
        <f aca="false">Participantes!CE44</f>
        <v>0</v>
      </c>
      <c r="DS45" s="1" t="n">
        <f aca="false">Participantes!CF44</f>
        <v>0</v>
      </c>
      <c r="DT45" s="82" t="str">
        <f aca="false">IF(DR$2="","",IF(AND(DR45=DR$2,DS45=DS$2),3,IF(AND(DR$2&gt;DS$2,DR45&gt;DS45),1,IF(AND(DS$2&gt;DR$2,DS45&gt;DR45),1,IF(AND(DR$2=DS$2,DR45=DS45),1,0)))))</f>
        <v/>
      </c>
      <c r="DU45" s="1" t="n">
        <f aca="false">Participantes!CG44</f>
        <v>0</v>
      </c>
      <c r="DV45" s="1" t="n">
        <f aca="false">Participantes!CH44</f>
        <v>0</v>
      </c>
      <c r="DW45" s="82" t="str">
        <f aca="false">IF(DU$2="","",IF(AND(DU45=DU$2,DV45=DV$2),3,IF(AND(DU$2&gt;DV$2,DU45&gt;DV45),1,IF(AND(DV$2&gt;DU$2,DV45&gt;DU45),1,IF(AND(DU$2=DV$2,DU45=DV45),1,0)))))</f>
        <v/>
      </c>
      <c r="DX45" s="1" t="n">
        <f aca="false">Participantes!CI44</f>
        <v>0</v>
      </c>
      <c r="DY45" s="1" t="n">
        <f aca="false">Participantes!CJ44</f>
        <v>0</v>
      </c>
      <c r="DZ45" s="82" t="str">
        <f aca="false">IF(DX$2="","",IF(AND(DX45=DX$2,DY45=DY$2),3,IF(AND(DX$2&gt;DY$2,DX45&gt;DY45),1,IF(AND(DY$2&gt;DX$2,DY45&gt;DX45),1,IF(AND(DX$2=DY$2,DX45=DY45),1,0)))))</f>
        <v/>
      </c>
      <c r="EA45" s="1" t="n">
        <f aca="false">Participantes!CK44</f>
        <v>0</v>
      </c>
      <c r="EB45" s="1" t="n">
        <f aca="false">Participantes!CL44</f>
        <v>0</v>
      </c>
      <c r="EC45" s="82" t="str">
        <f aca="false">IF(EA$2="","",IF(AND(EA45=EA$2,EB45=EB$2),3,IF(AND(EA$2&gt;EB$2,EA45&gt;EB45),1,IF(AND(EB$2&gt;EA$2,EB45&gt;EA45),1,IF(AND(EA$2=EB$2,EA45=EB45),1,0)))))</f>
        <v/>
      </c>
      <c r="ED45" s="1" t="n">
        <f aca="false">Participantes!CM44</f>
        <v>0</v>
      </c>
      <c r="EE45" s="1" t="n">
        <f aca="false">Participantes!CN44</f>
        <v>0</v>
      </c>
      <c r="EF45" s="82" t="str">
        <f aca="false">IF(ED$2="","",IF(AND(ED45=ED$2,EE45=EE$2),3,IF(AND(ED$2&gt;EE$2,ED45&gt;EE45),1,IF(AND(EE$2&gt;ED$2,EE45&gt;ED45),1,IF(AND(ED$2=EE$2,ED45=EE45),1,0)))))</f>
        <v/>
      </c>
      <c r="EG45" s="1" t="n">
        <f aca="false">Participantes!CO44</f>
        <v>0</v>
      </c>
      <c r="EH45" s="1" t="n">
        <f aca="false">Participantes!CP44</f>
        <v>0</v>
      </c>
      <c r="EI45" s="82" t="str">
        <f aca="false">IF(EG$2="","",IF(AND(EG45=EG$2,EH45=EH$2),3,IF(AND(EG$2&gt;EH$2,EG45&gt;EH45),1,IF(AND(EH$2&gt;EG$2,EH45&gt;EG45),1,IF(AND(EG$2=EH$2,EG45=EH45),1,0)))))</f>
        <v/>
      </c>
      <c r="EJ45" s="1" t="n">
        <f aca="false">Participantes!CQ44</f>
        <v>0</v>
      </c>
      <c r="EK45" s="1" t="n">
        <f aca="false">Participantes!CR44</f>
        <v>0</v>
      </c>
      <c r="EL45" s="82" t="str">
        <f aca="false">IF(EJ$2="","",IF(AND(EJ45=EJ$2,EK45=EK$2),3,IF(AND(EJ$2&gt;EK$2,EJ45&gt;EK45),1,IF(AND(EK$2&gt;EJ$2,EK45&gt;EJ45),1,IF(AND(EJ$2=EK$2,EJ45=EK45),1,0)))))</f>
        <v/>
      </c>
      <c r="EM45" s="1" t="n">
        <f aca="false">Participantes!CS44</f>
        <v>0</v>
      </c>
      <c r="EN45" s="1" t="n">
        <f aca="false">Participantes!CT44</f>
        <v>0</v>
      </c>
      <c r="EO45" s="82" t="str">
        <f aca="false">IF(EM$2="","",IF(AND(EM45=EM$2,EN45=EN$2),3,IF(AND(EM$2&gt;EN$2,EM45&gt;EN45),1,IF(AND(EN$2&gt;EM$2,EN45&gt;EM45),1,IF(AND(EM$2=EN$2,EM45=EN45),1,0)))))</f>
        <v/>
      </c>
      <c r="EP45" s="1" t="n">
        <f aca="false">Participantes!CU44</f>
        <v>0</v>
      </c>
      <c r="EQ45" s="1" t="n">
        <f aca="false">Participantes!CV44</f>
        <v>0</v>
      </c>
      <c r="ER45" s="82" t="str">
        <f aca="false">IF(EP$2="","",IF(AND(EP45=EP$2,EQ45=EQ$2),3,IF(AND(EP$2&gt;EQ$2,EP45&gt;EQ45),1,IF(AND(EQ$2&gt;EP$2,EQ45&gt;EP45),1,IF(AND(EP$2=EQ$2,EP45=EQ45),1,0)))))</f>
        <v/>
      </c>
      <c r="ES45" s="1" t="n">
        <f aca="false">Participantes!CW44</f>
        <v>0</v>
      </c>
      <c r="ET45" s="1" t="n">
        <f aca="false">Participantes!CX44</f>
        <v>0</v>
      </c>
      <c r="EU45" s="82" t="str">
        <f aca="false">IF(ES$2="","",IF(AND(ES45=ES$2,ET45=ET$2),3,IF(AND(ES$2&gt;ET$2,ES45&gt;ET45),1,IF(AND(ET$2&gt;ES$2,ET45&gt;ES45),1,IF(AND(ES$2=ET$2,ES45=ET45),1,0)))))</f>
        <v/>
      </c>
      <c r="EV45" s="1" t="n">
        <f aca="false">Participantes!CY44</f>
        <v>0</v>
      </c>
      <c r="EW45" s="1" t="n">
        <f aca="false">Participantes!CZ44</f>
        <v>0</v>
      </c>
      <c r="EX45" s="82" t="str">
        <f aca="false">IF(EV$2="","",IF(AND(EV45=EV$2,EW45=EW$2),3,IF(AND(EV$2&gt;EW$2,EV45&gt;EW45),1,IF(AND(EW$2&gt;EV$2,EW45&gt;EV45),1,IF(AND(EV$2=EW$2,EV45=EW45),1,0)))))</f>
        <v/>
      </c>
      <c r="EY45" s="1" t="n">
        <f aca="false">Participantes!DA44</f>
        <v>0</v>
      </c>
      <c r="EZ45" s="1" t="n">
        <f aca="false">Participantes!DB44</f>
        <v>0</v>
      </c>
      <c r="FA45" s="82" t="str">
        <f aca="false">IF(EY$2="","",IF(AND(EY45=EY$2,EZ45=EZ$2),3,IF(AND(EY$2&gt;EZ$2,EY45&gt;EZ45),1,IF(AND(EZ$2&gt;EY$2,EZ45&gt;EY45),1,IF(AND(EY$2=EZ$2,EY45=EZ45),1,0)))))</f>
        <v/>
      </c>
      <c r="FB45" s="1" t="n">
        <f aca="false">Participantes!DC44</f>
        <v>0</v>
      </c>
      <c r="FC45" s="1" t="n">
        <f aca="false">Participantes!DD44</f>
        <v>0</v>
      </c>
      <c r="FD45" s="82" t="str">
        <f aca="false">IF(FB$2="","",IF(AND(FB45=FB$2,FC45=FC$2),3,IF(AND(FB$2&gt;FC$2,FB45&gt;FC45),1,IF(AND(FC$2&gt;FB$2,FC45&gt;FB45),1,IF(AND(FB$2=FC$2,FB45=FC45),1,0)))))</f>
        <v/>
      </c>
      <c r="FE45" s="1" t="n">
        <f aca="false">Participantes!DE44</f>
        <v>0</v>
      </c>
      <c r="FF45" s="1" t="n">
        <f aca="false">Participantes!DF44</f>
        <v>0</v>
      </c>
      <c r="FG45" s="82" t="str">
        <f aca="false">IF(FE$2="","",IF(AND(FE45=FE$2,FF45=FF$2),3,IF(AND(FE$2&gt;FF$2,FE45&gt;FF45),1,IF(AND(FF$2&gt;FE$2,FF45&gt;FE45),1,IF(AND(FE$2=FF$2,FE45=FF45),1,0)))))</f>
        <v/>
      </c>
      <c r="FH45" s="1" t="n">
        <f aca="false">Participantes!DG44</f>
        <v>0</v>
      </c>
      <c r="FI45" s="1" t="n">
        <f aca="false">Participantes!DH44</f>
        <v>0</v>
      </c>
      <c r="FJ45" s="82" t="str">
        <f aca="false">IF(FH$2="","",IF(AND(FH45=FH$2,FI45=FI$2),3,IF(AND(FH$2&gt;FI$2,FH45&gt;FI45),1,IF(AND(FI$2&gt;FH$2,FI45&gt;FH45),1,IF(AND(FH$2=FI$2,FH45=FI45),1,0)))))</f>
        <v/>
      </c>
      <c r="FK45" s="1" t="n">
        <f aca="false">Participantes!DI44</f>
        <v>0</v>
      </c>
      <c r="FL45" s="1" t="n">
        <f aca="false">Participantes!DJ44</f>
        <v>0</v>
      </c>
      <c r="FM45" s="82" t="str">
        <f aca="false">IF(FK$2="","",IF(AND(FK45=FK$2,FL45=FL$2),3,IF(AND(FK$2&gt;FL$2,FK45&gt;FL45),1,IF(AND(FL$2&gt;FK$2,FL45&gt;FK45),1,IF(AND(FK$2=FL$2,FK45=FL45),1,0)))))</f>
        <v/>
      </c>
      <c r="FN45" s="1" t="n">
        <f aca="false">Participantes!DK44</f>
        <v>0</v>
      </c>
      <c r="FO45" s="1" t="n">
        <f aca="false">Participantes!DL44</f>
        <v>0</v>
      </c>
      <c r="FP45" s="82" t="str">
        <f aca="false">IF(FN$2="","",IF(AND(FN45=FN$2,FO45=FO$2),3,IF(AND(FN$2&gt;FO$2,FN45&gt;FO45),1,IF(AND(FO$2&gt;FN$2,FO45&gt;FN45),1,IF(AND(FN$2=FO$2,FN45=FO45),1,0)))))</f>
        <v/>
      </c>
      <c r="FQ45" s="1" t="n">
        <f aca="false">Participantes!DM44</f>
        <v>0</v>
      </c>
      <c r="FR45" s="1" t="n">
        <f aca="false">Participantes!DN44</f>
        <v>0</v>
      </c>
      <c r="FS45" s="82" t="str">
        <f aca="false">IF(FQ$2="","",IF(AND(FQ45=FQ$2,FR45=FR$2),3,IF(AND(FQ$2&gt;FR$2,FQ45&gt;FR45),1,IF(AND(FR$2&gt;FQ$2,FR45&gt;FQ45),1,IF(AND(FQ$2=FR$2,FQ45=FR45),1,0)))))</f>
        <v/>
      </c>
      <c r="FT45" s="1" t="n">
        <f aca="false">Participantes!DO44</f>
        <v>0</v>
      </c>
      <c r="FU45" s="1" t="n">
        <f aca="false">Participantes!DP44</f>
        <v>0</v>
      </c>
      <c r="FV45" s="82" t="str">
        <f aca="false">IF(FT$2="","",IF(AND(FT45=FT$2,FU45=FU$2),3,IF(AND(FT$2&gt;FU$2,FT45&gt;FU45),1,IF(AND(FU$2&gt;FT$2,FU45&gt;FT45),1,IF(AND(FT$2=FU$2,FT45=FU45),1,0)))))</f>
        <v/>
      </c>
      <c r="FW45" s="1" t="n">
        <f aca="false">Participantes!DQ44</f>
        <v>0</v>
      </c>
      <c r="FX45" s="1" t="n">
        <f aca="false">Participantes!DR44</f>
        <v>0</v>
      </c>
      <c r="FY45" s="82" t="str">
        <f aca="false">IF(FW$2="","",IF(AND(FW45=FW$2,FX45=FX$2),3,IF(AND(FW$2&gt;FX$2,FW45&gt;FX45),1,IF(AND(FX$2&gt;FW$2,FX45&gt;FW45),1,IF(AND(FW$2=FX$2,FW45=FX45),1,0)))))</f>
        <v/>
      </c>
      <c r="FZ45" s="1" t="n">
        <f aca="false">Participantes!DS44</f>
        <v>0</v>
      </c>
      <c r="GA45" s="1" t="n">
        <f aca="false">Participantes!DT44</f>
        <v>0</v>
      </c>
      <c r="GB45" s="82" t="str">
        <f aca="false">IF(FZ$2="","",IF(AND(FZ45=FZ$2,GA45=GA$2),3,IF(AND(FZ$2&gt;GA$2,FZ45&gt;GA45),1,IF(AND(GA$2&gt;FZ$2,GA45&gt;FZ45),1,IF(AND(FZ$2=GA$2,FZ45=GA45),1,0)))))</f>
        <v/>
      </c>
      <c r="GC45" s="1" t="n">
        <f aca="false">Participantes!DU44</f>
        <v>0</v>
      </c>
      <c r="GD45" s="1" t="n">
        <f aca="false">Participantes!DV44</f>
        <v>0</v>
      </c>
      <c r="GE45" s="82" t="str">
        <f aca="false">IF(GC$2="","",IF(AND(GC45=GC$2,GD45=GD$2),3,IF(AND(GC$2&gt;GD$2,GC45&gt;GD45),1,IF(AND(GD$2&gt;GC$2,GD45&gt;GC45),1,IF(AND(GC$2=GD$2,GC45=GD45),1,0)))))</f>
        <v/>
      </c>
      <c r="GF45" s="1" t="n">
        <f aca="false">Participantes!DW44</f>
        <v>0</v>
      </c>
      <c r="GG45" s="1" t="n">
        <f aca="false">Participantes!DX44</f>
        <v>0</v>
      </c>
      <c r="GH45" s="82" t="str">
        <f aca="false">IF(GF$2="","",IF(AND(GF45=GF$2,GG45=GG$2),3,IF(AND(GF$2&gt;GG$2,GF45&gt;GG45),1,IF(AND(GG$2&gt;GF$2,GG45&gt;GF45),1,IF(AND(GF$2=GG$2,GF45=GG45),1,0)))))</f>
        <v/>
      </c>
      <c r="GI45" s="1" t="n">
        <f aca="false">Participantes!DY44</f>
        <v>0</v>
      </c>
      <c r="GJ45" s="1" t="n">
        <f aca="false">Participantes!DZ44</f>
        <v>0</v>
      </c>
      <c r="GK45" s="82" t="str">
        <f aca="false">IF(GI$2="","",IF(AND(GI45=GI$2,GJ45=GJ$2),3,IF(AND(GI$2&gt;GJ$2,GI45&gt;GJ45),1,IF(AND(GJ$2&gt;GI$2,GJ45&gt;GI45),1,IF(AND(GI$2=GJ$2,GI45=GJ45),1,0)))))</f>
        <v/>
      </c>
      <c r="GL45" s="1" t="n">
        <f aca="false">Participantes!EA44</f>
        <v>0</v>
      </c>
      <c r="GM45" s="1" t="n">
        <f aca="false">Participantes!EB44</f>
        <v>0</v>
      </c>
      <c r="GN45" s="82" t="str">
        <f aca="false">IF(GL$2="","",IF(AND(GL45=GL$2,GM45=GM$2),3,IF(AND(GL$2&gt;GM$2,GL45&gt;GM45),1,IF(AND(GM$2&gt;GL$2,GM45&gt;GL45),1,IF(AND(GL$2=GM$2,GL45=GM45),1,0)))))</f>
        <v/>
      </c>
      <c r="GO45" s="1" t="n">
        <f aca="false">Participantes!EC44</f>
        <v>0</v>
      </c>
      <c r="GP45" s="1" t="n">
        <f aca="false">Participantes!ED44</f>
        <v>0</v>
      </c>
      <c r="GQ45" s="82" t="str">
        <f aca="false">IF(GO$2="","",IF(AND(GO45=GO$2,GP45=GP$2),3,IF(AND(GO$2&gt;GP$2,GO45&gt;GP45),1,IF(AND(GP$2&gt;GO$2,GP45&gt;GO45),1,IF(AND(GO$2=GP$2,GO45=GP45),1,0)))))</f>
        <v/>
      </c>
      <c r="GR45" s="1" t="n">
        <f aca="false">Participantes!EE44</f>
        <v>0</v>
      </c>
      <c r="GS45" s="1" t="n">
        <f aca="false">Participantes!EF44</f>
        <v>0</v>
      </c>
      <c r="GT45" s="82" t="str">
        <f aca="false">IF(GR$2="","",IF(AND(GR45=GR$2,GS45=GS$2),3,IF(AND(GR$2&gt;GS$2,GR45&gt;GS45),1,IF(AND(GS$2&gt;GR$2,GS45&gt;GR45),1,IF(AND(GR$2=GS$2,GR45=GS45),1,0)))))</f>
        <v/>
      </c>
      <c r="GU45" s="1" t="n">
        <f aca="false">Participantes!EG44</f>
        <v>0</v>
      </c>
      <c r="GV45" s="1" t="n">
        <f aca="false">Participantes!EH44</f>
        <v>0</v>
      </c>
      <c r="GW45" s="82" t="str">
        <f aca="false">IF(GU$2="","",IF(AND(GU45=GU$2,GV45=GV$2),3,IF(AND(GU$2&gt;GV$2,GU45&gt;GV45),1,IF(AND(GV$2&gt;GU$2,GV45&gt;GU45),1,IF(AND(GU$2=GV$2,GU45=GV45),1,0)))))</f>
        <v/>
      </c>
      <c r="GX45" s="1" t="n">
        <f aca="false">Participantes!EI44</f>
        <v>0</v>
      </c>
      <c r="GY45" s="1" t="n">
        <f aca="false">Participantes!EJ44</f>
        <v>0</v>
      </c>
      <c r="GZ45" s="82" t="str">
        <f aca="false">IF(GX$2="","",IF(AND(GX45=GX$2,GY45=GY$2),3,IF(AND(GX$2&gt;GY$2,GX45&gt;GY45),1,IF(AND(GY$2&gt;GX$2,GY45&gt;GX45),1,IF(AND(GX$2=GY$2,GX45=GY45),1,0)))))</f>
        <v/>
      </c>
      <c r="HA45" s="1" t="n">
        <f aca="false">Participantes!EK44</f>
        <v>0</v>
      </c>
      <c r="HB45" s="1" t="n">
        <f aca="false">Participantes!EL44</f>
        <v>0</v>
      </c>
      <c r="HC45" s="82" t="str">
        <f aca="false">IF(HA$2="","",IF(AND(HA45=HA$2,HB45=HB$2),3,IF(AND(HA$2&gt;HB$2,HA45&gt;HB45),1,IF(AND(HB$2&gt;HA$2,HB45&gt;HA45),1,IF(AND(HA$2=HB$2,HA45=HB45),1,0)))))</f>
        <v/>
      </c>
      <c r="HD45" s="1" t="n">
        <f aca="false">Participantes!EM44</f>
        <v>0</v>
      </c>
      <c r="HE45" s="1" t="n">
        <f aca="false">Participantes!EN44</f>
        <v>0</v>
      </c>
      <c r="HF45" s="82" t="str">
        <f aca="false">IF(HD$2="","",IF(AND(HD45=HD$2,HE45=HE$2),3,IF(AND(HD$2&gt;HE$2,HD45&gt;HE45),1,IF(AND(HE$2&gt;HD$2,HE45&gt;HD45),1,IF(AND(HD$2=HE$2,HD45=HE45),1,0)))))</f>
        <v/>
      </c>
      <c r="HG45" s="1" t="n">
        <f aca="false">Participantes!EO44</f>
        <v>0</v>
      </c>
      <c r="HH45" s="1" t="n">
        <f aca="false">Participantes!EP44</f>
        <v>0</v>
      </c>
      <c r="HI45" s="82" t="str">
        <f aca="false">IF(HG$2="","",IF(AND(HG45=HG$2,HH45=HH$2),3,IF(AND(HG$2&gt;HH$2,HG45&gt;HH45),1,IF(AND(HH$2&gt;HG$2,HH45&gt;HG45),1,IF(AND(HG$2=HH$2,HG45=HH45),1,0)))))</f>
        <v/>
      </c>
      <c r="HJ45" s="83" t="n">
        <f aca="false">SUM(D45,G45,J45,M45,P45,S45,V45,Y45,AB45,AE45,AH45,AK45,AN45,AQ45,AT45,AW45,AZ45,BC45,BF45,BI45,BL45,BO45,BR45,BU45,BX45,CA45,CD45,CG45,CJ45,CM45,CP45,CS45,CV45,CY45,DB45,DE45,DH45,DK45,DN45,DQ45,DT45,DW45,DZ45,EC45,EF45,EI45,EL45,EO45,ER45,EU45,EX45,FA45,FD45,FG45,FJ45,FM45,FP45,FS45,FV45,FY45,GB45,GE45,GH45,GK45,GN45,GQ45,GT45,GW45,GZ45,HC45,HF45,HI45)</f>
        <v>3</v>
      </c>
    </row>
    <row r="46" customFormat="false" ht="15" hidden="false" customHeight="true" outlineLevel="0" collapsed="false">
      <c r="A46" s="81" t="str">
        <f aca="false">Participantes!B45</f>
        <v>Quinnie</v>
      </c>
      <c r="B46" s="1" t="n">
        <f aca="false">Participantes!C45</f>
        <v>2</v>
      </c>
      <c r="C46" s="1" t="n">
        <f aca="false">Participantes!D45</f>
        <v>0</v>
      </c>
      <c r="D46" s="82" t="n">
        <f aca="false">IF(B$2="","",IF(AND(B46=B$2,C46=C$2),3,IF(AND(B$2&gt;C$2,B46&gt;C46),1,IF(AND(C$2&gt;B$2,C46&gt;B46),1,IF(AND(B$2=C$2,B46=C46),1,0)))))</f>
        <v>3</v>
      </c>
      <c r="E46" s="1" t="n">
        <f aca="false">Participantes!E45</f>
        <v>1</v>
      </c>
      <c r="F46" s="1" t="n">
        <f aca="false">Participantes!F45</f>
        <v>1</v>
      </c>
      <c r="G46" s="82" t="str">
        <f aca="false">IF(E$2="","",IF(AND(E46=E$2,F46=F$2),3,IF(AND(E$2&gt;F$2,E46&gt;F46),1,IF(AND(F$2&gt;E$2,F46&gt;E46),1,IF(AND(E$2=F$2,E46=F46),1,0)))))</f>
        <v/>
      </c>
      <c r="H46" s="1" t="n">
        <f aca="false">Participantes!G45</f>
        <v>2</v>
      </c>
      <c r="I46" s="1" t="n">
        <f aca="false">Participantes!H45</f>
        <v>1</v>
      </c>
      <c r="J46" s="82" t="str">
        <f aca="false">IF(H$2="","",IF(AND(H46=H$2,I46=I$2),3,IF(AND(H$2&gt;I$2,H46&gt;I46),1,IF(AND(I$2&gt;H$2,I46&gt;H46),1,IF(AND(H$2=I$2,H46=I46),1,0)))))</f>
        <v/>
      </c>
      <c r="K46" s="1" t="n">
        <f aca="false">Participantes!I45</f>
        <v>1</v>
      </c>
      <c r="L46" s="1" t="n">
        <f aca="false">Participantes!J45</f>
        <v>1</v>
      </c>
      <c r="M46" s="82" t="str">
        <f aca="false">IF(K$2="","",IF(AND(K46=K$2,L46=L$2),3,IF(AND(K$2&gt;L$2,K46&gt;L46),1,IF(AND(L$2&gt;K$2,L46&gt;K46),1,IF(AND(K$2=L$2,K46=L46),1,0)))))</f>
        <v/>
      </c>
      <c r="N46" s="1" t="n">
        <f aca="false">Participantes!K45</f>
        <v>0</v>
      </c>
      <c r="O46" s="1" t="n">
        <f aca="false">Participantes!L45</f>
        <v>2</v>
      </c>
      <c r="P46" s="82" t="str">
        <f aca="false">IF(N$2="","",IF(AND(N46=N$2,O46=O$2),3,IF(AND(N$2&gt;O$2,N46&gt;O46),1,IF(AND(O$2&gt;N$2,O46&gt;N46),1,IF(AND(N$2=O$2,N46=O46),1,0)))))</f>
        <v/>
      </c>
      <c r="Q46" s="1" t="n">
        <f aca="false">Participantes!M45</f>
        <v>1</v>
      </c>
      <c r="R46" s="1" t="n">
        <f aca="false">Participantes!N45</f>
        <v>2</v>
      </c>
      <c r="S46" s="82" t="str">
        <f aca="false">IF(Q$2="","",IF(AND(Q46=Q$2,R46=R$2),3,IF(AND(Q$2&gt;R$2,Q46&gt;R46),1,IF(AND(R$2&gt;Q$2,R46&gt;Q46),1,IF(AND(Q$2=R$2,Q46=R46),1,0)))))</f>
        <v/>
      </c>
      <c r="T46" s="1" t="n">
        <f aca="false">Participantes!O45</f>
        <v>2</v>
      </c>
      <c r="U46" s="1" t="n">
        <f aca="false">Participantes!P45</f>
        <v>1</v>
      </c>
      <c r="V46" s="82" t="str">
        <f aca="false">IF(T$2="","",IF(AND(T46=T$2,U46=U$2),3,IF(AND(T$2&gt;U$2,T46&gt;U46),1,IF(AND(U$2&gt;T$2,U46&gt;T46),1,IF(AND(T$2=U$2,T46=U46),1,0)))))</f>
        <v/>
      </c>
      <c r="W46" s="1" t="n">
        <f aca="false">Participantes!Q45</f>
        <v>0</v>
      </c>
      <c r="X46" s="1" t="n">
        <f aca="false">Participantes!R45</f>
        <v>2</v>
      </c>
      <c r="Y46" s="82" t="str">
        <f aca="false">IF(W$2="","",IF(AND(W46=W$2,X46=X$2),3,IF(AND(W$2&gt;X$2,W46&gt;X46),1,IF(AND(X$2&gt;W$2,X46&gt;W46),1,IF(AND(W$2=X$2,W46=X46),1,0)))))</f>
        <v/>
      </c>
      <c r="Z46" s="1" t="n">
        <f aca="false">Participantes!S45</f>
        <v>1</v>
      </c>
      <c r="AA46" s="1" t="n">
        <f aca="false">Participantes!T45</f>
        <v>1</v>
      </c>
      <c r="AB46" s="82" t="str">
        <f aca="false">IF(Z$2="","",IF(AND(Z46=Z$2,AA46=AA$2),3,IF(AND(Z$2&gt;AA$2,Z46&gt;AA46),1,IF(AND(AA$2&gt;Z$2,AA46&gt;Z46),1,IF(AND(Z$2=AA$2,Z46=AA46),1,0)))))</f>
        <v/>
      </c>
      <c r="AC46" s="1" t="n">
        <f aca="false">Participantes!U45</f>
        <v>5</v>
      </c>
      <c r="AD46" s="1" t="n">
        <f aca="false">Participantes!V45</f>
        <v>0</v>
      </c>
      <c r="AE46" s="82" t="str">
        <f aca="false">IF(AC$2="","",IF(AND(AC46=AC$2,AD46=AD$2),3,IF(AND(AC$2&gt;AD$2,AC46&gt;AD46),1,IF(AND(AD$2&gt;AC$2,AD46&gt;AC46),1,IF(AND(AC$2=AD$2,AC46=AD46),1,0)))))</f>
        <v/>
      </c>
      <c r="AF46" s="1" t="n">
        <f aca="false">Participantes!W45</f>
        <v>2</v>
      </c>
      <c r="AG46" s="1" t="n">
        <f aca="false">Participantes!X45</f>
        <v>2</v>
      </c>
      <c r="AH46" s="82" t="str">
        <f aca="false">IF(AF$2="","",IF(AND(AF46=AF$2,AG46=AG$2),3,IF(AND(AF$2&gt;AG$2,AF46&gt;AG46),1,IF(AND(AG$2&gt;AF$2,AG46&gt;AF46),1,IF(AND(AF$2=AG$2,AF46=AG46),1,0)))))</f>
        <v/>
      </c>
      <c r="AI46" s="1" t="n">
        <f aca="false">Participantes!Y45</f>
        <v>3</v>
      </c>
      <c r="AJ46" s="1" t="n">
        <f aca="false">Participantes!Z45</f>
        <v>0</v>
      </c>
      <c r="AK46" s="82" t="str">
        <f aca="false">IF(AI$2="","",IF(AND(AI46=AI$2,AJ46=AJ$2),3,IF(AND(AI$2&gt;AJ$2,AI46&gt;AJ46),1,IF(AND(AJ$2&gt;AI$2,AJ46&gt;AI46),1,IF(AND(AI$2=AJ$2,AI46=AJ46),1,0)))))</f>
        <v/>
      </c>
      <c r="AL46" s="1" t="n">
        <f aca="false">Participantes!AA45</f>
        <v>0</v>
      </c>
      <c r="AM46" s="1" t="n">
        <f aca="false">Participantes!AB45</f>
        <v>2</v>
      </c>
      <c r="AN46" s="82" t="str">
        <f aca="false">IF(AL$2="","",IF(AND(AL46=AL$2,AM46=AM$2),3,IF(AND(AL$2&gt;AM$2,AL46&gt;AM46),1,IF(AND(AM$2&gt;AL$2,AM46&gt;AL46),1,IF(AND(AL$2=AM$2,AL46=AM46),1,0)))))</f>
        <v/>
      </c>
      <c r="AO46" s="1" t="n">
        <f aca="false">Participantes!AC45</f>
        <v>5</v>
      </c>
      <c r="AP46" s="1" t="n">
        <f aca="false">Participantes!AD45</f>
        <v>0</v>
      </c>
      <c r="AQ46" s="82" t="str">
        <f aca="false">IF(AO$2="","",IF(AND(AO46=AO$2,AP46=AP$2),3,IF(AND(AO$2&gt;AP$2,AO46&gt;AP46),1,IF(AND(AP$2&gt;AO$2,AP46&gt;AO46),1,IF(AND(AO$2=AP$2,AO46=AP46),1,0)))))</f>
        <v/>
      </c>
      <c r="AR46" s="1" t="n">
        <f aca="false">Participantes!AE45</f>
        <v>0</v>
      </c>
      <c r="AS46" s="1" t="n">
        <f aca="false">Participantes!AF45</f>
        <v>0</v>
      </c>
      <c r="AT46" s="82" t="str">
        <f aca="false">IF(AR$2="","",IF(AND(AR46=AR$2,AS46=AS$2),3,IF(AND(AR$2&gt;AS$2,AR46&gt;AS46),1,IF(AND(AS$2&gt;AR$2,AS46&gt;AR46),1,IF(AND(AR$2=AS$2,AR46=AS46),1,0)))))</f>
        <v/>
      </c>
      <c r="AU46" s="1" t="n">
        <f aca="false">Participantes!AG45</f>
        <v>0</v>
      </c>
      <c r="AV46" s="1" t="n">
        <f aca="false">Participantes!AH45</f>
        <v>0</v>
      </c>
      <c r="AW46" s="82" t="str">
        <f aca="false">IF(AU$2="","",IF(AND(AU46=AU$2,AV46=AV$2),3,IF(AND(AU$2&gt;AV$2,AU46&gt;AV46),1,IF(AND(AV$2&gt;AU$2,AV46&gt;AU46),1,IF(AND(AU$2=AV$2,AU46=AV46),1,0)))))</f>
        <v/>
      </c>
      <c r="AX46" s="1" t="n">
        <f aca="false">Participantes!AI45</f>
        <v>0</v>
      </c>
      <c r="AY46" s="1" t="n">
        <f aca="false">Participantes!AJ45</f>
        <v>0</v>
      </c>
      <c r="AZ46" s="82" t="str">
        <f aca="false">IF(AX$2="","",IF(AND(AX46=AX$2,AY46=AY$2),3,IF(AND(AX$2&gt;AY$2,AX46&gt;AY46),1,IF(AND(AY$2&gt;AX$2,AY46&gt;AX46),1,IF(AND(AX$2=AY$2,AX46=AY46),1,0)))))</f>
        <v/>
      </c>
      <c r="BA46" s="1" t="n">
        <f aca="false">Participantes!AK45</f>
        <v>0</v>
      </c>
      <c r="BB46" s="1" t="n">
        <f aca="false">Participantes!AL45</f>
        <v>0</v>
      </c>
      <c r="BC46" s="82" t="str">
        <f aca="false">IF(BA$2="","",IF(AND(BA46=BA$2,BB46=BB$2),3,IF(AND(BA$2&gt;BB$2,BA46&gt;BB46),1,IF(AND(BB$2&gt;BA$2,BB46&gt;BA46),1,IF(AND(BA$2=BB$2,BA46=BB46),1,0)))))</f>
        <v/>
      </c>
      <c r="BD46" s="1" t="n">
        <f aca="false">Participantes!AM45</f>
        <v>0</v>
      </c>
      <c r="BE46" s="1" t="n">
        <f aca="false">Participantes!AN45</f>
        <v>0</v>
      </c>
      <c r="BF46" s="82" t="str">
        <f aca="false">IF(BD$2="","",IF(AND(BD46=BD$2,BE46=BE$2),3,IF(AND(BD$2&gt;BE$2,BD46&gt;BE46),1,IF(AND(BE$2&gt;BD$2,BE46&gt;BD46),1,IF(AND(BD$2=BE$2,BD46=BE46),1,0)))))</f>
        <v/>
      </c>
      <c r="BG46" s="1" t="n">
        <f aca="false">Participantes!AO45</f>
        <v>0</v>
      </c>
      <c r="BH46" s="1" t="n">
        <f aca="false">Participantes!AP45</f>
        <v>0</v>
      </c>
      <c r="BI46" s="82" t="str">
        <f aca="false">IF(BG$2="","",IF(AND(BG46=BG$2,BH46=BH$2),3,IF(AND(BG$2&gt;BH$2,BG46&gt;BH46),1,IF(AND(BH$2&gt;BG$2,BH46&gt;BG46),1,IF(AND(BG$2=BH$2,BG46=BH46),1,0)))))</f>
        <v/>
      </c>
      <c r="BJ46" s="1" t="n">
        <f aca="false">Participantes!AQ45</f>
        <v>0</v>
      </c>
      <c r="BK46" s="1" t="n">
        <f aca="false">Participantes!AR45</f>
        <v>0</v>
      </c>
      <c r="BL46" s="82" t="str">
        <f aca="false">IF(BJ$2="","",IF(AND(BJ46=BJ$2,BK46=BK$2),3,IF(AND(BJ$2&gt;BK$2,BJ46&gt;BK46),1,IF(AND(BK$2&gt;BJ$2,BK46&gt;BJ46),1,IF(AND(BJ$2=BK$2,BJ46=BK46),1,0)))))</f>
        <v/>
      </c>
      <c r="BM46" s="1" t="n">
        <f aca="false">Participantes!AS45</f>
        <v>0</v>
      </c>
      <c r="BN46" s="1" t="n">
        <f aca="false">Participantes!AT45</f>
        <v>0</v>
      </c>
      <c r="BO46" s="82" t="str">
        <f aca="false">IF(BM$2="","",IF(AND(BM46=BM$2,BN46=BN$2),3,IF(AND(BM$2&gt;BN$2,BM46&gt;BN46),1,IF(AND(BN$2&gt;BM$2,BN46&gt;BM46),1,IF(AND(BM$2=BN$2,BM46=BN46),1,0)))))</f>
        <v/>
      </c>
      <c r="BP46" s="1" t="n">
        <f aca="false">Participantes!AU45</f>
        <v>0</v>
      </c>
      <c r="BQ46" s="1" t="n">
        <f aca="false">Participantes!AV45</f>
        <v>0</v>
      </c>
      <c r="BR46" s="82" t="str">
        <f aca="false">IF(BP$2="","",IF(AND(BP46=BP$2,BQ46=BQ$2),3,IF(AND(BP$2&gt;BQ$2,BP46&gt;BQ46),1,IF(AND(BQ$2&gt;BP$2,BQ46&gt;BP46),1,IF(AND(BP$2=BQ$2,BP46=BQ46),1,0)))))</f>
        <v/>
      </c>
      <c r="BS46" s="1" t="n">
        <f aca="false">Participantes!AW45</f>
        <v>0</v>
      </c>
      <c r="BT46" s="1" t="n">
        <f aca="false">Participantes!AX45</f>
        <v>0</v>
      </c>
      <c r="BU46" s="82" t="str">
        <f aca="false">IF(BS$2="","",IF(AND(BS46=BS$2,BT46=BT$2),3,IF(AND(BS$2&gt;BT$2,BS46&gt;BT46),1,IF(AND(BT$2&gt;BS$2,BT46&gt;BS46),1,IF(AND(BS$2=BT$2,BS46=BT46),1,0)))))</f>
        <v/>
      </c>
      <c r="BV46" s="1" t="n">
        <f aca="false">Participantes!AY45</f>
        <v>0</v>
      </c>
      <c r="BW46" s="1" t="n">
        <f aca="false">Participantes!AZ45</f>
        <v>0</v>
      </c>
      <c r="BX46" s="82" t="str">
        <f aca="false">IF(BV$2="","",IF(AND(BV46=BV$2,BW46=BW$2),3,IF(AND(BV$2&gt;BW$2,BV46&gt;BW46),1,IF(AND(BW$2&gt;BV$2,BW46&gt;BV46),1,IF(AND(BV$2=BW$2,BV46=BW46),1,0)))))</f>
        <v/>
      </c>
      <c r="BY46" s="1" t="n">
        <f aca="false">Participantes!BA45</f>
        <v>0</v>
      </c>
      <c r="BZ46" s="1" t="n">
        <f aca="false">Participantes!BB45</f>
        <v>0</v>
      </c>
      <c r="CA46" s="82" t="str">
        <f aca="false">IF(BY$2="","",IF(AND(BY46=BY$2,BZ46=BZ$2),3,IF(AND(BY$2&gt;BZ$2,BY46&gt;BZ46),1,IF(AND(BZ$2&gt;BY$2,BZ46&gt;BY46),1,IF(AND(BY$2=BZ$2,BY46=BZ46),1,0)))))</f>
        <v/>
      </c>
      <c r="CB46" s="1" t="n">
        <f aca="false">Participantes!BC45</f>
        <v>0</v>
      </c>
      <c r="CC46" s="1" t="n">
        <f aca="false">Participantes!BD45</f>
        <v>0</v>
      </c>
      <c r="CD46" s="82" t="str">
        <f aca="false">IF(CB$2="","",IF(AND(CB46=CB$2,CC46=CC$2),3,IF(AND(CB$2&gt;CC$2,CB46&gt;CC46),1,IF(AND(CC$2&gt;CB$2,CC46&gt;CB46),1,IF(AND(CB$2=CC$2,CB46=CC46),1,0)))))</f>
        <v/>
      </c>
      <c r="CE46" s="1" t="n">
        <f aca="false">Participantes!BE45</f>
        <v>0</v>
      </c>
      <c r="CF46" s="1" t="n">
        <f aca="false">Participantes!BF45</f>
        <v>0</v>
      </c>
      <c r="CG46" s="82" t="str">
        <f aca="false">IF(CE$2="","",IF(AND(CE46=CE$2,CF46=CF$2),3,IF(AND(CE$2&gt;CF$2,CE46&gt;CF46),1,IF(AND(CF$2&gt;CE$2,CF46&gt;CE46),1,IF(AND(CE$2=CF$2,CE46=CF46),1,0)))))</f>
        <v/>
      </c>
      <c r="CH46" s="1" t="n">
        <f aca="false">Participantes!BG45</f>
        <v>0</v>
      </c>
      <c r="CI46" s="1" t="n">
        <f aca="false">Participantes!BH45</f>
        <v>0</v>
      </c>
      <c r="CJ46" s="82" t="str">
        <f aca="false">IF(CH$2="","",IF(AND(CH46=CH$2,CI46=CI$2),3,IF(AND(CH$2&gt;CI$2,CH46&gt;CI46),1,IF(AND(CI$2&gt;CH$2,CI46&gt;CH46),1,IF(AND(CH$2=CI$2,CH46=CI46),1,0)))))</f>
        <v/>
      </c>
      <c r="CK46" s="1" t="n">
        <f aca="false">Participantes!BI45</f>
        <v>0</v>
      </c>
      <c r="CL46" s="1" t="n">
        <f aca="false">Participantes!BJ45</f>
        <v>0</v>
      </c>
      <c r="CM46" s="82" t="str">
        <f aca="false">IF(CK$2="","",IF(AND(CK46=CK$2,CL46=CL$2),3,IF(AND(CK$2&gt;CL$2,CK46&gt;CL46),1,IF(AND(CL$2&gt;CK$2,CL46&gt;CK46),1,IF(AND(CK$2=CL$2,CK46=CL46),1,0)))))</f>
        <v/>
      </c>
      <c r="CN46" s="1" t="n">
        <f aca="false">Participantes!BK45</f>
        <v>0</v>
      </c>
      <c r="CO46" s="1" t="n">
        <f aca="false">Participantes!BL45</f>
        <v>0</v>
      </c>
      <c r="CP46" s="82" t="str">
        <f aca="false">IF(CN$2="","",IF(AND(CN46=CN$2,CO46=CO$2),3,IF(AND(CN$2&gt;CO$2,CN46&gt;CO46),1,IF(AND(CO$2&gt;CN$2,CO46&gt;CN46),1,IF(AND(CN$2=CO$2,CN46=CO46),1,0)))))</f>
        <v/>
      </c>
      <c r="CQ46" s="1" t="n">
        <f aca="false">Participantes!BM45</f>
        <v>0</v>
      </c>
      <c r="CR46" s="1" t="n">
        <f aca="false">Participantes!BN45</f>
        <v>0</v>
      </c>
      <c r="CS46" s="82" t="str">
        <f aca="false">IF(CQ$2="","",IF(AND(CQ46=CQ$2,CR46=CR$2),3,IF(AND(CQ$2&gt;CR$2,CQ46&gt;CR46),1,IF(AND(CR$2&gt;CQ$2,CR46&gt;CQ46),1,IF(AND(CQ$2=CR$2,CQ46=CR46),1,0)))))</f>
        <v/>
      </c>
      <c r="CT46" s="1" t="n">
        <f aca="false">Participantes!BO45</f>
        <v>0</v>
      </c>
      <c r="CU46" s="1" t="n">
        <f aca="false">Participantes!BP45</f>
        <v>0</v>
      </c>
      <c r="CV46" s="82" t="str">
        <f aca="false">IF(CT$2="","",IF(AND(CT46=CT$2,CU46=CU$2),3,IF(AND(CT$2&gt;CU$2,CT46&gt;CU46),1,IF(AND(CU$2&gt;CT$2,CU46&gt;CT46),1,IF(AND(CT$2=CU$2,CT46=CU46),1,0)))))</f>
        <v/>
      </c>
      <c r="CW46" s="1" t="n">
        <f aca="false">Participantes!BQ45</f>
        <v>0</v>
      </c>
      <c r="CX46" s="1" t="n">
        <f aca="false">Participantes!BR45</f>
        <v>0</v>
      </c>
      <c r="CY46" s="82" t="str">
        <f aca="false">IF(CW$2="","",IF(AND(CW46=CW$2,CX46=CX$2),3,IF(AND(CW$2&gt;CX$2,CW46&gt;CX46),1,IF(AND(CX$2&gt;CW$2,CX46&gt;CW46),1,IF(AND(CW$2=CX$2,CW46=CX46),1,0)))))</f>
        <v/>
      </c>
      <c r="CZ46" s="1" t="n">
        <f aca="false">Participantes!BS45</f>
        <v>0</v>
      </c>
      <c r="DA46" s="1" t="n">
        <f aca="false">Participantes!BT45</f>
        <v>0</v>
      </c>
      <c r="DB46" s="82" t="str">
        <f aca="false">IF(CZ$2="","",IF(AND(CZ46=CZ$2,DA46=DA$2),3,IF(AND(CZ$2&gt;DA$2,CZ46&gt;DA46),1,IF(AND(DA$2&gt;CZ$2,DA46&gt;CZ46),1,IF(AND(CZ$2=DA$2,CZ46=DA46),1,0)))))</f>
        <v/>
      </c>
      <c r="DC46" s="1" t="n">
        <f aca="false">Participantes!BU45</f>
        <v>0</v>
      </c>
      <c r="DD46" s="1" t="n">
        <f aca="false">Participantes!BV45</f>
        <v>0</v>
      </c>
      <c r="DE46" s="82" t="str">
        <f aca="false">IF(DC$2="","",IF(AND(DC46=DC$2,DD46=DD$2),3,IF(AND(DC$2&gt;DD$2,DC46&gt;DD46),1,IF(AND(DD$2&gt;DC$2,DD46&gt;DC46),1,IF(AND(DC$2=DD$2,DC46=DD46),1,0)))))</f>
        <v/>
      </c>
      <c r="DF46" s="1" t="n">
        <f aca="false">Participantes!BW45</f>
        <v>0</v>
      </c>
      <c r="DG46" s="1" t="n">
        <f aca="false">Participantes!BX45</f>
        <v>0</v>
      </c>
      <c r="DH46" s="82" t="str">
        <f aca="false">IF(DF$2="","",IF(AND(DF46=DF$2,DG46=DG$2),3,IF(AND(DF$2&gt;DG$2,DF46&gt;DG46),1,IF(AND(DG$2&gt;DF$2,DG46&gt;DF46),1,IF(AND(DF$2=DG$2,DF46=DG46),1,0)))))</f>
        <v/>
      </c>
      <c r="DI46" s="1" t="n">
        <f aca="false">Participantes!BY45</f>
        <v>0</v>
      </c>
      <c r="DJ46" s="1" t="n">
        <f aca="false">Participantes!BZ45</f>
        <v>0</v>
      </c>
      <c r="DK46" s="82" t="str">
        <f aca="false">IF(DI$2="","",IF(AND(DI46=DI$2,DJ46=DJ$2),3,IF(AND(DI$2&gt;DJ$2,DI46&gt;DJ46),1,IF(AND(DJ$2&gt;DI$2,DJ46&gt;DI46),1,IF(AND(DI$2=DJ$2,DI46=DJ46),1,0)))))</f>
        <v/>
      </c>
      <c r="DL46" s="1" t="n">
        <f aca="false">Participantes!CA45</f>
        <v>0</v>
      </c>
      <c r="DM46" s="1" t="n">
        <f aca="false">Participantes!CB45</f>
        <v>0</v>
      </c>
      <c r="DN46" s="82" t="str">
        <f aca="false">IF(DL$2="","",IF(AND(DL46=DL$2,DM46=DM$2),3,IF(AND(DL$2&gt;DM$2,DL46&gt;DM46),1,IF(AND(DM$2&gt;DL$2,DM46&gt;DL46),1,IF(AND(DL$2=DM$2,DL46=DM46),1,0)))))</f>
        <v/>
      </c>
      <c r="DO46" s="1" t="n">
        <f aca="false">Participantes!CC45</f>
        <v>0</v>
      </c>
      <c r="DP46" s="1" t="n">
        <f aca="false">Participantes!CD45</f>
        <v>0</v>
      </c>
      <c r="DQ46" s="82" t="str">
        <f aca="false">IF(DO$2="","",IF(AND(DO46=DO$2,DP46=DP$2),3,IF(AND(DO$2&gt;DP$2,DO46&gt;DP46),1,IF(AND(DP$2&gt;DO$2,DP46&gt;DO46),1,IF(AND(DO$2=DP$2,DO46=DP46),1,0)))))</f>
        <v/>
      </c>
      <c r="DR46" s="1" t="n">
        <f aca="false">Participantes!CE45</f>
        <v>0</v>
      </c>
      <c r="DS46" s="1" t="n">
        <f aca="false">Participantes!CF45</f>
        <v>0</v>
      </c>
      <c r="DT46" s="82" t="str">
        <f aca="false">IF(DR$2="","",IF(AND(DR46=DR$2,DS46=DS$2),3,IF(AND(DR$2&gt;DS$2,DR46&gt;DS46),1,IF(AND(DS$2&gt;DR$2,DS46&gt;DR46),1,IF(AND(DR$2=DS$2,DR46=DS46),1,0)))))</f>
        <v/>
      </c>
      <c r="DU46" s="1" t="n">
        <f aca="false">Participantes!CG45</f>
        <v>0</v>
      </c>
      <c r="DV46" s="1" t="n">
        <f aca="false">Participantes!CH45</f>
        <v>0</v>
      </c>
      <c r="DW46" s="82" t="str">
        <f aca="false">IF(DU$2="","",IF(AND(DU46=DU$2,DV46=DV$2),3,IF(AND(DU$2&gt;DV$2,DU46&gt;DV46),1,IF(AND(DV$2&gt;DU$2,DV46&gt;DU46),1,IF(AND(DU$2=DV$2,DU46=DV46),1,0)))))</f>
        <v/>
      </c>
      <c r="DX46" s="1" t="n">
        <f aca="false">Participantes!CI45</f>
        <v>0</v>
      </c>
      <c r="DY46" s="1" t="n">
        <f aca="false">Participantes!CJ45</f>
        <v>0</v>
      </c>
      <c r="DZ46" s="82" t="str">
        <f aca="false">IF(DX$2="","",IF(AND(DX46=DX$2,DY46=DY$2),3,IF(AND(DX$2&gt;DY$2,DX46&gt;DY46),1,IF(AND(DY$2&gt;DX$2,DY46&gt;DX46),1,IF(AND(DX$2=DY$2,DX46=DY46),1,0)))))</f>
        <v/>
      </c>
      <c r="EA46" s="1" t="n">
        <f aca="false">Participantes!CK45</f>
        <v>0</v>
      </c>
      <c r="EB46" s="1" t="n">
        <f aca="false">Participantes!CL45</f>
        <v>0</v>
      </c>
      <c r="EC46" s="82" t="str">
        <f aca="false">IF(EA$2="","",IF(AND(EA46=EA$2,EB46=EB$2),3,IF(AND(EA$2&gt;EB$2,EA46&gt;EB46),1,IF(AND(EB$2&gt;EA$2,EB46&gt;EA46),1,IF(AND(EA$2=EB$2,EA46=EB46),1,0)))))</f>
        <v/>
      </c>
      <c r="ED46" s="1" t="n">
        <f aca="false">Participantes!CM45</f>
        <v>0</v>
      </c>
      <c r="EE46" s="1" t="n">
        <f aca="false">Participantes!CN45</f>
        <v>0</v>
      </c>
      <c r="EF46" s="82" t="str">
        <f aca="false">IF(ED$2="","",IF(AND(ED46=ED$2,EE46=EE$2),3,IF(AND(ED$2&gt;EE$2,ED46&gt;EE46),1,IF(AND(EE$2&gt;ED$2,EE46&gt;ED46),1,IF(AND(ED$2=EE$2,ED46=EE46),1,0)))))</f>
        <v/>
      </c>
      <c r="EG46" s="1" t="n">
        <f aca="false">Participantes!CO45</f>
        <v>0</v>
      </c>
      <c r="EH46" s="1" t="n">
        <f aca="false">Participantes!CP45</f>
        <v>0</v>
      </c>
      <c r="EI46" s="82" t="str">
        <f aca="false">IF(EG$2="","",IF(AND(EG46=EG$2,EH46=EH$2),3,IF(AND(EG$2&gt;EH$2,EG46&gt;EH46),1,IF(AND(EH$2&gt;EG$2,EH46&gt;EG46),1,IF(AND(EG$2=EH$2,EG46=EH46),1,0)))))</f>
        <v/>
      </c>
      <c r="EJ46" s="1" t="n">
        <f aca="false">Participantes!CQ45</f>
        <v>0</v>
      </c>
      <c r="EK46" s="1" t="n">
        <f aca="false">Participantes!CR45</f>
        <v>0</v>
      </c>
      <c r="EL46" s="82" t="str">
        <f aca="false">IF(EJ$2="","",IF(AND(EJ46=EJ$2,EK46=EK$2),3,IF(AND(EJ$2&gt;EK$2,EJ46&gt;EK46),1,IF(AND(EK$2&gt;EJ$2,EK46&gt;EJ46),1,IF(AND(EJ$2=EK$2,EJ46=EK46),1,0)))))</f>
        <v/>
      </c>
      <c r="EM46" s="1" t="n">
        <f aca="false">Participantes!CS45</f>
        <v>0</v>
      </c>
      <c r="EN46" s="1" t="n">
        <f aca="false">Participantes!CT45</f>
        <v>0</v>
      </c>
      <c r="EO46" s="82" t="str">
        <f aca="false">IF(EM$2="","",IF(AND(EM46=EM$2,EN46=EN$2),3,IF(AND(EM$2&gt;EN$2,EM46&gt;EN46),1,IF(AND(EN$2&gt;EM$2,EN46&gt;EM46),1,IF(AND(EM$2=EN$2,EM46=EN46),1,0)))))</f>
        <v/>
      </c>
      <c r="EP46" s="1" t="n">
        <f aca="false">Participantes!CU45</f>
        <v>0</v>
      </c>
      <c r="EQ46" s="1" t="n">
        <f aca="false">Participantes!CV45</f>
        <v>0</v>
      </c>
      <c r="ER46" s="82" t="str">
        <f aca="false">IF(EP$2="","",IF(AND(EP46=EP$2,EQ46=EQ$2),3,IF(AND(EP$2&gt;EQ$2,EP46&gt;EQ46),1,IF(AND(EQ$2&gt;EP$2,EQ46&gt;EP46),1,IF(AND(EP$2=EQ$2,EP46=EQ46),1,0)))))</f>
        <v/>
      </c>
      <c r="ES46" s="1" t="n">
        <f aca="false">Participantes!CW45</f>
        <v>0</v>
      </c>
      <c r="ET46" s="1" t="n">
        <f aca="false">Participantes!CX45</f>
        <v>0</v>
      </c>
      <c r="EU46" s="82" t="str">
        <f aca="false">IF(ES$2="","",IF(AND(ES46=ES$2,ET46=ET$2),3,IF(AND(ES$2&gt;ET$2,ES46&gt;ET46),1,IF(AND(ET$2&gt;ES$2,ET46&gt;ES46),1,IF(AND(ES$2=ET$2,ES46=ET46),1,0)))))</f>
        <v/>
      </c>
      <c r="EV46" s="1" t="n">
        <f aca="false">Participantes!CY45</f>
        <v>0</v>
      </c>
      <c r="EW46" s="1" t="n">
        <f aca="false">Participantes!CZ45</f>
        <v>0</v>
      </c>
      <c r="EX46" s="82" t="str">
        <f aca="false">IF(EV$2="","",IF(AND(EV46=EV$2,EW46=EW$2),3,IF(AND(EV$2&gt;EW$2,EV46&gt;EW46),1,IF(AND(EW$2&gt;EV$2,EW46&gt;EV46),1,IF(AND(EV$2=EW$2,EV46=EW46),1,0)))))</f>
        <v/>
      </c>
      <c r="EY46" s="1" t="n">
        <f aca="false">Participantes!DA45</f>
        <v>0</v>
      </c>
      <c r="EZ46" s="1" t="n">
        <f aca="false">Participantes!DB45</f>
        <v>0</v>
      </c>
      <c r="FA46" s="82" t="str">
        <f aca="false">IF(EY$2="","",IF(AND(EY46=EY$2,EZ46=EZ$2),3,IF(AND(EY$2&gt;EZ$2,EY46&gt;EZ46),1,IF(AND(EZ$2&gt;EY$2,EZ46&gt;EY46),1,IF(AND(EY$2=EZ$2,EY46=EZ46),1,0)))))</f>
        <v/>
      </c>
      <c r="FB46" s="1" t="n">
        <f aca="false">Participantes!DC45</f>
        <v>0</v>
      </c>
      <c r="FC46" s="1" t="n">
        <f aca="false">Participantes!DD45</f>
        <v>0</v>
      </c>
      <c r="FD46" s="82" t="str">
        <f aca="false">IF(FB$2="","",IF(AND(FB46=FB$2,FC46=FC$2),3,IF(AND(FB$2&gt;FC$2,FB46&gt;FC46),1,IF(AND(FC$2&gt;FB$2,FC46&gt;FB46),1,IF(AND(FB$2=FC$2,FB46=FC46),1,0)))))</f>
        <v/>
      </c>
      <c r="FE46" s="1" t="n">
        <f aca="false">Participantes!DE45</f>
        <v>0</v>
      </c>
      <c r="FF46" s="1" t="n">
        <f aca="false">Participantes!DF45</f>
        <v>0</v>
      </c>
      <c r="FG46" s="82" t="str">
        <f aca="false">IF(FE$2="","",IF(AND(FE46=FE$2,FF46=FF$2),3,IF(AND(FE$2&gt;FF$2,FE46&gt;FF46),1,IF(AND(FF$2&gt;FE$2,FF46&gt;FE46),1,IF(AND(FE$2=FF$2,FE46=FF46),1,0)))))</f>
        <v/>
      </c>
      <c r="FH46" s="1" t="n">
        <f aca="false">Participantes!DG45</f>
        <v>0</v>
      </c>
      <c r="FI46" s="1" t="n">
        <f aca="false">Participantes!DH45</f>
        <v>0</v>
      </c>
      <c r="FJ46" s="82" t="str">
        <f aca="false">IF(FH$2="","",IF(AND(FH46=FH$2,FI46=FI$2),3,IF(AND(FH$2&gt;FI$2,FH46&gt;FI46),1,IF(AND(FI$2&gt;FH$2,FI46&gt;FH46),1,IF(AND(FH$2=FI$2,FH46=FI46),1,0)))))</f>
        <v/>
      </c>
      <c r="FK46" s="1" t="n">
        <f aca="false">Participantes!DI45</f>
        <v>0</v>
      </c>
      <c r="FL46" s="1" t="n">
        <f aca="false">Participantes!DJ45</f>
        <v>0</v>
      </c>
      <c r="FM46" s="82" t="str">
        <f aca="false">IF(FK$2="","",IF(AND(FK46=FK$2,FL46=FL$2),3,IF(AND(FK$2&gt;FL$2,FK46&gt;FL46),1,IF(AND(FL$2&gt;FK$2,FL46&gt;FK46),1,IF(AND(FK$2=FL$2,FK46=FL46),1,0)))))</f>
        <v/>
      </c>
      <c r="FN46" s="1" t="n">
        <f aca="false">Participantes!DK45</f>
        <v>0</v>
      </c>
      <c r="FO46" s="1" t="n">
        <f aca="false">Participantes!DL45</f>
        <v>0</v>
      </c>
      <c r="FP46" s="82" t="str">
        <f aca="false">IF(FN$2="","",IF(AND(FN46=FN$2,FO46=FO$2),3,IF(AND(FN$2&gt;FO$2,FN46&gt;FO46),1,IF(AND(FO$2&gt;FN$2,FO46&gt;FN46),1,IF(AND(FN$2=FO$2,FN46=FO46),1,0)))))</f>
        <v/>
      </c>
      <c r="FQ46" s="1" t="n">
        <f aca="false">Participantes!DM45</f>
        <v>0</v>
      </c>
      <c r="FR46" s="1" t="n">
        <f aca="false">Participantes!DN45</f>
        <v>0</v>
      </c>
      <c r="FS46" s="82" t="str">
        <f aca="false">IF(FQ$2="","",IF(AND(FQ46=FQ$2,FR46=FR$2),3,IF(AND(FQ$2&gt;FR$2,FQ46&gt;FR46),1,IF(AND(FR$2&gt;FQ$2,FR46&gt;FQ46),1,IF(AND(FQ$2=FR$2,FQ46=FR46),1,0)))))</f>
        <v/>
      </c>
      <c r="FT46" s="1" t="n">
        <f aca="false">Participantes!DO45</f>
        <v>0</v>
      </c>
      <c r="FU46" s="1" t="n">
        <f aca="false">Participantes!DP45</f>
        <v>0</v>
      </c>
      <c r="FV46" s="82" t="str">
        <f aca="false">IF(FT$2="","",IF(AND(FT46=FT$2,FU46=FU$2),3,IF(AND(FT$2&gt;FU$2,FT46&gt;FU46),1,IF(AND(FU$2&gt;FT$2,FU46&gt;FT46),1,IF(AND(FT$2=FU$2,FT46=FU46),1,0)))))</f>
        <v/>
      </c>
      <c r="FW46" s="1" t="n">
        <f aca="false">Participantes!DQ45</f>
        <v>0</v>
      </c>
      <c r="FX46" s="1" t="n">
        <f aca="false">Participantes!DR45</f>
        <v>0</v>
      </c>
      <c r="FY46" s="82" t="str">
        <f aca="false">IF(FW$2="","",IF(AND(FW46=FW$2,FX46=FX$2),3,IF(AND(FW$2&gt;FX$2,FW46&gt;FX46),1,IF(AND(FX$2&gt;FW$2,FX46&gt;FW46),1,IF(AND(FW$2=FX$2,FW46=FX46),1,0)))))</f>
        <v/>
      </c>
      <c r="FZ46" s="1" t="n">
        <f aca="false">Participantes!DS45</f>
        <v>0</v>
      </c>
      <c r="GA46" s="1" t="n">
        <f aca="false">Participantes!DT45</f>
        <v>0</v>
      </c>
      <c r="GB46" s="82" t="str">
        <f aca="false">IF(FZ$2="","",IF(AND(FZ46=FZ$2,GA46=GA$2),3,IF(AND(FZ$2&gt;GA$2,FZ46&gt;GA46),1,IF(AND(GA$2&gt;FZ$2,GA46&gt;FZ46),1,IF(AND(FZ$2=GA$2,FZ46=GA46),1,0)))))</f>
        <v/>
      </c>
      <c r="GC46" s="1" t="n">
        <f aca="false">Participantes!DU45</f>
        <v>0</v>
      </c>
      <c r="GD46" s="1" t="n">
        <f aca="false">Participantes!DV45</f>
        <v>0</v>
      </c>
      <c r="GE46" s="82" t="str">
        <f aca="false">IF(GC$2="","",IF(AND(GC46=GC$2,GD46=GD$2),3,IF(AND(GC$2&gt;GD$2,GC46&gt;GD46),1,IF(AND(GD$2&gt;GC$2,GD46&gt;GC46),1,IF(AND(GC$2=GD$2,GC46=GD46),1,0)))))</f>
        <v/>
      </c>
      <c r="GF46" s="1" t="n">
        <f aca="false">Participantes!DW45</f>
        <v>0</v>
      </c>
      <c r="GG46" s="1" t="n">
        <f aca="false">Participantes!DX45</f>
        <v>0</v>
      </c>
      <c r="GH46" s="82" t="str">
        <f aca="false">IF(GF$2="","",IF(AND(GF46=GF$2,GG46=GG$2),3,IF(AND(GF$2&gt;GG$2,GF46&gt;GG46),1,IF(AND(GG$2&gt;GF$2,GG46&gt;GF46),1,IF(AND(GF$2=GG$2,GF46=GG46),1,0)))))</f>
        <v/>
      </c>
      <c r="GI46" s="1" t="n">
        <f aca="false">Participantes!DY45</f>
        <v>0</v>
      </c>
      <c r="GJ46" s="1" t="n">
        <f aca="false">Participantes!DZ45</f>
        <v>0</v>
      </c>
      <c r="GK46" s="82" t="str">
        <f aca="false">IF(GI$2="","",IF(AND(GI46=GI$2,GJ46=GJ$2),3,IF(AND(GI$2&gt;GJ$2,GI46&gt;GJ46),1,IF(AND(GJ$2&gt;GI$2,GJ46&gt;GI46),1,IF(AND(GI$2=GJ$2,GI46=GJ46),1,0)))))</f>
        <v/>
      </c>
      <c r="GL46" s="1" t="n">
        <f aca="false">Participantes!EA45</f>
        <v>0</v>
      </c>
      <c r="GM46" s="1" t="n">
        <f aca="false">Participantes!EB45</f>
        <v>0</v>
      </c>
      <c r="GN46" s="82" t="str">
        <f aca="false">IF(GL$2="","",IF(AND(GL46=GL$2,GM46=GM$2),3,IF(AND(GL$2&gt;GM$2,GL46&gt;GM46),1,IF(AND(GM$2&gt;GL$2,GM46&gt;GL46),1,IF(AND(GL$2=GM$2,GL46=GM46),1,0)))))</f>
        <v/>
      </c>
      <c r="GO46" s="1" t="n">
        <f aca="false">Participantes!EC45</f>
        <v>0</v>
      </c>
      <c r="GP46" s="1" t="n">
        <f aca="false">Participantes!ED45</f>
        <v>0</v>
      </c>
      <c r="GQ46" s="82" t="str">
        <f aca="false">IF(GO$2="","",IF(AND(GO46=GO$2,GP46=GP$2),3,IF(AND(GO$2&gt;GP$2,GO46&gt;GP46),1,IF(AND(GP$2&gt;GO$2,GP46&gt;GO46),1,IF(AND(GO$2=GP$2,GO46=GP46),1,0)))))</f>
        <v/>
      </c>
      <c r="GR46" s="1" t="n">
        <f aca="false">Participantes!EE45</f>
        <v>0</v>
      </c>
      <c r="GS46" s="1" t="n">
        <f aca="false">Participantes!EF45</f>
        <v>0</v>
      </c>
      <c r="GT46" s="82" t="str">
        <f aca="false">IF(GR$2="","",IF(AND(GR46=GR$2,GS46=GS$2),3,IF(AND(GR$2&gt;GS$2,GR46&gt;GS46),1,IF(AND(GS$2&gt;GR$2,GS46&gt;GR46),1,IF(AND(GR$2=GS$2,GR46=GS46),1,0)))))</f>
        <v/>
      </c>
      <c r="GU46" s="1" t="n">
        <f aca="false">Participantes!EG45</f>
        <v>0</v>
      </c>
      <c r="GV46" s="1" t="n">
        <f aca="false">Participantes!EH45</f>
        <v>0</v>
      </c>
      <c r="GW46" s="82" t="str">
        <f aca="false">IF(GU$2="","",IF(AND(GU46=GU$2,GV46=GV$2),3,IF(AND(GU$2&gt;GV$2,GU46&gt;GV46),1,IF(AND(GV$2&gt;GU$2,GV46&gt;GU46),1,IF(AND(GU$2=GV$2,GU46=GV46),1,0)))))</f>
        <v/>
      </c>
      <c r="GX46" s="1" t="n">
        <f aca="false">Participantes!EI45</f>
        <v>0</v>
      </c>
      <c r="GY46" s="1" t="n">
        <f aca="false">Participantes!EJ45</f>
        <v>0</v>
      </c>
      <c r="GZ46" s="82" t="str">
        <f aca="false">IF(GX$2="","",IF(AND(GX46=GX$2,GY46=GY$2),3,IF(AND(GX$2&gt;GY$2,GX46&gt;GY46),1,IF(AND(GY$2&gt;GX$2,GY46&gt;GX46),1,IF(AND(GX$2=GY$2,GX46=GY46),1,0)))))</f>
        <v/>
      </c>
      <c r="HA46" s="1" t="n">
        <f aca="false">Participantes!EK45</f>
        <v>0</v>
      </c>
      <c r="HB46" s="1" t="n">
        <f aca="false">Participantes!EL45</f>
        <v>0</v>
      </c>
      <c r="HC46" s="82" t="str">
        <f aca="false">IF(HA$2="","",IF(AND(HA46=HA$2,HB46=HB$2),3,IF(AND(HA$2&gt;HB$2,HA46&gt;HB46),1,IF(AND(HB$2&gt;HA$2,HB46&gt;HA46),1,IF(AND(HA$2=HB$2,HA46=HB46),1,0)))))</f>
        <v/>
      </c>
      <c r="HD46" s="1" t="n">
        <f aca="false">Participantes!EM45</f>
        <v>0</v>
      </c>
      <c r="HE46" s="1" t="n">
        <f aca="false">Participantes!EN45</f>
        <v>0</v>
      </c>
      <c r="HF46" s="82" t="str">
        <f aca="false">IF(HD$2="","",IF(AND(HD46=HD$2,HE46=HE$2),3,IF(AND(HD$2&gt;HE$2,HD46&gt;HE46),1,IF(AND(HE$2&gt;HD$2,HE46&gt;HD46),1,IF(AND(HD$2=HE$2,HD46=HE46),1,0)))))</f>
        <v/>
      </c>
      <c r="HG46" s="1" t="n">
        <f aca="false">Participantes!EO45</f>
        <v>0</v>
      </c>
      <c r="HH46" s="1" t="n">
        <f aca="false">Participantes!EP45</f>
        <v>0</v>
      </c>
      <c r="HI46" s="82" t="str">
        <f aca="false">IF(HG$2="","",IF(AND(HG46=HG$2,HH46=HH$2),3,IF(AND(HG$2&gt;HH$2,HG46&gt;HH46),1,IF(AND(HH$2&gt;HG$2,HH46&gt;HG46),1,IF(AND(HG$2=HH$2,HG46=HH46),1,0)))))</f>
        <v/>
      </c>
      <c r="HJ46" s="83" t="n">
        <f aca="false">SUM(D46,G46,J46,M46,P46,S46,V46,Y46,AB46,AE46,AH46,AK46,AN46,AQ46,AT46,AW46,AZ46,BC46,BF46,BI46,BL46,BO46,BR46,BU46,BX46,CA46,CD46,CG46,CJ46,CM46,CP46,CS46,CV46,CY46,DB46,DE46,DH46,DK46,DN46,DQ46,DT46,DW46,DZ46,EC46,EF46,EI46,EL46,EO46,ER46,EU46,EX46,FA46,FD46,FG46,FJ46,FM46,FP46,FS46,FV46,FY46,GB46,GE46,GH46,GK46,GN46,GQ46,GT46,GW46,GZ46,HC46,HF46,HI46)</f>
        <v>3</v>
      </c>
    </row>
    <row r="47" customFormat="false" ht="15" hidden="false" customHeight="true" outlineLevel="0" collapsed="false">
      <c r="A47" s="81" t="str">
        <f aca="false">Participantes!B46</f>
        <v>Radames</v>
      </c>
      <c r="B47" s="1" t="n">
        <f aca="false">Participantes!C46</f>
        <v>2</v>
      </c>
      <c r="C47" s="1" t="n">
        <f aca="false">Participantes!D46</f>
        <v>0</v>
      </c>
      <c r="D47" s="82" t="n">
        <f aca="false">IF(B$2="","",IF(AND(B47=B$2,C47=C$2),3,IF(AND(B$2&gt;C$2,B47&gt;C47),1,IF(AND(C$2&gt;B$2,C47&gt;B47),1,IF(AND(B$2=C$2,B47=C47),1,0)))))</f>
        <v>3</v>
      </c>
      <c r="E47" s="1" t="n">
        <f aca="false">Participantes!E46</f>
        <v>0</v>
      </c>
      <c r="F47" s="1" t="n">
        <f aca="false">Participantes!F46</f>
        <v>1</v>
      </c>
      <c r="G47" s="82" t="str">
        <f aca="false">IF(E$2="","",IF(AND(E47=E$2,F47=F$2),3,IF(AND(E$2&gt;F$2,E47&gt;F47),1,IF(AND(F$2&gt;E$2,F47&gt;E47),1,IF(AND(E$2=F$2,E47=F47),1,0)))))</f>
        <v/>
      </c>
      <c r="H47" s="1" t="n">
        <f aca="false">Participantes!G46</f>
        <v>1</v>
      </c>
      <c r="I47" s="1" t="n">
        <f aca="false">Participantes!H46</f>
        <v>0</v>
      </c>
      <c r="J47" s="82" t="str">
        <f aca="false">IF(H$2="","",IF(AND(H47=H$2,I47=I$2),3,IF(AND(H$2&gt;I$2,H47&gt;I47),1,IF(AND(I$2&gt;H$2,I47&gt;H47),1,IF(AND(H$2=I$2,H47=I47),1,0)))))</f>
        <v/>
      </c>
      <c r="K47" s="1" t="n">
        <f aca="false">Participantes!I46</f>
        <v>2</v>
      </c>
      <c r="L47" s="1" t="n">
        <f aca="false">Participantes!J46</f>
        <v>0</v>
      </c>
      <c r="M47" s="82" t="str">
        <f aca="false">IF(K$2="","",IF(AND(K47=K$2,L47=L$2),3,IF(AND(K$2&gt;L$2,K47&gt;L47),1,IF(AND(L$2&gt;K$2,L47&gt;K47),1,IF(AND(K$2=L$2,K47=L47),1,0)))))</f>
        <v/>
      </c>
      <c r="N47" s="1" t="n">
        <f aca="false">Participantes!K46</f>
        <v>1</v>
      </c>
      <c r="O47" s="1" t="n">
        <f aca="false">Participantes!L46</f>
        <v>3</v>
      </c>
      <c r="P47" s="82" t="str">
        <f aca="false">IF(N$2="","",IF(AND(N47=N$2,O47=O$2),3,IF(AND(N$2&gt;O$2,N47&gt;O47),1,IF(AND(O$2&gt;N$2,O47&gt;N47),1,IF(AND(N$2=O$2,N47=O47),1,0)))))</f>
        <v/>
      </c>
      <c r="Q47" s="1" t="n">
        <f aca="false">Participantes!M46</f>
        <v>2</v>
      </c>
      <c r="R47" s="1" t="n">
        <f aca="false">Participantes!N46</f>
        <v>2</v>
      </c>
      <c r="S47" s="82" t="str">
        <f aca="false">IF(Q$2="","",IF(AND(Q47=Q$2,R47=R$2),3,IF(AND(Q$2&gt;R$2,Q47&gt;R47),1,IF(AND(R$2&gt;Q$2,R47&gt;Q47),1,IF(AND(Q$2=R$2,Q47=R47),1,0)))))</f>
        <v/>
      </c>
      <c r="T47" s="1" t="n">
        <f aca="false">Participantes!O46</f>
        <v>3</v>
      </c>
      <c r="U47" s="1" t="n">
        <f aca="false">Participantes!P46</f>
        <v>0</v>
      </c>
      <c r="V47" s="82" t="str">
        <f aca="false">IF(T$2="","",IF(AND(T47=T$2,U47=U$2),3,IF(AND(T$2&gt;U$2,T47&gt;U47),1,IF(AND(U$2&gt;T$2,U47&gt;T47),1,IF(AND(T$2=U$2,T47=U47),1,0)))))</f>
        <v/>
      </c>
      <c r="W47" s="1" t="n">
        <f aca="false">Participantes!Q46</f>
        <v>1</v>
      </c>
      <c r="X47" s="1" t="n">
        <f aca="false">Participantes!R46</f>
        <v>2</v>
      </c>
      <c r="Y47" s="82" t="str">
        <f aca="false">IF(W$2="","",IF(AND(W47=W$2,X47=X$2),3,IF(AND(W$2&gt;X$2,W47&gt;X47),1,IF(AND(X$2&gt;W$2,X47&gt;W47),1,IF(AND(W$2=X$2,W47=X47),1,0)))))</f>
        <v/>
      </c>
      <c r="Z47" s="1" t="n">
        <f aca="false">Participantes!S46</f>
        <v>1</v>
      </c>
      <c r="AA47" s="1" t="n">
        <f aca="false">Participantes!T46</f>
        <v>1</v>
      </c>
      <c r="AB47" s="82" t="str">
        <f aca="false">IF(Z$2="","",IF(AND(Z47=Z$2,AA47=AA$2),3,IF(AND(Z$2&gt;AA$2,Z47&gt;AA47),1,IF(AND(AA$2&gt;Z$2,AA47&gt;Z47),1,IF(AND(Z$2=AA$2,Z47=AA47),1,0)))))</f>
        <v/>
      </c>
      <c r="AC47" s="1" t="n">
        <f aca="false">Participantes!U46</f>
        <v>4</v>
      </c>
      <c r="AD47" s="1" t="n">
        <f aca="false">Participantes!V46</f>
        <v>0</v>
      </c>
      <c r="AE47" s="82" t="str">
        <f aca="false">IF(AC$2="","",IF(AND(AC47=AC$2,AD47=AD$2),3,IF(AND(AC$2&gt;AD$2,AC47&gt;AD47),1,IF(AND(AD$2&gt;AC$2,AD47&gt;AC47),1,IF(AND(AC$2=AD$2,AC47=AD47),1,0)))))</f>
        <v/>
      </c>
      <c r="AF47" s="1" t="n">
        <f aca="false">Participantes!W46</f>
        <v>3</v>
      </c>
      <c r="AG47" s="1" t="n">
        <f aca="false">Participantes!X46</f>
        <v>2</v>
      </c>
      <c r="AH47" s="82" t="str">
        <f aca="false">IF(AF$2="","",IF(AND(AF47=AF$2,AG47=AG$2),3,IF(AND(AF$2&gt;AG$2,AF47&gt;AG47),1,IF(AND(AG$2&gt;AF$2,AG47&gt;AF47),1,IF(AND(AF$2=AG$2,AF47=AG47),1,0)))))</f>
        <v/>
      </c>
      <c r="AI47" s="1" t="n">
        <f aca="false">Participantes!Y46</f>
        <v>2</v>
      </c>
      <c r="AJ47" s="1" t="n">
        <f aca="false">Participantes!Z46</f>
        <v>0</v>
      </c>
      <c r="AK47" s="82" t="str">
        <f aca="false">IF(AI$2="","",IF(AND(AI47=AI$2,AJ47=AJ$2),3,IF(AND(AI$2&gt;AJ$2,AI47&gt;AJ47),1,IF(AND(AJ$2&gt;AI$2,AJ47&gt;AI47),1,IF(AND(AI$2=AJ$2,AI47=AJ47),1,0)))))</f>
        <v/>
      </c>
      <c r="AL47" s="1" t="n">
        <f aca="false">Participantes!AA46</f>
        <v>1</v>
      </c>
      <c r="AM47" s="1" t="n">
        <f aca="false">Participantes!AB46</f>
        <v>2</v>
      </c>
      <c r="AN47" s="82" t="str">
        <f aca="false">IF(AL$2="","",IF(AND(AL47=AL$2,AM47=AM$2),3,IF(AND(AL$2&gt;AM$2,AL47&gt;AM47),1,IF(AND(AM$2&gt;AL$2,AM47&gt;AL47),1,IF(AND(AL$2=AM$2,AL47=AM47),1,0)))))</f>
        <v/>
      </c>
      <c r="AO47" s="1" t="n">
        <f aca="false">Participantes!AC46</f>
        <v>3</v>
      </c>
      <c r="AP47" s="1" t="n">
        <f aca="false">Participantes!AD46</f>
        <v>1</v>
      </c>
      <c r="AQ47" s="82" t="str">
        <f aca="false">IF(AO$2="","",IF(AND(AO47=AO$2,AP47=AP$2),3,IF(AND(AO$2&gt;AP$2,AO47&gt;AP47),1,IF(AND(AP$2&gt;AO$2,AP47&gt;AO47),1,IF(AND(AO$2=AP$2,AO47=AP47),1,0)))))</f>
        <v/>
      </c>
      <c r="AR47" s="1" t="n">
        <f aca="false">Participantes!AE46</f>
        <v>0</v>
      </c>
      <c r="AS47" s="1" t="n">
        <f aca="false">Participantes!AF46</f>
        <v>0</v>
      </c>
      <c r="AT47" s="82" t="str">
        <f aca="false">IF(AR$2="","",IF(AND(AR47=AR$2,AS47=AS$2),3,IF(AND(AR$2&gt;AS$2,AR47&gt;AS47),1,IF(AND(AS$2&gt;AR$2,AS47&gt;AR47),1,IF(AND(AR$2=AS$2,AR47=AS47),1,0)))))</f>
        <v/>
      </c>
      <c r="AU47" s="1" t="n">
        <f aca="false">Participantes!AG46</f>
        <v>0</v>
      </c>
      <c r="AV47" s="1" t="n">
        <f aca="false">Participantes!AH46</f>
        <v>0</v>
      </c>
      <c r="AW47" s="82" t="str">
        <f aca="false">IF(AU$2="","",IF(AND(AU47=AU$2,AV47=AV$2),3,IF(AND(AU$2&gt;AV$2,AU47&gt;AV47),1,IF(AND(AV$2&gt;AU$2,AV47&gt;AU47),1,IF(AND(AU$2=AV$2,AU47=AV47),1,0)))))</f>
        <v/>
      </c>
      <c r="AX47" s="1" t="n">
        <f aca="false">Participantes!AI46</f>
        <v>0</v>
      </c>
      <c r="AY47" s="1" t="n">
        <f aca="false">Participantes!AJ46</f>
        <v>0</v>
      </c>
      <c r="AZ47" s="82" t="str">
        <f aca="false">IF(AX$2="","",IF(AND(AX47=AX$2,AY47=AY$2),3,IF(AND(AX$2&gt;AY$2,AX47&gt;AY47),1,IF(AND(AY$2&gt;AX$2,AY47&gt;AX47),1,IF(AND(AX$2=AY$2,AX47=AY47),1,0)))))</f>
        <v/>
      </c>
      <c r="BA47" s="1" t="n">
        <f aca="false">Participantes!AK46</f>
        <v>0</v>
      </c>
      <c r="BB47" s="1" t="n">
        <f aca="false">Participantes!AL46</f>
        <v>0</v>
      </c>
      <c r="BC47" s="82" t="str">
        <f aca="false">IF(BA$2="","",IF(AND(BA47=BA$2,BB47=BB$2),3,IF(AND(BA$2&gt;BB$2,BA47&gt;BB47),1,IF(AND(BB$2&gt;BA$2,BB47&gt;BA47),1,IF(AND(BA$2=BB$2,BA47=BB47),1,0)))))</f>
        <v/>
      </c>
      <c r="BD47" s="1" t="n">
        <f aca="false">Participantes!AM46</f>
        <v>0</v>
      </c>
      <c r="BE47" s="1" t="n">
        <f aca="false">Participantes!AN46</f>
        <v>0</v>
      </c>
      <c r="BF47" s="82" t="str">
        <f aca="false">IF(BD$2="","",IF(AND(BD47=BD$2,BE47=BE$2),3,IF(AND(BD$2&gt;BE$2,BD47&gt;BE47),1,IF(AND(BE$2&gt;BD$2,BE47&gt;BD47),1,IF(AND(BD$2=BE$2,BD47=BE47),1,0)))))</f>
        <v/>
      </c>
      <c r="BG47" s="1" t="n">
        <f aca="false">Participantes!AO46</f>
        <v>0</v>
      </c>
      <c r="BH47" s="1" t="n">
        <f aca="false">Participantes!AP46</f>
        <v>0</v>
      </c>
      <c r="BI47" s="82" t="str">
        <f aca="false">IF(BG$2="","",IF(AND(BG47=BG$2,BH47=BH$2),3,IF(AND(BG$2&gt;BH$2,BG47&gt;BH47),1,IF(AND(BH$2&gt;BG$2,BH47&gt;BG47),1,IF(AND(BG$2=BH$2,BG47=BH47),1,0)))))</f>
        <v/>
      </c>
      <c r="BJ47" s="1" t="n">
        <f aca="false">Participantes!AQ46</f>
        <v>0</v>
      </c>
      <c r="BK47" s="1" t="n">
        <f aca="false">Participantes!AR46</f>
        <v>0</v>
      </c>
      <c r="BL47" s="82" t="str">
        <f aca="false">IF(BJ$2="","",IF(AND(BJ47=BJ$2,BK47=BK$2),3,IF(AND(BJ$2&gt;BK$2,BJ47&gt;BK47),1,IF(AND(BK$2&gt;BJ$2,BK47&gt;BJ47),1,IF(AND(BJ$2=BK$2,BJ47=BK47),1,0)))))</f>
        <v/>
      </c>
      <c r="BM47" s="1" t="n">
        <f aca="false">Participantes!AS46</f>
        <v>0</v>
      </c>
      <c r="BN47" s="1" t="n">
        <f aca="false">Participantes!AT46</f>
        <v>0</v>
      </c>
      <c r="BO47" s="82" t="str">
        <f aca="false">IF(BM$2="","",IF(AND(BM47=BM$2,BN47=BN$2),3,IF(AND(BM$2&gt;BN$2,BM47&gt;BN47),1,IF(AND(BN$2&gt;BM$2,BN47&gt;BM47),1,IF(AND(BM$2=BN$2,BM47=BN47),1,0)))))</f>
        <v/>
      </c>
      <c r="BP47" s="1" t="n">
        <f aca="false">Participantes!AU46</f>
        <v>0</v>
      </c>
      <c r="BQ47" s="1" t="n">
        <f aca="false">Participantes!AV46</f>
        <v>0</v>
      </c>
      <c r="BR47" s="82" t="str">
        <f aca="false">IF(BP$2="","",IF(AND(BP47=BP$2,BQ47=BQ$2),3,IF(AND(BP$2&gt;BQ$2,BP47&gt;BQ47),1,IF(AND(BQ$2&gt;BP$2,BQ47&gt;BP47),1,IF(AND(BP$2=BQ$2,BP47=BQ47),1,0)))))</f>
        <v/>
      </c>
      <c r="BS47" s="1" t="n">
        <f aca="false">Participantes!AW46</f>
        <v>0</v>
      </c>
      <c r="BT47" s="1" t="n">
        <f aca="false">Participantes!AX46</f>
        <v>0</v>
      </c>
      <c r="BU47" s="82" t="str">
        <f aca="false">IF(BS$2="","",IF(AND(BS47=BS$2,BT47=BT$2),3,IF(AND(BS$2&gt;BT$2,BS47&gt;BT47),1,IF(AND(BT$2&gt;BS$2,BT47&gt;BS47),1,IF(AND(BS$2=BT$2,BS47=BT47),1,0)))))</f>
        <v/>
      </c>
      <c r="BV47" s="1" t="n">
        <f aca="false">Participantes!AY46</f>
        <v>0</v>
      </c>
      <c r="BW47" s="1" t="n">
        <f aca="false">Participantes!AZ46</f>
        <v>0</v>
      </c>
      <c r="BX47" s="82" t="str">
        <f aca="false">IF(BV$2="","",IF(AND(BV47=BV$2,BW47=BW$2),3,IF(AND(BV$2&gt;BW$2,BV47&gt;BW47),1,IF(AND(BW$2&gt;BV$2,BW47&gt;BV47),1,IF(AND(BV$2=BW$2,BV47=BW47),1,0)))))</f>
        <v/>
      </c>
      <c r="BY47" s="1" t="n">
        <f aca="false">Participantes!BA46</f>
        <v>0</v>
      </c>
      <c r="BZ47" s="1" t="n">
        <f aca="false">Participantes!BB46</f>
        <v>0</v>
      </c>
      <c r="CA47" s="82" t="str">
        <f aca="false">IF(BY$2="","",IF(AND(BY47=BY$2,BZ47=BZ$2),3,IF(AND(BY$2&gt;BZ$2,BY47&gt;BZ47),1,IF(AND(BZ$2&gt;BY$2,BZ47&gt;BY47),1,IF(AND(BY$2=BZ$2,BY47=BZ47),1,0)))))</f>
        <v/>
      </c>
      <c r="CB47" s="1" t="n">
        <f aca="false">Participantes!BC46</f>
        <v>0</v>
      </c>
      <c r="CC47" s="1" t="n">
        <f aca="false">Participantes!BD46</f>
        <v>0</v>
      </c>
      <c r="CD47" s="82" t="str">
        <f aca="false">IF(CB$2="","",IF(AND(CB47=CB$2,CC47=CC$2),3,IF(AND(CB$2&gt;CC$2,CB47&gt;CC47),1,IF(AND(CC$2&gt;CB$2,CC47&gt;CB47),1,IF(AND(CB$2=CC$2,CB47=CC47),1,0)))))</f>
        <v/>
      </c>
      <c r="CE47" s="1" t="n">
        <f aca="false">Participantes!BE46</f>
        <v>0</v>
      </c>
      <c r="CF47" s="1" t="n">
        <f aca="false">Participantes!BF46</f>
        <v>0</v>
      </c>
      <c r="CG47" s="82" t="str">
        <f aca="false">IF(CE$2="","",IF(AND(CE47=CE$2,CF47=CF$2),3,IF(AND(CE$2&gt;CF$2,CE47&gt;CF47),1,IF(AND(CF$2&gt;CE$2,CF47&gt;CE47),1,IF(AND(CE$2=CF$2,CE47=CF47),1,0)))))</f>
        <v/>
      </c>
      <c r="CH47" s="1" t="n">
        <f aca="false">Participantes!BG46</f>
        <v>0</v>
      </c>
      <c r="CI47" s="1" t="n">
        <f aca="false">Participantes!BH46</f>
        <v>0</v>
      </c>
      <c r="CJ47" s="82" t="str">
        <f aca="false">IF(CH$2="","",IF(AND(CH47=CH$2,CI47=CI$2),3,IF(AND(CH$2&gt;CI$2,CH47&gt;CI47),1,IF(AND(CI$2&gt;CH$2,CI47&gt;CH47),1,IF(AND(CH$2=CI$2,CH47=CI47),1,0)))))</f>
        <v/>
      </c>
      <c r="CK47" s="1" t="n">
        <f aca="false">Participantes!BI46</f>
        <v>0</v>
      </c>
      <c r="CL47" s="1" t="n">
        <f aca="false">Participantes!BJ46</f>
        <v>0</v>
      </c>
      <c r="CM47" s="82" t="str">
        <f aca="false">IF(CK$2="","",IF(AND(CK47=CK$2,CL47=CL$2),3,IF(AND(CK$2&gt;CL$2,CK47&gt;CL47),1,IF(AND(CL$2&gt;CK$2,CL47&gt;CK47),1,IF(AND(CK$2=CL$2,CK47=CL47),1,0)))))</f>
        <v/>
      </c>
      <c r="CN47" s="1" t="n">
        <f aca="false">Participantes!BK46</f>
        <v>0</v>
      </c>
      <c r="CO47" s="1" t="n">
        <f aca="false">Participantes!BL46</f>
        <v>0</v>
      </c>
      <c r="CP47" s="82" t="str">
        <f aca="false">IF(CN$2="","",IF(AND(CN47=CN$2,CO47=CO$2),3,IF(AND(CN$2&gt;CO$2,CN47&gt;CO47),1,IF(AND(CO$2&gt;CN$2,CO47&gt;CN47),1,IF(AND(CN$2=CO$2,CN47=CO47),1,0)))))</f>
        <v/>
      </c>
      <c r="CQ47" s="1" t="n">
        <f aca="false">Participantes!BM46</f>
        <v>0</v>
      </c>
      <c r="CR47" s="1" t="n">
        <f aca="false">Participantes!BN46</f>
        <v>0</v>
      </c>
      <c r="CS47" s="82" t="str">
        <f aca="false">IF(CQ$2="","",IF(AND(CQ47=CQ$2,CR47=CR$2),3,IF(AND(CQ$2&gt;CR$2,CQ47&gt;CR47),1,IF(AND(CR$2&gt;CQ$2,CR47&gt;CQ47),1,IF(AND(CQ$2=CR$2,CQ47=CR47),1,0)))))</f>
        <v/>
      </c>
      <c r="CT47" s="1" t="n">
        <f aca="false">Participantes!BO46</f>
        <v>0</v>
      </c>
      <c r="CU47" s="1" t="n">
        <f aca="false">Participantes!BP46</f>
        <v>0</v>
      </c>
      <c r="CV47" s="82" t="str">
        <f aca="false">IF(CT$2="","",IF(AND(CT47=CT$2,CU47=CU$2),3,IF(AND(CT$2&gt;CU$2,CT47&gt;CU47),1,IF(AND(CU$2&gt;CT$2,CU47&gt;CT47),1,IF(AND(CT$2=CU$2,CT47=CU47),1,0)))))</f>
        <v/>
      </c>
      <c r="CW47" s="1" t="n">
        <f aca="false">Participantes!BQ46</f>
        <v>0</v>
      </c>
      <c r="CX47" s="1" t="n">
        <f aca="false">Participantes!BR46</f>
        <v>0</v>
      </c>
      <c r="CY47" s="82" t="str">
        <f aca="false">IF(CW$2="","",IF(AND(CW47=CW$2,CX47=CX$2),3,IF(AND(CW$2&gt;CX$2,CW47&gt;CX47),1,IF(AND(CX$2&gt;CW$2,CX47&gt;CW47),1,IF(AND(CW$2=CX$2,CW47=CX47),1,0)))))</f>
        <v/>
      </c>
      <c r="CZ47" s="1" t="n">
        <f aca="false">Participantes!BS46</f>
        <v>0</v>
      </c>
      <c r="DA47" s="1" t="n">
        <f aca="false">Participantes!BT46</f>
        <v>0</v>
      </c>
      <c r="DB47" s="82" t="str">
        <f aca="false">IF(CZ$2="","",IF(AND(CZ47=CZ$2,DA47=DA$2),3,IF(AND(CZ$2&gt;DA$2,CZ47&gt;DA47),1,IF(AND(DA$2&gt;CZ$2,DA47&gt;CZ47),1,IF(AND(CZ$2=DA$2,CZ47=DA47),1,0)))))</f>
        <v/>
      </c>
      <c r="DC47" s="1" t="n">
        <f aca="false">Participantes!BU46</f>
        <v>0</v>
      </c>
      <c r="DD47" s="1" t="n">
        <f aca="false">Participantes!BV46</f>
        <v>0</v>
      </c>
      <c r="DE47" s="82" t="str">
        <f aca="false">IF(DC$2="","",IF(AND(DC47=DC$2,DD47=DD$2),3,IF(AND(DC$2&gt;DD$2,DC47&gt;DD47),1,IF(AND(DD$2&gt;DC$2,DD47&gt;DC47),1,IF(AND(DC$2=DD$2,DC47=DD47),1,0)))))</f>
        <v/>
      </c>
      <c r="DF47" s="1" t="n">
        <f aca="false">Participantes!BW46</f>
        <v>0</v>
      </c>
      <c r="DG47" s="1" t="n">
        <f aca="false">Participantes!BX46</f>
        <v>0</v>
      </c>
      <c r="DH47" s="82" t="str">
        <f aca="false">IF(DF$2="","",IF(AND(DF47=DF$2,DG47=DG$2),3,IF(AND(DF$2&gt;DG$2,DF47&gt;DG47),1,IF(AND(DG$2&gt;DF$2,DG47&gt;DF47),1,IF(AND(DF$2=DG$2,DF47=DG47),1,0)))))</f>
        <v/>
      </c>
      <c r="DI47" s="1" t="n">
        <f aca="false">Participantes!BY46</f>
        <v>0</v>
      </c>
      <c r="DJ47" s="1" t="n">
        <f aca="false">Participantes!BZ46</f>
        <v>0</v>
      </c>
      <c r="DK47" s="82" t="str">
        <f aca="false">IF(DI$2="","",IF(AND(DI47=DI$2,DJ47=DJ$2),3,IF(AND(DI$2&gt;DJ$2,DI47&gt;DJ47),1,IF(AND(DJ$2&gt;DI$2,DJ47&gt;DI47),1,IF(AND(DI$2=DJ$2,DI47=DJ47),1,0)))))</f>
        <v/>
      </c>
      <c r="DL47" s="1" t="n">
        <f aca="false">Participantes!CA46</f>
        <v>0</v>
      </c>
      <c r="DM47" s="1" t="n">
        <f aca="false">Participantes!CB46</f>
        <v>0</v>
      </c>
      <c r="DN47" s="82" t="str">
        <f aca="false">IF(DL$2="","",IF(AND(DL47=DL$2,DM47=DM$2),3,IF(AND(DL$2&gt;DM$2,DL47&gt;DM47),1,IF(AND(DM$2&gt;DL$2,DM47&gt;DL47),1,IF(AND(DL$2=DM$2,DL47=DM47),1,0)))))</f>
        <v/>
      </c>
      <c r="DO47" s="1" t="n">
        <f aca="false">Participantes!CC46</f>
        <v>0</v>
      </c>
      <c r="DP47" s="1" t="n">
        <f aca="false">Participantes!CD46</f>
        <v>0</v>
      </c>
      <c r="DQ47" s="82" t="str">
        <f aca="false">IF(DO$2="","",IF(AND(DO47=DO$2,DP47=DP$2),3,IF(AND(DO$2&gt;DP$2,DO47&gt;DP47),1,IF(AND(DP$2&gt;DO$2,DP47&gt;DO47),1,IF(AND(DO$2=DP$2,DO47=DP47),1,0)))))</f>
        <v/>
      </c>
      <c r="DR47" s="1" t="n">
        <f aca="false">Participantes!CE46</f>
        <v>0</v>
      </c>
      <c r="DS47" s="1" t="n">
        <f aca="false">Participantes!CF46</f>
        <v>0</v>
      </c>
      <c r="DT47" s="82" t="str">
        <f aca="false">IF(DR$2="","",IF(AND(DR47=DR$2,DS47=DS$2),3,IF(AND(DR$2&gt;DS$2,DR47&gt;DS47),1,IF(AND(DS$2&gt;DR$2,DS47&gt;DR47),1,IF(AND(DR$2=DS$2,DR47=DS47),1,0)))))</f>
        <v/>
      </c>
      <c r="DU47" s="1" t="n">
        <f aca="false">Participantes!CG46</f>
        <v>0</v>
      </c>
      <c r="DV47" s="1" t="n">
        <f aca="false">Participantes!CH46</f>
        <v>0</v>
      </c>
      <c r="DW47" s="82" t="str">
        <f aca="false">IF(DU$2="","",IF(AND(DU47=DU$2,DV47=DV$2),3,IF(AND(DU$2&gt;DV$2,DU47&gt;DV47),1,IF(AND(DV$2&gt;DU$2,DV47&gt;DU47),1,IF(AND(DU$2=DV$2,DU47=DV47),1,0)))))</f>
        <v/>
      </c>
      <c r="DX47" s="1" t="n">
        <f aca="false">Participantes!CI46</f>
        <v>0</v>
      </c>
      <c r="DY47" s="1" t="n">
        <f aca="false">Participantes!CJ46</f>
        <v>0</v>
      </c>
      <c r="DZ47" s="82" t="str">
        <f aca="false">IF(DX$2="","",IF(AND(DX47=DX$2,DY47=DY$2),3,IF(AND(DX$2&gt;DY$2,DX47&gt;DY47),1,IF(AND(DY$2&gt;DX$2,DY47&gt;DX47),1,IF(AND(DX$2=DY$2,DX47=DY47),1,0)))))</f>
        <v/>
      </c>
      <c r="EA47" s="1" t="n">
        <f aca="false">Participantes!CK46</f>
        <v>0</v>
      </c>
      <c r="EB47" s="1" t="n">
        <f aca="false">Participantes!CL46</f>
        <v>0</v>
      </c>
      <c r="EC47" s="82" t="str">
        <f aca="false">IF(EA$2="","",IF(AND(EA47=EA$2,EB47=EB$2),3,IF(AND(EA$2&gt;EB$2,EA47&gt;EB47),1,IF(AND(EB$2&gt;EA$2,EB47&gt;EA47),1,IF(AND(EA$2=EB$2,EA47=EB47),1,0)))))</f>
        <v/>
      </c>
      <c r="ED47" s="1" t="n">
        <f aca="false">Participantes!CM46</f>
        <v>0</v>
      </c>
      <c r="EE47" s="1" t="n">
        <f aca="false">Participantes!CN46</f>
        <v>0</v>
      </c>
      <c r="EF47" s="82" t="str">
        <f aca="false">IF(ED$2="","",IF(AND(ED47=ED$2,EE47=EE$2),3,IF(AND(ED$2&gt;EE$2,ED47&gt;EE47),1,IF(AND(EE$2&gt;ED$2,EE47&gt;ED47),1,IF(AND(ED$2=EE$2,ED47=EE47),1,0)))))</f>
        <v/>
      </c>
      <c r="EG47" s="1" t="n">
        <f aca="false">Participantes!CO46</f>
        <v>0</v>
      </c>
      <c r="EH47" s="1" t="n">
        <f aca="false">Participantes!CP46</f>
        <v>0</v>
      </c>
      <c r="EI47" s="82" t="str">
        <f aca="false">IF(EG$2="","",IF(AND(EG47=EG$2,EH47=EH$2),3,IF(AND(EG$2&gt;EH$2,EG47&gt;EH47),1,IF(AND(EH$2&gt;EG$2,EH47&gt;EG47),1,IF(AND(EG$2=EH$2,EG47=EH47),1,0)))))</f>
        <v/>
      </c>
      <c r="EJ47" s="1" t="n">
        <f aca="false">Participantes!CQ46</f>
        <v>0</v>
      </c>
      <c r="EK47" s="1" t="n">
        <f aca="false">Participantes!CR46</f>
        <v>0</v>
      </c>
      <c r="EL47" s="82" t="str">
        <f aca="false">IF(EJ$2="","",IF(AND(EJ47=EJ$2,EK47=EK$2),3,IF(AND(EJ$2&gt;EK$2,EJ47&gt;EK47),1,IF(AND(EK$2&gt;EJ$2,EK47&gt;EJ47),1,IF(AND(EJ$2=EK$2,EJ47=EK47),1,0)))))</f>
        <v/>
      </c>
      <c r="EM47" s="1" t="n">
        <f aca="false">Participantes!CS46</f>
        <v>0</v>
      </c>
      <c r="EN47" s="1" t="n">
        <f aca="false">Participantes!CT46</f>
        <v>0</v>
      </c>
      <c r="EO47" s="82" t="str">
        <f aca="false">IF(EM$2="","",IF(AND(EM47=EM$2,EN47=EN$2),3,IF(AND(EM$2&gt;EN$2,EM47&gt;EN47),1,IF(AND(EN$2&gt;EM$2,EN47&gt;EM47),1,IF(AND(EM$2=EN$2,EM47=EN47),1,0)))))</f>
        <v/>
      </c>
      <c r="EP47" s="1" t="n">
        <f aca="false">Participantes!CU46</f>
        <v>0</v>
      </c>
      <c r="EQ47" s="1" t="n">
        <f aca="false">Participantes!CV46</f>
        <v>0</v>
      </c>
      <c r="ER47" s="82" t="str">
        <f aca="false">IF(EP$2="","",IF(AND(EP47=EP$2,EQ47=EQ$2),3,IF(AND(EP$2&gt;EQ$2,EP47&gt;EQ47),1,IF(AND(EQ$2&gt;EP$2,EQ47&gt;EP47),1,IF(AND(EP$2=EQ$2,EP47=EQ47),1,0)))))</f>
        <v/>
      </c>
      <c r="ES47" s="1" t="n">
        <f aca="false">Participantes!CW46</f>
        <v>0</v>
      </c>
      <c r="ET47" s="1" t="n">
        <f aca="false">Participantes!CX46</f>
        <v>0</v>
      </c>
      <c r="EU47" s="82" t="str">
        <f aca="false">IF(ES$2="","",IF(AND(ES47=ES$2,ET47=ET$2),3,IF(AND(ES$2&gt;ET$2,ES47&gt;ET47),1,IF(AND(ET$2&gt;ES$2,ET47&gt;ES47),1,IF(AND(ES$2=ET$2,ES47=ET47),1,0)))))</f>
        <v/>
      </c>
      <c r="EV47" s="1" t="n">
        <f aca="false">Participantes!CY46</f>
        <v>0</v>
      </c>
      <c r="EW47" s="1" t="n">
        <f aca="false">Participantes!CZ46</f>
        <v>0</v>
      </c>
      <c r="EX47" s="82" t="str">
        <f aca="false">IF(EV$2="","",IF(AND(EV47=EV$2,EW47=EW$2),3,IF(AND(EV$2&gt;EW$2,EV47&gt;EW47),1,IF(AND(EW$2&gt;EV$2,EW47&gt;EV47),1,IF(AND(EV$2=EW$2,EV47=EW47),1,0)))))</f>
        <v/>
      </c>
      <c r="EY47" s="1" t="n">
        <f aca="false">Participantes!DA46</f>
        <v>0</v>
      </c>
      <c r="EZ47" s="1" t="n">
        <f aca="false">Participantes!DB46</f>
        <v>0</v>
      </c>
      <c r="FA47" s="82" t="str">
        <f aca="false">IF(EY$2="","",IF(AND(EY47=EY$2,EZ47=EZ$2),3,IF(AND(EY$2&gt;EZ$2,EY47&gt;EZ47),1,IF(AND(EZ$2&gt;EY$2,EZ47&gt;EY47),1,IF(AND(EY$2=EZ$2,EY47=EZ47),1,0)))))</f>
        <v/>
      </c>
      <c r="FB47" s="1" t="n">
        <f aca="false">Participantes!DC46</f>
        <v>0</v>
      </c>
      <c r="FC47" s="1" t="n">
        <f aca="false">Participantes!DD46</f>
        <v>0</v>
      </c>
      <c r="FD47" s="82" t="str">
        <f aca="false">IF(FB$2="","",IF(AND(FB47=FB$2,FC47=FC$2),3,IF(AND(FB$2&gt;FC$2,FB47&gt;FC47),1,IF(AND(FC$2&gt;FB$2,FC47&gt;FB47),1,IF(AND(FB$2=FC$2,FB47=FC47),1,0)))))</f>
        <v/>
      </c>
      <c r="FE47" s="1" t="n">
        <f aca="false">Participantes!DE46</f>
        <v>0</v>
      </c>
      <c r="FF47" s="1" t="n">
        <f aca="false">Participantes!DF46</f>
        <v>0</v>
      </c>
      <c r="FG47" s="82" t="str">
        <f aca="false">IF(FE$2="","",IF(AND(FE47=FE$2,FF47=FF$2),3,IF(AND(FE$2&gt;FF$2,FE47&gt;FF47),1,IF(AND(FF$2&gt;FE$2,FF47&gt;FE47),1,IF(AND(FE$2=FF$2,FE47=FF47),1,0)))))</f>
        <v/>
      </c>
      <c r="FH47" s="1" t="n">
        <f aca="false">Participantes!DG46</f>
        <v>0</v>
      </c>
      <c r="FI47" s="1" t="n">
        <f aca="false">Participantes!DH46</f>
        <v>0</v>
      </c>
      <c r="FJ47" s="82" t="str">
        <f aca="false">IF(FH$2="","",IF(AND(FH47=FH$2,FI47=FI$2),3,IF(AND(FH$2&gt;FI$2,FH47&gt;FI47),1,IF(AND(FI$2&gt;FH$2,FI47&gt;FH47),1,IF(AND(FH$2=FI$2,FH47=FI47),1,0)))))</f>
        <v/>
      </c>
      <c r="FK47" s="1" t="n">
        <f aca="false">Participantes!DI46</f>
        <v>0</v>
      </c>
      <c r="FL47" s="1" t="n">
        <f aca="false">Participantes!DJ46</f>
        <v>0</v>
      </c>
      <c r="FM47" s="82" t="str">
        <f aca="false">IF(FK$2="","",IF(AND(FK47=FK$2,FL47=FL$2),3,IF(AND(FK$2&gt;FL$2,FK47&gt;FL47),1,IF(AND(FL$2&gt;FK$2,FL47&gt;FK47),1,IF(AND(FK$2=FL$2,FK47=FL47),1,0)))))</f>
        <v/>
      </c>
      <c r="FN47" s="1" t="n">
        <f aca="false">Participantes!DK46</f>
        <v>0</v>
      </c>
      <c r="FO47" s="1" t="n">
        <f aca="false">Participantes!DL46</f>
        <v>0</v>
      </c>
      <c r="FP47" s="82" t="str">
        <f aca="false">IF(FN$2="","",IF(AND(FN47=FN$2,FO47=FO$2),3,IF(AND(FN$2&gt;FO$2,FN47&gt;FO47),1,IF(AND(FO$2&gt;FN$2,FO47&gt;FN47),1,IF(AND(FN$2=FO$2,FN47=FO47),1,0)))))</f>
        <v/>
      </c>
      <c r="FQ47" s="1" t="n">
        <f aca="false">Participantes!DM46</f>
        <v>0</v>
      </c>
      <c r="FR47" s="1" t="n">
        <f aca="false">Participantes!DN46</f>
        <v>0</v>
      </c>
      <c r="FS47" s="82" t="str">
        <f aca="false">IF(FQ$2="","",IF(AND(FQ47=FQ$2,FR47=FR$2),3,IF(AND(FQ$2&gt;FR$2,FQ47&gt;FR47),1,IF(AND(FR$2&gt;FQ$2,FR47&gt;FQ47),1,IF(AND(FQ$2=FR$2,FQ47=FR47),1,0)))))</f>
        <v/>
      </c>
      <c r="FT47" s="1" t="n">
        <f aca="false">Participantes!DO46</f>
        <v>0</v>
      </c>
      <c r="FU47" s="1" t="n">
        <f aca="false">Participantes!DP46</f>
        <v>0</v>
      </c>
      <c r="FV47" s="82" t="str">
        <f aca="false">IF(FT$2="","",IF(AND(FT47=FT$2,FU47=FU$2),3,IF(AND(FT$2&gt;FU$2,FT47&gt;FU47),1,IF(AND(FU$2&gt;FT$2,FU47&gt;FT47),1,IF(AND(FT$2=FU$2,FT47=FU47),1,0)))))</f>
        <v/>
      </c>
      <c r="FW47" s="1" t="n">
        <f aca="false">Participantes!DQ46</f>
        <v>0</v>
      </c>
      <c r="FX47" s="1" t="n">
        <f aca="false">Participantes!DR46</f>
        <v>0</v>
      </c>
      <c r="FY47" s="82" t="str">
        <f aca="false">IF(FW$2="","",IF(AND(FW47=FW$2,FX47=FX$2),3,IF(AND(FW$2&gt;FX$2,FW47&gt;FX47),1,IF(AND(FX$2&gt;FW$2,FX47&gt;FW47),1,IF(AND(FW$2=FX$2,FW47=FX47),1,0)))))</f>
        <v/>
      </c>
      <c r="FZ47" s="1" t="n">
        <f aca="false">Participantes!DS46</f>
        <v>0</v>
      </c>
      <c r="GA47" s="1" t="n">
        <f aca="false">Participantes!DT46</f>
        <v>0</v>
      </c>
      <c r="GB47" s="82" t="str">
        <f aca="false">IF(FZ$2="","",IF(AND(FZ47=FZ$2,GA47=GA$2),3,IF(AND(FZ$2&gt;GA$2,FZ47&gt;GA47),1,IF(AND(GA$2&gt;FZ$2,GA47&gt;FZ47),1,IF(AND(FZ$2=GA$2,FZ47=GA47),1,0)))))</f>
        <v/>
      </c>
      <c r="GC47" s="1" t="n">
        <f aca="false">Participantes!DU46</f>
        <v>0</v>
      </c>
      <c r="GD47" s="1" t="n">
        <f aca="false">Participantes!DV46</f>
        <v>0</v>
      </c>
      <c r="GE47" s="82" t="str">
        <f aca="false">IF(GC$2="","",IF(AND(GC47=GC$2,GD47=GD$2),3,IF(AND(GC$2&gt;GD$2,GC47&gt;GD47),1,IF(AND(GD$2&gt;GC$2,GD47&gt;GC47),1,IF(AND(GC$2=GD$2,GC47=GD47),1,0)))))</f>
        <v/>
      </c>
      <c r="GF47" s="1" t="n">
        <f aca="false">Participantes!DW46</f>
        <v>0</v>
      </c>
      <c r="GG47" s="1" t="n">
        <f aca="false">Participantes!DX46</f>
        <v>0</v>
      </c>
      <c r="GH47" s="82" t="str">
        <f aca="false">IF(GF$2="","",IF(AND(GF47=GF$2,GG47=GG$2),3,IF(AND(GF$2&gt;GG$2,GF47&gt;GG47),1,IF(AND(GG$2&gt;GF$2,GG47&gt;GF47),1,IF(AND(GF$2=GG$2,GF47=GG47),1,0)))))</f>
        <v/>
      </c>
      <c r="GI47" s="1" t="n">
        <f aca="false">Participantes!DY46</f>
        <v>0</v>
      </c>
      <c r="GJ47" s="1" t="n">
        <f aca="false">Participantes!DZ46</f>
        <v>0</v>
      </c>
      <c r="GK47" s="82" t="str">
        <f aca="false">IF(GI$2="","",IF(AND(GI47=GI$2,GJ47=GJ$2),3,IF(AND(GI$2&gt;GJ$2,GI47&gt;GJ47),1,IF(AND(GJ$2&gt;GI$2,GJ47&gt;GI47),1,IF(AND(GI$2=GJ$2,GI47=GJ47),1,0)))))</f>
        <v/>
      </c>
      <c r="GL47" s="1" t="n">
        <f aca="false">Participantes!EA46</f>
        <v>0</v>
      </c>
      <c r="GM47" s="1" t="n">
        <f aca="false">Participantes!EB46</f>
        <v>0</v>
      </c>
      <c r="GN47" s="82" t="str">
        <f aca="false">IF(GL$2="","",IF(AND(GL47=GL$2,GM47=GM$2),3,IF(AND(GL$2&gt;GM$2,GL47&gt;GM47),1,IF(AND(GM$2&gt;GL$2,GM47&gt;GL47),1,IF(AND(GL$2=GM$2,GL47=GM47),1,0)))))</f>
        <v/>
      </c>
      <c r="GO47" s="1" t="n">
        <f aca="false">Participantes!EC46</f>
        <v>0</v>
      </c>
      <c r="GP47" s="1" t="n">
        <f aca="false">Participantes!ED46</f>
        <v>0</v>
      </c>
      <c r="GQ47" s="82" t="str">
        <f aca="false">IF(GO$2="","",IF(AND(GO47=GO$2,GP47=GP$2),3,IF(AND(GO$2&gt;GP$2,GO47&gt;GP47),1,IF(AND(GP$2&gt;GO$2,GP47&gt;GO47),1,IF(AND(GO$2=GP$2,GO47=GP47),1,0)))))</f>
        <v/>
      </c>
      <c r="GR47" s="1" t="n">
        <f aca="false">Participantes!EE46</f>
        <v>0</v>
      </c>
      <c r="GS47" s="1" t="n">
        <f aca="false">Participantes!EF46</f>
        <v>0</v>
      </c>
      <c r="GT47" s="82" t="str">
        <f aca="false">IF(GR$2="","",IF(AND(GR47=GR$2,GS47=GS$2),3,IF(AND(GR$2&gt;GS$2,GR47&gt;GS47),1,IF(AND(GS$2&gt;GR$2,GS47&gt;GR47),1,IF(AND(GR$2=GS$2,GR47=GS47),1,0)))))</f>
        <v/>
      </c>
      <c r="GU47" s="1" t="n">
        <f aca="false">Participantes!EG46</f>
        <v>0</v>
      </c>
      <c r="GV47" s="1" t="n">
        <f aca="false">Participantes!EH46</f>
        <v>0</v>
      </c>
      <c r="GW47" s="82" t="str">
        <f aca="false">IF(GU$2="","",IF(AND(GU47=GU$2,GV47=GV$2),3,IF(AND(GU$2&gt;GV$2,GU47&gt;GV47),1,IF(AND(GV$2&gt;GU$2,GV47&gt;GU47),1,IF(AND(GU$2=GV$2,GU47=GV47),1,0)))))</f>
        <v/>
      </c>
      <c r="GX47" s="1" t="n">
        <f aca="false">Participantes!EI46</f>
        <v>0</v>
      </c>
      <c r="GY47" s="1" t="n">
        <f aca="false">Participantes!EJ46</f>
        <v>0</v>
      </c>
      <c r="GZ47" s="82" t="str">
        <f aca="false">IF(GX$2="","",IF(AND(GX47=GX$2,GY47=GY$2),3,IF(AND(GX$2&gt;GY$2,GX47&gt;GY47),1,IF(AND(GY$2&gt;GX$2,GY47&gt;GX47),1,IF(AND(GX$2=GY$2,GX47=GY47),1,0)))))</f>
        <v/>
      </c>
      <c r="HA47" s="1" t="n">
        <f aca="false">Participantes!EK46</f>
        <v>0</v>
      </c>
      <c r="HB47" s="1" t="n">
        <f aca="false">Participantes!EL46</f>
        <v>0</v>
      </c>
      <c r="HC47" s="82" t="str">
        <f aca="false">IF(HA$2="","",IF(AND(HA47=HA$2,HB47=HB$2),3,IF(AND(HA$2&gt;HB$2,HA47&gt;HB47),1,IF(AND(HB$2&gt;HA$2,HB47&gt;HA47),1,IF(AND(HA$2=HB$2,HA47=HB47),1,0)))))</f>
        <v/>
      </c>
      <c r="HD47" s="1" t="n">
        <f aca="false">Participantes!EM46</f>
        <v>0</v>
      </c>
      <c r="HE47" s="1" t="n">
        <f aca="false">Participantes!EN46</f>
        <v>0</v>
      </c>
      <c r="HF47" s="82" t="str">
        <f aca="false">IF(HD$2="","",IF(AND(HD47=HD$2,HE47=HE$2),3,IF(AND(HD$2&gt;HE$2,HD47&gt;HE47),1,IF(AND(HE$2&gt;HD$2,HE47&gt;HD47),1,IF(AND(HD$2=HE$2,HD47=HE47),1,0)))))</f>
        <v/>
      </c>
      <c r="HG47" s="1" t="n">
        <f aca="false">Participantes!EO46</f>
        <v>0</v>
      </c>
      <c r="HH47" s="1" t="n">
        <f aca="false">Participantes!EP46</f>
        <v>0</v>
      </c>
      <c r="HI47" s="82" t="str">
        <f aca="false">IF(HG$2="","",IF(AND(HG47=HG$2,HH47=HH$2),3,IF(AND(HG$2&gt;HH$2,HG47&gt;HH47),1,IF(AND(HH$2&gt;HG$2,HH47&gt;HG47),1,IF(AND(HG$2=HH$2,HG47=HH47),1,0)))))</f>
        <v/>
      </c>
      <c r="HJ47" s="83" t="n">
        <f aca="false">SUM(D47,G47,J47,M47,P47,S47,V47,Y47,AB47,AE47,AH47,AK47,AN47,AQ47,AT47,AW47,AZ47,BC47,BF47,BI47,BL47,BO47,BR47,BU47,BX47,CA47,CD47,CG47,CJ47,CM47,CP47,CS47,CV47,CY47,DB47,DE47,DH47,DK47,DN47,DQ47,DT47,DW47,DZ47,EC47,EF47,EI47,EL47,EO47,ER47,EU47,EX47,FA47,FD47,FG47,FJ47,FM47,FP47,FS47,FV47,FY47,GB47,GE47,GH47,GK47,GN47,GQ47,GT47,GW47,GZ47,HC47,HF47,HI47)</f>
        <v>3</v>
      </c>
    </row>
    <row r="48" customFormat="false" ht="15" hidden="false" customHeight="true" outlineLevel="0" collapsed="false">
      <c r="A48" s="81" t="str">
        <f aca="false">Participantes!B47</f>
        <v>Saul</v>
      </c>
      <c r="B48" s="1" t="n">
        <f aca="false">Participantes!C47</f>
        <v>2</v>
      </c>
      <c r="C48" s="1" t="n">
        <f aca="false">Participantes!D47</f>
        <v>0</v>
      </c>
      <c r="D48" s="82" t="n">
        <f aca="false">IF(B$2="","",IF(AND(B48=B$2,C48=C$2),3,IF(AND(B$2&gt;C$2,B48&gt;C48),1,IF(AND(C$2&gt;B$2,C48&gt;B48),1,IF(AND(B$2=C$2,B48=C48),1,0)))))</f>
        <v>3</v>
      </c>
      <c r="E48" s="1" t="n">
        <f aca="false">Participantes!E47</f>
        <v>1</v>
      </c>
      <c r="F48" s="1" t="n">
        <f aca="false">Participantes!F47</f>
        <v>1</v>
      </c>
      <c r="G48" s="82" t="str">
        <f aca="false">IF(E$2="","",IF(AND(E48=E$2,F48=F$2),3,IF(AND(E$2&gt;F$2,E48&gt;F48),1,IF(AND(F$2&gt;E$2,F48&gt;E48),1,IF(AND(E$2=F$2,E48=F48),1,0)))))</f>
        <v/>
      </c>
      <c r="H48" s="1" t="n">
        <f aca="false">Participantes!G47</f>
        <v>1</v>
      </c>
      <c r="I48" s="1" t="n">
        <f aca="false">Participantes!H47</f>
        <v>0</v>
      </c>
      <c r="J48" s="82" t="str">
        <f aca="false">IF(H$2="","",IF(AND(H48=H$2,I48=I$2),3,IF(AND(H$2&gt;I$2,H48&gt;I48),1,IF(AND(I$2&gt;H$2,I48&gt;H48),1,IF(AND(H$2=I$2,H48=I48),1,0)))))</f>
        <v/>
      </c>
      <c r="K48" s="1" t="n">
        <f aca="false">Participantes!I47</f>
        <v>2</v>
      </c>
      <c r="L48" s="1" t="n">
        <f aca="false">Participantes!J47</f>
        <v>1</v>
      </c>
      <c r="M48" s="82" t="str">
        <f aca="false">IF(K$2="","",IF(AND(K48=K$2,L48=L$2),3,IF(AND(K$2&gt;L$2,K48&gt;L48),1,IF(AND(L$2&gt;K$2,L48&gt;K48),1,IF(AND(K$2=L$2,K48=L48),1,0)))))</f>
        <v/>
      </c>
      <c r="N48" s="1" t="n">
        <f aca="false">Participantes!K47</f>
        <v>0</v>
      </c>
      <c r="O48" s="1" t="n">
        <f aca="false">Participantes!L47</f>
        <v>1</v>
      </c>
      <c r="P48" s="82" t="str">
        <f aca="false">IF(N$2="","",IF(AND(N48=N$2,O48=O$2),3,IF(AND(N$2&gt;O$2,N48&gt;O48),1,IF(AND(O$2&gt;N$2,O48&gt;N48),1,IF(AND(N$2=O$2,N48=O48),1,0)))))</f>
        <v/>
      </c>
      <c r="Q48" s="1" t="n">
        <f aca="false">Participantes!M47</f>
        <v>1</v>
      </c>
      <c r="R48" s="1" t="n">
        <f aca="false">Participantes!N47</f>
        <v>2</v>
      </c>
      <c r="S48" s="82" t="str">
        <f aca="false">IF(Q$2="","",IF(AND(Q48=Q$2,R48=R$2),3,IF(AND(Q$2&gt;R$2,Q48&gt;R48),1,IF(AND(R$2&gt;Q$2,R48&gt;Q48),1,IF(AND(Q$2=R$2,Q48=R48),1,0)))))</f>
        <v/>
      </c>
      <c r="T48" s="1" t="n">
        <f aca="false">Participantes!O47</f>
        <v>3</v>
      </c>
      <c r="U48" s="1" t="n">
        <f aca="false">Participantes!P47</f>
        <v>1</v>
      </c>
      <c r="V48" s="82" t="str">
        <f aca="false">IF(T$2="","",IF(AND(T48=T$2,U48=U$2),3,IF(AND(T$2&gt;U$2,T48&gt;U48),1,IF(AND(U$2&gt;T$2,U48&gt;T48),1,IF(AND(T$2=U$2,T48=U48),1,0)))))</f>
        <v/>
      </c>
      <c r="W48" s="1" t="n">
        <f aca="false">Participantes!Q47</f>
        <v>0</v>
      </c>
      <c r="X48" s="1" t="n">
        <f aca="false">Participantes!R47</f>
        <v>2</v>
      </c>
      <c r="Y48" s="82" t="str">
        <f aca="false">IF(W$2="","",IF(AND(W48=W$2,X48=X$2),3,IF(AND(W$2&gt;X$2,W48&gt;X48),1,IF(AND(X$2&gt;W$2,X48&gt;W48),1,IF(AND(W$2=X$2,W48=X48),1,0)))))</f>
        <v/>
      </c>
      <c r="Z48" s="1" t="n">
        <f aca="false">Participantes!S47</f>
        <v>1</v>
      </c>
      <c r="AA48" s="1" t="n">
        <f aca="false">Participantes!T47</f>
        <v>1</v>
      </c>
      <c r="AB48" s="82" t="str">
        <f aca="false">IF(Z$2="","",IF(AND(Z48=Z$2,AA48=AA$2),3,IF(AND(Z$2&gt;AA$2,Z48&gt;AA48),1,IF(AND(AA$2&gt;Z$2,AA48&gt;Z48),1,IF(AND(Z$2=AA$2,Z48=AA48),1,0)))))</f>
        <v/>
      </c>
      <c r="AC48" s="1" t="n">
        <f aca="false">Participantes!U47</f>
        <v>2</v>
      </c>
      <c r="AD48" s="1" t="n">
        <f aca="false">Participantes!V47</f>
        <v>0</v>
      </c>
      <c r="AE48" s="82" t="str">
        <f aca="false">IF(AC$2="","",IF(AND(AC48=AC$2,AD48=AD$2),3,IF(AND(AC$2&gt;AD$2,AC48&gt;AD48),1,IF(AND(AD$2&gt;AC$2,AD48&gt;AC48),1,IF(AND(AC$2=AD$2,AC48=AD48),1,0)))))</f>
        <v/>
      </c>
      <c r="AF48" s="1" t="n">
        <f aca="false">Participantes!W47</f>
        <v>2</v>
      </c>
      <c r="AG48" s="1" t="n">
        <f aca="false">Participantes!X47</f>
        <v>1</v>
      </c>
      <c r="AH48" s="82" t="str">
        <f aca="false">IF(AF$2="","",IF(AND(AF48=AF$2,AG48=AG$2),3,IF(AND(AF$2&gt;AG$2,AF48&gt;AG48),1,IF(AND(AG$2&gt;AF$2,AG48&gt;AF48),1,IF(AND(AF$2=AG$2,AF48=AG48),1,0)))))</f>
        <v/>
      </c>
      <c r="AI48" s="1" t="n">
        <f aca="false">Participantes!Y47</f>
        <v>1</v>
      </c>
      <c r="AJ48" s="1" t="n">
        <f aca="false">Participantes!Z47</f>
        <v>0</v>
      </c>
      <c r="AK48" s="82" t="str">
        <f aca="false">IF(AI$2="","",IF(AND(AI48=AI$2,AJ48=AJ$2),3,IF(AND(AI$2&gt;AJ$2,AI48&gt;AJ48),1,IF(AND(AJ$2&gt;AI$2,AJ48&gt;AI48),1,IF(AND(AI$2=AJ$2,AI48=AJ48),1,0)))))</f>
        <v/>
      </c>
      <c r="AL48" s="1" t="n">
        <f aca="false">Participantes!AA47</f>
        <v>0</v>
      </c>
      <c r="AM48" s="1" t="n">
        <f aca="false">Participantes!AB47</f>
        <v>2</v>
      </c>
      <c r="AN48" s="82" t="str">
        <f aca="false">IF(AL$2="","",IF(AND(AL48=AL$2,AM48=AM$2),3,IF(AND(AL$2&gt;AM$2,AL48&gt;AM48),1,IF(AND(AM$2&gt;AL$2,AM48&gt;AL48),1,IF(AND(AL$2=AM$2,AL48=AM48),1,0)))))</f>
        <v/>
      </c>
      <c r="AO48" s="1" t="n">
        <f aca="false">Participantes!AC47</f>
        <v>3</v>
      </c>
      <c r="AP48" s="1" t="n">
        <f aca="false">Participantes!AD47</f>
        <v>0</v>
      </c>
      <c r="AQ48" s="82" t="str">
        <f aca="false">IF(AO$2="","",IF(AND(AO48=AO$2,AP48=AP$2),3,IF(AND(AO$2&gt;AP$2,AO48&gt;AP48),1,IF(AND(AP$2&gt;AO$2,AP48&gt;AO48),1,IF(AND(AO$2=AP$2,AO48=AP48),1,0)))))</f>
        <v/>
      </c>
      <c r="AR48" s="1" t="n">
        <f aca="false">Participantes!AE47</f>
        <v>0</v>
      </c>
      <c r="AS48" s="1" t="n">
        <f aca="false">Participantes!AF47</f>
        <v>0</v>
      </c>
      <c r="AT48" s="82" t="str">
        <f aca="false">IF(AR$2="","",IF(AND(AR48=AR$2,AS48=AS$2),3,IF(AND(AR$2&gt;AS$2,AR48&gt;AS48),1,IF(AND(AS$2&gt;AR$2,AS48&gt;AR48),1,IF(AND(AR$2=AS$2,AR48=AS48),1,0)))))</f>
        <v/>
      </c>
      <c r="AU48" s="1" t="n">
        <f aca="false">Participantes!AG47</f>
        <v>0</v>
      </c>
      <c r="AV48" s="1" t="n">
        <f aca="false">Participantes!AH47</f>
        <v>0</v>
      </c>
      <c r="AW48" s="82" t="str">
        <f aca="false">IF(AU$2="","",IF(AND(AU48=AU$2,AV48=AV$2),3,IF(AND(AU$2&gt;AV$2,AU48&gt;AV48),1,IF(AND(AV$2&gt;AU$2,AV48&gt;AU48),1,IF(AND(AU$2=AV$2,AU48=AV48),1,0)))))</f>
        <v/>
      </c>
      <c r="AX48" s="1" t="n">
        <f aca="false">Participantes!AI47</f>
        <v>0</v>
      </c>
      <c r="AY48" s="1" t="n">
        <f aca="false">Participantes!AJ47</f>
        <v>0</v>
      </c>
      <c r="AZ48" s="82" t="str">
        <f aca="false">IF(AX$2="","",IF(AND(AX48=AX$2,AY48=AY$2),3,IF(AND(AX$2&gt;AY$2,AX48&gt;AY48),1,IF(AND(AY$2&gt;AX$2,AY48&gt;AX48),1,IF(AND(AX$2=AY$2,AX48=AY48),1,0)))))</f>
        <v/>
      </c>
      <c r="BA48" s="1" t="n">
        <f aca="false">Participantes!AK47</f>
        <v>0</v>
      </c>
      <c r="BB48" s="1" t="n">
        <f aca="false">Participantes!AL47</f>
        <v>0</v>
      </c>
      <c r="BC48" s="82" t="str">
        <f aca="false">IF(BA$2="","",IF(AND(BA48=BA$2,BB48=BB$2),3,IF(AND(BA$2&gt;BB$2,BA48&gt;BB48),1,IF(AND(BB$2&gt;BA$2,BB48&gt;BA48),1,IF(AND(BA$2=BB$2,BA48=BB48),1,0)))))</f>
        <v/>
      </c>
      <c r="BD48" s="1" t="n">
        <f aca="false">Participantes!AM47</f>
        <v>0</v>
      </c>
      <c r="BE48" s="1" t="n">
        <f aca="false">Participantes!AN47</f>
        <v>0</v>
      </c>
      <c r="BF48" s="82" t="str">
        <f aca="false">IF(BD$2="","",IF(AND(BD48=BD$2,BE48=BE$2),3,IF(AND(BD$2&gt;BE$2,BD48&gt;BE48),1,IF(AND(BE$2&gt;BD$2,BE48&gt;BD48),1,IF(AND(BD$2=BE$2,BD48=BE48),1,0)))))</f>
        <v/>
      </c>
      <c r="BG48" s="1" t="n">
        <f aca="false">Participantes!AO47</f>
        <v>0</v>
      </c>
      <c r="BH48" s="1" t="n">
        <f aca="false">Participantes!AP47</f>
        <v>0</v>
      </c>
      <c r="BI48" s="82" t="str">
        <f aca="false">IF(BG$2="","",IF(AND(BG48=BG$2,BH48=BH$2),3,IF(AND(BG$2&gt;BH$2,BG48&gt;BH48),1,IF(AND(BH$2&gt;BG$2,BH48&gt;BG48),1,IF(AND(BG$2=BH$2,BG48=BH48),1,0)))))</f>
        <v/>
      </c>
      <c r="BJ48" s="1" t="n">
        <f aca="false">Participantes!AQ47</f>
        <v>0</v>
      </c>
      <c r="BK48" s="1" t="n">
        <f aca="false">Participantes!AR47</f>
        <v>0</v>
      </c>
      <c r="BL48" s="82" t="str">
        <f aca="false">IF(BJ$2="","",IF(AND(BJ48=BJ$2,BK48=BK$2),3,IF(AND(BJ$2&gt;BK$2,BJ48&gt;BK48),1,IF(AND(BK$2&gt;BJ$2,BK48&gt;BJ48),1,IF(AND(BJ$2=BK$2,BJ48=BK48),1,0)))))</f>
        <v/>
      </c>
      <c r="BM48" s="1" t="n">
        <f aca="false">Participantes!AS47</f>
        <v>0</v>
      </c>
      <c r="BN48" s="1" t="n">
        <f aca="false">Participantes!AT47</f>
        <v>0</v>
      </c>
      <c r="BO48" s="82" t="str">
        <f aca="false">IF(BM$2="","",IF(AND(BM48=BM$2,BN48=BN$2),3,IF(AND(BM$2&gt;BN$2,BM48&gt;BN48),1,IF(AND(BN$2&gt;BM$2,BN48&gt;BM48),1,IF(AND(BM$2=BN$2,BM48=BN48),1,0)))))</f>
        <v/>
      </c>
      <c r="BP48" s="1" t="n">
        <f aca="false">Participantes!AU47</f>
        <v>0</v>
      </c>
      <c r="BQ48" s="1" t="n">
        <f aca="false">Participantes!AV47</f>
        <v>0</v>
      </c>
      <c r="BR48" s="82" t="str">
        <f aca="false">IF(BP$2="","",IF(AND(BP48=BP$2,BQ48=BQ$2),3,IF(AND(BP$2&gt;BQ$2,BP48&gt;BQ48),1,IF(AND(BQ$2&gt;BP$2,BQ48&gt;BP48),1,IF(AND(BP$2=BQ$2,BP48=BQ48),1,0)))))</f>
        <v/>
      </c>
      <c r="BS48" s="1" t="n">
        <f aca="false">Participantes!AW47</f>
        <v>0</v>
      </c>
      <c r="BT48" s="1" t="n">
        <f aca="false">Participantes!AX47</f>
        <v>0</v>
      </c>
      <c r="BU48" s="82" t="str">
        <f aca="false">IF(BS$2="","",IF(AND(BS48=BS$2,BT48=BT$2),3,IF(AND(BS$2&gt;BT$2,BS48&gt;BT48),1,IF(AND(BT$2&gt;BS$2,BT48&gt;BS48),1,IF(AND(BS$2=BT$2,BS48=BT48),1,0)))))</f>
        <v/>
      </c>
      <c r="BV48" s="1" t="n">
        <f aca="false">Participantes!AY47</f>
        <v>0</v>
      </c>
      <c r="BW48" s="1" t="n">
        <f aca="false">Participantes!AZ47</f>
        <v>0</v>
      </c>
      <c r="BX48" s="82" t="str">
        <f aca="false">IF(BV$2="","",IF(AND(BV48=BV$2,BW48=BW$2),3,IF(AND(BV$2&gt;BW$2,BV48&gt;BW48),1,IF(AND(BW$2&gt;BV$2,BW48&gt;BV48),1,IF(AND(BV$2=BW$2,BV48=BW48),1,0)))))</f>
        <v/>
      </c>
      <c r="BY48" s="1" t="n">
        <f aca="false">Participantes!BA47</f>
        <v>0</v>
      </c>
      <c r="BZ48" s="1" t="n">
        <f aca="false">Participantes!BB47</f>
        <v>0</v>
      </c>
      <c r="CA48" s="82" t="str">
        <f aca="false">IF(BY$2="","",IF(AND(BY48=BY$2,BZ48=BZ$2),3,IF(AND(BY$2&gt;BZ$2,BY48&gt;BZ48),1,IF(AND(BZ$2&gt;BY$2,BZ48&gt;BY48),1,IF(AND(BY$2=BZ$2,BY48=BZ48),1,0)))))</f>
        <v/>
      </c>
      <c r="CB48" s="1" t="n">
        <f aca="false">Participantes!BC47</f>
        <v>0</v>
      </c>
      <c r="CC48" s="1" t="n">
        <f aca="false">Participantes!BD47</f>
        <v>0</v>
      </c>
      <c r="CD48" s="82" t="str">
        <f aca="false">IF(CB$2="","",IF(AND(CB48=CB$2,CC48=CC$2),3,IF(AND(CB$2&gt;CC$2,CB48&gt;CC48),1,IF(AND(CC$2&gt;CB$2,CC48&gt;CB48),1,IF(AND(CB$2=CC$2,CB48=CC48),1,0)))))</f>
        <v/>
      </c>
      <c r="CE48" s="1" t="n">
        <f aca="false">Participantes!BE47</f>
        <v>0</v>
      </c>
      <c r="CF48" s="1" t="n">
        <f aca="false">Participantes!BF47</f>
        <v>0</v>
      </c>
      <c r="CG48" s="82" t="str">
        <f aca="false">IF(CE$2="","",IF(AND(CE48=CE$2,CF48=CF$2),3,IF(AND(CE$2&gt;CF$2,CE48&gt;CF48),1,IF(AND(CF$2&gt;CE$2,CF48&gt;CE48),1,IF(AND(CE$2=CF$2,CE48=CF48),1,0)))))</f>
        <v/>
      </c>
      <c r="CH48" s="1" t="n">
        <f aca="false">Participantes!BG47</f>
        <v>0</v>
      </c>
      <c r="CI48" s="1" t="n">
        <f aca="false">Participantes!BH47</f>
        <v>0</v>
      </c>
      <c r="CJ48" s="82" t="str">
        <f aca="false">IF(CH$2="","",IF(AND(CH48=CH$2,CI48=CI$2),3,IF(AND(CH$2&gt;CI$2,CH48&gt;CI48),1,IF(AND(CI$2&gt;CH$2,CI48&gt;CH48),1,IF(AND(CH$2=CI$2,CH48=CI48),1,0)))))</f>
        <v/>
      </c>
      <c r="CK48" s="1" t="n">
        <f aca="false">Participantes!BI47</f>
        <v>0</v>
      </c>
      <c r="CL48" s="1" t="n">
        <f aca="false">Participantes!BJ47</f>
        <v>0</v>
      </c>
      <c r="CM48" s="82" t="str">
        <f aca="false">IF(CK$2="","",IF(AND(CK48=CK$2,CL48=CL$2),3,IF(AND(CK$2&gt;CL$2,CK48&gt;CL48),1,IF(AND(CL$2&gt;CK$2,CL48&gt;CK48),1,IF(AND(CK$2=CL$2,CK48=CL48),1,0)))))</f>
        <v/>
      </c>
      <c r="CN48" s="1" t="n">
        <f aca="false">Participantes!BK47</f>
        <v>0</v>
      </c>
      <c r="CO48" s="1" t="n">
        <f aca="false">Participantes!BL47</f>
        <v>0</v>
      </c>
      <c r="CP48" s="82" t="str">
        <f aca="false">IF(CN$2="","",IF(AND(CN48=CN$2,CO48=CO$2),3,IF(AND(CN$2&gt;CO$2,CN48&gt;CO48),1,IF(AND(CO$2&gt;CN$2,CO48&gt;CN48),1,IF(AND(CN$2=CO$2,CN48=CO48),1,0)))))</f>
        <v/>
      </c>
      <c r="CQ48" s="1" t="n">
        <f aca="false">Participantes!BM47</f>
        <v>0</v>
      </c>
      <c r="CR48" s="1" t="n">
        <f aca="false">Participantes!BN47</f>
        <v>0</v>
      </c>
      <c r="CS48" s="82" t="str">
        <f aca="false">IF(CQ$2="","",IF(AND(CQ48=CQ$2,CR48=CR$2),3,IF(AND(CQ$2&gt;CR$2,CQ48&gt;CR48),1,IF(AND(CR$2&gt;CQ$2,CR48&gt;CQ48),1,IF(AND(CQ$2=CR$2,CQ48=CR48),1,0)))))</f>
        <v/>
      </c>
      <c r="CT48" s="1" t="n">
        <f aca="false">Participantes!BO47</f>
        <v>0</v>
      </c>
      <c r="CU48" s="1" t="n">
        <f aca="false">Participantes!BP47</f>
        <v>0</v>
      </c>
      <c r="CV48" s="82" t="str">
        <f aca="false">IF(CT$2="","",IF(AND(CT48=CT$2,CU48=CU$2),3,IF(AND(CT$2&gt;CU$2,CT48&gt;CU48),1,IF(AND(CU$2&gt;CT$2,CU48&gt;CT48),1,IF(AND(CT$2=CU$2,CT48=CU48),1,0)))))</f>
        <v/>
      </c>
      <c r="CW48" s="1" t="n">
        <f aca="false">Participantes!BQ47</f>
        <v>0</v>
      </c>
      <c r="CX48" s="1" t="n">
        <f aca="false">Participantes!BR47</f>
        <v>0</v>
      </c>
      <c r="CY48" s="82" t="str">
        <f aca="false">IF(CW$2="","",IF(AND(CW48=CW$2,CX48=CX$2),3,IF(AND(CW$2&gt;CX$2,CW48&gt;CX48),1,IF(AND(CX$2&gt;CW$2,CX48&gt;CW48),1,IF(AND(CW$2=CX$2,CW48=CX48),1,0)))))</f>
        <v/>
      </c>
      <c r="CZ48" s="1" t="n">
        <f aca="false">Participantes!BS47</f>
        <v>0</v>
      </c>
      <c r="DA48" s="1" t="n">
        <f aca="false">Participantes!BT47</f>
        <v>0</v>
      </c>
      <c r="DB48" s="82" t="str">
        <f aca="false">IF(CZ$2="","",IF(AND(CZ48=CZ$2,DA48=DA$2),3,IF(AND(CZ$2&gt;DA$2,CZ48&gt;DA48),1,IF(AND(DA$2&gt;CZ$2,DA48&gt;CZ48),1,IF(AND(CZ$2=DA$2,CZ48=DA48),1,0)))))</f>
        <v/>
      </c>
      <c r="DC48" s="1" t="n">
        <f aca="false">Participantes!BU47</f>
        <v>0</v>
      </c>
      <c r="DD48" s="1" t="n">
        <f aca="false">Participantes!BV47</f>
        <v>0</v>
      </c>
      <c r="DE48" s="82" t="str">
        <f aca="false">IF(DC$2="","",IF(AND(DC48=DC$2,DD48=DD$2),3,IF(AND(DC$2&gt;DD$2,DC48&gt;DD48),1,IF(AND(DD$2&gt;DC$2,DD48&gt;DC48),1,IF(AND(DC$2=DD$2,DC48=DD48),1,0)))))</f>
        <v/>
      </c>
      <c r="DF48" s="1" t="n">
        <f aca="false">Participantes!BW47</f>
        <v>0</v>
      </c>
      <c r="DG48" s="1" t="n">
        <f aca="false">Participantes!BX47</f>
        <v>0</v>
      </c>
      <c r="DH48" s="82" t="str">
        <f aca="false">IF(DF$2="","",IF(AND(DF48=DF$2,DG48=DG$2),3,IF(AND(DF$2&gt;DG$2,DF48&gt;DG48),1,IF(AND(DG$2&gt;DF$2,DG48&gt;DF48),1,IF(AND(DF$2=DG$2,DF48=DG48),1,0)))))</f>
        <v/>
      </c>
      <c r="DI48" s="1" t="n">
        <f aca="false">Participantes!BY47</f>
        <v>0</v>
      </c>
      <c r="DJ48" s="1" t="n">
        <f aca="false">Participantes!BZ47</f>
        <v>0</v>
      </c>
      <c r="DK48" s="82" t="str">
        <f aca="false">IF(DI$2="","",IF(AND(DI48=DI$2,DJ48=DJ$2),3,IF(AND(DI$2&gt;DJ$2,DI48&gt;DJ48),1,IF(AND(DJ$2&gt;DI$2,DJ48&gt;DI48),1,IF(AND(DI$2=DJ$2,DI48=DJ48),1,0)))))</f>
        <v/>
      </c>
      <c r="DL48" s="1" t="n">
        <f aca="false">Participantes!CA47</f>
        <v>0</v>
      </c>
      <c r="DM48" s="1" t="n">
        <f aca="false">Participantes!CB47</f>
        <v>0</v>
      </c>
      <c r="DN48" s="82" t="str">
        <f aca="false">IF(DL$2="","",IF(AND(DL48=DL$2,DM48=DM$2),3,IF(AND(DL$2&gt;DM$2,DL48&gt;DM48),1,IF(AND(DM$2&gt;DL$2,DM48&gt;DL48),1,IF(AND(DL$2=DM$2,DL48=DM48),1,0)))))</f>
        <v/>
      </c>
      <c r="DO48" s="1" t="n">
        <f aca="false">Participantes!CC47</f>
        <v>0</v>
      </c>
      <c r="DP48" s="1" t="n">
        <f aca="false">Participantes!CD47</f>
        <v>0</v>
      </c>
      <c r="DQ48" s="82" t="str">
        <f aca="false">IF(DO$2="","",IF(AND(DO48=DO$2,DP48=DP$2),3,IF(AND(DO$2&gt;DP$2,DO48&gt;DP48),1,IF(AND(DP$2&gt;DO$2,DP48&gt;DO48),1,IF(AND(DO$2=DP$2,DO48=DP48),1,0)))))</f>
        <v/>
      </c>
      <c r="DR48" s="1" t="n">
        <f aca="false">Participantes!CE47</f>
        <v>0</v>
      </c>
      <c r="DS48" s="1" t="n">
        <f aca="false">Participantes!CF47</f>
        <v>0</v>
      </c>
      <c r="DT48" s="82" t="str">
        <f aca="false">IF(DR$2="","",IF(AND(DR48=DR$2,DS48=DS$2),3,IF(AND(DR$2&gt;DS$2,DR48&gt;DS48),1,IF(AND(DS$2&gt;DR$2,DS48&gt;DR48),1,IF(AND(DR$2=DS$2,DR48=DS48),1,0)))))</f>
        <v/>
      </c>
      <c r="DU48" s="1" t="n">
        <f aca="false">Participantes!CG47</f>
        <v>0</v>
      </c>
      <c r="DV48" s="1" t="n">
        <f aca="false">Participantes!CH47</f>
        <v>0</v>
      </c>
      <c r="DW48" s="82" t="str">
        <f aca="false">IF(DU$2="","",IF(AND(DU48=DU$2,DV48=DV$2),3,IF(AND(DU$2&gt;DV$2,DU48&gt;DV48),1,IF(AND(DV$2&gt;DU$2,DV48&gt;DU48),1,IF(AND(DU$2=DV$2,DU48=DV48),1,0)))))</f>
        <v/>
      </c>
      <c r="DX48" s="1" t="n">
        <f aca="false">Participantes!CI47</f>
        <v>0</v>
      </c>
      <c r="DY48" s="1" t="n">
        <f aca="false">Participantes!CJ47</f>
        <v>0</v>
      </c>
      <c r="DZ48" s="82" t="str">
        <f aca="false">IF(DX$2="","",IF(AND(DX48=DX$2,DY48=DY$2),3,IF(AND(DX$2&gt;DY$2,DX48&gt;DY48),1,IF(AND(DY$2&gt;DX$2,DY48&gt;DX48),1,IF(AND(DX$2=DY$2,DX48=DY48),1,0)))))</f>
        <v/>
      </c>
      <c r="EA48" s="1" t="n">
        <f aca="false">Participantes!CK47</f>
        <v>0</v>
      </c>
      <c r="EB48" s="1" t="n">
        <f aca="false">Participantes!CL47</f>
        <v>0</v>
      </c>
      <c r="EC48" s="82" t="str">
        <f aca="false">IF(EA$2="","",IF(AND(EA48=EA$2,EB48=EB$2),3,IF(AND(EA$2&gt;EB$2,EA48&gt;EB48),1,IF(AND(EB$2&gt;EA$2,EB48&gt;EA48),1,IF(AND(EA$2=EB$2,EA48=EB48),1,0)))))</f>
        <v/>
      </c>
      <c r="ED48" s="1" t="n">
        <f aca="false">Participantes!CM47</f>
        <v>0</v>
      </c>
      <c r="EE48" s="1" t="n">
        <f aca="false">Participantes!CN47</f>
        <v>0</v>
      </c>
      <c r="EF48" s="82" t="str">
        <f aca="false">IF(ED$2="","",IF(AND(ED48=ED$2,EE48=EE$2),3,IF(AND(ED$2&gt;EE$2,ED48&gt;EE48),1,IF(AND(EE$2&gt;ED$2,EE48&gt;ED48),1,IF(AND(ED$2=EE$2,ED48=EE48),1,0)))))</f>
        <v/>
      </c>
      <c r="EG48" s="1" t="n">
        <f aca="false">Participantes!CO47</f>
        <v>0</v>
      </c>
      <c r="EH48" s="1" t="n">
        <f aca="false">Participantes!CP47</f>
        <v>0</v>
      </c>
      <c r="EI48" s="82" t="str">
        <f aca="false">IF(EG$2="","",IF(AND(EG48=EG$2,EH48=EH$2),3,IF(AND(EG$2&gt;EH$2,EG48&gt;EH48),1,IF(AND(EH$2&gt;EG$2,EH48&gt;EG48),1,IF(AND(EG$2=EH$2,EG48=EH48),1,0)))))</f>
        <v/>
      </c>
      <c r="EJ48" s="1" t="n">
        <f aca="false">Participantes!CQ47</f>
        <v>0</v>
      </c>
      <c r="EK48" s="1" t="n">
        <f aca="false">Participantes!CR47</f>
        <v>0</v>
      </c>
      <c r="EL48" s="82" t="str">
        <f aca="false">IF(EJ$2="","",IF(AND(EJ48=EJ$2,EK48=EK$2),3,IF(AND(EJ$2&gt;EK$2,EJ48&gt;EK48),1,IF(AND(EK$2&gt;EJ$2,EK48&gt;EJ48),1,IF(AND(EJ$2=EK$2,EJ48=EK48),1,0)))))</f>
        <v/>
      </c>
      <c r="EM48" s="1" t="n">
        <f aca="false">Participantes!CS47</f>
        <v>0</v>
      </c>
      <c r="EN48" s="1" t="n">
        <f aca="false">Participantes!CT47</f>
        <v>0</v>
      </c>
      <c r="EO48" s="82" t="str">
        <f aca="false">IF(EM$2="","",IF(AND(EM48=EM$2,EN48=EN$2),3,IF(AND(EM$2&gt;EN$2,EM48&gt;EN48),1,IF(AND(EN$2&gt;EM$2,EN48&gt;EM48),1,IF(AND(EM$2=EN$2,EM48=EN48),1,0)))))</f>
        <v/>
      </c>
      <c r="EP48" s="1" t="n">
        <f aca="false">Participantes!CU47</f>
        <v>0</v>
      </c>
      <c r="EQ48" s="1" t="n">
        <f aca="false">Participantes!CV47</f>
        <v>0</v>
      </c>
      <c r="ER48" s="82" t="str">
        <f aca="false">IF(EP$2="","",IF(AND(EP48=EP$2,EQ48=EQ$2),3,IF(AND(EP$2&gt;EQ$2,EP48&gt;EQ48),1,IF(AND(EQ$2&gt;EP$2,EQ48&gt;EP48),1,IF(AND(EP$2=EQ$2,EP48=EQ48),1,0)))))</f>
        <v/>
      </c>
      <c r="ES48" s="1" t="n">
        <f aca="false">Participantes!CW47</f>
        <v>0</v>
      </c>
      <c r="ET48" s="1" t="n">
        <f aca="false">Participantes!CX47</f>
        <v>0</v>
      </c>
      <c r="EU48" s="82" t="str">
        <f aca="false">IF(ES$2="","",IF(AND(ES48=ES$2,ET48=ET$2),3,IF(AND(ES$2&gt;ET$2,ES48&gt;ET48),1,IF(AND(ET$2&gt;ES$2,ET48&gt;ES48),1,IF(AND(ES$2=ET$2,ES48=ET48),1,0)))))</f>
        <v/>
      </c>
      <c r="EV48" s="1" t="n">
        <f aca="false">Participantes!CY47</f>
        <v>0</v>
      </c>
      <c r="EW48" s="1" t="n">
        <f aca="false">Participantes!CZ47</f>
        <v>0</v>
      </c>
      <c r="EX48" s="82" t="str">
        <f aca="false">IF(EV$2="","",IF(AND(EV48=EV$2,EW48=EW$2),3,IF(AND(EV$2&gt;EW$2,EV48&gt;EW48),1,IF(AND(EW$2&gt;EV$2,EW48&gt;EV48),1,IF(AND(EV$2=EW$2,EV48=EW48),1,0)))))</f>
        <v/>
      </c>
      <c r="EY48" s="1" t="n">
        <f aca="false">Participantes!DA47</f>
        <v>0</v>
      </c>
      <c r="EZ48" s="1" t="n">
        <f aca="false">Participantes!DB47</f>
        <v>0</v>
      </c>
      <c r="FA48" s="82" t="str">
        <f aca="false">IF(EY$2="","",IF(AND(EY48=EY$2,EZ48=EZ$2),3,IF(AND(EY$2&gt;EZ$2,EY48&gt;EZ48),1,IF(AND(EZ$2&gt;EY$2,EZ48&gt;EY48),1,IF(AND(EY$2=EZ$2,EY48=EZ48),1,0)))))</f>
        <v/>
      </c>
      <c r="FB48" s="1" t="n">
        <f aca="false">Participantes!DC47</f>
        <v>0</v>
      </c>
      <c r="FC48" s="1" t="n">
        <f aca="false">Participantes!DD47</f>
        <v>0</v>
      </c>
      <c r="FD48" s="82" t="str">
        <f aca="false">IF(FB$2="","",IF(AND(FB48=FB$2,FC48=FC$2),3,IF(AND(FB$2&gt;FC$2,FB48&gt;FC48),1,IF(AND(FC$2&gt;FB$2,FC48&gt;FB48),1,IF(AND(FB$2=FC$2,FB48=FC48),1,0)))))</f>
        <v/>
      </c>
      <c r="FE48" s="1" t="n">
        <f aca="false">Participantes!DE47</f>
        <v>0</v>
      </c>
      <c r="FF48" s="1" t="n">
        <f aca="false">Participantes!DF47</f>
        <v>0</v>
      </c>
      <c r="FG48" s="82" t="str">
        <f aca="false">IF(FE$2="","",IF(AND(FE48=FE$2,FF48=FF$2),3,IF(AND(FE$2&gt;FF$2,FE48&gt;FF48),1,IF(AND(FF$2&gt;FE$2,FF48&gt;FE48),1,IF(AND(FE$2=FF$2,FE48=FF48),1,0)))))</f>
        <v/>
      </c>
      <c r="FH48" s="1" t="n">
        <f aca="false">Participantes!DG47</f>
        <v>0</v>
      </c>
      <c r="FI48" s="1" t="n">
        <f aca="false">Participantes!DH47</f>
        <v>0</v>
      </c>
      <c r="FJ48" s="82" t="str">
        <f aca="false">IF(FH$2="","",IF(AND(FH48=FH$2,FI48=FI$2),3,IF(AND(FH$2&gt;FI$2,FH48&gt;FI48),1,IF(AND(FI$2&gt;FH$2,FI48&gt;FH48),1,IF(AND(FH$2=FI$2,FH48=FI48),1,0)))))</f>
        <v/>
      </c>
      <c r="FK48" s="1" t="n">
        <f aca="false">Participantes!DI47</f>
        <v>0</v>
      </c>
      <c r="FL48" s="1" t="n">
        <f aca="false">Participantes!DJ47</f>
        <v>0</v>
      </c>
      <c r="FM48" s="82" t="str">
        <f aca="false">IF(FK$2="","",IF(AND(FK48=FK$2,FL48=FL$2),3,IF(AND(FK$2&gt;FL$2,FK48&gt;FL48),1,IF(AND(FL$2&gt;FK$2,FL48&gt;FK48),1,IF(AND(FK$2=FL$2,FK48=FL48),1,0)))))</f>
        <v/>
      </c>
      <c r="FN48" s="1" t="n">
        <f aca="false">Participantes!DK47</f>
        <v>0</v>
      </c>
      <c r="FO48" s="1" t="n">
        <f aca="false">Participantes!DL47</f>
        <v>0</v>
      </c>
      <c r="FP48" s="82" t="str">
        <f aca="false">IF(FN$2="","",IF(AND(FN48=FN$2,FO48=FO$2),3,IF(AND(FN$2&gt;FO$2,FN48&gt;FO48),1,IF(AND(FO$2&gt;FN$2,FO48&gt;FN48),1,IF(AND(FN$2=FO$2,FN48=FO48),1,0)))))</f>
        <v/>
      </c>
      <c r="FQ48" s="1" t="n">
        <f aca="false">Participantes!DM47</f>
        <v>0</v>
      </c>
      <c r="FR48" s="1" t="n">
        <f aca="false">Participantes!DN47</f>
        <v>0</v>
      </c>
      <c r="FS48" s="82" t="str">
        <f aca="false">IF(FQ$2="","",IF(AND(FQ48=FQ$2,FR48=FR$2),3,IF(AND(FQ$2&gt;FR$2,FQ48&gt;FR48),1,IF(AND(FR$2&gt;FQ$2,FR48&gt;FQ48),1,IF(AND(FQ$2=FR$2,FQ48=FR48),1,0)))))</f>
        <v/>
      </c>
      <c r="FT48" s="1" t="n">
        <f aca="false">Participantes!DO47</f>
        <v>0</v>
      </c>
      <c r="FU48" s="1" t="n">
        <f aca="false">Participantes!DP47</f>
        <v>0</v>
      </c>
      <c r="FV48" s="82" t="str">
        <f aca="false">IF(FT$2="","",IF(AND(FT48=FT$2,FU48=FU$2),3,IF(AND(FT$2&gt;FU$2,FT48&gt;FU48),1,IF(AND(FU$2&gt;FT$2,FU48&gt;FT48),1,IF(AND(FT$2=FU$2,FT48=FU48),1,0)))))</f>
        <v/>
      </c>
      <c r="FW48" s="1" t="n">
        <f aca="false">Participantes!DQ47</f>
        <v>0</v>
      </c>
      <c r="FX48" s="1" t="n">
        <f aca="false">Participantes!DR47</f>
        <v>0</v>
      </c>
      <c r="FY48" s="82" t="str">
        <f aca="false">IF(FW$2="","",IF(AND(FW48=FW$2,FX48=FX$2),3,IF(AND(FW$2&gt;FX$2,FW48&gt;FX48),1,IF(AND(FX$2&gt;FW$2,FX48&gt;FW48),1,IF(AND(FW$2=FX$2,FW48=FX48),1,0)))))</f>
        <v/>
      </c>
      <c r="FZ48" s="1" t="n">
        <f aca="false">Participantes!DS47</f>
        <v>0</v>
      </c>
      <c r="GA48" s="1" t="n">
        <f aca="false">Participantes!DT47</f>
        <v>0</v>
      </c>
      <c r="GB48" s="82" t="str">
        <f aca="false">IF(FZ$2="","",IF(AND(FZ48=FZ$2,GA48=GA$2),3,IF(AND(FZ$2&gt;GA$2,FZ48&gt;GA48),1,IF(AND(GA$2&gt;FZ$2,GA48&gt;FZ48),1,IF(AND(FZ$2=GA$2,FZ48=GA48),1,0)))))</f>
        <v/>
      </c>
      <c r="GC48" s="1" t="n">
        <f aca="false">Participantes!DU47</f>
        <v>0</v>
      </c>
      <c r="GD48" s="1" t="n">
        <f aca="false">Participantes!DV47</f>
        <v>0</v>
      </c>
      <c r="GE48" s="82" t="str">
        <f aca="false">IF(GC$2="","",IF(AND(GC48=GC$2,GD48=GD$2),3,IF(AND(GC$2&gt;GD$2,GC48&gt;GD48),1,IF(AND(GD$2&gt;GC$2,GD48&gt;GC48),1,IF(AND(GC$2=GD$2,GC48=GD48),1,0)))))</f>
        <v/>
      </c>
      <c r="GF48" s="1" t="n">
        <f aca="false">Participantes!DW47</f>
        <v>0</v>
      </c>
      <c r="GG48" s="1" t="n">
        <f aca="false">Participantes!DX47</f>
        <v>0</v>
      </c>
      <c r="GH48" s="82" t="str">
        <f aca="false">IF(GF$2="","",IF(AND(GF48=GF$2,GG48=GG$2),3,IF(AND(GF$2&gt;GG$2,GF48&gt;GG48),1,IF(AND(GG$2&gt;GF$2,GG48&gt;GF48),1,IF(AND(GF$2=GG$2,GF48=GG48),1,0)))))</f>
        <v/>
      </c>
      <c r="GI48" s="1" t="n">
        <f aca="false">Participantes!DY47</f>
        <v>0</v>
      </c>
      <c r="GJ48" s="1" t="n">
        <f aca="false">Participantes!DZ47</f>
        <v>0</v>
      </c>
      <c r="GK48" s="82" t="str">
        <f aca="false">IF(GI$2="","",IF(AND(GI48=GI$2,GJ48=GJ$2),3,IF(AND(GI$2&gt;GJ$2,GI48&gt;GJ48),1,IF(AND(GJ$2&gt;GI$2,GJ48&gt;GI48),1,IF(AND(GI$2=GJ$2,GI48=GJ48),1,0)))))</f>
        <v/>
      </c>
      <c r="GL48" s="1" t="n">
        <f aca="false">Participantes!EA47</f>
        <v>0</v>
      </c>
      <c r="GM48" s="1" t="n">
        <f aca="false">Participantes!EB47</f>
        <v>0</v>
      </c>
      <c r="GN48" s="82" t="str">
        <f aca="false">IF(GL$2="","",IF(AND(GL48=GL$2,GM48=GM$2),3,IF(AND(GL$2&gt;GM$2,GL48&gt;GM48),1,IF(AND(GM$2&gt;GL$2,GM48&gt;GL48),1,IF(AND(GL$2=GM$2,GL48=GM48),1,0)))))</f>
        <v/>
      </c>
      <c r="GO48" s="1" t="n">
        <f aca="false">Participantes!EC47</f>
        <v>0</v>
      </c>
      <c r="GP48" s="1" t="n">
        <f aca="false">Participantes!ED47</f>
        <v>0</v>
      </c>
      <c r="GQ48" s="82" t="str">
        <f aca="false">IF(GO$2="","",IF(AND(GO48=GO$2,GP48=GP$2),3,IF(AND(GO$2&gt;GP$2,GO48&gt;GP48),1,IF(AND(GP$2&gt;GO$2,GP48&gt;GO48),1,IF(AND(GO$2=GP$2,GO48=GP48),1,0)))))</f>
        <v/>
      </c>
      <c r="GR48" s="1" t="n">
        <f aca="false">Participantes!EE47</f>
        <v>0</v>
      </c>
      <c r="GS48" s="1" t="n">
        <f aca="false">Participantes!EF47</f>
        <v>0</v>
      </c>
      <c r="GT48" s="82" t="str">
        <f aca="false">IF(GR$2="","",IF(AND(GR48=GR$2,GS48=GS$2),3,IF(AND(GR$2&gt;GS$2,GR48&gt;GS48),1,IF(AND(GS$2&gt;GR$2,GS48&gt;GR48),1,IF(AND(GR$2=GS$2,GR48=GS48),1,0)))))</f>
        <v/>
      </c>
      <c r="GU48" s="1" t="n">
        <f aca="false">Participantes!EG47</f>
        <v>0</v>
      </c>
      <c r="GV48" s="1" t="n">
        <f aca="false">Participantes!EH47</f>
        <v>0</v>
      </c>
      <c r="GW48" s="82" t="str">
        <f aca="false">IF(GU$2="","",IF(AND(GU48=GU$2,GV48=GV$2),3,IF(AND(GU$2&gt;GV$2,GU48&gt;GV48),1,IF(AND(GV$2&gt;GU$2,GV48&gt;GU48),1,IF(AND(GU$2=GV$2,GU48=GV48),1,0)))))</f>
        <v/>
      </c>
      <c r="GX48" s="1" t="n">
        <f aca="false">Participantes!EI47</f>
        <v>0</v>
      </c>
      <c r="GY48" s="1" t="n">
        <f aca="false">Participantes!EJ47</f>
        <v>0</v>
      </c>
      <c r="GZ48" s="82" t="str">
        <f aca="false">IF(GX$2="","",IF(AND(GX48=GX$2,GY48=GY$2),3,IF(AND(GX$2&gt;GY$2,GX48&gt;GY48),1,IF(AND(GY$2&gt;GX$2,GY48&gt;GX48),1,IF(AND(GX$2=GY$2,GX48=GY48),1,0)))))</f>
        <v/>
      </c>
      <c r="HA48" s="1" t="n">
        <f aca="false">Participantes!EK47</f>
        <v>0</v>
      </c>
      <c r="HB48" s="1" t="n">
        <f aca="false">Participantes!EL47</f>
        <v>0</v>
      </c>
      <c r="HC48" s="82" t="str">
        <f aca="false">IF(HA$2="","",IF(AND(HA48=HA$2,HB48=HB$2),3,IF(AND(HA$2&gt;HB$2,HA48&gt;HB48),1,IF(AND(HB$2&gt;HA$2,HB48&gt;HA48),1,IF(AND(HA$2=HB$2,HA48=HB48),1,0)))))</f>
        <v/>
      </c>
      <c r="HD48" s="1" t="n">
        <f aca="false">Participantes!EM47</f>
        <v>0</v>
      </c>
      <c r="HE48" s="1" t="n">
        <f aca="false">Participantes!EN47</f>
        <v>0</v>
      </c>
      <c r="HF48" s="82" t="str">
        <f aca="false">IF(HD$2="","",IF(AND(HD48=HD$2,HE48=HE$2),3,IF(AND(HD$2&gt;HE$2,HD48&gt;HE48),1,IF(AND(HE$2&gt;HD$2,HE48&gt;HD48),1,IF(AND(HD$2=HE$2,HD48=HE48),1,0)))))</f>
        <v/>
      </c>
      <c r="HG48" s="1" t="n">
        <f aca="false">Participantes!EO47</f>
        <v>0</v>
      </c>
      <c r="HH48" s="1" t="n">
        <f aca="false">Participantes!EP47</f>
        <v>0</v>
      </c>
      <c r="HI48" s="82" t="str">
        <f aca="false">IF(HG$2="","",IF(AND(HG48=HG$2,HH48=HH$2),3,IF(AND(HG$2&gt;HH$2,HG48&gt;HH48),1,IF(AND(HH$2&gt;HG$2,HH48&gt;HG48),1,IF(AND(HG$2=HH$2,HG48=HH48),1,0)))))</f>
        <v/>
      </c>
      <c r="HJ48" s="83" t="n">
        <f aca="false">SUM(D48,G48,J48,M48,P48,S48,V48,Y48,AB48,AE48,AH48,AK48,AN48,AQ48,AT48,AW48,AZ48,BC48,BF48,BI48,BL48,BO48,BR48,BU48,BX48,CA48,CD48,CG48,CJ48,CM48,CP48,CS48,CV48,CY48,DB48,DE48,DH48,DK48,DN48,DQ48,DT48,DW48,DZ48,EC48,EF48,EI48,EL48,EO48,ER48,EU48,EX48,FA48,FD48,FG48,FJ48,FM48,FP48,FS48,FV48,FY48,GB48,GE48,GH48,GK48,GN48,GQ48,GT48,GW48,GZ48,HC48,HF48,HI48)</f>
        <v>3</v>
      </c>
    </row>
    <row r="49" customFormat="false" ht="15" hidden="false" customHeight="true" outlineLevel="0" collapsed="false">
      <c r="A49" s="81" t="str">
        <f aca="false">Participantes!B48</f>
        <v>Silvia</v>
      </c>
      <c r="B49" s="1" t="n">
        <f aca="false">Participantes!C48</f>
        <v>2</v>
      </c>
      <c r="C49" s="1" t="n">
        <f aca="false">Participantes!D48</f>
        <v>0</v>
      </c>
      <c r="D49" s="82" t="n">
        <f aca="false">IF(B$2="","",IF(AND(B49=B$2,C49=C$2),3,IF(AND(B$2&gt;C$2,B49&gt;C49),1,IF(AND(C$2&gt;B$2,C49&gt;B49),1,IF(AND(B$2=C$2,B49=C49),1,0)))))</f>
        <v>3</v>
      </c>
      <c r="E49" s="1" t="n">
        <f aca="false">Participantes!E48</f>
        <v>1</v>
      </c>
      <c r="F49" s="1" t="n">
        <f aca="false">Participantes!F48</f>
        <v>1</v>
      </c>
      <c r="G49" s="82" t="str">
        <f aca="false">IF(E$2="","",IF(AND(E49=E$2,F49=F$2),3,IF(AND(E$2&gt;F$2,E49&gt;F49),1,IF(AND(F$2&gt;E$2,F49&gt;E49),1,IF(AND(E$2=F$2,E49=F49),1,0)))))</f>
        <v/>
      </c>
      <c r="H49" s="1" t="n">
        <f aca="false">Participantes!G48</f>
        <v>2</v>
      </c>
      <c r="I49" s="1" t="n">
        <f aca="false">Participantes!H48</f>
        <v>0</v>
      </c>
      <c r="J49" s="82" t="str">
        <f aca="false">IF(H$2="","",IF(AND(H49=H$2,I49=I$2),3,IF(AND(H$2&gt;I$2,H49&gt;I49),1,IF(AND(I$2&gt;H$2,I49&gt;H49),1,IF(AND(H$2=I$2,H49=I49),1,0)))))</f>
        <v/>
      </c>
      <c r="K49" s="1" t="n">
        <f aca="false">Participantes!I48</f>
        <v>2</v>
      </c>
      <c r="L49" s="1" t="n">
        <f aca="false">Participantes!J48</f>
        <v>1</v>
      </c>
      <c r="M49" s="82" t="str">
        <f aca="false">IF(K$2="","",IF(AND(K49=K$2,L49=L$2),3,IF(AND(K$2&gt;L$2,K49&gt;L49),1,IF(AND(L$2&gt;K$2,L49&gt;K49),1,IF(AND(K$2=L$2,K49=L49),1,0)))))</f>
        <v/>
      </c>
      <c r="N49" s="1" t="n">
        <f aca="false">Participantes!K48</f>
        <v>1</v>
      </c>
      <c r="O49" s="1" t="n">
        <f aca="false">Participantes!L48</f>
        <v>2</v>
      </c>
      <c r="P49" s="82" t="str">
        <f aca="false">IF(N$2="","",IF(AND(N49=N$2,O49=O$2),3,IF(AND(N$2&gt;O$2,N49&gt;O49),1,IF(AND(O$2&gt;N$2,O49&gt;N49),1,IF(AND(N$2=O$2,N49=O49),1,0)))))</f>
        <v/>
      </c>
      <c r="Q49" s="1" t="n">
        <f aca="false">Participantes!M48</f>
        <v>1</v>
      </c>
      <c r="R49" s="1" t="n">
        <f aca="false">Participantes!N48</f>
        <v>1</v>
      </c>
      <c r="S49" s="82" t="str">
        <f aca="false">IF(Q$2="","",IF(AND(Q49=Q$2,R49=R$2),3,IF(AND(Q$2&gt;R$2,Q49&gt;R49),1,IF(AND(R$2&gt;Q$2,R49&gt;Q49),1,IF(AND(Q$2=R$2,Q49=R49),1,0)))))</f>
        <v/>
      </c>
      <c r="T49" s="1" t="n">
        <f aca="false">Participantes!O48</f>
        <v>2</v>
      </c>
      <c r="U49" s="1" t="n">
        <f aca="false">Participantes!P48</f>
        <v>1</v>
      </c>
      <c r="V49" s="82" t="str">
        <f aca="false">IF(T$2="","",IF(AND(T49=T$2,U49=U$2),3,IF(AND(T$2&gt;U$2,T49&gt;U49),1,IF(AND(U$2&gt;T$2,U49&gt;T49),1,IF(AND(T$2=U$2,T49=U49),1,0)))))</f>
        <v/>
      </c>
      <c r="W49" s="1" t="n">
        <f aca="false">Participantes!Q48</f>
        <v>1</v>
      </c>
      <c r="X49" s="1" t="n">
        <f aca="false">Participantes!R48</f>
        <v>2</v>
      </c>
      <c r="Y49" s="82" t="str">
        <f aca="false">IF(W$2="","",IF(AND(W49=W$2,X49=X$2),3,IF(AND(W$2&gt;X$2,W49&gt;X49),1,IF(AND(X$2&gt;W$2,X49&gt;W49),1,IF(AND(W$2=X$2,W49=X49),1,0)))))</f>
        <v/>
      </c>
      <c r="Z49" s="1" t="n">
        <f aca="false">Participantes!S48</f>
        <v>1</v>
      </c>
      <c r="AA49" s="1" t="n">
        <f aca="false">Participantes!T48</f>
        <v>1</v>
      </c>
      <c r="AB49" s="82" t="str">
        <f aca="false">IF(Z$2="","",IF(AND(Z49=Z$2,AA49=AA$2),3,IF(AND(Z$2&gt;AA$2,Z49&gt;AA49),1,IF(AND(AA$2&gt;Z$2,AA49&gt;Z49),1,IF(AND(Z$2=AA$2,Z49=AA49),1,0)))))</f>
        <v/>
      </c>
      <c r="AC49" s="1" t="n">
        <f aca="false">Participantes!U48</f>
        <v>3</v>
      </c>
      <c r="AD49" s="1" t="n">
        <f aca="false">Participantes!V48</f>
        <v>0</v>
      </c>
      <c r="AE49" s="82" t="str">
        <f aca="false">IF(AC$2="","",IF(AND(AC49=AC$2,AD49=AD$2),3,IF(AND(AC$2&gt;AD$2,AC49&gt;AD49),1,IF(AND(AD$2&gt;AC$2,AD49&gt;AC49),1,IF(AND(AC$2=AD$2,AC49=AD49),1,0)))))</f>
        <v/>
      </c>
      <c r="AF49" s="1" t="n">
        <f aca="false">Participantes!W48</f>
        <v>2</v>
      </c>
      <c r="AG49" s="1" t="n">
        <f aca="false">Participantes!X48</f>
        <v>1</v>
      </c>
      <c r="AH49" s="82" t="str">
        <f aca="false">IF(AF$2="","",IF(AND(AF49=AF$2,AG49=AG$2),3,IF(AND(AF$2&gt;AG$2,AF49&gt;AG49),1,IF(AND(AG$2&gt;AF$2,AG49&gt;AF49),1,IF(AND(AF$2=AG$2,AF49=AG49),1,0)))))</f>
        <v/>
      </c>
      <c r="AI49" s="1" t="n">
        <f aca="false">Participantes!Y48</f>
        <v>2</v>
      </c>
      <c r="AJ49" s="1" t="n">
        <f aca="false">Participantes!Z48</f>
        <v>0</v>
      </c>
      <c r="AK49" s="82" t="str">
        <f aca="false">IF(AI$2="","",IF(AND(AI49=AI$2,AJ49=AJ$2),3,IF(AND(AI$2&gt;AJ$2,AI49&gt;AJ49),1,IF(AND(AJ$2&gt;AI$2,AJ49&gt;AI49),1,IF(AND(AI$2=AJ$2,AI49=AJ49),1,0)))))</f>
        <v/>
      </c>
      <c r="AL49" s="1" t="n">
        <f aca="false">Participantes!AA48</f>
        <v>0</v>
      </c>
      <c r="AM49" s="1" t="n">
        <f aca="false">Participantes!AB48</f>
        <v>2</v>
      </c>
      <c r="AN49" s="82" t="str">
        <f aca="false">IF(AL$2="","",IF(AND(AL49=AL$2,AM49=AM$2),3,IF(AND(AL$2&gt;AM$2,AL49&gt;AM49),1,IF(AND(AM$2&gt;AL$2,AM49&gt;AL49),1,IF(AND(AL$2=AM$2,AL49=AM49),1,0)))))</f>
        <v/>
      </c>
      <c r="AO49" s="1" t="n">
        <f aca="false">Participantes!AC48</f>
        <v>3</v>
      </c>
      <c r="AP49" s="1" t="n">
        <f aca="false">Participantes!AD48</f>
        <v>0</v>
      </c>
      <c r="AQ49" s="82" t="str">
        <f aca="false">IF(AO$2="","",IF(AND(AO49=AO$2,AP49=AP$2),3,IF(AND(AO$2&gt;AP$2,AO49&gt;AP49),1,IF(AND(AP$2&gt;AO$2,AP49&gt;AO49),1,IF(AND(AO$2=AP$2,AO49=AP49),1,0)))))</f>
        <v/>
      </c>
      <c r="AR49" s="1" t="n">
        <f aca="false">Participantes!AE48</f>
        <v>0</v>
      </c>
      <c r="AS49" s="1" t="n">
        <f aca="false">Participantes!AF48</f>
        <v>0</v>
      </c>
      <c r="AT49" s="82" t="str">
        <f aca="false">IF(AR$2="","",IF(AND(AR49=AR$2,AS49=AS$2),3,IF(AND(AR$2&gt;AS$2,AR49&gt;AS49),1,IF(AND(AS$2&gt;AR$2,AS49&gt;AR49),1,IF(AND(AR$2=AS$2,AR49=AS49),1,0)))))</f>
        <v/>
      </c>
      <c r="AU49" s="1" t="n">
        <f aca="false">Participantes!AG48</f>
        <v>0</v>
      </c>
      <c r="AV49" s="1" t="n">
        <f aca="false">Participantes!AH48</f>
        <v>0</v>
      </c>
      <c r="AW49" s="82" t="str">
        <f aca="false">IF(AU$2="","",IF(AND(AU49=AU$2,AV49=AV$2),3,IF(AND(AU$2&gt;AV$2,AU49&gt;AV49),1,IF(AND(AV$2&gt;AU$2,AV49&gt;AU49),1,IF(AND(AU$2=AV$2,AU49=AV49),1,0)))))</f>
        <v/>
      </c>
      <c r="AX49" s="1" t="n">
        <f aca="false">Participantes!AI48</f>
        <v>0</v>
      </c>
      <c r="AY49" s="1" t="n">
        <f aca="false">Participantes!AJ48</f>
        <v>0</v>
      </c>
      <c r="AZ49" s="82" t="str">
        <f aca="false">IF(AX$2="","",IF(AND(AX49=AX$2,AY49=AY$2),3,IF(AND(AX$2&gt;AY$2,AX49&gt;AY49),1,IF(AND(AY$2&gt;AX$2,AY49&gt;AX49),1,IF(AND(AX$2=AY$2,AX49=AY49),1,0)))))</f>
        <v/>
      </c>
      <c r="BA49" s="1" t="n">
        <f aca="false">Participantes!AK48</f>
        <v>0</v>
      </c>
      <c r="BB49" s="1" t="n">
        <f aca="false">Participantes!AL48</f>
        <v>0</v>
      </c>
      <c r="BC49" s="82" t="str">
        <f aca="false">IF(BA$2="","",IF(AND(BA49=BA$2,BB49=BB$2),3,IF(AND(BA$2&gt;BB$2,BA49&gt;BB49),1,IF(AND(BB$2&gt;BA$2,BB49&gt;BA49),1,IF(AND(BA$2=BB$2,BA49=BB49),1,0)))))</f>
        <v/>
      </c>
      <c r="BD49" s="1" t="n">
        <f aca="false">Participantes!AM48</f>
        <v>0</v>
      </c>
      <c r="BE49" s="1" t="n">
        <f aca="false">Participantes!AN48</f>
        <v>0</v>
      </c>
      <c r="BF49" s="82" t="str">
        <f aca="false">IF(BD$2="","",IF(AND(BD49=BD$2,BE49=BE$2),3,IF(AND(BD$2&gt;BE$2,BD49&gt;BE49),1,IF(AND(BE$2&gt;BD$2,BE49&gt;BD49),1,IF(AND(BD$2=BE$2,BD49=BE49),1,0)))))</f>
        <v/>
      </c>
      <c r="BG49" s="1" t="n">
        <f aca="false">Participantes!AO48</f>
        <v>0</v>
      </c>
      <c r="BH49" s="1" t="n">
        <f aca="false">Participantes!AP48</f>
        <v>0</v>
      </c>
      <c r="BI49" s="82" t="str">
        <f aca="false">IF(BG$2="","",IF(AND(BG49=BG$2,BH49=BH$2),3,IF(AND(BG$2&gt;BH$2,BG49&gt;BH49),1,IF(AND(BH$2&gt;BG$2,BH49&gt;BG49),1,IF(AND(BG$2=BH$2,BG49=BH49),1,0)))))</f>
        <v/>
      </c>
      <c r="BJ49" s="1" t="n">
        <f aca="false">Participantes!AQ48</f>
        <v>0</v>
      </c>
      <c r="BK49" s="1" t="n">
        <f aca="false">Participantes!AR48</f>
        <v>0</v>
      </c>
      <c r="BL49" s="82" t="str">
        <f aca="false">IF(BJ$2="","",IF(AND(BJ49=BJ$2,BK49=BK$2),3,IF(AND(BJ$2&gt;BK$2,BJ49&gt;BK49),1,IF(AND(BK$2&gt;BJ$2,BK49&gt;BJ49),1,IF(AND(BJ$2=BK$2,BJ49=BK49),1,0)))))</f>
        <v/>
      </c>
      <c r="BM49" s="1" t="n">
        <f aca="false">Participantes!AS48</f>
        <v>0</v>
      </c>
      <c r="BN49" s="1" t="n">
        <f aca="false">Participantes!AT48</f>
        <v>0</v>
      </c>
      <c r="BO49" s="82" t="str">
        <f aca="false">IF(BM$2="","",IF(AND(BM49=BM$2,BN49=BN$2),3,IF(AND(BM$2&gt;BN$2,BM49&gt;BN49),1,IF(AND(BN$2&gt;BM$2,BN49&gt;BM49),1,IF(AND(BM$2=BN$2,BM49=BN49),1,0)))))</f>
        <v/>
      </c>
      <c r="BP49" s="1" t="n">
        <f aca="false">Participantes!AU48</f>
        <v>0</v>
      </c>
      <c r="BQ49" s="1" t="n">
        <f aca="false">Participantes!AV48</f>
        <v>0</v>
      </c>
      <c r="BR49" s="82" t="str">
        <f aca="false">IF(BP$2="","",IF(AND(BP49=BP$2,BQ49=BQ$2),3,IF(AND(BP$2&gt;BQ$2,BP49&gt;BQ49),1,IF(AND(BQ$2&gt;BP$2,BQ49&gt;BP49),1,IF(AND(BP$2=BQ$2,BP49=BQ49),1,0)))))</f>
        <v/>
      </c>
      <c r="BS49" s="1" t="n">
        <f aca="false">Participantes!AW48</f>
        <v>0</v>
      </c>
      <c r="BT49" s="1" t="n">
        <f aca="false">Participantes!AX48</f>
        <v>0</v>
      </c>
      <c r="BU49" s="82" t="str">
        <f aca="false">IF(BS$2="","",IF(AND(BS49=BS$2,BT49=BT$2),3,IF(AND(BS$2&gt;BT$2,BS49&gt;BT49),1,IF(AND(BT$2&gt;BS$2,BT49&gt;BS49),1,IF(AND(BS$2=BT$2,BS49=BT49),1,0)))))</f>
        <v/>
      </c>
      <c r="BV49" s="1" t="n">
        <f aca="false">Participantes!AY48</f>
        <v>0</v>
      </c>
      <c r="BW49" s="1" t="n">
        <f aca="false">Participantes!AZ48</f>
        <v>0</v>
      </c>
      <c r="BX49" s="82" t="str">
        <f aca="false">IF(BV$2="","",IF(AND(BV49=BV$2,BW49=BW$2),3,IF(AND(BV$2&gt;BW$2,BV49&gt;BW49),1,IF(AND(BW$2&gt;BV$2,BW49&gt;BV49),1,IF(AND(BV$2=BW$2,BV49=BW49),1,0)))))</f>
        <v/>
      </c>
      <c r="BY49" s="1" t="n">
        <f aca="false">Participantes!BA48</f>
        <v>0</v>
      </c>
      <c r="BZ49" s="1" t="n">
        <f aca="false">Participantes!BB48</f>
        <v>0</v>
      </c>
      <c r="CA49" s="82" t="str">
        <f aca="false">IF(BY$2="","",IF(AND(BY49=BY$2,BZ49=BZ$2),3,IF(AND(BY$2&gt;BZ$2,BY49&gt;BZ49),1,IF(AND(BZ$2&gt;BY$2,BZ49&gt;BY49),1,IF(AND(BY$2=BZ$2,BY49=BZ49),1,0)))))</f>
        <v/>
      </c>
      <c r="CB49" s="1" t="n">
        <f aca="false">Participantes!BC48</f>
        <v>0</v>
      </c>
      <c r="CC49" s="1" t="n">
        <f aca="false">Participantes!BD48</f>
        <v>0</v>
      </c>
      <c r="CD49" s="82" t="str">
        <f aca="false">IF(CB$2="","",IF(AND(CB49=CB$2,CC49=CC$2),3,IF(AND(CB$2&gt;CC$2,CB49&gt;CC49),1,IF(AND(CC$2&gt;CB$2,CC49&gt;CB49),1,IF(AND(CB$2=CC$2,CB49=CC49),1,0)))))</f>
        <v/>
      </c>
      <c r="CE49" s="1" t="n">
        <f aca="false">Participantes!BE48</f>
        <v>0</v>
      </c>
      <c r="CF49" s="1" t="n">
        <f aca="false">Participantes!BF48</f>
        <v>0</v>
      </c>
      <c r="CG49" s="82" t="str">
        <f aca="false">IF(CE$2="","",IF(AND(CE49=CE$2,CF49=CF$2),3,IF(AND(CE$2&gt;CF$2,CE49&gt;CF49),1,IF(AND(CF$2&gt;CE$2,CF49&gt;CE49),1,IF(AND(CE$2=CF$2,CE49=CF49),1,0)))))</f>
        <v/>
      </c>
      <c r="CH49" s="1" t="n">
        <f aca="false">Participantes!BG48</f>
        <v>0</v>
      </c>
      <c r="CI49" s="1" t="n">
        <f aca="false">Participantes!BH48</f>
        <v>0</v>
      </c>
      <c r="CJ49" s="82" t="str">
        <f aca="false">IF(CH$2="","",IF(AND(CH49=CH$2,CI49=CI$2),3,IF(AND(CH$2&gt;CI$2,CH49&gt;CI49),1,IF(AND(CI$2&gt;CH$2,CI49&gt;CH49),1,IF(AND(CH$2=CI$2,CH49=CI49),1,0)))))</f>
        <v/>
      </c>
      <c r="CK49" s="1" t="n">
        <f aca="false">Participantes!BI48</f>
        <v>0</v>
      </c>
      <c r="CL49" s="1" t="n">
        <f aca="false">Participantes!BJ48</f>
        <v>0</v>
      </c>
      <c r="CM49" s="82" t="str">
        <f aca="false">IF(CK$2="","",IF(AND(CK49=CK$2,CL49=CL$2),3,IF(AND(CK$2&gt;CL$2,CK49&gt;CL49),1,IF(AND(CL$2&gt;CK$2,CL49&gt;CK49),1,IF(AND(CK$2=CL$2,CK49=CL49),1,0)))))</f>
        <v/>
      </c>
      <c r="CN49" s="1" t="n">
        <f aca="false">Participantes!BK48</f>
        <v>0</v>
      </c>
      <c r="CO49" s="1" t="n">
        <f aca="false">Participantes!BL48</f>
        <v>0</v>
      </c>
      <c r="CP49" s="82" t="str">
        <f aca="false">IF(CN$2="","",IF(AND(CN49=CN$2,CO49=CO$2),3,IF(AND(CN$2&gt;CO$2,CN49&gt;CO49),1,IF(AND(CO$2&gt;CN$2,CO49&gt;CN49),1,IF(AND(CN$2=CO$2,CN49=CO49),1,0)))))</f>
        <v/>
      </c>
      <c r="CQ49" s="1" t="n">
        <f aca="false">Participantes!BM48</f>
        <v>0</v>
      </c>
      <c r="CR49" s="1" t="n">
        <f aca="false">Participantes!BN48</f>
        <v>0</v>
      </c>
      <c r="CS49" s="82" t="str">
        <f aca="false">IF(CQ$2="","",IF(AND(CQ49=CQ$2,CR49=CR$2),3,IF(AND(CQ$2&gt;CR$2,CQ49&gt;CR49),1,IF(AND(CR$2&gt;CQ$2,CR49&gt;CQ49),1,IF(AND(CQ$2=CR$2,CQ49=CR49),1,0)))))</f>
        <v/>
      </c>
      <c r="CT49" s="1" t="n">
        <f aca="false">Participantes!BO48</f>
        <v>0</v>
      </c>
      <c r="CU49" s="1" t="n">
        <f aca="false">Participantes!BP48</f>
        <v>0</v>
      </c>
      <c r="CV49" s="82" t="str">
        <f aca="false">IF(CT$2="","",IF(AND(CT49=CT$2,CU49=CU$2),3,IF(AND(CT$2&gt;CU$2,CT49&gt;CU49),1,IF(AND(CU$2&gt;CT$2,CU49&gt;CT49),1,IF(AND(CT$2=CU$2,CT49=CU49),1,0)))))</f>
        <v/>
      </c>
      <c r="CW49" s="1" t="n">
        <f aca="false">Participantes!BQ48</f>
        <v>0</v>
      </c>
      <c r="CX49" s="1" t="n">
        <f aca="false">Participantes!BR48</f>
        <v>0</v>
      </c>
      <c r="CY49" s="82" t="str">
        <f aca="false">IF(CW$2="","",IF(AND(CW49=CW$2,CX49=CX$2),3,IF(AND(CW$2&gt;CX$2,CW49&gt;CX49),1,IF(AND(CX$2&gt;CW$2,CX49&gt;CW49),1,IF(AND(CW$2=CX$2,CW49=CX49),1,0)))))</f>
        <v/>
      </c>
      <c r="CZ49" s="1" t="n">
        <f aca="false">Participantes!BS48</f>
        <v>0</v>
      </c>
      <c r="DA49" s="1" t="n">
        <f aca="false">Participantes!BT48</f>
        <v>0</v>
      </c>
      <c r="DB49" s="82" t="str">
        <f aca="false">IF(CZ$2="","",IF(AND(CZ49=CZ$2,DA49=DA$2),3,IF(AND(CZ$2&gt;DA$2,CZ49&gt;DA49),1,IF(AND(DA$2&gt;CZ$2,DA49&gt;CZ49),1,IF(AND(CZ$2=DA$2,CZ49=DA49),1,0)))))</f>
        <v/>
      </c>
      <c r="DC49" s="1" t="n">
        <f aca="false">Participantes!BU48</f>
        <v>0</v>
      </c>
      <c r="DD49" s="1" t="n">
        <f aca="false">Participantes!BV48</f>
        <v>0</v>
      </c>
      <c r="DE49" s="82" t="str">
        <f aca="false">IF(DC$2="","",IF(AND(DC49=DC$2,DD49=DD$2),3,IF(AND(DC$2&gt;DD$2,DC49&gt;DD49),1,IF(AND(DD$2&gt;DC$2,DD49&gt;DC49),1,IF(AND(DC$2=DD$2,DC49=DD49),1,0)))))</f>
        <v/>
      </c>
      <c r="DF49" s="1" t="n">
        <f aca="false">Participantes!BW48</f>
        <v>0</v>
      </c>
      <c r="DG49" s="1" t="n">
        <f aca="false">Participantes!BX48</f>
        <v>0</v>
      </c>
      <c r="DH49" s="82" t="str">
        <f aca="false">IF(DF$2="","",IF(AND(DF49=DF$2,DG49=DG$2),3,IF(AND(DF$2&gt;DG$2,DF49&gt;DG49),1,IF(AND(DG$2&gt;DF$2,DG49&gt;DF49),1,IF(AND(DF$2=DG$2,DF49=DG49),1,0)))))</f>
        <v/>
      </c>
      <c r="DI49" s="1" t="n">
        <f aca="false">Participantes!BY48</f>
        <v>0</v>
      </c>
      <c r="DJ49" s="1" t="n">
        <f aca="false">Participantes!BZ48</f>
        <v>0</v>
      </c>
      <c r="DK49" s="82" t="str">
        <f aca="false">IF(DI$2="","",IF(AND(DI49=DI$2,DJ49=DJ$2),3,IF(AND(DI$2&gt;DJ$2,DI49&gt;DJ49),1,IF(AND(DJ$2&gt;DI$2,DJ49&gt;DI49),1,IF(AND(DI$2=DJ$2,DI49=DJ49),1,0)))))</f>
        <v/>
      </c>
      <c r="DL49" s="1" t="n">
        <f aca="false">Participantes!CA48</f>
        <v>0</v>
      </c>
      <c r="DM49" s="1" t="n">
        <f aca="false">Participantes!CB48</f>
        <v>0</v>
      </c>
      <c r="DN49" s="82" t="str">
        <f aca="false">IF(DL$2="","",IF(AND(DL49=DL$2,DM49=DM$2),3,IF(AND(DL$2&gt;DM$2,DL49&gt;DM49),1,IF(AND(DM$2&gt;DL$2,DM49&gt;DL49),1,IF(AND(DL$2=DM$2,DL49=DM49),1,0)))))</f>
        <v/>
      </c>
      <c r="DO49" s="1" t="n">
        <f aca="false">Participantes!CC48</f>
        <v>0</v>
      </c>
      <c r="DP49" s="1" t="n">
        <f aca="false">Participantes!CD48</f>
        <v>0</v>
      </c>
      <c r="DQ49" s="82" t="str">
        <f aca="false">IF(DO$2="","",IF(AND(DO49=DO$2,DP49=DP$2),3,IF(AND(DO$2&gt;DP$2,DO49&gt;DP49),1,IF(AND(DP$2&gt;DO$2,DP49&gt;DO49),1,IF(AND(DO$2=DP$2,DO49=DP49),1,0)))))</f>
        <v/>
      </c>
      <c r="DR49" s="1" t="n">
        <f aca="false">Participantes!CE48</f>
        <v>0</v>
      </c>
      <c r="DS49" s="1" t="n">
        <f aca="false">Participantes!CF48</f>
        <v>0</v>
      </c>
      <c r="DT49" s="82" t="str">
        <f aca="false">IF(DR$2="","",IF(AND(DR49=DR$2,DS49=DS$2),3,IF(AND(DR$2&gt;DS$2,DR49&gt;DS49),1,IF(AND(DS$2&gt;DR$2,DS49&gt;DR49),1,IF(AND(DR$2=DS$2,DR49=DS49),1,0)))))</f>
        <v/>
      </c>
      <c r="DU49" s="1" t="n">
        <f aca="false">Participantes!CG48</f>
        <v>0</v>
      </c>
      <c r="DV49" s="1" t="n">
        <f aca="false">Participantes!CH48</f>
        <v>0</v>
      </c>
      <c r="DW49" s="82" t="str">
        <f aca="false">IF(DU$2="","",IF(AND(DU49=DU$2,DV49=DV$2),3,IF(AND(DU$2&gt;DV$2,DU49&gt;DV49),1,IF(AND(DV$2&gt;DU$2,DV49&gt;DU49),1,IF(AND(DU$2=DV$2,DU49=DV49),1,0)))))</f>
        <v/>
      </c>
      <c r="DX49" s="1" t="n">
        <f aca="false">Participantes!CI48</f>
        <v>0</v>
      </c>
      <c r="DY49" s="1" t="n">
        <f aca="false">Participantes!CJ48</f>
        <v>0</v>
      </c>
      <c r="DZ49" s="82" t="str">
        <f aca="false">IF(DX$2="","",IF(AND(DX49=DX$2,DY49=DY$2),3,IF(AND(DX$2&gt;DY$2,DX49&gt;DY49),1,IF(AND(DY$2&gt;DX$2,DY49&gt;DX49),1,IF(AND(DX$2=DY$2,DX49=DY49),1,0)))))</f>
        <v/>
      </c>
      <c r="EA49" s="1" t="n">
        <f aca="false">Participantes!CK48</f>
        <v>0</v>
      </c>
      <c r="EB49" s="1" t="n">
        <f aca="false">Participantes!CL48</f>
        <v>0</v>
      </c>
      <c r="EC49" s="82" t="str">
        <f aca="false">IF(EA$2="","",IF(AND(EA49=EA$2,EB49=EB$2),3,IF(AND(EA$2&gt;EB$2,EA49&gt;EB49),1,IF(AND(EB$2&gt;EA$2,EB49&gt;EA49),1,IF(AND(EA$2=EB$2,EA49=EB49),1,0)))))</f>
        <v/>
      </c>
      <c r="ED49" s="1" t="n">
        <f aca="false">Participantes!CM48</f>
        <v>0</v>
      </c>
      <c r="EE49" s="1" t="n">
        <f aca="false">Participantes!CN48</f>
        <v>0</v>
      </c>
      <c r="EF49" s="82" t="str">
        <f aca="false">IF(ED$2="","",IF(AND(ED49=ED$2,EE49=EE$2),3,IF(AND(ED$2&gt;EE$2,ED49&gt;EE49),1,IF(AND(EE$2&gt;ED$2,EE49&gt;ED49),1,IF(AND(ED$2=EE$2,ED49=EE49),1,0)))))</f>
        <v/>
      </c>
      <c r="EG49" s="1" t="n">
        <f aca="false">Participantes!CO48</f>
        <v>0</v>
      </c>
      <c r="EH49" s="1" t="n">
        <f aca="false">Participantes!CP48</f>
        <v>0</v>
      </c>
      <c r="EI49" s="82" t="str">
        <f aca="false">IF(EG$2="","",IF(AND(EG49=EG$2,EH49=EH$2),3,IF(AND(EG$2&gt;EH$2,EG49&gt;EH49),1,IF(AND(EH$2&gt;EG$2,EH49&gt;EG49),1,IF(AND(EG$2=EH$2,EG49=EH49),1,0)))))</f>
        <v/>
      </c>
      <c r="EJ49" s="1" t="n">
        <f aca="false">Participantes!CQ48</f>
        <v>0</v>
      </c>
      <c r="EK49" s="1" t="n">
        <f aca="false">Participantes!CR48</f>
        <v>0</v>
      </c>
      <c r="EL49" s="82" t="str">
        <f aca="false">IF(EJ$2="","",IF(AND(EJ49=EJ$2,EK49=EK$2),3,IF(AND(EJ$2&gt;EK$2,EJ49&gt;EK49),1,IF(AND(EK$2&gt;EJ$2,EK49&gt;EJ49),1,IF(AND(EJ$2=EK$2,EJ49=EK49),1,0)))))</f>
        <v/>
      </c>
      <c r="EM49" s="1" t="n">
        <f aca="false">Participantes!CS48</f>
        <v>0</v>
      </c>
      <c r="EN49" s="1" t="n">
        <f aca="false">Participantes!CT48</f>
        <v>0</v>
      </c>
      <c r="EO49" s="82" t="str">
        <f aca="false">IF(EM$2="","",IF(AND(EM49=EM$2,EN49=EN$2),3,IF(AND(EM$2&gt;EN$2,EM49&gt;EN49),1,IF(AND(EN$2&gt;EM$2,EN49&gt;EM49),1,IF(AND(EM$2=EN$2,EM49=EN49),1,0)))))</f>
        <v/>
      </c>
      <c r="EP49" s="1" t="n">
        <f aca="false">Participantes!CU48</f>
        <v>0</v>
      </c>
      <c r="EQ49" s="1" t="n">
        <f aca="false">Participantes!CV48</f>
        <v>0</v>
      </c>
      <c r="ER49" s="82" t="str">
        <f aca="false">IF(EP$2="","",IF(AND(EP49=EP$2,EQ49=EQ$2),3,IF(AND(EP$2&gt;EQ$2,EP49&gt;EQ49),1,IF(AND(EQ$2&gt;EP$2,EQ49&gt;EP49),1,IF(AND(EP$2=EQ$2,EP49=EQ49),1,0)))))</f>
        <v/>
      </c>
      <c r="ES49" s="1" t="n">
        <f aca="false">Participantes!CW48</f>
        <v>0</v>
      </c>
      <c r="ET49" s="1" t="n">
        <f aca="false">Participantes!CX48</f>
        <v>0</v>
      </c>
      <c r="EU49" s="82" t="str">
        <f aca="false">IF(ES$2="","",IF(AND(ES49=ES$2,ET49=ET$2),3,IF(AND(ES$2&gt;ET$2,ES49&gt;ET49),1,IF(AND(ET$2&gt;ES$2,ET49&gt;ES49),1,IF(AND(ES$2=ET$2,ES49=ET49),1,0)))))</f>
        <v/>
      </c>
      <c r="EV49" s="1" t="n">
        <f aca="false">Participantes!CY48</f>
        <v>0</v>
      </c>
      <c r="EW49" s="1" t="n">
        <f aca="false">Participantes!CZ48</f>
        <v>0</v>
      </c>
      <c r="EX49" s="82" t="str">
        <f aca="false">IF(EV$2="","",IF(AND(EV49=EV$2,EW49=EW$2),3,IF(AND(EV$2&gt;EW$2,EV49&gt;EW49),1,IF(AND(EW$2&gt;EV$2,EW49&gt;EV49),1,IF(AND(EV$2=EW$2,EV49=EW49),1,0)))))</f>
        <v/>
      </c>
      <c r="EY49" s="1" t="n">
        <f aca="false">Participantes!DA48</f>
        <v>0</v>
      </c>
      <c r="EZ49" s="1" t="n">
        <f aca="false">Participantes!DB48</f>
        <v>0</v>
      </c>
      <c r="FA49" s="82" t="str">
        <f aca="false">IF(EY$2="","",IF(AND(EY49=EY$2,EZ49=EZ$2),3,IF(AND(EY$2&gt;EZ$2,EY49&gt;EZ49),1,IF(AND(EZ$2&gt;EY$2,EZ49&gt;EY49),1,IF(AND(EY$2=EZ$2,EY49=EZ49),1,0)))))</f>
        <v/>
      </c>
      <c r="FB49" s="1" t="n">
        <f aca="false">Participantes!DC48</f>
        <v>0</v>
      </c>
      <c r="FC49" s="1" t="n">
        <f aca="false">Participantes!DD48</f>
        <v>0</v>
      </c>
      <c r="FD49" s="82" t="str">
        <f aca="false">IF(FB$2="","",IF(AND(FB49=FB$2,FC49=FC$2),3,IF(AND(FB$2&gt;FC$2,FB49&gt;FC49),1,IF(AND(FC$2&gt;FB$2,FC49&gt;FB49),1,IF(AND(FB$2=FC$2,FB49=FC49),1,0)))))</f>
        <v/>
      </c>
      <c r="FE49" s="1" t="n">
        <f aca="false">Participantes!DE48</f>
        <v>0</v>
      </c>
      <c r="FF49" s="1" t="n">
        <f aca="false">Participantes!DF48</f>
        <v>0</v>
      </c>
      <c r="FG49" s="82" t="str">
        <f aca="false">IF(FE$2="","",IF(AND(FE49=FE$2,FF49=FF$2),3,IF(AND(FE$2&gt;FF$2,FE49&gt;FF49),1,IF(AND(FF$2&gt;FE$2,FF49&gt;FE49),1,IF(AND(FE$2=FF$2,FE49=FF49),1,0)))))</f>
        <v/>
      </c>
      <c r="FH49" s="1" t="n">
        <f aca="false">Participantes!DG48</f>
        <v>0</v>
      </c>
      <c r="FI49" s="1" t="n">
        <f aca="false">Participantes!DH48</f>
        <v>0</v>
      </c>
      <c r="FJ49" s="82" t="str">
        <f aca="false">IF(FH$2="","",IF(AND(FH49=FH$2,FI49=FI$2),3,IF(AND(FH$2&gt;FI$2,FH49&gt;FI49),1,IF(AND(FI$2&gt;FH$2,FI49&gt;FH49),1,IF(AND(FH$2=FI$2,FH49=FI49),1,0)))))</f>
        <v/>
      </c>
      <c r="FK49" s="1" t="n">
        <f aca="false">Participantes!DI48</f>
        <v>0</v>
      </c>
      <c r="FL49" s="1" t="n">
        <f aca="false">Participantes!DJ48</f>
        <v>0</v>
      </c>
      <c r="FM49" s="82" t="str">
        <f aca="false">IF(FK$2="","",IF(AND(FK49=FK$2,FL49=FL$2),3,IF(AND(FK$2&gt;FL$2,FK49&gt;FL49),1,IF(AND(FL$2&gt;FK$2,FL49&gt;FK49),1,IF(AND(FK$2=FL$2,FK49=FL49),1,0)))))</f>
        <v/>
      </c>
      <c r="FN49" s="1" t="n">
        <f aca="false">Participantes!DK48</f>
        <v>0</v>
      </c>
      <c r="FO49" s="1" t="n">
        <f aca="false">Participantes!DL48</f>
        <v>0</v>
      </c>
      <c r="FP49" s="82" t="str">
        <f aca="false">IF(FN$2="","",IF(AND(FN49=FN$2,FO49=FO$2),3,IF(AND(FN$2&gt;FO$2,FN49&gt;FO49),1,IF(AND(FO$2&gt;FN$2,FO49&gt;FN49),1,IF(AND(FN$2=FO$2,FN49=FO49),1,0)))))</f>
        <v/>
      </c>
      <c r="FQ49" s="1" t="n">
        <f aca="false">Participantes!DM48</f>
        <v>0</v>
      </c>
      <c r="FR49" s="1" t="n">
        <f aca="false">Participantes!DN48</f>
        <v>0</v>
      </c>
      <c r="FS49" s="82" t="str">
        <f aca="false">IF(FQ$2="","",IF(AND(FQ49=FQ$2,FR49=FR$2),3,IF(AND(FQ$2&gt;FR$2,FQ49&gt;FR49),1,IF(AND(FR$2&gt;FQ$2,FR49&gt;FQ49),1,IF(AND(FQ$2=FR$2,FQ49=FR49),1,0)))))</f>
        <v/>
      </c>
      <c r="FT49" s="1" t="n">
        <f aca="false">Participantes!DO48</f>
        <v>0</v>
      </c>
      <c r="FU49" s="1" t="n">
        <f aca="false">Participantes!DP48</f>
        <v>0</v>
      </c>
      <c r="FV49" s="82" t="str">
        <f aca="false">IF(FT$2="","",IF(AND(FT49=FT$2,FU49=FU$2),3,IF(AND(FT$2&gt;FU$2,FT49&gt;FU49),1,IF(AND(FU$2&gt;FT$2,FU49&gt;FT49),1,IF(AND(FT$2=FU$2,FT49=FU49),1,0)))))</f>
        <v/>
      </c>
      <c r="FW49" s="1" t="n">
        <f aca="false">Participantes!DQ48</f>
        <v>0</v>
      </c>
      <c r="FX49" s="1" t="n">
        <f aca="false">Participantes!DR48</f>
        <v>0</v>
      </c>
      <c r="FY49" s="82" t="str">
        <f aca="false">IF(FW$2="","",IF(AND(FW49=FW$2,FX49=FX$2),3,IF(AND(FW$2&gt;FX$2,FW49&gt;FX49),1,IF(AND(FX$2&gt;FW$2,FX49&gt;FW49),1,IF(AND(FW$2=FX$2,FW49=FX49),1,0)))))</f>
        <v/>
      </c>
      <c r="FZ49" s="1" t="n">
        <f aca="false">Participantes!DS48</f>
        <v>0</v>
      </c>
      <c r="GA49" s="1" t="n">
        <f aca="false">Participantes!DT48</f>
        <v>0</v>
      </c>
      <c r="GB49" s="82" t="str">
        <f aca="false">IF(FZ$2="","",IF(AND(FZ49=FZ$2,GA49=GA$2),3,IF(AND(FZ$2&gt;GA$2,FZ49&gt;GA49),1,IF(AND(GA$2&gt;FZ$2,GA49&gt;FZ49),1,IF(AND(FZ$2=GA$2,FZ49=GA49),1,0)))))</f>
        <v/>
      </c>
      <c r="GC49" s="1" t="n">
        <f aca="false">Participantes!DU48</f>
        <v>0</v>
      </c>
      <c r="GD49" s="1" t="n">
        <f aca="false">Participantes!DV48</f>
        <v>0</v>
      </c>
      <c r="GE49" s="82" t="str">
        <f aca="false">IF(GC$2="","",IF(AND(GC49=GC$2,GD49=GD$2),3,IF(AND(GC$2&gt;GD$2,GC49&gt;GD49),1,IF(AND(GD$2&gt;GC$2,GD49&gt;GC49),1,IF(AND(GC$2=GD$2,GC49=GD49),1,0)))))</f>
        <v/>
      </c>
      <c r="GF49" s="1" t="n">
        <f aca="false">Participantes!DW48</f>
        <v>0</v>
      </c>
      <c r="GG49" s="1" t="n">
        <f aca="false">Participantes!DX48</f>
        <v>0</v>
      </c>
      <c r="GH49" s="82" t="str">
        <f aca="false">IF(GF$2="","",IF(AND(GF49=GF$2,GG49=GG$2),3,IF(AND(GF$2&gt;GG$2,GF49&gt;GG49),1,IF(AND(GG$2&gt;GF$2,GG49&gt;GF49),1,IF(AND(GF$2=GG$2,GF49=GG49),1,0)))))</f>
        <v/>
      </c>
      <c r="GI49" s="1" t="n">
        <f aca="false">Participantes!DY48</f>
        <v>0</v>
      </c>
      <c r="GJ49" s="1" t="n">
        <f aca="false">Participantes!DZ48</f>
        <v>0</v>
      </c>
      <c r="GK49" s="82" t="str">
        <f aca="false">IF(GI$2="","",IF(AND(GI49=GI$2,GJ49=GJ$2),3,IF(AND(GI$2&gt;GJ$2,GI49&gt;GJ49),1,IF(AND(GJ$2&gt;GI$2,GJ49&gt;GI49),1,IF(AND(GI$2=GJ$2,GI49=GJ49),1,0)))))</f>
        <v/>
      </c>
      <c r="GL49" s="1" t="n">
        <f aca="false">Participantes!EA48</f>
        <v>0</v>
      </c>
      <c r="GM49" s="1" t="n">
        <f aca="false">Participantes!EB48</f>
        <v>0</v>
      </c>
      <c r="GN49" s="82" t="str">
        <f aca="false">IF(GL$2="","",IF(AND(GL49=GL$2,GM49=GM$2),3,IF(AND(GL$2&gt;GM$2,GL49&gt;GM49),1,IF(AND(GM$2&gt;GL$2,GM49&gt;GL49),1,IF(AND(GL$2=GM$2,GL49=GM49),1,0)))))</f>
        <v/>
      </c>
      <c r="GO49" s="1" t="n">
        <f aca="false">Participantes!EC48</f>
        <v>0</v>
      </c>
      <c r="GP49" s="1" t="n">
        <f aca="false">Participantes!ED48</f>
        <v>0</v>
      </c>
      <c r="GQ49" s="82" t="str">
        <f aca="false">IF(GO$2="","",IF(AND(GO49=GO$2,GP49=GP$2),3,IF(AND(GO$2&gt;GP$2,GO49&gt;GP49),1,IF(AND(GP$2&gt;GO$2,GP49&gt;GO49),1,IF(AND(GO$2=GP$2,GO49=GP49),1,0)))))</f>
        <v/>
      </c>
      <c r="GR49" s="1" t="n">
        <f aca="false">Participantes!EE48</f>
        <v>0</v>
      </c>
      <c r="GS49" s="1" t="n">
        <f aca="false">Participantes!EF48</f>
        <v>0</v>
      </c>
      <c r="GT49" s="82" t="str">
        <f aca="false">IF(GR$2="","",IF(AND(GR49=GR$2,GS49=GS$2),3,IF(AND(GR$2&gt;GS$2,GR49&gt;GS49),1,IF(AND(GS$2&gt;GR$2,GS49&gt;GR49),1,IF(AND(GR$2=GS$2,GR49=GS49),1,0)))))</f>
        <v/>
      </c>
      <c r="GU49" s="1" t="n">
        <f aca="false">Participantes!EG48</f>
        <v>0</v>
      </c>
      <c r="GV49" s="1" t="n">
        <f aca="false">Participantes!EH48</f>
        <v>0</v>
      </c>
      <c r="GW49" s="82" t="str">
        <f aca="false">IF(GU$2="","",IF(AND(GU49=GU$2,GV49=GV$2),3,IF(AND(GU$2&gt;GV$2,GU49&gt;GV49),1,IF(AND(GV$2&gt;GU$2,GV49&gt;GU49),1,IF(AND(GU$2=GV$2,GU49=GV49),1,0)))))</f>
        <v/>
      </c>
      <c r="GX49" s="1" t="n">
        <f aca="false">Participantes!EI48</f>
        <v>0</v>
      </c>
      <c r="GY49" s="1" t="n">
        <f aca="false">Participantes!EJ48</f>
        <v>0</v>
      </c>
      <c r="GZ49" s="82" t="str">
        <f aca="false">IF(GX$2="","",IF(AND(GX49=GX$2,GY49=GY$2),3,IF(AND(GX$2&gt;GY$2,GX49&gt;GY49),1,IF(AND(GY$2&gt;GX$2,GY49&gt;GX49),1,IF(AND(GX$2=GY$2,GX49=GY49),1,0)))))</f>
        <v/>
      </c>
      <c r="HA49" s="1" t="n">
        <f aca="false">Participantes!EK48</f>
        <v>0</v>
      </c>
      <c r="HB49" s="1" t="n">
        <f aca="false">Participantes!EL48</f>
        <v>0</v>
      </c>
      <c r="HC49" s="82" t="str">
        <f aca="false">IF(HA$2="","",IF(AND(HA49=HA$2,HB49=HB$2),3,IF(AND(HA$2&gt;HB$2,HA49&gt;HB49),1,IF(AND(HB$2&gt;HA$2,HB49&gt;HA49),1,IF(AND(HA$2=HB$2,HA49=HB49),1,0)))))</f>
        <v/>
      </c>
      <c r="HD49" s="1" t="n">
        <f aca="false">Participantes!EM48</f>
        <v>0</v>
      </c>
      <c r="HE49" s="1" t="n">
        <f aca="false">Participantes!EN48</f>
        <v>0</v>
      </c>
      <c r="HF49" s="82" t="str">
        <f aca="false">IF(HD$2="","",IF(AND(HD49=HD$2,HE49=HE$2),3,IF(AND(HD$2&gt;HE$2,HD49&gt;HE49),1,IF(AND(HE$2&gt;HD$2,HE49&gt;HD49),1,IF(AND(HD$2=HE$2,HD49=HE49),1,0)))))</f>
        <v/>
      </c>
      <c r="HG49" s="1" t="n">
        <f aca="false">Participantes!EO48</f>
        <v>0</v>
      </c>
      <c r="HH49" s="1" t="n">
        <f aca="false">Participantes!EP48</f>
        <v>0</v>
      </c>
      <c r="HI49" s="82" t="str">
        <f aca="false">IF(HG$2="","",IF(AND(HG49=HG$2,HH49=HH$2),3,IF(AND(HG$2&gt;HH$2,HG49&gt;HH49),1,IF(AND(HH$2&gt;HG$2,HH49&gt;HG49),1,IF(AND(HG$2=HH$2,HG49=HH49),1,0)))))</f>
        <v/>
      </c>
      <c r="HJ49" s="83" t="n">
        <f aca="false">SUM(D49,G49,J49,M49,P49,S49,V49,Y49,AB49,AE49,AH49,AK49,AN49,AQ49,AT49,AW49,AZ49,BC49,BF49,BI49,BL49,BO49,BR49,BU49,BX49,CA49,CD49,CG49,CJ49,CM49,CP49,CS49,CV49,CY49,DB49,DE49,DH49,DK49,DN49,DQ49,DT49,DW49,DZ49,EC49,EF49,EI49,EL49,EO49,ER49,EU49,EX49,FA49,FD49,FG49,FJ49,FM49,FP49,FS49,FV49,FY49,GB49,GE49,GH49,GK49,GN49,GQ49,GT49,GW49,GZ49,HC49,HF49,HI49)</f>
        <v>3</v>
      </c>
    </row>
    <row r="50" customFormat="false" ht="15" hidden="false" customHeight="true" outlineLevel="0" collapsed="false">
      <c r="A50" s="81" t="str">
        <f aca="false">Participantes!B49</f>
        <v>Walder</v>
      </c>
      <c r="B50" s="1" t="n">
        <f aca="false">Participantes!C49</f>
        <v>3</v>
      </c>
      <c r="C50" s="1" t="n">
        <f aca="false">Participantes!D49</f>
        <v>1</v>
      </c>
      <c r="D50" s="82" t="n">
        <f aca="false">IF(B$2="","",IF(AND(B50=B$2,C50=C$2),3,IF(AND(B$2&gt;C$2,B50&gt;C50),1,IF(AND(C$2&gt;B$2,C50&gt;B50),1,IF(AND(B$2=C$2,B50=C50),1,0)))))</f>
        <v>1</v>
      </c>
      <c r="E50" s="1" t="n">
        <f aca="false">Participantes!E49</f>
        <v>2</v>
      </c>
      <c r="F50" s="1" t="n">
        <f aca="false">Participantes!F49</f>
        <v>2</v>
      </c>
      <c r="G50" s="82" t="str">
        <f aca="false">IF(E$2="","",IF(AND(E50=E$2,F50=F$2),3,IF(AND(E$2&gt;F$2,E50&gt;F50),1,IF(AND(F$2&gt;E$2,F50&gt;E50),1,IF(AND(E$2=F$2,E50=F50),1,0)))))</f>
        <v/>
      </c>
      <c r="H50" s="1" t="n">
        <f aca="false">Participantes!G49</f>
        <v>1</v>
      </c>
      <c r="I50" s="1" t="n">
        <f aca="false">Participantes!H49</f>
        <v>2</v>
      </c>
      <c r="J50" s="82" t="str">
        <f aca="false">IF(H$2="","",IF(AND(H50=H$2,I50=I$2),3,IF(AND(H$2&gt;I$2,H50&gt;I50),1,IF(AND(I$2&gt;H$2,I50&gt;H50),1,IF(AND(H$2=I$2,H50=I50),1,0)))))</f>
        <v/>
      </c>
      <c r="K50" s="1" t="n">
        <f aca="false">Participantes!I49</f>
        <v>1</v>
      </c>
      <c r="L50" s="1" t="n">
        <f aca="false">Participantes!J49</f>
        <v>0</v>
      </c>
      <c r="M50" s="82" t="str">
        <f aca="false">IF(K$2="","",IF(AND(K50=K$2,L50=L$2),3,IF(AND(K$2&gt;L$2,K50&gt;L50),1,IF(AND(L$2&gt;K$2,L50&gt;K50),1,IF(AND(K$2=L$2,K50=L50),1,0)))))</f>
        <v/>
      </c>
      <c r="N50" s="1" t="n">
        <f aca="false">Participantes!K49</f>
        <v>0</v>
      </c>
      <c r="O50" s="1" t="n">
        <f aca="false">Participantes!L49</f>
        <v>1</v>
      </c>
      <c r="P50" s="82" t="str">
        <f aca="false">IF(N$2="","",IF(AND(N50=N$2,O50=O$2),3,IF(AND(N$2&gt;O$2,N50&gt;O50),1,IF(AND(O$2&gt;N$2,O50&gt;N50),1,IF(AND(N$2=O$2,N50=O50),1,0)))))</f>
        <v/>
      </c>
      <c r="Q50" s="1" t="n">
        <f aca="false">Participantes!M49</f>
        <v>1</v>
      </c>
      <c r="R50" s="1" t="n">
        <f aca="false">Participantes!N49</f>
        <v>2</v>
      </c>
      <c r="S50" s="82" t="str">
        <f aca="false">IF(Q$2="","",IF(AND(Q50=Q$2,R50=R$2),3,IF(AND(Q$2&gt;R$2,Q50&gt;R50),1,IF(AND(R$2&gt;Q$2,R50&gt;Q50),1,IF(AND(Q$2=R$2,Q50=R50),1,0)))))</f>
        <v/>
      </c>
      <c r="T50" s="1" t="n">
        <f aca="false">Participantes!O49</f>
        <v>2</v>
      </c>
      <c r="U50" s="1" t="n">
        <f aca="false">Participantes!P49</f>
        <v>2</v>
      </c>
      <c r="V50" s="82" t="str">
        <f aca="false">IF(T$2="","",IF(AND(T50=T$2,U50=U$2),3,IF(AND(T$2&gt;U$2,T50&gt;U50),1,IF(AND(U$2&gt;T$2,U50&gt;T50),1,IF(AND(T$2=U$2,T50=U50),1,0)))))</f>
        <v/>
      </c>
      <c r="W50" s="1" t="n">
        <f aca="false">Participantes!Q49</f>
        <v>0</v>
      </c>
      <c r="X50" s="1" t="n">
        <f aca="false">Participantes!R49</f>
        <v>3</v>
      </c>
      <c r="Y50" s="82" t="str">
        <f aca="false">IF(W$2="","",IF(AND(W50=W$2,X50=X$2),3,IF(AND(W$2&gt;X$2,W50&gt;X50),1,IF(AND(X$2&gt;W$2,X50&gt;W50),1,IF(AND(W$2=X$2,W50=X50),1,0)))))</f>
        <v/>
      </c>
      <c r="Z50" s="1" t="n">
        <f aca="false">Participantes!S49</f>
        <v>1</v>
      </c>
      <c r="AA50" s="1" t="n">
        <f aca="false">Participantes!T49</f>
        <v>1</v>
      </c>
      <c r="AB50" s="82" t="str">
        <f aca="false">IF(Z$2="","",IF(AND(Z50=Z$2,AA50=AA$2),3,IF(AND(Z$2&gt;AA$2,Z50&gt;AA50),1,IF(AND(AA$2&gt;Z$2,AA50&gt;Z50),1,IF(AND(Z$2=AA$2,Z50=AA50),1,0)))))</f>
        <v/>
      </c>
      <c r="AC50" s="1" t="n">
        <f aca="false">Participantes!U49</f>
        <v>4</v>
      </c>
      <c r="AD50" s="1" t="n">
        <f aca="false">Participantes!V49</f>
        <v>0</v>
      </c>
      <c r="AE50" s="82" t="str">
        <f aca="false">IF(AC$2="","",IF(AND(AC50=AC$2,AD50=AD$2),3,IF(AND(AC$2&gt;AD$2,AC50&gt;AD50),1,IF(AND(AD$2&gt;AC$2,AD50&gt;AC50),1,IF(AND(AC$2=AD$2,AC50=AD50),1,0)))))</f>
        <v/>
      </c>
      <c r="AF50" s="1" t="n">
        <f aca="false">Participantes!W49</f>
        <v>2</v>
      </c>
      <c r="AG50" s="1" t="n">
        <f aca="false">Participantes!X49</f>
        <v>1</v>
      </c>
      <c r="AH50" s="82" t="str">
        <f aca="false">IF(AF$2="","",IF(AND(AF50=AF$2,AG50=AG$2),3,IF(AND(AF$2&gt;AG$2,AF50&gt;AG50),1,IF(AND(AG$2&gt;AF$2,AG50&gt;AF50),1,IF(AND(AF$2=AG$2,AF50=AG50),1,0)))))</f>
        <v/>
      </c>
      <c r="AI50" s="1" t="n">
        <f aca="false">Participantes!Y49</f>
        <v>3</v>
      </c>
      <c r="AJ50" s="1" t="n">
        <f aca="false">Participantes!Z49</f>
        <v>1</v>
      </c>
      <c r="AK50" s="82" t="str">
        <f aca="false">IF(AI$2="","",IF(AND(AI50=AI$2,AJ50=AJ$2),3,IF(AND(AI$2&gt;AJ$2,AI50&gt;AJ50),1,IF(AND(AJ$2&gt;AI$2,AJ50&gt;AI50),1,IF(AND(AI$2=AJ$2,AI50=AJ50),1,0)))))</f>
        <v/>
      </c>
      <c r="AL50" s="1" t="n">
        <f aca="false">Participantes!AA49</f>
        <v>0</v>
      </c>
      <c r="AM50" s="1" t="n">
        <f aca="false">Participantes!AB49</f>
        <v>3</v>
      </c>
      <c r="AN50" s="82" t="str">
        <f aca="false">IF(AL$2="","",IF(AND(AL50=AL$2,AM50=AM$2),3,IF(AND(AL$2&gt;AM$2,AL50&gt;AM50),1,IF(AND(AM$2&gt;AL$2,AM50&gt;AL50),1,IF(AND(AL$2=AM$2,AL50=AM50),1,0)))))</f>
        <v/>
      </c>
      <c r="AO50" s="1" t="n">
        <f aca="false">Participantes!AC49</f>
        <v>8</v>
      </c>
      <c r="AP50" s="1" t="n">
        <f aca="false">Participantes!AD49</f>
        <v>0</v>
      </c>
      <c r="AQ50" s="82" t="str">
        <f aca="false">IF(AO$2="","",IF(AND(AO50=AO$2,AP50=AP$2),3,IF(AND(AO$2&gt;AP$2,AO50&gt;AP50),1,IF(AND(AP$2&gt;AO$2,AP50&gt;AO50),1,IF(AND(AO$2=AP$2,AO50=AP50),1,0)))))</f>
        <v/>
      </c>
      <c r="AR50" s="1" t="n">
        <f aca="false">Participantes!AE49</f>
        <v>0</v>
      </c>
      <c r="AS50" s="1" t="n">
        <f aca="false">Participantes!AF49</f>
        <v>0</v>
      </c>
      <c r="AT50" s="82" t="str">
        <f aca="false">IF(AR$2="","",IF(AND(AR50=AR$2,AS50=AS$2),3,IF(AND(AR$2&gt;AS$2,AR50&gt;AS50),1,IF(AND(AS$2&gt;AR$2,AS50&gt;AR50),1,IF(AND(AR$2=AS$2,AR50=AS50),1,0)))))</f>
        <v/>
      </c>
      <c r="AU50" s="1" t="n">
        <f aca="false">Participantes!AG49</f>
        <v>0</v>
      </c>
      <c r="AV50" s="1" t="n">
        <f aca="false">Participantes!AH49</f>
        <v>0</v>
      </c>
      <c r="AW50" s="82" t="str">
        <f aca="false">IF(AU$2="","",IF(AND(AU50=AU$2,AV50=AV$2),3,IF(AND(AU$2&gt;AV$2,AU50&gt;AV50),1,IF(AND(AV$2&gt;AU$2,AV50&gt;AU50),1,IF(AND(AU$2=AV$2,AU50=AV50),1,0)))))</f>
        <v/>
      </c>
      <c r="AX50" s="1" t="n">
        <f aca="false">Participantes!AI49</f>
        <v>0</v>
      </c>
      <c r="AY50" s="1" t="n">
        <f aca="false">Participantes!AJ49</f>
        <v>0</v>
      </c>
      <c r="AZ50" s="82" t="str">
        <f aca="false">IF(AX$2="","",IF(AND(AX50=AX$2,AY50=AY$2),3,IF(AND(AX$2&gt;AY$2,AX50&gt;AY50),1,IF(AND(AY$2&gt;AX$2,AY50&gt;AX50),1,IF(AND(AX$2=AY$2,AX50=AY50),1,0)))))</f>
        <v/>
      </c>
      <c r="BA50" s="1" t="n">
        <f aca="false">Participantes!AK49</f>
        <v>0</v>
      </c>
      <c r="BB50" s="1" t="n">
        <f aca="false">Participantes!AL49</f>
        <v>0</v>
      </c>
      <c r="BC50" s="82" t="str">
        <f aca="false">IF(BA$2="","",IF(AND(BA50=BA$2,BB50=BB$2),3,IF(AND(BA$2&gt;BB$2,BA50&gt;BB50),1,IF(AND(BB$2&gt;BA$2,BB50&gt;BA50),1,IF(AND(BA$2=BB$2,BA50=BB50),1,0)))))</f>
        <v/>
      </c>
      <c r="BD50" s="1" t="n">
        <f aca="false">Participantes!AM49</f>
        <v>0</v>
      </c>
      <c r="BE50" s="1" t="n">
        <f aca="false">Participantes!AN49</f>
        <v>0</v>
      </c>
      <c r="BF50" s="82" t="str">
        <f aca="false">IF(BD$2="","",IF(AND(BD50=BD$2,BE50=BE$2),3,IF(AND(BD$2&gt;BE$2,BD50&gt;BE50),1,IF(AND(BE$2&gt;BD$2,BE50&gt;BD50),1,IF(AND(BD$2=BE$2,BD50=BE50),1,0)))))</f>
        <v/>
      </c>
      <c r="BG50" s="1" t="n">
        <f aca="false">Participantes!AO49</f>
        <v>0</v>
      </c>
      <c r="BH50" s="1" t="n">
        <f aca="false">Participantes!AP49</f>
        <v>0</v>
      </c>
      <c r="BI50" s="82" t="str">
        <f aca="false">IF(BG$2="","",IF(AND(BG50=BG$2,BH50=BH$2),3,IF(AND(BG$2&gt;BH$2,BG50&gt;BH50),1,IF(AND(BH$2&gt;BG$2,BH50&gt;BG50),1,IF(AND(BG$2=BH$2,BG50=BH50),1,0)))))</f>
        <v/>
      </c>
      <c r="BJ50" s="1" t="n">
        <f aca="false">Participantes!AQ49</f>
        <v>0</v>
      </c>
      <c r="BK50" s="1" t="n">
        <f aca="false">Participantes!AR49</f>
        <v>0</v>
      </c>
      <c r="BL50" s="82" t="str">
        <f aca="false">IF(BJ$2="","",IF(AND(BJ50=BJ$2,BK50=BK$2),3,IF(AND(BJ$2&gt;BK$2,BJ50&gt;BK50),1,IF(AND(BK$2&gt;BJ$2,BK50&gt;BJ50),1,IF(AND(BJ$2=BK$2,BJ50=BK50),1,0)))))</f>
        <v/>
      </c>
      <c r="BM50" s="1" t="n">
        <f aca="false">Participantes!AS49</f>
        <v>0</v>
      </c>
      <c r="BN50" s="1" t="n">
        <f aca="false">Participantes!AT49</f>
        <v>0</v>
      </c>
      <c r="BO50" s="82" t="str">
        <f aca="false">IF(BM$2="","",IF(AND(BM50=BM$2,BN50=BN$2),3,IF(AND(BM$2&gt;BN$2,BM50&gt;BN50),1,IF(AND(BN$2&gt;BM$2,BN50&gt;BM50),1,IF(AND(BM$2=BN$2,BM50=BN50),1,0)))))</f>
        <v/>
      </c>
      <c r="BP50" s="1" t="n">
        <f aca="false">Participantes!AU49</f>
        <v>0</v>
      </c>
      <c r="BQ50" s="1" t="n">
        <f aca="false">Participantes!AV49</f>
        <v>0</v>
      </c>
      <c r="BR50" s="82" t="str">
        <f aca="false">IF(BP$2="","",IF(AND(BP50=BP$2,BQ50=BQ$2),3,IF(AND(BP$2&gt;BQ$2,BP50&gt;BQ50),1,IF(AND(BQ$2&gt;BP$2,BQ50&gt;BP50),1,IF(AND(BP$2=BQ$2,BP50=BQ50),1,0)))))</f>
        <v/>
      </c>
      <c r="BS50" s="1" t="n">
        <f aca="false">Participantes!AW49</f>
        <v>0</v>
      </c>
      <c r="BT50" s="1" t="n">
        <f aca="false">Participantes!AX49</f>
        <v>0</v>
      </c>
      <c r="BU50" s="82" t="str">
        <f aca="false">IF(BS$2="","",IF(AND(BS50=BS$2,BT50=BT$2),3,IF(AND(BS$2&gt;BT$2,BS50&gt;BT50),1,IF(AND(BT$2&gt;BS$2,BT50&gt;BS50),1,IF(AND(BS$2=BT$2,BS50=BT50),1,0)))))</f>
        <v/>
      </c>
      <c r="BV50" s="1" t="n">
        <f aca="false">Participantes!AY49</f>
        <v>0</v>
      </c>
      <c r="BW50" s="1" t="n">
        <f aca="false">Participantes!AZ49</f>
        <v>0</v>
      </c>
      <c r="BX50" s="82" t="str">
        <f aca="false">IF(BV$2="","",IF(AND(BV50=BV$2,BW50=BW$2),3,IF(AND(BV$2&gt;BW$2,BV50&gt;BW50),1,IF(AND(BW$2&gt;BV$2,BW50&gt;BV50),1,IF(AND(BV$2=BW$2,BV50=BW50),1,0)))))</f>
        <v/>
      </c>
      <c r="BY50" s="1" t="n">
        <f aca="false">Participantes!BA49</f>
        <v>0</v>
      </c>
      <c r="BZ50" s="1" t="n">
        <f aca="false">Participantes!BB49</f>
        <v>0</v>
      </c>
      <c r="CA50" s="82" t="str">
        <f aca="false">IF(BY$2="","",IF(AND(BY50=BY$2,BZ50=BZ$2),3,IF(AND(BY$2&gt;BZ$2,BY50&gt;BZ50),1,IF(AND(BZ$2&gt;BY$2,BZ50&gt;BY50),1,IF(AND(BY$2=BZ$2,BY50=BZ50),1,0)))))</f>
        <v/>
      </c>
      <c r="CB50" s="1" t="n">
        <f aca="false">Participantes!BC49</f>
        <v>0</v>
      </c>
      <c r="CC50" s="1" t="n">
        <f aca="false">Participantes!BD49</f>
        <v>0</v>
      </c>
      <c r="CD50" s="82" t="str">
        <f aca="false">IF(CB$2="","",IF(AND(CB50=CB$2,CC50=CC$2),3,IF(AND(CB$2&gt;CC$2,CB50&gt;CC50),1,IF(AND(CC$2&gt;CB$2,CC50&gt;CB50),1,IF(AND(CB$2=CC$2,CB50=CC50),1,0)))))</f>
        <v/>
      </c>
      <c r="CE50" s="1" t="n">
        <f aca="false">Participantes!BE49</f>
        <v>0</v>
      </c>
      <c r="CF50" s="1" t="n">
        <f aca="false">Participantes!BF49</f>
        <v>0</v>
      </c>
      <c r="CG50" s="82" t="str">
        <f aca="false">IF(CE$2="","",IF(AND(CE50=CE$2,CF50=CF$2),3,IF(AND(CE$2&gt;CF$2,CE50&gt;CF50),1,IF(AND(CF$2&gt;CE$2,CF50&gt;CE50),1,IF(AND(CE$2=CF$2,CE50=CF50),1,0)))))</f>
        <v/>
      </c>
      <c r="CH50" s="1" t="n">
        <f aca="false">Participantes!BG49</f>
        <v>0</v>
      </c>
      <c r="CI50" s="1" t="n">
        <f aca="false">Participantes!BH49</f>
        <v>0</v>
      </c>
      <c r="CJ50" s="82" t="str">
        <f aca="false">IF(CH$2="","",IF(AND(CH50=CH$2,CI50=CI$2),3,IF(AND(CH$2&gt;CI$2,CH50&gt;CI50),1,IF(AND(CI$2&gt;CH$2,CI50&gt;CH50),1,IF(AND(CH$2=CI$2,CH50=CI50),1,0)))))</f>
        <v/>
      </c>
      <c r="CK50" s="1" t="n">
        <f aca="false">Participantes!BI49</f>
        <v>0</v>
      </c>
      <c r="CL50" s="1" t="n">
        <f aca="false">Participantes!BJ49</f>
        <v>0</v>
      </c>
      <c r="CM50" s="82" t="str">
        <f aca="false">IF(CK$2="","",IF(AND(CK50=CK$2,CL50=CL$2),3,IF(AND(CK$2&gt;CL$2,CK50&gt;CL50),1,IF(AND(CL$2&gt;CK$2,CL50&gt;CK50),1,IF(AND(CK$2=CL$2,CK50=CL50),1,0)))))</f>
        <v/>
      </c>
      <c r="CN50" s="1" t="n">
        <f aca="false">Participantes!BK49</f>
        <v>0</v>
      </c>
      <c r="CO50" s="1" t="n">
        <f aca="false">Participantes!BL49</f>
        <v>0</v>
      </c>
      <c r="CP50" s="82" t="str">
        <f aca="false">IF(CN$2="","",IF(AND(CN50=CN$2,CO50=CO$2),3,IF(AND(CN$2&gt;CO$2,CN50&gt;CO50),1,IF(AND(CO$2&gt;CN$2,CO50&gt;CN50),1,IF(AND(CN$2=CO$2,CN50=CO50),1,0)))))</f>
        <v/>
      </c>
      <c r="CQ50" s="1" t="n">
        <f aca="false">Participantes!BM49</f>
        <v>0</v>
      </c>
      <c r="CR50" s="1" t="n">
        <f aca="false">Participantes!BN49</f>
        <v>0</v>
      </c>
      <c r="CS50" s="82" t="str">
        <f aca="false">IF(CQ$2="","",IF(AND(CQ50=CQ$2,CR50=CR$2),3,IF(AND(CQ$2&gt;CR$2,CQ50&gt;CR50),1,IF(AND(CR$2&gt;CQ$2,CR50&gt;CQ50),1,IF(AND(CQ$2=CR$2,CQ50=CR50),1,0)))))</f>
        <v/>
      </c>
      <c r="CT50" s="1" t="n">
        <f aca="false">Participantes!BO49</f>
        <v>0</v>
      </c>
      <c r="CU50" s="1" t="n">
        <f aca="false">Participantes!BP49</f>
        <v>0</v>
      </c>
      <c r="CV50" s="82" t="str">
        <f aca="false">IF(CT$2="","",IF(AND(CT50=CT$2,CU50=CU$2),3,IF(AND(CT$2&gt;CU$2,CT50&gt;CU50),1,IF(AND(CU$2&gt;CT$2,CU50&gt;CT50),1,IF(AND(CT$2=CU$2,CT50=CU50),1,0)))))</f>
        <v/>
      </c>
      <c r="CW50" s="1" t="n">
        <f aca="false">Participantes!BQ49</f>
        <v>0</v>
      </c>
      <c r="CX50" s="1" t="n">
        <f aca="false">Participantes!BR49</f>
        <v>0</v>
      </c>
      <c r="CY50" s="82" t="str">
        <f aca="false">IF(CW$2="","",IF(AND(CW50=CW$2,CX50=CX$2),3,IF(AND(CW$2&gt;CX$2,CW50&gt;CX50),1,IF(AND(CX$2&gt;CW$2,CX50&gt;CW50),1,IF(AND(CW$2=CX$2,CW50=CX50),1,0)))))</f>
        <v/>
      </c>
      <c r="CZ50" s="1" t="n">
        <f aca="false">Participantes!BS49</f>
        <v>0</v>
      </c>
      <c r="DA50" s="1" t="n">
        <f aca="false">Participantes!BT49</f>
        <v>0</v>
      </c>
      <c r="DB50" s="82" t="str">
        <f aca="false">IF(CZ$2="","",IF(AND(CZ50=CZ$2,DA50=DA$2),3,IF(AND(CZ$2&gt;DA$2,CZ50&gt;DA50),1,IF(AND(DA$2&gt;CZ$2,DA50&gt;CZ50),1,IF(AND(CZ$2=DA$2,CZ50=DA50),1,0)))))</f>
        <v/>
      </c>
      <c r="DC50" s="1" t="n">
        <f aca="false">Participantes!BU49</f>
        <v>0</v>
      </c>
      <c r="DD50" s="1" t="n">
        <f aca="false">Participantes!BV49</f>
        <v>0</v>
      </c>
      <c r="DE50" s="82" t="str">
        <f aca="false">IF(DC$2="","",IF(AND(DC50=DC$2,DD50=DD$2),3,IF(AND(DC$2&gt;DD$2,DC50&gt;DD50),1,IF(AND(DD$2&gt;DC$2,DD50&gt;DC50),1,IF(AND(DC$2=DD$2,DC50=DD50),1,0)))))</f>
        <v/>
      </c>
      <c r="DF50" s="1" t="n">
        <f aca="false">Participantes!BW49</f>
        <v>0</v>
      </c>
      <c r="DG50" s="1" t="n">
        <f aca="false">Participantes!BX49</f>
        <v>0</v>
      </c>
      <c r="DH50" s="82" t="str">
        <f aca="false">IF(DF$2="","",IF(AND(DF50=DF$2,DG50=DG$2),3,IF(AND(DF$2&gt;DG$2,DF50&gt;DG50),1,IF(AND(DG$2&gt;DF$2,DG50&gt;DF50),1,IF(AND(DF$2=DG$2,DF50=DG50),1,0)))))</f>
        <v/>
      </c>
      <c r="DI50" s="1" t="n">
        <f aca="false">Participantes!BY49</f>
        <v>0</v>
      </c>
      <c r="DJ50" s="1" t="n">
        <f aca="false">Participantes!BZ49</f>
        <v>0</v>
      </c>
      <c r="DK50" s="82" t="str">
        <f aca="false">IF(DI$2="","",IF(AND(DI50=DI$2,DJ50=DJ$2),3,IF(AND(DI$2&gt;DJ$2,DI50&gt;DJ50),1,IF(AND(DJ$2&gt;DI$2,DJ50&gt;DI50),1,IF(AND(DI$2=DJ$2,DI50=DJ50),1,0)))))</f>
        <v/>
      </c>
      <c r="DL50" s="1" t="n">
        <f aca="false">Participantes!CA49</f>
        <v>0</v>
      </c>
      <c r="DM50" s="1" t="n">
        <f aca="false">Participantes!CB49</f>
        <v>0</v>
      </c>
      <c r="DN50" s="82" t="str">
        <f aca="false">IF(DL$2="","",IF(AND(DL50=DL$2,DM50=DM$2),3,IF(AND(DL$2&gt;DM$2,DL50&gt;DM50),1,IF(AND(DM$2&gt;DL$2,DM50&gt;DL50),1,IF(AND(DL$2=DM$2,DL50=DM50),1,0)))))</f>
        <v/>
      </c>
      <c r="DO50" s="1" t="n">
        <f aca="false">Participantes!CC49</f>
        <v>0</v>
      </c>
      <c r="DP50" s="1" t="n">
        <f aca="false">Participantes!CD49</f>
        <v>0</v>
      </c>
      <c r="DQ50" s="82" t="str">
        <f aca="false">IF(DO$2="","",IF(AND(DO50=DO$2,DP50=DP$2),3,IF(AND(DO$2&gt;DP$2,DO50&gt;DP50),1,IF(AND(DP$2&gt;DO$2,DP50&gt;DO50),1,IF(AND(DO$2=DP$2,DO50=DP50),1,0)))))</f>
        <v/>
      </c>
      <c r="DR50" s="1" t="n">
        <f aca="false">Participantes!CE49</f>
        <v>0</v>
      </c>
      <c r="DS50" s="1" t="n">
        <f aca="false">Participantes!CF49</f>
        <v>0</v>
      </c>
      <c r="DT50" s="82" t="str">
        <f aca="false">IF(DR$2="","",IF(AND(DR50=DR$2,DS50=DS$2),3,IF(AND(DR$2&gt;DS$2,DR50&gt;DS50),1,IF(AND(DS$2&gt;DR$2,DS50&gt;DR50),1,IF(AND(DR$2=DS$2,DR50=DS50),1,0)))))</f>
        <v/>
      </c>
      <c r="DU50" s="1" t="n">
        <f aca="false">Participantes!CG49</f>
        <v>0</v>
      </c>
      <c r="DV50" s="1" t="n">
        <f aca="false">Participantes!CH49</f>
        <v>0</v>
      </c>
      <c r="DW50" s="82" t="str">
        <f aca="false">IF(DU$2="","",IF(AND(DU50=DU$2,DV50=DV$2),3,IF(AND(DU$2&gt;DV$2,DU50&gt;DV50),1,IF(AND(DV$2&gt;DU$2,DV50&gt;DU50),1,IF(AND(DU$2=DV$2,DU50=DV50),1,0)))))</f>
        <v/>
      </c>
      <c r="DX50" s="1" t="n">
        <f aca="false">Participantes!CI49</f>
        <v>0</v>
      </c>
      <c r="DY50" s="1" t="n">
        <f aca="false">Participantes!CJ49</f>
        <v>0</v>
      </c>
      <c r="DZ50" s="82" t="str">
        <f aca="false">IF(DX$2="","",IF(AND(DX50=DX$2,DY50=DY$2),3,IF(AND(DX$2&gt;DY$2,DX50&gt;DY50),1,IF(AND(DY$2&gt;DX$2,DY50&gt;DX50),1,IF(AND(DX$2=DY$2,DX50=DY50),1,0)))))</f>
        <v/>
      </c>
      <c r="EA50" s="1" t="n">
        <f aca="false">Participantes!CK49</f>
        <v>0</v>
      </c>
      <c r="EB50" s="1" t="n">
        <f aca="false">Participantes!CL49</f>
        <v>0</v>
      </c>
      <c r="EC50" s="82" t="str">
        <f aca="false">IF(EA$2="","",IF(AND(EA50=EA$2,EB50=EB$2),3,IF(AND(EA$2&gt;EB$2,EA50&gt;EB50),1,IF(AND(EB$2&gt;EA$2,EB50&gt;EA50),1,IF(AND(EA$2=EB$2,EA50=EB50),1,0)))))</f>
        <v/>
      </c>
      <c r="ED50" s="1" t="n">
        <f aca="false">Participantes!CM49</f>
        <v>0</v>
      </c>
      <c r="EE50" s="1" t="n">
        <f aca="false">Participantes!CN49</f>
        <v>0</v>
      </c>
      <c r="EF50" s="82" t="str">
        <f aca="false">IF(ED$2="","",IF(AND(ED50=ED$2,EE50=EE$2),3,IF(AND(ED$2&gt;EE$2,ED50&gt;EE50),1,IF(AND(EE$2&gt;ED$2,EE50&gt;ED50),1,IF(AND(ED$2=EE$2,ED50=EE50),1,0)))))</f>
        <v/>
      </c>
      <c r="EG50" s="1" t="n">
        <f aca="false">Participantes!CO49</f>
        <v>0</v>
      </c>
      <c r="EH50" s="1" t="n">
        <f aca="false">Participantes!CP49</f>
        <v>0</v>
      </c>
      <c r="EI50" s="82" t="str">
        <f aca="false">IF(EG$2="","",IF(AND(EG50=EG$2,EH50=EH$2),3,IF(AND(EG$2&gt;EH$2,EG50&gt;EH50),1,IF(AND(EH$2&gt;EG$2,EH50&gt;EG50),1,IF(AND(EG$2=EH$2,EG50=EH50),1,0)))))</f>
        <v/>
      </c>
      <c r="EJ50" s="1" t="n">
        <f aca="false">Participantes!CQ49</f>
        <v>0</v>
      </c>
      <c r="EK50" s="1" t="n">
        <f aca="false">Participantes!CR49</f>
        <v>0</v>
      </c>
      <c r="EL50" s="82" t="str">
        <f aca="false">IF(EJ$2="","",IF(AND(EJ50=EJ$2,EK50=EK$2),3,IF(AND(EJ$2&gt;EK$2,EJ50&gt;EK50),1,IF(AND(EK$2&gt;EJ$2,EK50&gt;EJ50),1,IF(AND(EJ$2=EK$2,EJ50=EK50),1,0)))))</f>
        <v/>
      </c>
      <c r="EM50" s="1" t="n">
        <f aca="false">Participantes!CS49</f>
        <v>0</v>
      </c>
      <c r="EN50" s="1" t="n">
        <f aca="false">Participantes!CT49</f>
        <v>0</v>
      </c>
      <c r="EO50" s="82" t="str">
        <f aca="false">IF(EM$2="","",IF(AND(EM50=EM$2,EN50=EN$2),3,IF(AND(EM$2&gt;EN$2,EM50&gt;EN50),1,IF(AND(EN$2&gt;EM$2,EN50&gt;EM50),1,IF(AND(EM$2=EN$2,EM50=EN50),1,0)))))</f>
        <v/>
      </c>
      <c r="EP50" s="1" t="n">
        <f aca="false">Participantes!CU49</f>
        <v>0</v>
      </c>
      <c r="EQ50" s="1" t="n">
        <f aca="false">Participantes!CV49</f>
        <v>0</v>
      </c>
      <c r="ER50" s="82" t="str">
        <f aca="false">IF(EP$2="","",IF(AND(EP50=EP$2,EQ50=EQ$2),3,IF(AND(EP$2&gt;EQ$2,EP50&gt;EQ50),1,IF(AND(EQ$2&gt;EP$2,EQ50&gt;EP50),1,IF(AND(EP$2=EQ$2,EP50=EQ50),1,0)))))</f>
        <v/>
      </c>
      <c r="ES50" s="1" t="n">
        <f aca="false">Participantes!CW49</f>
        <v>0</v>
      </c>
      <c r="ET50" s="1" t="n">
        <f aca="false">Participantes!CX49</f>
        <v>0</v>
      </c>
      <c r="EU50" s="82" t="str">
        <f aca="false">IF(ES$2="","",IF(AND(ES50=ES$2,ET50=ET$2),3,IF(AND(ES$2&gt;ET$2,ES50&gt;ET50),1,IF(AND(ET$2&gt;ES$2,ET50&gt;ES50),1,IF(AND(ES$2=ET$2,ES50=ET50),1,0)))))</f>
        <v/>
      </c>
      <c r="EV50" s="1" t="n">
        <f aca="false">Participantes!CY49</f>
        <v>0</v>
      </c>
      <c r="EW50" s="1" t="n">
        <f aca="false">Participantes!CZ49</f>
        <v>0</v>
      </c>
      <c r="EX50" s="82" t="str">
        <f aca="false">IF(EV$2="","",IF(AND(EV50=EV$2,EW50=EW$2),3,IF(AND(EV$2&gt;EW$2,EV50&gt;EW50),1,IF(AND(EW$2&gt;EV$2,EW50&gt;EV50),1,IF(AND(EV$2=EW$2,EV50=EW50),1,0)))))</f>
        <v/>
      </c>
      <c r="EY50" s="1" t="n">
        <f aca="false">Participantes!DA49</f>
        <v>0</v>
      </c>
      <c r="EZ50" s="1" t="n">
        <f aca="false">Participantes!DB49</f>
        <v>0</v>
      </c>
      <c r="FA50" s="82" t="str">
        <f aca="false">IF(EY$2="","",IF(AND(EY50=EY$2,EZ50=EZ$2),3,IF(AND(EY$2&gt;EZ$2,EY50&gt;EZ50),1,IF(AND(EZ$2&gt;EY$2,EZ50&gt;EY50),1,IF(AND(EY$2=EZ$2,EY50=EZ50),1,0)))))</f>
        <v/>
      </c>
      <c r="FB50" s="1" t="n">
        <f aca="false">Participantes!DC49</f>
        <v>0</v>
      </c>
      <c r="FC50" s="1" t="n">
        <f aca="false">Participantes!DD49</f>
        <v>0</v>
      </c>
      <c r="FD50" s="82" t="str">
        <f aca="false">IF(FB$2="","",IF(AND(FB50=FB$2,FC50=FC$2),3,IF(AND(FB$2&gt;FC$2,FB50&gt;FC50),1,IF(AND(FC$2&gt;FB$2,FC50&gt;FB50),1,IF(AND(FB$2=FC$2,FB50=FC50),1,0)))))</f>
        <v/>
      </c>
      <c r="FE50" s="1" t="n">
        <f aca="false">Participantes!DE49</f>
        <v>0</v>
      </c>
      <c r="FF50" s="1" t="n">
        <f aca="false">Participantes!DF49</f>
        <v>0</v>
      </c>
      <c r="FG50" s="82" t="str">
        <f aca="false">IF(FE$2="","",IF(AND(FE50=FE$2,FF50=FF$2),3,IF(AND(FE$2&gt;FF$2,FE50&gt;FF50),1,IF(AND(FF$2&gt;FE$2,FF50&gt;FE50),1,IF(AND(FE$2=FF$2,FE50=FF50),1,0)))))</f>
        <v/>
      </c>
      <c r="FH50" s="1" t="n">
        <f aca="false">Participantes!DG49</f>
        <v>0</v>
      </c>
      <c r="FI50" s="1" t="n">
        <f aca="false">Participantes!DH49</f>
        <v>0</v>
      </c>
      <c r="FJ50" s="82" t="str">
        <f aca="false">IF(FH$2="","",IF(AND(FH50=FH$2,FI50=FI$2),3,IF(AND(FH$2&gt;FI$2,FH50&gt;FI50),1,IF(AND(FI$2&gt;FH$2,FI50&gt;FH50),1,IF(AND(FH$2=FI$2,FH50=FI50),1,0)))))</f>
        <v/>
      </c>
      <c r="FK50" s="1" t="n">
        <f aca="false">Participantes!DI49</f>
        <v>0</v>
      </c>
      <c r="FL50" s="1" t="n">
        <f aca="false">Participantes!DJ49</f>
        <v>0</v>
      </c>
      <c r="FM50" s="82" t="str">
        <f aca="false">IF(FK$2="","",IF(AND(FK50=FK$2,FL50=FL$2),3,IF(AND(FK$2&gt;FL$2,FK50&gt;FL50),1,IF(AND(FL$2&gt;FK$2,FL50&gt;FK50),1,IF(AND(FK$2=FL$2,FK50=FL50),1,0)))))</f>
        <v/>
      </c>
      <c r="FN50" s="1" t="n">
        <f aca="false">Participantes!DK49</f>
        <v>0</v>
      </c>
      <c r="FO50" s="1" t="n">
        <f aca="false">Participantes!DL49</f>
        <v>0</v>
      </c>
      <c r="FP50" s="82" t="str">
        <f aca="false">IF(FN$2="","",IF(AND(FN50=FN$2,FO50=FO$2),3,IF(AND(FN$2&gt;FO$2,FN50&gt;FO50),1,IF(AND(FO$2&gt;FN$2,FO50&gt;FN50),1,IF(AND(FN$2=FO$2,FN50=FO50),1,0)))))</f>
        <v/>
      </c>
      <c r="FQ50" s="1" t="n">
        <f aca="false">Participantes!DM49</f>
        <v>0</v>
      </c>
      <c r="FR50" s="1" t="n">
        <f aca="false">Participantes!DN49</f>
        <v>0</v>
      </c>
      <c r="FS50" s="82" t="str">
        <f aca="false">IF(FQ$2="","",IF(AND(FQ50=FQ$2,FR50=FR$2),3,IF(AND(FQ$2&gt;FR$2,FQ50&gt;FR50),1,IF(AND(FR$2&gt;FQ$2,FR50&gt;FQ50),1,IF(AND(FQ$2=FR$2,FQ50=FR50),1,0)))))</f>
        <v/>
      </c>
      <c r="FT50" s="1" t="n">
        <f aca="false">Participantes!DO49</f>
        <v>0</v>
      </c>
      <c r="FU50" s="1" t="n">
        <f aca="false">Participantes!DP49</f>
        <v>0</v>
      </c>
      <c r="FV50" s="82" t="str">
        <f aca="false">IF(FT$2="","",IF(AND(FT50=FT$2,FU50=FU$2),3,IF(AND(FT$2&gt;FU$2,FT50&gt;FU50),1,IF(AND(FU$2&gt;FT$2,FU50&gt;FT50),1,IF(AND(FT$2=FU$2,FT50=FU50),1,0)))))</f>
        <v/>
      </c>
      <c r="FW50" s="1" t="n">
        <f aca="false">Participantes!DQ49</f>
        <v>0</v>
      </c>
      <c r="FX50" s="1" t="n">
        <f aca="false">Participantes!DR49</f>
        <v>0</v>
      </c>
      <c r="FY50" s="82" t="str">
        <f aca="false">IF(FW$2="","",IF(AND(FW50=FW$2,FX50=FX$2),3,IF(AND(FW$2&gt;FX$2,FW50&gt;FX50),1,IF(AND(FX$2&gt;FW$2,FX50&gt;FW50),1,IF(AND(FW$2=FX$2,FW50=FX50),1,0)))))</f>
        <v/>
      </c>
      <c r="FZ50" s="1" t="n">
        <f aca="false">Participantes!DS49</f>
        <v>0</v>
      </c>
      <c r="GA50" s="1" t="n">
        <f aca="false">Participantes!DT49</f>
        <v>0</v>
      </c>
      <c r="GB50" s="82" t="str">
        <f aca="false">IF(FZ$2="","",IF(AND(FZ50=FZ$2,GA50=GA$2),3,IF(AND(FZ$2&gt;GA$2,FZ50&gt;GA50),1,IF(AND(GA$2&gt;FZ$2,GA50&gt;FZ50),1,IF(AND(FZ$2=GA$2,FZ50=GA50),1,0)))))</f>
        <v/>
      </c>
      <c r="GC50" s="1" t="n">
        <f aca="false">Participantes!DU49</f>
        <v>0</v>
      </c>
      <c r="GD50" s="1" t="n">
        <f aca="false">Participantes!DV49</f>
        <v>0</v>
      </c>
      <c r="GE50" s="82" t="str">
        <f aca="false">IF(GC$2="","",IF(AND(GC50=GC$2,GD50=GD$2),3,IF(AND(GC$2&gt;GD$2,GC50&gt;GD50),1,IF(AND(GD$2&gt;GC$2,GD50&gt;GC50),1,IF(AND(GC$2=GD$2,GC50=GD50),1,0)))))</f>
        <v/>
      </c>
      <c r="GF50" s="1" t="n">
        <f aca="false">Participantes!DW49</f>
        <v>0</v>
      </c>
      <c r="GG50" s="1" t="n">
        <f aca="false">Participantes!DX49</f>
        <v>0</v>
      </c>
      <c r="GH50" s="82" t="str">
        <f aca="false">IF(GF$2="","",IF(AND(GF50=GF$2,GG50=GG$2),3,IF(AND(GF$2&gt;GG$2,GF50&gt;GG50),1,IF(AND(GG$2&gt;GF$2,GG50&gt;GF50),1,IF(AND(GF$2=GG$2,GF50=GG50),1,0)))))</f>
        <v/>
      </c>
      <c r="GI50" s="1" t="n">
        <f aca="false">Participantes!DY49</f>
        <v>0</v>
      </c>
      <c r="GJ50" s="1" t="n">
        <f aca="false">Participantes!DZ49</f>
        <v>0</v>
      </c>
      <c r="GK50" s="82" t="str">
        <f aca="false">IF(GI$2="","",IF(AND(GI50=GI$2,GJ50=GJ$2),3,IF(AND(GI$2&gt;GJ$2,GI50&gt;GJ50),1,IF(AND(GJ$2&gt;GI$2,GJ50&gt;GI50),1,IF(AND(GI$2=GJ$2,GI50=GJ50),1,0)))))</f>
        <v/>
      </c>
      <c r="GL50" s="1" t="n">
        <f aca="false">Participantes!EA49</f>
        <v>0</v>
      </c>
      <c r="GM50" s="1" t="n">
        <f aca="false">Participantes!EB49</f>
        <v>0</v>
      </c>
      <c r="GN50" s="82" t="str">
        <f aca="false">IF(GL$2="","",IF(AND(GL50=GL$2,GM50=GM$2),3,IF(AND(GL$2&gt;GM$2,GL50&gt;GM50),1,IF(AND(GM$2&gt;GL$2,GM50&gt;GL50),1,IF(AND(GL$2=GM$2,GL50=GM50),1,0)))))</f>
        <v/>
      </c>
      <c r="GO50" s="1" t="n">
        <f aca="false">Participantes!EC49</f>
        <v>0</v>
      </c>
      <c r="GP50" s="1" t="n">
        <f aca="false">Participantes!ED49</f>
        <v>0</v>
      </c>
      <c r="GQ50" s="82" t="str">
        <f aca="false">IF(GO$2="","",IF(AND(GO50=GO$2,GP50=GP$2),3,IF(AND(GO$2&gt;GP$2,GO50&gt;GP50),1,IF(AND(GP$2&gt;GO$2,GP50&gt;GO50),1,IF(AND(GO$2=GP$2,GO50=GP50),1,0)))))</f>
        <v/>
      </c>
      <c r="GR50" s="1" t="n">
        <f aca="false">Participantes!EE49</f>
        <v>0</v>
      </c>
      <c r="GS50" s="1" t="n">
        <f aca="false">Participantes!EF49</f>
        <v>0</v>
      </c>
      <c r="GT50" s="82" t="str">
        <f aca="false">IF(GR$2="","",IF(AND(GR50=GR$2,GS50=GS$2),3,IF(AND(GR$2&gt;GS$2,GR50&gt;GS50),1,IF(AND(GS$2&gt;GR$2,GS50&gt;GR50),1,IF(AND(GR$2=GS$2,GR50=GS50),1,0)))))</f>
        <v/>
      </c>
      <c r="GU50" s="1" t="n">
        <f aca="false">Participantes!EG49</f>
        <v>0</v>
      </c>
      <c r="GV50" s="1" t="n">
        <f aca="false">Participantes!EH49</f>
        <v>0</v>
      </c>
      <c r="GW50" s="82" t="str">
        <f aca="false">IF(GU$2="","",IF(AND(GU50=GU$2,GV50=GV$2),3,IF(AND(GU$2&gt;GV$2,GU50&gt;GV50),1,IF(AND(GV$2&gt;GU$2,GV50&gt;GU50),1,IF(AND(GU$2=GV$2,GU50=GV50),1,0)))))</f>
        <v/>
      </c>
      <c r="GX50" s="1" t="n">
        <f aca="false">Participantes!EI49</f>
        <v>0</v>
      </c>
      <c r="GY50" s="1" t="n">
        <f aca="false">Participantes!EJ49</f>
        <v>0</v>
      </c>
      <c r="GZ50" s="82" t="str">
        <f aca="false">IF(GX$2="","",IF(AND(GX50=GX$2,GY50=GY$2),3,IF(AND(GX$2&gt;GY$2,GX50&gt;GY50),1,IF(AND(GY$2&gt;GX$2,GY50&gt;GX50),1,IF(AND(GX$2=GY$2,GX50=GY50),1,0)))))</f>
        <v/>
      </c>
      <c r="HA50" s="1" t="n">
        <f aca="false">Participantes!EK49</f>
        <v>0</v>
      </c>
      <c r="HB50" s="1" t="n">
        <f aca="false">Participantes!EL49</f>
        <v>0</v>
      </c>
      <c r="HC50" s="82" t="str">
        <f aca="false">IF(HA$2="","",IF(AND(HA50=HA$2,HB50=HB$2),3,IF(AND(HA$2&gt;HB$2,HA50&gt;HB50),1,IF(AND(HB$2&gt;HA$2,HB50&gt;HA50),1,IF(AND(HA$2=HB$2,HA50=HB50),1,0)))))</f>
        <v/>
      </c>
      <c r="HD50" s="1" t="n">
        <f aca="false">Participantes!EM49</f>
        <v>0</v>
      </c>
      <c r="HE50" s="1" t="n">
        <f aca="false">Participantes!EN49</f>
        <v>0</v>
      </c>
      <c r="HF50" s="82" t="str">
        <f aca="false">IF(HD$2="","",IF(AND(HD50=HD$2,HE50=HE$2),3,IF(AND(HD$2&gt;HE$2,HD50&gt;HE50),1,IF(AND(HE$2&gt;HD$2,HE50&gt;HD50),1,IF(AND(HD$2=HE$2,HD50=HE50),1,0)))))</f>
        <v/>
      </c>
      <c r="HG50" s="1" t="n">
        <f aca="false">Participantes!EO49</f>
        <v>0</v>
      </c>
      <c r="HH50" s="1" t="n">
        <f aca="false">Participantes!EP49</f>
        <v>0</v>
      </c>
      <c r="HI50" s="82" t="str">
        <f aca="false">IF(HG$2="","",IF(AND(HG50=HG$2,HH50=HH$2),3,IF(AND(HG$2&gt;HH$2,HG50&gt;HH50),1,IF(AND(HH$2&gt;HG$2,HH50&gt;HG50),1,IF(AND(HG$2=HH$2,HG50=HH50),1,0)))))</f>
        <v/>
      </c>
      <c r="HJ50" s="83" t="n">
        <f aca="false">SUM(D50,G50,J50,M50,P50,S50,V50,Y50,AB50,AE50,AH50,AK50,AN50,AQ50,AT50,AW50,AZ50,BC50,BF50,BI50,BL50,BO50,BR50,BU50,BX50,CA50,CD50,CG50,CJ50,CM50,CP50,CS50,CV50,CY50,DB50,DE50,DH50,DK50,DN50,DQ50,DT50,DW50,DZ50,EC50,EF50,EI50,EL50,EO50,ER50,EU50,EX50,FA50,FD50,FG50,FJ50,FM50,FP50,FS50,FV50,FY50,GB50,GE50,GH50,GK50,GN50,GQ50,GT50,GW50,GZ50,HC50,HF50,HI50)</f>
        <v>1</v>
      </c>
    </row>
    <row r="51" customFormat="false" ht="15" hidden="false" customHeight="true" outlineLevel="0" collapsed="false">
      <c r="A51" s="81" t="str">
        <f aca="false">Participantes!B50</f>
        <v>Waldo</v>
      </c>
      <c r="B51" s="1" t="n">
        <f aca="false">Participantes!C50</f>
        <v>2</v>
      </c>
      <c r="C51" s="1" t="n">
        <f aca="false">Participantes!D50</f>
        <v>0</v>
      </c>
      <c r="D51" s="82" t="n">
        <f aca="false">IF(B$2="","",IF(AND(B51=B$2,C51=C$2),3,IF(AND(B$2&gt;C$2,B51&gt;C51),1,IF(AND(C$2&gt;B$2,C51&gt;B51),1,IF(AND(B$2=C$2,B51=C51),1,0)))))</f>
        <v>3</v>
      </c>
      <c r="E51" s="1" t="n">
        <f aca="false">Participantes!E50</f>
        <v>1</v>
      </c>
      <c r="F51" s="1" t="n">
        <f aca="false">Participantes!F50</f>
        <v>1</v>
      </c>
      <c r="G51" s="82" t="str">
        <f aca="false">IF(E$2="","",IF(AND(E51=E$2,F51=F$2),3,IF(AND(E$2&gt;F$2,E51&gt;F51),1,IF(AND(F$2&gt;E$2,F51&gt;E51),1,IF(AND(E$2=F$2,E51=F51),1,0)))))</f>
        <v/>
      </c>
      <c r="H51" s="1" t="n">
        <f aca="false">Participantes!G50</f>
        <v>2</v>
      </c>
      <c r="I51" s="1" t="n">
        <f aca="false">Participantes!H50</f>
        <v>1</v>
      </c>
      <c r="J51" s="82" t="str">
        <f aca="false">IF(H$2="","",IF(AND(H51=H$2,I51=I$2),3,IF(AND(H$2&gt;I$2,H51&gt;I51),1,IF(AND(I$2&gt;H$2,I51&gt;H51),1,IF(AND(H$2=I$2,H51=I51),1,0)))))</f>
        <v/>
      </c>
      <c r="K51" s="1" t="n">
        <f aca="false">Participantes!I50</f>
        <v>1</v>
      </c>
      <c r="L51" s="1" t="n">
        <f aca="false">Participantes!J50</f>
        <v>1</v>
      </c>
      <c r="M51" s="82" t="str">
        <f aca="false">IF(K$2="","",IF(AND(K51=K$2,L51=L$2),3,IF(AND(K$2&gt;L$2,K51&gt;L51),1,IF(AND(L$2&gt;K$2,L51&gt;K51),1,IF(AND(K$2=L$2,K51=L51),1,0)))))</f>
        <v/>
      </c>
      <c r="N51" s="1" t="n">
        <f aca="false">Participantes!K50</f>
        <v>1</v>
      </c>
      <c r="O51" s="1" t="n">
        <f aca="false">Participantes!L50</f>
        <v>2</v>
      </c>
      <c r="P51" s="82" t="str">
        <f aca="false">IF(N$2="","",IF(AND(N51=N$2,O51=O$2),3,IF(AND(N$2&gt;O$2,N51&gt;O51),1,IF(AND(O$2&gt;N$2,O51&gt;N51),1,IF(AND(N$2=O$2,N51=O51),1,0)))))</f>
        <v/>
      </c>
      <c r="Q51" s="1" t="n">
        <f aca="false">Participantes!M50</f>
        <v>1</v>
      </c>
      <c r="R51" s="1" t="n">
        <f aca="false">Participantes!N50</f>
        <v>2</v>
      </c>
      <c r="S51" s="82" t="str">
        <f aca="false">IF(Q$2="","",IF(AND(Q51=Q$2,R51=R$2),3,IF(AND(Q$2&gt;R$2,Q51&gt;R51),1,IF(AND(R$2&gt;Q$2,R51&gt;Q51),1,IF(AND(Q$2=R$2,Q51=R51),1,0)))))</f>
        <v/>
      </c>
      <c r="T51" s="1" t="n">
        <f aca="false">Participantes!O50</f>
        <v>1</v>
      </c>
      <c r="U51" s="1" t="n">
        <f aca="false">Participantes!P50</f>
        <v>2</v>
      </c>
      <c r="V51" s="82" t="str">
        <f aca="false">IF(T$2="","",IF(AND(T51=T$2,U51=U$2),3,IF(AND(T$2&gt;U$2,T51&gt;U51),1,IF(AND(U$2&gt;T$2,U51&gt;T51),1,IF(AND(T$2=U$2,T51=U51),1,0)))))</f>
        <v/>
      </c>
      <c r="W51" s="1" t="n">
        <f aca="false">Participantes!Q50</f>
        <v>0</v>
      </c>
      <c r="X51" s="1" t="n">
        <f aca="false">Participantes!R50</f>
        <v>3</v>
      </c>
      <c r="Y51" s="82" t="str">
        <f aca="false">IF(W$2="","",IF(AND(W51=W$2,X51=X$2),3,IF(AND(W$2&gt;X$2,W51&gt;X51),1,IF(AND(X$2&gt;W$2,X51&gt;W51),1,IF(AND(W$2=X$2,W51=X51),1,0)))))</f>
        <v/>
      </c>
      <c r="Z51" s="1" t="n">
        <f aca="false">Participantes!S50</f>
        <v>2</v>
      </c>
      <c r="AA51" s="1" t="n">
        <f aca="false">Participantes!T50</f>
        <v>1</v>
      </c>
      <c r="AB51" s="82" t="str">
        <f aca="false">IF(Z$2="","",IF(AND(Z51=Z$2,AA51=AA$2),3,IF(AND(Z$2&gt;AA$2,Z51&gt;AA51),1,IF(AND(AA$2&gt;Z$2,AA51&gt;Z51),1,IF(AND(Z$2=AA$2,Z51=AA51),1,0)))))</f>
        <v/>
      </c>
      <c r="AC51" s="1" t="n">
        <f aca="false">Participantes!U50</f>
        <v>4</v>
      </c>
      <c r="AD51" s="1" t="n">
        <f aca="false">Participantes!V50</f>
        <v>0</v>
      </c>
      <c r="AE51" s="82" t="str">
        <f aca="false">IF(AC$2="","",IF(AND(AC51=AC$2,AD51=AD$2),3,IF(AND(AC$2&gt;AD$2,AC51&gt;AD51),1,IF(AND(AD$2&gt;AC$2,AD51&gt;AC51),1,IF(AND(AC$2=AD$2,AC51=AD51),1,0)))))</f>
        <v/>
      </c>
      <c r="AF51" s="1" t="n">
        <f aca="false">Participantes!W50</f>
        <v>2</v>
      </c>
      <c r="AG51" s="1" t="n">
        <f aca="false">Participantes!X50</f>
        <v>2</v>
      </c>
      <c r="AH51" s="82" t="str">
        <f aca="false">IF(AF$2="","",IF(AND(AF51=AF$2,AG51=AG$2),3,IF(AND(AF$2&gt;AG$2,AF51&gt;AG51),1,IF(AND(AG$2&gt;AF$2,AG51&gt;AF51),1,IF(AND(AF$2=AG$2,AF51=AG51),1,0)))))</f>
        <v/>
      </c>
      <c r="AI51" s="1" t="n">
        <f aca="false">Participantes!Y50</f>
        <v>2</v>
      </c>
      <c r="AJ51" s="1" t="n">
        <f aca="false">Participantes!Z50</f>
        <v>1</v>
      </c>
      <c r="AK51" s="82" t="str">
        <f aca="false">IF(AI$2="","",IF(AND(AI51=AI$2,AJ51=AJ$2),3,IF(AND(AI$2&gt;AJ$2,AI51&gt;AJ51),1,IF(AND(AJ$2&gt;AI$2,AJ51&gt;AI51),1,IF(AND(AI$2=AJ$2,AI51=AJ51),1,0)))))</f>
        <v/>
      </c>
      <c r="AL51" s="1" t="n">
        <f aca="false">Participantes!AA50</f>
        <v>0</v>
      </c>
      <c r="AM51" s="1" t="n">
        <f aca="false">Participantes!AB50</f>
        <v>2</v>
      </c>
      <c r="AN51" s="82" t="str">
        <f aca="false">IF(AL$2="","",IF(AND(AL51=AL$2,AM51=AM$2),3,IF(AND(AL$2&gt;AM$2,AL51&gt;AM51),1,IF(AND(AM$2&gt;AL$2,AM51&gt;AL51),1,IF(AND(AL$2=AM$2,AL51=AM51),1,0)))))</f>
        <v/>
      </c>
      <c r="AO51" s="1" t="n">
        <f aca="false">Participantes!AC50</f>
        <v>3</v>
      </c>
      <c r="AP51" s="1" t="n">
        <f aca="false">Participantes!AD50</f>
        <v>0</v>
      </c>
      <c r="AQ51" s="82" t="str">
        <f aca="false">IF(AO$2="","",IF(AND(AO51=AO$2,AP51=AP$2),3,IF(AND(AO$2&gt;AP$2,AO51&gt;AP51),1,IF(AND(AP$2&gt;AO$2,AP51&gt;AO51),1,IF(AND(AO$2=AP$2,AO51=AP51),1,0)))))</f>
        <v/>
      </c>
      <c r="AR51" s="1" t="n">
        <f aca="false">Participantes!AE50</f>
        <v>0</v>
      </c>
      <c r="AS51" s="1" t="n">
        <f aca="false">Participantes!AF50</f>
        <v>0</v>
      </c>
      <c r="AT51" s="82" t="str">
        <f aca="false">IF(AR$2="","",IF(AND(AR51=AR$2,AS51=AS$2),3,IF(AND(AR$2&gt;AS$2,AR51&gt;AS51),1,IF(AND(AS$2&gt;AR$2,AS51&gt;AR51),1,IF(AND(AR$2=AS$2,AR51=AS51),1,0)))))</f>
        <v/>
      </c>
      <c r="AU51" s="1" t="n">
        <f aca="false">Participantes!AG50</f>
        <v>0</v>
      </c>
      <c r="AV51" s="1" t="n">
        <f aca="false">Participantes!AH50</f>
        <v>0</v>
      </c>
      <c r="AW51" s="82" t="str">
        <f aca="false">IF(AU$2="","",IF(AND(AU51=AU$2,AV51=AV$2),3,IF(AND(AU$2&gt;AV$2,AU51&gt;AV51),1,IF(AND(AV$2&gt;AU$2,AV51&gt;AU51),1,IF(AND(AU$2=AV$2,AU51=AV51),1,0)))))</f>
        <v/>
      </c>
      <c r="AX51" s="1" t="n">
        <f aca="false">Participantes!AI50</f>
        <v>0</v>
      </c>
      <c r="AY51" s="1" t="n">
        <f aca="false">Participantes!AJ50</f>
        <v>0</v>
      </c>
      <c r="AZ51" s="82" t="str">
        <f aca="false">IF(AX$2="","",IF(AND(AX51=AX$2,AY51=AY$2),3,IF(AND(AX$2&gt;AY$2,AX51&gt;AY51),1,IF(AND(AY$2&gt;AX$2,AY51&gt;AX51),1,IF(AND(AX$2=AY$2,AX51=AY51),1,0)))))</f>
        <v/>
      </c>
      <c r="BA51" s="1" t="n">
        <f aca="false">Participantes!AK50</f>
        <v>0</v>
      </c>
      <c r="BB51" s="1" t="n">
        <f aca="false">Participantes!AL50</f>
        <v>0</v>
      </c>
      <c r="BC51" s="82" t="str">
        <f aca="false">IF(BA$2="","",IF(AND(BA51=BA$2,BB51=BB$2),3,IF(AND(BA$2&gt;BB$2,BA51&gt;BB51),1,IF(AND(BB$2&gt;BA$2,BB51&gt;BA51),1,IF(AND(BA$2=BB$2,BA51=BB51),1,0)))))</f>
        <v/>
      </c>
      <c r="BD51" s="1" t="n">
        <f aca="false">Participantes!AM50</f>
        <v>0</v>
      </c>
      <c r="BE51" s="1" t="n">
        <f aca="false">Participantes!AN50</f>
        <v>0</v>
      </c>
      <c r="BF51" s="82" t="str">
        <f aca="false">IF(BD$2="","",IF(AND(BD51=BD$2,BE51=BE$2),3,IF(AND(BD$2&gt;BE$2,BD51&gt;BE51),1,IF(AND(BE$2&gt;BD$2,BE51&gt;BD51),1,IF(AND(BD$2=BE$2,BD51=BE51),1,0)))))</f>
        <v/>
      </c>
      <c r="BG51" s="1" t="n">
        <f aca="false">Participantes!AO50</f>
        <v>0</v>
      </c>
      <c r="BH51" s="1" t="n">
        <f aca="false">Participantes!AP50</f>
        <v>0</v>
      </c>
      <c r="BI51" s="82" t="str">
        <f aca="false">IF(BG$2="","",IF(AND(BG51=BG$2,BH51=BH$2),3,IF(AND(BG$2&gt;BH$2,BG51&gt;BH51),1,IF(AND(BH$2&gt;BG$2,BH51&gt;BG51),1,IF(AND(BG$2=BH$2,BG51=BH51),1,0)))))</f>
        <v/>
      </c>
      <c r="BJ51" s="1" t="n">
        <f aca="false">Participantes!AQ50</f>
        <v>0</v>
      </c>
      <c r="BK51" s="1" t="n">
        <f aca="false">Participantes!AR50</f>
        <v>0</v>
      </c>
      <c r="BL51" s="82" t="str">
        <f aca="false">IF(BJ$2="","",IF(AND(BJ51=BJ$2,BK51=BK$2),3,IF(AND(BJ$2&gt;BK$2,BJ51&gt;BK51),1,IF(AND(BK$2&gt;BJ$2,BK51&gt;BJ51),1,IF(AND(BJ$2=BK$2,BJ51=BK51),1,0)))))</f>
        <v/>
      </c>
      <c r="BM51" s="1" t="n">
        <f aca="false">Participantes!AS50</f>
        <v>0</v>
      </c>
      <c r="BN51" s="1" t="n">
        <f aca="false">Participantes!AT50</f>
        <v>0</v>
      </c>
      <c r="BO51" s="82" t="str">
        <f aca="false">IF(BM$2="","",IF(AND(BM51=BM$2,BN51=BN$2),3,IF(AND(BM$2&gt;BN$2,BM51&gt;BN51),1,IF(AND(BN$2&gt;BM$2,BN51&gt;BM51),1,IF(AND(BM$2=BN$2,BM51=BN51),1,0)))))</f>
        <v/>
      </c>
      <c r="BP51" s="1" t="n">
        <f aca="false">Participantes!AU50</f>
        <v>0</v>
      </c>
      <c r="BQ51" s="1" t="n">
        <f aca="false">Participantes!AV50</f>
        <v>0</v>
      </c>
      <c r="BR51" s="82" t="str">
        <f aca="false">IF(BP$2="","",IF(AND(BP51=BP$2,BQ51=BQ$2),3,IF(AND(BP$2&gt;BQ$2,BP51&gt;BQ51),1,IF(AND(BQ$2&gt;BP$2,BQ51&gt;BP51),1,IF(AND(BP$2=BQ$2,BP51=BQ51),1,0)))))</f>
        <v/>
      </c>
      <c r="BS51" s="1" t="n">
        <f aca="false">Participantes!AW50</f>
        <v>0</v>
      </c>
      <c r="BT51" s="1" t="n">
        <f aca="false">Participantes!AX50</f>
        <v>0</v>
      </c>
      <c r="BU51" s="82" t="str">
        <f aca="false">IF(BS$2="","",IF(AND(BS51=BS$2,BT51=BT$2),3,IF(AND(BS$2&gt;BT$2,BS51&gt;BT51),1,IF(AND(BT$2&gt;BS$2,BT51&gt;BS51),1,IF(AND(BS$2=BT$2,BS51=BT51),1,0)))))</f>
        <v/>
      </c>
      <c r="BV51" s="1" t="n">
        <f aca="false">Participantes!AY50</f>
        <v>0</v>
      </c>
      <c r="BW51" s="1" t="n">
        <f aca="false">Participantes!AZ50</f>
        <v>0</v>
      </c>
      <c r="BX51" s="82" t="str">
        <f aca="false">IF(BV$2="","",IF(AND(BV51=BV$2,BW51=BW$2),3,IF(AND(BV$2&gt;BW$2,BV51&gt;BW51),1,IF(AND(BW$2&gt;BV$2,BW51&gt;BV51),1,IF(AND(BV$2=BW$2,BV51=BW51),1,0)))))</f>
        <v/>
      </c>
      <c r="BY51" s="1" t="n">
        <f aca="false">Participantes!BA50</f>
        <v>0</v>
      </c>
      <c r="BZ51" s="1" t="n">
        <f aca="false">Participantes!BB50</f>
        <v>0</v>
      </c>
      <c r="CA51" s="82" t="str">
        <f aca="false">IF(BY$2="","",IF(AND(BY51=BY$2,BZ51=BZ$2),3,IF(AND(BY$2&gt;BZ$2,BY51&gt;BZ51),1,IF(AND(BZ$2&gt;BY$2,BZ51&gt;BY51),1,IF(AND(BY$2=BZ$2,BY51=BZ51),1,0)))))</f>
        <v/>
      </c>
      <c r="CB51" s="1" t="n">
        <f aca="false">Participantes!BC50</f>
        <v>0</v>
      </c>
      <c r="CC51" s="1" t="n">
        <f aca="false">Participantes!BD50</f>
        <v>0</v>
      </c>
      <c r="CD51" s="82" t="str">
        <f aca="false">IF(CB$2="","",IF(AND(CB51=CB$2,CC51=CC$2),3,IF(AND(CB$2&gt;CC$2,CB51&gt;CC51),1,IF(AND(CC$2&gt;CB$2,CC51&gt;CB51),1,IF(AND(CB$2=CC$2,CB51=CC51),1,0)))))</f>
        <v/>
      </c>
      <c r="CE51" s="1" t="n">
        <f aca="false">Participantes!BE50</f>
        <v>0</v>
      </c>
      <c r="CF51" s="1" t="n">
        <f aca="false">Participantes!BF50</f>
        <v>0</v>
      </c>
      <c r="CG51" s="82" t="str">
        <f aca="false">IF(CE$2="","",IF(AND(CE51=CE$2,CF51=CF$2),3,IF(AND(CE$2&gt;CF$2,CE51&gt;CF51),1,IF(AND(CF$2&gt;CE$2,CF51&gt;CE51),1,IF(AND(CE$2=CF$2,CE51=CF51),1,0)))))</f>
        <v/>
      </c>
      <c r="CH51" s="1" t="n">
        <f aca="false">Participantes!BG50</f>
        <v>0</v>
      </c>
      <c r="CI51" s="1" t="n">
        <f aca="false">Participantes!BH50</f>
        <v>0</v>
      </c>
      <c r="CJ51" s="82" t="str">
        <f aca="false">IF(CH$2="","",IF(AND(CH51=CH$2,CI51=CI$2),3,IF(AND(CH$2&gt;CI$2,CH51&gt;CI51),1,IF(AND(CI$2&gt;CH$2,CI51&gt;CH51),1,IF(AND(CH$2=CI$2,CH51=CI51),1,0)))))</f>
        <v/>
      </c>
      <c r="CK51" s="1" t="n">
        <f aca="false">Participantes!BI50</f>
        <v>0</v>
      </c>
      <c r="CL51" s="1" t="n">
        <f aca="false">Participantes!BJ50</f>
        <v>0</v>
      </c>
      <c r="CM51" s="82" t="str">
        <f aca="false">IF(CK$2="","",IF(AND(CK51=CK$2,CL51=CL$2),3,IF(AND(CK$2&gt;CL$2,CK51&gt;CL51),1,IF(AND(CL$2&gt;CK$2,CL51&gt;CK51),1,IF(AND(CK$2=CL$2,CK51=CL51),1,0)))))</f>
        <v/>
      </c>
      <c r="CN51" s="1" t="n">
        <f aca="false">Participantes!BK50</f>
        <v>0</v>
      </c>
      <c r="CO51" s="1" t="n">
        <f aca="false">Participantes!BL50</f>
        <v>0</v>
      </c>
      <c r="CP51" s="82" t="str">
        <f aca="false">IF(CN$2="","",IF(AND(CN51=CN$2,CO51=CO$2),3,IF(AND(CN$2&gt;CO$2,CN51&gt;CO51),1,IF(AND(CO$2&gt;CN$2,CO51&gt;CN51),1,IF(AND(CN$2=CO$2,CN51=CO51),1,0)))))</f>
        <v/>
      </c>
      <c r="CQ51" s="1" t="n">
        <f aca="false">Participantes!BM50</f>
        <v>0</v>
      </c>
      <c r="CR51" s="1" t="n">
        <f aca="false">Participantes!BN50</f>
        <v>0</v>
      </c>
      <c r="CS51" s="82" t="str">
        <f aca="false">IF(CQ$2="","",IF(AND(CQ51=CQ$2,CR51=CR$2),3,IF(AND(CQ$2&gt;CR$2,CQ51&gt;CR51),1,IF(AND(CR$2&gt;CQ$2,CR51&gt;CQ51),1,IF(AND(CQ$2=CR$2,CQ51=CR51),1,0)))))</f>
        <v/>
      </c>
      <c r="CT51" s="1" t="n">
        <f aca="false">Participantes!BO50</f>
        <v>0</v>
      </c>
      <c r="CU51" s="1" t="n">
        <f aca="false">Participantes!BP50</f>
        <v>0</v>
      </c>
      <c r="CV51" s="82" t="str">
        <f aca="false">IF(CT$2="","",IF(AND(CT51=CT$2,CU51=CU$2),3,IF(AND(CT$2&gt;CU$2,CT51&gt;CU51),1,IF(AND(CU$2&gt;CT$2,CU51&gt;CT51),1,IF(AND(CT$2=CU$2,CT51=CU51),1,0)))))</f>
        <v/>
      </c>
      <c r="CW51" s="1" t="n">
        <f aca="false">Participantes!BQ50</f>
        <v>0</v>
      </c>
      <c r="CX51" s="1" t="n">
        <f aca="false">Participantes!BR50</f>
        <v>0</v>
      </c>
      <c r="CY51" s="82" t="str">
        <f aca="false">IF(CW$2="","",IF(AND(CW51=CW$2,CX51=CX$2),3,IF(AND(CW$2&gt;CX$2,CW51&gt;CX51),1,IF(AND(CX$2&gt;CW$2,CX51&gt;CW51),1,IF(AND(CW$2=CX$2,CW51=CX51),1,0)))))</f>
        <v/>
      </c>
      <c r="CZ51" s="1" t="n">
        <f aca="false">Participantes!BS50</f>
        <v>0</v>
      </c>
      <c r="DA51" s="1" t="n">
        <f aca="false">Participantes!BT50</f>
        <v>0</v>
      </c>
      <c r="DB51" s="82" t="str">
        <f aca="false">IF(CZ$2="","",IF(AND(CZ51=CZ$2,DA51=DA$2),3,IF(AND(CZ$2&gt;DA$2,CZ51&gt;DA51),1,IF(AND(DA$2&gt;CZ$2,DA51&gt;CZ51),1,IF(AND(CZ$2=DA$2,CZ51=DA51),1,0)))))</f>
        <v/>
      </c>
      <c r="DC51" s="1" t="n">
        <f aca="false">Participantes!BU50</f>
        <v>0</v>
      </c>
      <c r="DD51" s="1" t="n">
        <f aca="false">Participantes!BV50</f>
        <v>0</v>
      </c>
      <c r="DE51" s="82" t="str">
        <f aca="false">IF(DC$2="","",IF(AND(DC51=DC$2,DD51=DD$2),3,IF(AND(DC$2&gt;DD$2,DC51&gt;DD51),1,IF(AND(DD$2&gt;DC$2,DD51&gt;DC51),1,IF(AND(DC$2=DD$2,DC51=DD51),1,0)))))</f>
        <v/>
      </c>
      <c r="DF51" s="1" t="n">
        <f aca="false">Participantes!BW50</f>
        <v>0</v>
      </c>
      <c r="DG51" s="1" t="n">
        <f aca="false">Participantes!BX50</f>
        <v>0</v>
      </c>
      <c r="DH51" s="82" t="str">
        <f aca="false">IF(DF$2="","",IF(AND(DF51=DF$2,DG51=DG$2),3,IF(AND(DF$2&gt;DG$2,DF51&gt;DG51),1,IF(AND(DG$2&gt;DF$2,DG51&gt;DF51),1,IF(AND(DF$2=DG$2,DF51=DG51),1,0)))))</f>
        <v/>
      </c>
      <c r="DI51" s="1" t="n">
        <f aca="false">Participantes!BY50</f>
        <v>0</v>
      </c>
      <c r="DJ51" s="1" t="n">
        <f aca="false">Participantes!BZ50</f>
        <v>0</v>
      </c>
      <c r="DK51" s="82" t="str">
        <f aca="false">IF(DI$2="","",IF(AND(DI51=DI$2,DJ51=DJ$2),3,IF(AND(DI$2&gt;DJ$2,DI51&gt;DJ51),1,IF(AND(DJ$2&gt;DI$2,DJ51&gt;DI51),1,IF(AND(DI$2=DJ$2,DI51=DJ51),1,0)))))</f>
        <v/>
      </c>
      <c r="DL51" s="1" t="n">
        <f aca="false">Participantes!CA50</f>
        <v>0</v>
      </c>
      <c r="DM51" s="1" t="n">
        <f aca="false">Participantes!CB50</f>
        <v>0</v>
      </c>
      <c r="DN51" s="82" t="str">
        <f aca="false">IF(DL$2="","",IF(AND(DL51=DL$2,DM51=DM$2),3,IF(AND(DL$2&gt;DM$2,DL51&gt;DM51),1,IF(AND(DM$2&gt;DL$2,DM51&gt;DL51),1,IF(AND(DL$2=DM$2,DL51=DM51),1,0)))))</f>
        <v/>
      </c>
      <c r="DO51" s="1" t="n">
        <f aca="false">Participantes!CC50</f>
        <v>0</v>
      </c>
      <c r="DP51" s="1" t="n">
        <f aca="false">Participantes!CD50</f>
        <v>0</v>
      </c>
      <c r="DQ51" s="82" t="str">
        <f aca="false">IF(DO$2="","",IF(AND(DO51=DO$2,DP51=DP$2),3,IF(AND(DO$2&gt;DP$2,DO51&gt;DP51),1,IF(AND(DP$2&gt;DO$2,DP51&gt;DO51),1,IF(AND(DO$2=DP$2,DO51=DP51),1,0)))))</f>
        <v/>
      </c>
      <c r="DR51" s="1" t="n">
        <f aca="false">Participantes!CE50</f>
        <v>0</v>
      </c>
      <c r="DS51" s="1" t="n">
        <f aca="false">Participantes!CF50</f>
        <v>0</v>
      </c>
      <c r="DT51" s="82" t="str">
        <f aca="false">IF(DR$2="","",IF(AND(DR51=DR$2,DS51=DS$2),3,IF(AND(DR$2&gt;DS$2,DR51&gt;DS51),1,IF(AND(DS$2&gt;DR$2,DS51&gt;DR51),1,IF(AND(DR$2=DS$2,DR51=DS51),1,0)))))</f>
        <v/>
      </c>
      <c r="DU51" s="1" t="n">
        <f aca="false">Participantes!CG50</f>
        <v>0</v>
      </c>
      <c r="DV51" s="1" t="n">
        <f aca="false">Participantes!CH50</f>
        <v>0</v>
      </c>
      <c r="DW51" s="82" t="str">
        <f aca="false">IF(DU$2="","",IF(AND(DU51=DU$2,DV51=DV$2),3,IF(AND(DU$2&gt;DV$2,DU51&gt;DV51),1,IF(AND(DV$2&gt;DU$2,DV51&gt;DU51),1,IF(AND(DU$2=DV$2,DU51=DV51),1,0)))))</f>
        <v/>
      </c>
      <c r="DX51" s="1" t="n">
        <f aca="false">Participantes!CI50</f>
        <v>0</v>
      </c>
      <c r="DY51" s="1" t="n">
        <f aca="false">Participantes!CJ50</f>
        <v>0</v>
      </c>
      <c r="DZ51" s="82" t="str">
        <f aca="false">IF(DX$2="","",IF(AND(DX51=DX$2,DY51=DY$2),3,IF(AND(DX$2&gt;DY$2,DX51&gt;DY51),1,IF(AND(DY$2&gt;DX$2,DY51&gt;DX51),1,IF(AND(DX$2=DY$2,DX51=DY51),1,0)))))</f>
        <v/>
      </c>
      <c r="EA51" s="1" t="n">
        <f aca="false">Participantes!CK50</f>
        <v>0</v>
      </c>
      <c r="EB51" s="1" t="n">
        <f aca="false">Participantes!CL50</f>
        <v>0</v>
      </c>
      <c r="EC51" s="82" t="str">
        <f aca="false">IF(EA$2="","",IF(AND(EA51=EA$2,EB51=EB$2),3,IF(AND(EA$2&gt;EB$2,EA51&gt;EB51),1,IF(AND(EB$2&gt;EA$2,EB51&gt;EA51),1,IF(AND(EA$2=EB$2,EA51=EB51),1,0)))))</f>
        <v/>
      </c>
      <c r="ED51" s="1" t="n">
        <f aca="false">Participantes!CM50</f>
        <v>0</v>
      </c>
      <c r="EE51" s="1" t="n">
        <f aca="false">Participantes!CN50</f>
        <v>0</v>
      </c>
      <c r="EF51" s="82" t="str">
        <f aca="false">IF(ED$2="","",IF(AND(ED51=ED$2,EE51=EE$2),3,IF(AND(ED$2&gt;EE$2,ED51&gt;EE51),1,IF(AND(EE$2&gt;ED$2,EE51&gt;ED51),1,IF(AND(ED$2=EE$2,ED51=EE51),1,0)))))</f>
        <v/>
      </c>
      <c r="EG51" s="1" t="n">
        <f aca="false">Participantes!CO50</f>
        <v>0</v>
      </c>
      <c r="EH51" s="1" t="n">
        <f aca="false">Participantes!CP50</f>
        <v>0</v>
      </c>
      <c r="EI51" s="82" t="str">
        <f aca="false">IF(EG$2="","",IF(AND(EG51=EG$2,EH51=EH$2),3,IF(AND(EG$2&gt;EH$2,EG51&gt;EH51),1,IF(AND(EH$2&gt;EG$2,EH51&gt;EG51),1,IF(AND(EG$2=EH$2,EG51=EH51),1,0)))))</f>
        <v/>
      </c>
      <c r="EJ51" s="1" t="n">
        <f aca="false">Participantes!CQ50</f>
        <v>0</v>
      </c>
      <c r="EK51" s="1" t="n">
        <f aca="false">Participantes!CR50</f>
        <v>0</v>
      </c>
      <c r="EL51" s="82" t="str">
        <f aca="false">IF(EJ$2="","",IF(AND(EJ51=EJ$2,EK51=EK$2),3,IF(AND(EJ$2&gt;EK$2,EJ51&gt;EK51),1,IF(AND(EK$2&gt;EJ$2,EK51&gt;EJ51),1,IF(AND(EJ$2=EK$2,EJ51=EK51),1,0)))))</f>
        <v/>
      </c>
      <c r="EM51" s="1" t="n">
        <f aca="false">Participantes!CS50</f>
        <v>0</v>
      </c>
      <c r="EN51" s="1" t="n">
        <f aca="false">Participantes!CT50</f>
        <v>0</v>
      </c>
      <c r="EO51" s="82" t="str">
        <f aca="false">IF(EM$2="","",IF(AND(EM51=EM$2,EN51=EN$2),3,IF(AND(EM$2&gt;EN$2,EM51&gt;EN51),1,IF(AND(EN$2&gt;EM$2,EN51&gt;EM51),1,IF(AND(EM$2=EN$2,EM51=EN51),1,0)))))</f>
        <v/>
      </c>
      <c r="EP51" s="1" t="n">
        <f aca="false">Participantes!CU50</f>
        <v>0</v>
      </c>
      <c r="EQ51" s="1" t="n">
        <f aca="false">Participantes!CV50</f>
        <v>0</v>
      </c>
      <c r="ER51" s="82" t="str">
        <f aca="false">IF(EP$2="","",IF(AND(EP51=EP$2,EQ51=EQ$2),3,IF(AND(EP$2&gt;EQ$2,EP51&gt;EQ51),1,IF(AND(EQ$2&gt;EP$2,EQ51&gt;EP51),1,IF(AND(EP$2=EQ$2,EP51=EQ51),1,0)))))</f>
        <v/>
      </c>
      <c r="ES51" s="1" t="n">
        <f aca="false">Participantes!CW50</f>
        <v>0</v>
      </c>
      <c r="ET51" s="1" t="n">
        <f aca="false">Participantes!CX50</f>
        <v>0</v>
      </c>
      <c r="EU51" s="82" t="str">
        <f aca="false">IF(ES$2="","",IF(AND(ES51=ES$2,ET51=ET$2),3,IF(AND(ES$2&gt;ET$2,ES51&gt;ET51),1,IF(AND(ET$2&gt;ES$2,ET51&gt;ES51),1,IF(AND(ES$2=ET$2,ES51=ET51),1,0)))))</f>
        <v/>
      </c>
      <c r="EV51" s="1" t="n">
        <f aca="false">Participantes!CY50</f>
        <v>0</v>
      </c>
      <c r="EW51" s="1" t="n">
        <f aca="false">Participantes!CZ50</f>
        <v>0</v>
      </c>
      <c r="EX51" s="82" t="str">
        <f aca="false">IF(EV$2="","",IF(AND(EV51=EV$2,EW51=EW$2),3,IF(AND(EV$2&gt;EW$2,EV51&gt;EW51),1,IF(AND(EW$2&gt;EV$2,EW51&gt;EV51),1,IF(AND(EV$2=EW$2,EV51=EW51),1,0)))))</f>
        <v/>
      </c>
      <c r="EY51" s="1" t="n">
        <f aca="false">Participantes!DA50</f>
        <v>0</v>
      </c>
      <c r="EZ51" s="1" t="n">
        <f aca="false">Participantes!DB50</f>
        <v>0</v>
      </c>
      <c r="FA51" s="82" t="str">
        <f aca="false">IF(EY$2="","",IF(AND(EY51=EY$2,EZ51=EZ$2),3,IF(AND(EY$2&gt;EZ$2,EY51&gt;EZ51),1,IF(AND(EZ$2&gt;EY$2,EZ51&gt;EY51),1,IF(AND(EY$2=EZ$2,EY51=EZ51),1,0)))))</f>
        <v/>
      </c>
      <c r="FB51" s="1" t="n">
        <f aca="false">Participantes!DC50</f>
        <v>0</v>
      </c>
      <c r="FC51" s="1" t="n">
        <f aca="false">Participantes!DD50</f>
        <v>0</v>
      </c>
      <c r="FD51" s="82" t="str">
        <f aca="false">IF(FB$2="","",IF(AND(FB51=FB$2,FC51=FC$2),3,IF(AND(FB$2&gt;FC$2,FB51&gt;FC51),1,IF(AND(FC$2&gt;FB$2,FC51&gt;FB51),1,IF(AND(FB$2=FC$2,FB51=FC51),1,0)))))</f>
        <v/>
      </c>
      <c r="FE51" s="1" t="n">
        <f aca="false">Participantes!DE50</f>
        <v>0</v>
      </c>
      <c r="FF51" s="1" t="n">
        <f aca="false">Participantes!DF50</f>
        <v>0</v>
      </c>
      <c r="FG51" s="82" t="str">
        <f aca="false">IF(FE$2="","",IF(AND(FE51=FE$2,FF51=FF$2),3,IF(AND(FE$2&gt;FF$2,FE51&gt;FF51),1,IF(AND(FF$2&gt;FE$2,FF51&gt;FE51),1,IF(AND(FE$2=FF$2,FE51=FF51),1,0)))))</f>
        <v/>
      </c>
      <c r="FH51" s="1" t="n">
        <f aca="false">Participantes!DG50</f>
        <v>0</v>
      </c>
      <c r="FI51" s="1" t="n">
        <f aca="false">Participantes!DH50</f>
        <v>0</v>
      </c>
      <c r="FJ51" s="82" t="str">
        <f aca="false">IF(FH$2="","",IF(AND(FH51=FH$2,FI51=FI$2),3,IF(AND(FH$2&gt;FI$2,FH51&gt;FI51),1,IF(AND(FI$2&gt;FH$2,FI51&gt;FH51),1,IF(AND(FH$2=FI$2,FH51=FI51),1,0)))))</f>
        <v/>
      </c>
      <c r="FK51" s="1" t="n">
        <f aca="false">Participantes!DI50</f>
        <v>0</v>
      </c>
      <c r="FL51" s="1" t="n">
        <f aca="false">Participantes!DJ50</f>
        <v>0</v>
      </c>
      <c r="FM51" s="82" t="str">
        <f aca="false">IF(FK$2="","",IF(AND(FK51=FK$2,FL51=FL$2),3,IF(AND(FK$2&gt;FL$2,FK51&gt;FL51),1,IF(AND(FL$2&gt;FK$2,FL51&gt;FK51),1,IF(AND(FK$2=FL$2,FK51=FL51),1,0)))))</f>
        <v/>
      </c>
      <c r="FN51" s="1" t="n">
        <f aca="false">Participantes!DK50</f>
        <v>0</v>
      </c>
      <c r="FO51" s="1" t="n">
        <f aca="false">Participantes!DL50</f>
        <v>0</v>
      </c>
      <c r="FP51" s="82" t="str">
        <f aca="false">IF(FN$2="","",IF(AND(FN51=FN$2,FO51=FO$2),3,IF(AND(FN$2&gt;FO$2,FN51&gt;FO51),1,IF(AND(FO$2&gt;FN$2,FO51&gt;FN51),1,IF(AND(FN$2=FO$2,FN51=FO51),1,0)))))</f>
        <v/>
      </c>
      <c r="FQ51" s="1" t="n">
        <f aca="false">Participantes!DM50</f>
        <v>0</v>
      </c>
      <c r="FR51" s="1" t="n">
        <f aca="false">Participantes!DN50</f>
        <v>0</v>
      </c>
      <c r="FS51" s="82" t="str">
        <f aca="false">IF(FQ$2="","",IF(AND(FQ51=FQ$2,FR51=FR$2),3,IF(AND(FQ$2&gt;FR$2,FQ51&gt;FR51),1,IF(AND(FR$2&gt;FQ$2,FR51&gt;FQ51),1,IF(AND(FQ$2=FR$2,FQ51=FR51),1,0)))))</f>
        <v/>
      </c>
      <c r="FT51" s="1" t="n">
        <f aca="false">Participantes!DO50</f>
        <v>0</v>
      </c>
      <c r="FU51" s="1" t="n">
        <f aca="false">Participantes!DP50</f>
        <v>0</v>
      </c>
      <c r="FV51" s="82" t="str">
        <f aca="false">IF(FT$2="","",IF(AND(FT51=FT$2,FU51=FU$2),3,IF(AND(FT$2&gt;FU$2,FT51&gt;FU51),1,IF(AND(FU$2&gt;FT$2,FU51&gt;FT51),1,IF(AND(FT$2=FU$2,FT51=FU51),1,0)))))</f>
        <v/>
      </c>
      <c r="FW51" s="1" t="n">
        <f aca="false">Participantes!DQ50</f>
        <v>0</v>
      </c>
      <c r="FX51" s="1" t="n">
        <f aca="false">Participantes!DR50</f>
        <v>0</v>
      </c>
      <c r="FY51" s="82" t="str">
        <f aca="false">IF(FW$2="","",IF(AND(FW51=FW$2,FX51=FX$2),3,IF(AND(FW$2&gt;FX$2,FW51&gt;FX51),1,IF(AND(FX$2&gt;FW$2,FX51&gt;FW51),1,IF(AND(FW$2=FX$2,FW51=FX51),1,0)))))</f>
        <v/>
      </c>
      <c r="FZ51" s="1" t="n">
        <f aca="false">Participantes!DS50</f>
        <v>0</v>
      </c>
      <c r="GA51" s="1" t="n">
        <f aca="false">Participantes!DT50</f>
        <v>0</v>
      </c>
      <c r="GB51" s="82" t="str">
        <f aca="false">IF(FZ$2="","",IF(AND(FZ51=FZ$2,GA51=GA$2),3,IF(AND(FZ$2&gt;GA$2,FZ51&gt;GA51),1,IF(AND(GA$2&gt;FZ$2,GA51&gt;FZ51),1,IF(AND(FZ$2=GA$2,FZ51=GA51),1,0)))))</f>
        <v/>
      </c>
      <c r="GC51" s="1" t="n">
        <f aca="false">Participantes!DU50</f>
        <v>0</v>
      </c>
      <c r="GD51" s="1" t="n">
        <f aca="false">Participantes!DV50</f>
        <v>0</v>
      </c>
      <c r="GE51" s="82" t="str">
        <f aca="false">IF(GC$2="","",IF(AND(GC51=GC$2,GD51=GD$2),3,IF(AND(GC$2&gt;GD$2,GC51&gt;GD51),1,IF(AND(GD$2&gt;GC$2,GD51&gt;GC51),1,IF(AND(GC$2=GD$2,GC51=GD51),1,0)))))</f>
        <v/>
      </c>
      <c r="GF51" s="1" t="n">
        <f aca="false">Participantes!DW50</f>
        <v>0</v>
      </c>
      <c r="GG51" s="1" t="n">
        <f aca="false">Participantes!DX50</f>
        <v>0</v>
      </c>
      <c r="GH51" s="82" t="str">
        <f aca="false">IF(GF$2="","",IF(AND(GF51=GF$2,GG51=GG$2),3,IF(AND(GF$2&gt;GG$2,GF51&gt;GG51),1,IF(AND(GG$2&gt;GF$2,GG51&gt;GF51),1,IF(AND(GF$2=GG$2,GF51=GG51),1,0)))))</f>
        <v/>
      </c>
      <c r="GI51" s="1" t="n">
        <f aca="false">Participantes!DY50</f>
        <v>0</v>
      </c>
      <c r="GJ51" s="1" t="n">
        <f aca="false">Participantes!DZ50</f>
        <v>0</v>
      </c>
      <c r="GK51" s="82" t="str">
        <f aca="false">IF(GI$2="","",IF(AND(GI51=GI$2,GJ51=GJ$2),3,IF(AND(GI$2&gt;GJ$2,GI51&gt;GJ51),1,IF(AND(GJ$2&gt;GI$2,GJ51&gt;GI51),1,IF(AND(GI$2=GJ$2,GI51=GJ51),1,0)))))</f>
        <v/>
      </c>
      <c r="GL51" s="1" t="n">
        <f aca="false">Participantes!EA50</f>
        <v>0</v>
      </c>
      <c r="GM51" s="1" t="n">
        <f aca="false">Participantes!EB50</f>
        <v>0</v>
      </c>
      <c r="GN51" s="82" t="str">
        <f aca="false">IF(GL$2="","",IF(AND(GL51=GL$2,GM51=GM$2),3,IF(AND(GL$2&gt;GM$2,GL51&gt;GM51),1,IF(AND(GM$2&gt;GL$2,GM51&gt;GL51),1,IF(AND(GL$2=GM$2,GL51=GM51),1,0)))))</f>
        <v/>
      </c>
      <c r="GO51" s="1" t="n">
        <f aca="false">Participantes!EC50</f>
        <v>0</v>
      </c>
      <c r="GP51" s="1" t="n">
        <f aca="false">Participantes!ED50</f>
        <v>0</v>
      </c>
      <c r="GQ51" s="82" t="str">
        <f aca="false">IF(GO$2="","",IF(AND(GO51=GO$2,GP51=GP$2),3,IF(AND(GO$2&gt;GP$2,GO51&gt;GP51),1,IF(AND(GP$2&gt;GO$2,GP51&gt;GO51),1,IF(AND(GO$2=GP$2,GO51=GP51),1,0)))))</f>
        <v/>
      </c>
      <c r="GR51" s="1" t="n">
        <f aca="false">Participantes!EE50</f>
        <v>0</v>
      </c>
      <c r="GS51" s="1" t="n">
        <f aca="false">Participantes!EF50</f>
        <v>0</v>
      </c>
      <c r="GT51" s="82" t="str">
        <f aca="false">IF(GR$2="","",IF(AND(GR51=GR$2,GS51=GS$2),3,IF(AND(GR$2&gt;GS$2,GR51&gt;GS51),1,IF(AND(GS$2&gt;GR$2,GS51&gt;GR51),1,IF(AND(GR$2=GS$2,GR51=GS51),1,0)))))</f>
        <v/>
      </c>
      <c r="GU51" s="1" t="n">
        <f aca="false">Participantes!EG50</f>
        <v>0</v>
      </c>
      <c r="GV51" s="1" t="n">
        <f aca="false">Participantes!EH50</f>
        <v>0</v>
      </c>
      <c r="GW51" s="82" t="str">
        <f aca="false">IF(GU$2="","",IF(AND(GU51=GU$2,GV51=GV$2),3,IF(AND(GU$2&gt;GV$2,GU51&gt;GV51),1,IF(AND(GV$2&gt;GU$2,GV51&gt;GU51),1,IF(AND(GU$2=GV$2,GU51=GV51),1,0)))))</f>
        <v/>
      </c>
      <c r="GX51" s="1" t="n">
        <f aca="false">Participantes!EI50</f>
        <v>0</v>
      </c>
      <c r="GY51" s="1" t="n">
        <f aca="false">Participantes!EJ50</f>
        <v>0</v>
      </c>
      <c r="GZ51" s="82" t="str">
        <f aca="false">IF(GX$2="","",IF(AND(GX51=GX$2,GY51=GY$2),3,IF(AND(GX$2&gt;GY$2,GX51&gt;GY51),1,IF(AND(GY$2&gt;GX$2,GY51&gt;GX51),1,IF(AND(GX$2=GY$2,GX51=GY51),1,0)))))</f>
        <v/>
      </c>
      <c r="HA51" s="1" t="n">
        <f aca="false">Participantes!EK50</f>
        <v>0</v>
      </c>
      <c r="HB51" s="1" t="n">
        <f aca="false">Participantes!EL50</f>
        <v>0</v>
      </c>
      <c r="HC51" s="82" t="str">
        <f aca="false">IF(HA$2="","",IF(AND(HA51=HA$2,HB51=HB$2),3,IF(AND(HA$2&gt;HB$2,HA51&gt;HB51),1,IF(AND(HB$2&gt;HA$2,HB51&gt;HA51),1,IF(AND(HA$2=HB$2,HA51=HB51),1,0)))))</f>
        <v/>
      </c>
      <c r="HD51" s="1" t="n">
        <f aca="false">Participantes!EM50</f>
        <v>0</v>
      </c>
      <c r="HE51" s="1" t="n">
        <f aca="false">Participantes!EN50</f>
        <v>0</v>
      </c>
      <c r="HF51" s="82" t="str">
        <f aca="false">IF(HD$2="","",IF(AND(HD51=HD$2,HE51=HE$2),3,IF(AND(HD$2&gt;HE$2,HD51&gt;HE51),1,IF(AND(HE$2&gt;HD$2,HE51&gt;HD51),1,IF(AND(HD$2=HE$2,HD51=HE51),1,0)))))</f>
        <v/>
      </c>
      <c r="HG51" s="1" t="n">
        <f aca="false">Participantes!EO50</f>
        <v>0</v>
      </c>
      <c r="HH51" s="1" t="n">
        <f aca="false">Participantes!EP50</f>
        <v>0</v>
      </c>
      <c r="HI51" s="82" t="str">
        <f aca="false">IF(HG$2="","",IF(AND(HG51=HG$2,HH51=HH$2),3,IF(AND(HG$2&gt;HH$2,HG51&gt;HH51),1,IF(AND(HH$2&gt;HG$2,HH51&gt;HG51),1,IF(AND(HG$2=HH$2,HG51=HH51),1,0)))))</f>
        <v/>
      </c>
      <c r="HJ51" s="83" t="n">
        <f aca="false">SUM(D51,G51,J51,M51,P51,S51,V51,Y51,AB51,AE51,AH51,AK51,AN51,AQ51,AT51,AW51,AZ51,BC51,BF51,BI51,BL51,BO51,BR51,BU51,BX51,CA51,CD51,CG51,CJ51,CM51,CP51,CS51,CV51,CY51,DB51,DE51,DH51,DK51,DN51,DQ51,DT51,DW51,DZ51,EC51,EF51,EI51,EL51,EO51,ER51,EU51,EX51,FA51,FD51,FG51,FJ51,FM51,FP51,FS51,FV51,FY51,GB51,GE51,GH51,GK51,GN51,GQ51,GT51,GW51,GZ51,HC51,HF51,HI51)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2026-06-11T14:02:41Z</dcterms:created>
  <dc:creator>Jose E. Caballero E.</dc:creator>
  <dc:description/>
  <dc:language>en-US</dc:language>
  <cp:lastModifiedBy>Jose E. Caballero E.</cp:lastModifiedBy>
  <dcterms:modified xsi:type="dcterms:W3CDTF">2026-06-11T23:26:10Z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