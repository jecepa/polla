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olla\chat\"/>
    </mc:Choice>
  </mc:AlternateContent>
  <bookViews>
    <workbookView xWindow="0" yWindow="0" windowWidth="28800" windowHeight="12120" tabRatio="500" firstSheet="2" activeTab="2"/>
  </bookViews>
  <sheets>
    <sheet name="Portada" sheetId="1" state="hidden" r:id="rId1"/>
    <sheet name="Equipos_Grupos" sheetId="2" state="hidden" r:id="rId2"/>
    <sheet name="Puntajes" sheetId="3" r:id="rId3"/>
    <sheet name="Participantes" sheetId="4" r:id="rId4"/>
    <sheet name="Partidos" sheetId="5" r:id="rId5"/>
    <sheet name="VGrupo" sheetId="6" r:id="rId6"/>
    <sheet name="Clasificacion" sheetId="7" r:id="rId7"/>
    <sheet name="Posiciones" sheetId="8" r:id="rId8"/>
    <sheet name="Mejores_Terceros" sheetId="9" r:id="rId9"/>
    <sheet name="Llaves" sheetId="10" state="hidden" r:id="rId10"/>
    <sheet name="Fuentes" sheetId="11" state="hidden" r:id="rId11"/>
    <sheet name="Asignacion_3ros" sheetId="12" state="hidden" r:id="rId12"/>
    <sheet name="Tabla_3ros" sheetId="13" r:id="rId13"/>
    <sheet name="Grupo" sheetId="14" r:id="rId14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" i="3" l="1"/>
  <c r="J12" i="3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E5" i="6"/>
  <c r="F5" i="6"/>
  <c r="E6" i="6"/>
  <c r="F6" i="6"/>
  <c r="E7" i="6"/>
  <c r="F7" i="6"/>
  <c r="E8" i="6"/>
  <c r="F8" i="6"/>
  <c r="E9" i="6"/>
  <c r="F9" i="6"/>
  <c r="E10" i="6"/>
  <c r="F10" i="6"/>
  <c r="E11" i="6"/>
  <c r="F11" i="6"/>
  <c r="E12" i="6"/>
  <c r="F12" i="6"/>
  <c r="E13" i="6"/>
  <c r="F13" i="6"/>
  <c r="E14" i="6"/>
  <c r="F14" i="6"/>
  <c r="E15" i="6"/>
  <c r="F15" i="6"/>
  <c r="E16" i="6"/>
  <c r="F16" i="6"/>
  <c r="E17" i="6"/>
  <c r="F17" i="6"/>
  <c r="E18" i="6"/>
  <c r="F18" i="6"/>
  <c r="E19" i="6"/>
  <c r="F19" i="6"/>
  <c r="E20" i="6"/>
  <c r="F20" i="6"/>
  <c r="E21" i="6"/>
  <c r="F21" i="6"/>
  <c r="E22" i="6"/>
  <c r="F22" i="6"/>
  <c r="E23" i="6"/>
  <c r="F23" i="6"/>
  <c r="E24" i="6"/>
  <c r="F24" i="6"/>
  <c r="E25" i="6"/>
  <c r="F25" i="6"/>
  <c r="E26" i="6"/>
  <c r="F26" i="6"/>
  <c r="E27" i="6"/>
  <c r="F27" i="6"/>
  <c r="E28" i="6"/>
  <c r="F28" i="6"/>
  <c r="E29" i="6"/>
  <c r="F29" i="6"/>
  <c r="E30" i="6"/>
  <c r="F30" i="6"/>
  <c r="E31" i="6"/>
  <c r="F31" i="6"/>
  <c r="E32" i="6"/>
  <c r="F32" i="6"/>
  <c r="E33" i="6"/>
  <c r="F33" i="6"/>
  <c r="E34" i="6"/>
  <c r="F34" i="6"/>
  <c r="E35" i="6"/>
  <c r="F35" i="6"/>
  <c r="E36" i="6"/>
  <c r="F36" i="6"/>
  <c r="E37" i="6"/>
  <c r="F37" i="6"/>
  <c r="E38" i="6"/>
  <c r="F38" i="6"/>
  <c r="E39" i="6"/>
  <c r="F39" i="6"/>
  <c r="E40" i="6"/>
  <c r="F40" i="6"/>
  <c r="E41" i="6"/>
  <c r="F41" i="6"/>
  <c r="E42" i="6"/>
  <c r="F42" i="6"/>
  <c r="E43" i="6"/>
  <c r="F43" i="6"/>
  <c r="E44" i="6"/>
  <c r="F44" i="6"/>
  <c r="E45" i="6"/>
  <c r="F45" i="6"/>
  <c r="E46" i="6"/>
  <c r="F46" i="6"/>
  <c r="E47" i="6"/>
  <c r="F47" i="6"/>
  <c r="E48" i="6"/>
  <c r="F48" i="6"/>
  <c r="E49" i="6"/>
  <c r="F49" i="6"/>
  <c r="E50" i="6"/>
  <c r="F50" i="6"/>
  <c r="E51" i="6"/>
  <c r="F51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F4" i="6"/>
  <c r="E4" i="6"/>
  <c r="C4" i="6"/>
  <c r="B4" i="6"/>
  <c r="H13" i="3" l="1"/>
  <c r="G13" i="3"/>
  <c r="HH51" i="14"/>
  <c r="HG51" i="14"/>
  <c r="HE51" i="14"/>
  <c r="HD51" i="14"/>
  <c r="HB51" i="14"/>
  <c r="HA51" i="14"/>
  <c r="GY51" i="14"/>
  <c r="GX51" i="14"/>
  <c r="GV51" i="14"/>
  <c r="GU51" i="14"/>
  <c r="GS51" i="14"/>
  <c r="GR51" i="14"/>
  <c r="GP51" i="14"/>
  <c r="GO51" i="14"/>
  <c r="GM51" i="14"/>
  <c r="GL51" i="14"/>
  <c r="GJ51" i="14"/>
  <c r="GI51" i="14"/>
  <c r="GG51" i="14"/>
  <c r="GF51" i="14"/>
  <c r="GD51" i="14"/>
  <c r="GC51" i="14"/>
  <c r="GA51" i="14"/>
  <c r="FZ51" i="14"/>
  <c r="FX51" i="14"/>
  <c r="FW51" i="14"/>
  <c r="FU51" i="14"/>
  <c r="FT51" i="14"/>
  <c r="FR51" i="14"/>
  <c r="FQ51" i="14"/>
  <c r="FO51" i="14"/>
  <c r="FN51" i="14"/>
  <c r="FL51" i="14"/>
  <c r="FK51" i="14"/>
  <c r="FI51" i="14"/>
  <c r="FH51" i="14"/>
  <c r="FF51" i="14"/>
  <c r="FE51" i="14"/>
  <c r="FC51" i="14"/>
  <c r="FB51" i="14"/>
  <c r="EZ51" i="14"/>
  <c r="EY51" i="14"/>
  <c r="EW51" i="14"/>
  <c r="EV51" i="14"/>
  <c r="ET51" i="14"/>
  <c r="ES51" i="14"/>
  <c r="EQ51" i="14"/>
  <c r="EP51" i="14"/>
  <c r="EN51" i="14"/>
  <c r="EM51" i="14"/>
  <c r="EK51" i="14"/>
  <c r="EJ51" i="14"/>
  <c r="EH51" i="14"/>
  <c r="EG51" i="14"/>
  <c r="EE51" i="14"/>
  <c r="ED51" i="14"/>
  <c r="EB51" i="14"/>
  <c r="EA51" i="14"/>
  <c r="DY51" i="14"/>
  <c r="DX51" i="14"/>
  <c r="DV51" i="14"/>
  <c r="DU51" i="14"/>
  <c r="DS51" i="14"/>
  <c r="DR51" i="14"/>
  <c r="DP51" i="14"/>
  <c r="DO51" i="14"/>
  <c r="DM51" i="14"/>
  <c r="DL51" i="14"/>
  <c r="DJ51" i="14"/>
  <c r="DI51" i="14"/>
  <c r="DG51" i="14"/>
  <c r="DF51" i="14"/>
  <c r="DD51" i="14"/>
  <c r="DC51" i="14"/>
  <c r="DA51" i="14"/>
  <c r="CZ51" i="14"/>
  <c r="CX51" i="14"/>
  <c r="CW51" i="14"/>
  <c r="CU51" i="14"/>
  <c r="CT51" i="14"/>
  <c r="CR51" i="14"/>
  <c r="CQ51" i="14"/>
  <c r="CO51" i="14"/>
  <c r="CN51" i="14"/>
  <c r="CL51" i="14"/>
  <c r="CK51" i="14"/>
  <c r="CI51" i="14"/>
  <c r="CH51" i="14"/>
  <c r="CF51" i="14"/>
  <c r="CE51" i="14"/>
  <c r="CC51" i="14"/>
  <c r="CB51" i="14"/>
  <c r="BZ51" i="14"/>
  <c r="BY51" i="14"/>
  <c r="BW51" i="14"/>
  <c r="BV51" i="14"/>
  <c r="BT51" i="14"/>
  <c r="BS51" i="14"/>
  <c r="BQ51" i="14"/>
  <c r="BP51" i="14"/>
  <c r="BN51" i="14"/>
  <c r="BM51" i="14"/>
  <c r="BK51" i="14"/>
  <c r="BJ51" i="14"/>
  <c r="BH51" i="14"/>
  <c r="BG51" i="14"/>
  <c r="BE51" i="14"/>
  <c r="BD51" i="14"/>
  <c r="BB51" i="14"/>
  <c r="BA51" i="14"/>
  <c r="AY51" i="14"/>
  <c r="AX51" i="14"/>
  <c r="AV51" i="14"/>
  <c r="AU51" i="14"/>
  <c r="AS51" i="14"/>
  <c r="AR51" i="14"/>
  <c r="AP51" i="14"/>
  <c r="AO51" i="14"/>
  <c r="AM51" i="14"/>
  <c r="AL51" i="14"/>
  <c r="AJ51" i="14"/>
  <c r="AI51" i="14"/>
  <c r="AG51" i="14"/>
  <c r="AF51" i="14"/>
  <c r="AD51" i="14"/>
  <c r="AC51" i="14"/>
  <c r="AA51" i="14"/>
  <c r="Z51" i="14"/>
  <c r="X51" i="14"/>
  <c r="W51" i="14"/>
  <c r="U51" i="14"/>
  <c r="T51" i="14"/>
  <c r="R51" i="14"/>
  <c r="Q51" i="14"/>
  <c r="O51" i="14"/>
  <c r="N51" i="14"/>
  <c r="L51" i="14"/>
  <c r="K51" i="14"/>
  <c r="I51" i="14"/>
  <c r="H51" i="14"/>
  <c r="F51" i="14"/>
  <c r="E51" i="14"/>
  <c r="C51" i="14"/>
  <c r="B51" i="14"/>
  <c r="A51" i="14"/>
  <c r="HH50" i="14"/>
  <c r="HG50" i="14"/>
  <c r="HE50" i="14"/>
  <c r="HD50" i="14"/>
  <c r="HB50" i="14"/>
  <c r="HA50" i="14"/>
  <c r="GY50" i="14"/>
  <c r="GX50" i="14"/>
  <c r="GV50" i="14"/>
  <c r="GU50" i="14"/>
  <c r="GS50" i="14"/>
  <c r="GR50" i="14"/>
  <c r="GP50" i="14"/>
  <c r="GO50" i="14"/>
  <c r="GM50" i="14"/>
  <c r="GL50" i="14"/>
  <c r="GJ50" i="14"/>
  <c r="GI50" i="14"/>
  <c r="GG50" i="14"/>
  <c r="GF50" i="14"/>
  <c r="GD50" i="14"/>
  <c r="GC50" i="14"/>
  <c r="GA50" i="14"/>
  <c r="FZ50" i="14"/>
  <c r="FX50" i="14"/>
  <c r="FW50" i="14"/>
  <c r="FU50" i="14"/>
  <c r="FT50" i="14"/>
  <c r="FR50" i="14"/>
  <c r="FQ50" i="14"/>
  <c r="FO50" i="14"/>
  <c r="FN50" i="14"/>
  <c r="FL50" i="14"/>
  <c r="FK50" i="14"/>
  <c r="FI50" i="14"/>
  <c r="FH50" i="14"/>
  <c r="FF50" i="14"/>
  <c r="FE50" i="14"/>
  <c r="FC50" i="14"/>
  <c r="FB50" i="14"/>
  <c r="EZ50" i="14"/>
  <c r="EY50" i="14"/>
  <c r="EW50" i="14"/>
  <c r="EV50" i="14"/>
  <c r="ET50" i="14"/>
  <c r="ES50" i="14"/>
  <c r="EQ50" i="14"/>
  <c r="EP50" i="14"/>
  <c r="EN50" i="14"/>
  <c r="EM50" i="14"/>
  <c r="EK50" i="14"/>
  <c r="EJ50" i="14"/>
  <c r="EH50" i="14"/>
  <c r="EG50" i="14"/>
  <c r="EE50" i="14"/>
  <c r="ED50" i="14"/>
  <c r="EB50" i="14"/>
  <c r="EA50" i="14"/>
  <c r="DY50" i="14"/>
  <c r="DX50" i="14"/>
  <c r="DV50" i="14"/>
  <c r="DU50" i="14"/>
  <c r="DS50" i="14"/>
  <c r="DR50" i="14"/>
  <c r="DP50" i="14"/>
  <c r="DO50" i="14"/>
  <c r="DM50" i="14"/>
  <c r="DL50" i="14"/>
  <c r="DJ50" i="14"/>
  <c r="DI50" i="14"/>
  <c r="DG50" i="14"/>
  <c r="DF50" i="14"/>
  <c r="DD50" i="14"/>
  <c r="DC50" i="14"/>
  <c r="DA50" i="14"/>
  <c r="CZ50" i="14"/>
  <c r="CX50" i="14"/>
  <c r="CW50" i="14"/>
  <c r="CU50" i="14"/>
  <c r="CT50" i="14"/>
  <c r="CR50" i="14"/>
  <c r="CQ50" i="14"/>
  <c r="CO50" i="14"/>
  <c r="CN50" i="14"/>
  <c r="CL50" i="14"/>
  <c r="CK50" i="14"/>
  <c r="CI50" i="14"/>
  <c r="CH50" i="14"/>
  <c r="CF50" i="14"/>
  <c r="CE50" i="14"/>
  <c r="CC50" i="14"/>
  <c r="CB50" i="14"/>
  <c r="BZ50" i="14"/>
  <c r="BY50" i="14"/>
  <c r="BW50" i="14"/>
  <c r="BV50" i="14"/>
  <c r="BT50" i="14"/>
  <c r="BS50" i="14"/>
  <c r="BQ50" i="14"/>
  <c r="BP50" i="14"/>
  <c r="BN50" i="14"/>
  <c r="BM50" i="14"/>
  <c r="BK50" i="14"/>
  <c r="BJ50" i="14"/>
  <c r="BH50" i="14"/>
  <c r="BG50" i="14"/>
  <c r="BE50" i="14"/>
  <c r="BD50" i="14"/>
  <c r="BB50" i="14"/>
  <c r="BA50" i="14"/>
  <c r="AY50" i="14"/>
  <c r="AX50" i="14"/>
  <c r="AV50" i="14"/>
  <c r="AU50" i="14"/>
  <c r="AS50" i="14"/>
  <c r="AR50" i="14"/>
  <c r="AP50" i="14"/>
  <c r="AO50" i="14"/>
  <c r="AM50" i="14"/>
  <c r="AL50" i="14"/>
  <c r="AJ50" i="14"/>
  <c r="AI50" i="14"/>
  <c r="AG50" i="14"/>
  <c r="AF50" i="14"/>
  <c r="AD50" i="14"/>
  <c r="AC50" i="14"/>
  <c r="AA50" i="14"/>
  <c r="Z50" i="14"/>
  <c r="X50" i="14"/>
  <c r="W50" i="14"/>
  <c r="U50" i="14"/>
  <c r="T50" i="14"/>
  <c r="R50" i="14"/>
  <c r="Q50" i="14"/>
  <c r="O50" i="14"/>
  <c r="N50" i="14"/>
  <c r="L50" i="14"/>
  <c r="K50" i="14"/>
  <c r="I50" i="14"/>
  <c r="H50" i="14"/>
  <c r="F50" i="14"/>
  <c r="E50" i="14"/>
  <c r="C50" i="14"/>
  <c r="B50" i="14"/>
  <c r="A50" i="14"/>
  <c r="HH49" i="14"/>
  <c r="HG49" i="14"/>
  <c r="HE49" i="14"/>
  <c r="HD49" i="14"/>
  <c r="HB49" i="14"/>
  <c r="HA49" i="14"/>
  <c r="GY49" i="14"/>
  <c r="GX49" i="14"/>
  <c r="GV49" i="14"/>
  <c r="GU49" i="14"/>
  <c r="GS49" i="14"/>
  <c r="GR49" i="14"/>
  <c r="GP49" i="14"/>
  <c r="GO49" i="14"/>
  <c r="GM49" i="14"/>
  <c r="GL49" i="14"/>
  <c r="GJ49" i="14"/>
  <c r="GI49" i="14"/>
  <c r="GG49" i="14"/>
  <c r="GF49" i="14"/>
  <c r="GD49" i="14"/>
  <c r="GC49" i="14"/>
  <c r="GA49" i="14"/>
  <c r="FZ49" i="14"/>
  <c r="FX49" i="14"/>
  <c r="FW49" i="14"/>
  <c r="FU49" i="14"/>
  <c r="FT49" i="14"/>
  <c r="FR49" i="14"/>
  <c r="FQ49" i="14"/>
  <c r="FO49" i="14"/>
  <c r="FN49" i="14"/>
  <c r="FL49" i="14"/>
  <c r="FK49" i="14"/>
  <c r="FI49" i="14"/>
  <c r="FH49" i="14"/>
  <c r="FF49" i="14"/>
  <c r="FE49" i="14"/>
  <c r="FC49" i="14"/>
  <c r="FB49" i="14"/>
  <c r="EZ49" i="14"/>
  <c r="EY49" i="14"/>
  <c r="EW49" i="14"/>
  <c r="EV49" i="14"/>
  <c r="ET49" i="14"/>
  <c r="ES49" i="14"/>
  <c r="EQ49" i="14"/>
  <c r="EP49" i="14"/>
  <c r="EN49" i="14"/>
  <c r="EM49" i="14"/>
  <c r="EK49" i="14"/>
  <c r="EJ49" i="14"/>
  <c r="EH49" i="14"/>
  <c r="EG49" i="14"/>
  <c r="EE49" i="14"/>
  <c r="ED49" i="14"/>
  <c r="EB49" i="14"/>
  <c r="EA49" i="14"/>
  <c r="DY49" i="14"/>
  <c r="DX49" i="14"/>
  <c r="DV49" i="14"/>
  <c r="DU49" i="14"/>
  <c r="DS49" i="14"/>
  <c r="DR49" i="14"/>
  <c r="DP49" i="14"/>
  <c r="DO49" i="14"/>
  <c r="DM49" i="14"/>
  <c r="DL49" i="14"/>
  <c r="DJ49" i="14"/>
  <c r="DI49" i="14"/>
  <c r="DG49" i="14"/>
  <c r="DF49" i="14"/>
  <c r="DD49" i="14"/>
  <c r="DC49" i="14"/>
  <c r="DA49" i="14"/>
  <c r="CZ49" i="14"/>
  <c r="CX49" i="14"/>
  <c r="CW49" i="14"/>
  <c r="CU49" i="14"/>
  <c r="CT49" i="14"/>
  <c r="CR49" i="14"/>
  <c r="CQ49" i="14"/>
  <c r="CO49" i="14"/>
  <c r="CN49" i="14"/>
  <c r="CL49" i="14"/>
  <c r="CK49" i="14"/>
  <c r="CI49" i="14"/>
  <c r="CH49" i="14"/>
  <c r="CF49" i="14"/>
  <c r="CE49" i="14"/>
  <c r="CC49" i="14"/>
  <c r="CB49" i="14"/>
  <c r="BZ49" i="14"/>
  <c r="BY49" i="14"/>
  <c r="BW49" i="14"/>
  <c r="BV49" i="14"/>
  <c r="BT49" i="14"/>
  <c r="BS49" i="14"/>
  <c r="BQ49" i="14"/>
  <c r="BP49" i="14"/>
  <c r="BN49" i="14"/>
  <c r="BM49" i="14"/>
  <c r="BK49" i="14"/>
  <c r="BJ49" i="14"/>
  <c r="BH49" i="14"/>
  <c r="BG49" i="14"/>
  <c r="BE49" i="14"/>
  <c r="BD49" i="14"/>
  <c r="BB49" i="14"/>
  <c r="BA49" i="14"/>
  <c r="AY49" i="14"/>
  <c r="AX49" i="14"/>
  <c r="AV49" i="14"/>
  <c r="AU49" i="14"/>
  <c r="AS49" i="14"/>
  <c r="AR49" i="14"/>
  <c r="AP49" i="14"/>
  <c r="AO49" i="14"/>
  <c r="AM49" i="14"/>
  <c r="AL49" i="14"/>
  <c r="AJ49" i="14"/>
  <c r="AI49" i="14"/>
  <c r="AG49" i="14"/>
  <c r="AF49" i="14"/>
  <c r="AD49" i="14"/>
  <c r="AC49" i="14"/>
  <c r="AA49" i="14"/>
  <c r="Z49" i="14"/>
  <c r="X49" i="14"/>
  <c r="W49" i="14"/>
  <c r="U49" i="14"/>
  <c r="T49" i="14"/>
  <c r="R49" i="14"/>
  <c r="Q49" i="14"/>
  <c r="O49" i="14"/>
  <c r="N49" i="14"/>
  <c r="L49" i="14"/>
  <c r="K49" i="14"/>
  <c r="I49" i="14"/>
  <c r="H49" i="14"/>
  <c r="F49" i="14"/>
  <c r="E49" i="14"/>
  <c r="C49" i="14"/>
  <c r="B49" i="14"/>
  <c r="A49" i="14"/>
  <c r="HH48" i="14"/>
  <c r="HG48" i="14"/>
  <c r="HE48" i="14"/>
  <c r="HD48" i="14"/>
  <c r="HB48" i="14"/>
  <c r="HA48" i="14"/>
  <c r="GY48" i="14"/>
  <c r="GX48" i="14"/>
  <c r="GV48" i="14"/>
  <c r="GU48" i="14"/>
  <c r="GS48" i="14"/>
  <c r="GR48" i="14"/>
  <c r="GP48" i="14"/>
  <c r="GO48" i="14"/>
  <c r="GM48" i="14"/>
  <c r="GL48" i="14"/>
  <c r="GJ48" i="14"/>
  <c r="GI48" i="14"/>
  <c r="GG48" i="14"/>
  <c r="GF48" i="14"/>
  <c r="GD48" i="14"/>
  <c r="GC48" i="14"/>
  <c r="GA48" i="14"/>
  <c r="FZ48" i="14"/>
  <c r="FX48" i="14"/>
  <c r="FW48" i="14"/>
  <c r="FU48" i="14"/>
  <c r="FT48" i="14"/>
  <c r="FR48" i="14"/>
  <c r="FQ48" i="14"/>
  <c r="FO48" i="14"/>
  <c r="FN48" i="14"/>
  <c r="FL48" i="14"/>
  <c r="FK48" i="14"/>
  <c r="FI48" i="14"/>
  <c r="FH48" i="14"/>
  <c r="FF48" i="14"/>
  <c r="FE48" i="14"/>
  <c r="FC48" i="14"/>
  <c r="FB48" i="14"/>
  <c r="EZ48" i="14"/>
  <c r="EY48" i="14"/>
  <c r="EW48" i="14"/>
  <c r="EV48" i="14"/>
  <c r="ET48" i="14"/>
  <c r="ES48" i="14"/>
  <c r="EQ48" i="14"/>
  <c r="EP48" i="14"/>
  <c r="EN48" i="14"/>
  <c r="EM48" i="14"/>
  <c r="EK48" i="14"/>
  <c r="EJ48" i="14"/>
  <c r="EH48" i="14"/>
  <c r="EG48" i="14"/>
  <c r="EE48" i="14"/>
  <c r="ED48" i="14"/>
  <c r="EB48" i="14"/>
  <c r="EA48" i="14"/>
  <c r="DY48" i="14"/>
  <c r="DX48" i="14"/>
  <c r="DV48" i="14"/>
  <c r="DU48" i="14"/>
  <c r="DS48" i="14"/>
  <c r="DR48" i="14"/>
  <c r="DP48" i="14"/>
  <c r="DO48" i="14"/>
  <c r="DM48" i="14"/>
  <c r="DL48" i="14"/>
  <c r="DJ48" i="14"/>
  <c r="DI48" i="14"/>
  <c r="DG48" i="14"/>
  <c r="DF48" i="14"/>
  <c r="DD48" i="14"/>
  <c r="DC48" i="14"/>
  <c r="DA48" i="14"/>
  <c r="CZ48" i="14"/>
  <c r="CX48" i="14"/>
  <c r="CW48" i="14"/>
  <c r="CU48" i="14"/>
  <c r="CT48" i="14"/>
  <c r="CR48" i="14"/>
  <c r="CQ48" i="14"/>
  <c r="CO48" i="14"/>
  <c r="CN48" i="14"/>
  <c r="CL48" i="14"/>
  <c r="CK48" i="14"/>
  <c r="CI48" i="14"/>
  <c r="CH48" i="14"/>
  <c r="CF48" i="14"/>
  <c r="CE48" i="14"/>
  <c r="CC48" i="14"/>
  <c r="CB48" i="14"/>
  <c r="BZ48" i="14"/>
  <c r="BY48" i="14"/>
  <c r="BW48" i="14"/>
  <c r="BV48" i="14"/>
  <c r="BT48" i="14"/>
  <c r="BS48" i="14"/>
  <c r="BQ48" i="14"/>
  <c r="BP48" i="14"/>
  <c r="BN48" i="14"/>
  <c r="BM48" i="14"/>
  <c r="BK48" i="14"/>
  <c r="BJ48" i="14"/>
  <c r="BH48" i="14"/>
  <c r="BG48" i="14"/>
  <c r="BE48" i="14"/>
  <c r="BD48" i="14"/>
  <c r="BB48" i="14"/>
  <c r="BA48" i="14"/>
  <c r="AY48" i="14"/>
  <c r="AX48" i="14"/>
  <c r="AV48" i="14"/>
  <c r="AU48" i="14"/>
  <c r="AS48" i="14"/>
  <c r="AR48" i="14"/>
  <c r="AP48" i="14"/>
  <c r="AO48" i="14"/>
  <c r="AM48" i="14"/>
  <c r="AL48" i="14"/>
  <c r="AJ48" i="14"/>
  <c r="AI48" i="14"/>
  <c r="AG48" i="14"/>
  <c r="AF48" i="14"/>
  <c r="AD48" i="14"/>
  <c r="AC48" i="14"/>
  <c r="AA48" i="14"/>
  <c r="Z48" i="14"/>
  <c r="X48" i="14"/>
  <c r="W48" i="14"/>
  <c r="U48" i="14"/>
  <c r="T48" i="14"/>
  <c r="R48" i="14"/>
  <c r="Q48" i="14"/>
  <c r="O48" i="14"/>
  <c r="N48" i="14"/>
  <c r="L48" i="14"/>
  <c r="K48" i="14"/>
  <c r="I48" i="14"/>
  <c r="H48" i="14"/>
  <c r="F48" i="14"/>
  <c r="E48" i="14"/>
  <c r="C48" i="14"/>
  <c r="B48" i="14"/>
  <c r="A48" i="14"/>
  <c r="HH47" i="14"/>
  <c r="HG47" i="14"/>
  <c r="HE47" i="14"/>
  <c r="HD47" i="14"/>
  <c r="HB47" i="14"/>
  <c r="HA47" i="14"/>
  <c r="GY47" i="14"/>
  <c r="GX47" i="14"/>
  <c r="GV47" i="14"/>
  <c r="GU47" i="14"/>
  <c r="GS47" i="14"/>
  <c r="GR47" i="14"/>
  <c r="GP47" i="14"/>
  <c r="GO47" i="14"/>
  <c r="GM47" i="14"/>
  <c r="GL47" i="14"/>
  <c r="GJ47" i="14"/>
  <c r="GI47" i="14"/>
  <c r="GG47" i="14"/>
  <c r="GF47" i="14"/>
  <c r="GD47" i="14"/>
  <c r="GC47" i="14"/>
  <c r="GA47" i="14"/>
  <c r="FZ47" i="14"/>
  <c r="FX47" i="14"/>
  <c r="FW47" i="14"/>
  <c r="FU47" i="14"/>
  <c r="FT47" i="14"/>
  <c r="FR47" i="14"/>
  <c r="FQ47" i="14"/>
  <c r="FO47" i="14"/>
  <c r="FN47" i="14"/>
  <c r="FL47" i="14"/>
  <c r="FK47" i="14"/>
  <c r="FI47" i="14"/>
  <c r="FH47" i="14"/>
  <c r="FF47" i="14"/>
  <c r="FE47" i="14"/>
  <c r="FC47" i="14"/>
  <c r="FB47" i="14"/>
  <c r="EZ47" i="14"/>
  <c r="EY47" i="14"/>
  <c r="EW47" i="14"/>
  <c r="EV47" i="14"/>
  <c r="ET47" i="14"/>
  <c r="ES47" i="14"/>
  <c r="EQ47" i="14"/>
  <c r="EP47" i="14"/>
  <c r="EN47" i="14"/>
  <c r="EM47" i="14"/>
  <c r="EK47" i="14"/>
  <c r="EJ47" i="14"/>
  <c r="EH47" i="14"/>
  <c r="EG47" i="14"/>
  <c r="EE47" i="14"/>
  <c r="ED47" i="14"/>
  <c r="EB47" i="14"/>
  <c r="EA47" i="14"/>
  <c r="DY47" i="14"/>
  <c r="DX47" i="14"/>
  <c r="DV47" i="14"/>
  <c r="DU47" i="14"/>
  <c r="DS47" i="14"/>
  <c r="DR47" i="14"/>
  <c r="DP47" i="14"/>
  <c r="DO47" i="14"/>
  <c r="DM47" i="14"/>
  <c r="DL47" i="14"/>
  <c r="DJ47" i="14"/>
  <c r="DI47" i="14"/>
  <c r="DG47" i="14"/>
  <c r="DF47" i="14"/>
  <c r="DD47" i="14"/>
  <c r="DC47" i="14"/>
  <c r="DA47" i="14"/>
  <c r="CZ47" i="14"/>
  <c r="CX47" i="14"/>
  <c r="CW47" i="14"/>
  <c r="CU47" i="14"/>
  <c r="CT47" i="14"/>
  <c r="CR47" i="14"/>
  <c r="CQ47" i="14"/>
  <c r="CO47" i="14"/>
  <c r="CN47" i="14"/>
  <c r="CL47" i="14"/>
  <c r="CK47" i="14"/>
  <c r="CI47" i="14"/>
  <c r="CH47" i="14"/>
  <c r="CF47" i="14"/>
  <c r="CE47" i="14"/>
  <c r="CC47" i="14"/>
  <c r="CB47" i="14"/>
  <c r="BZ47" i="14"/>
  <c r="BY47" i="14"/>
  <c r="BW47" i="14"/>
  <c r="BV47" i="14"/>
  <c r="BT47" i="14"/>
  <c r="BS47" i="14"/>
  <c r="BQ47" i="14"/>
  <c r="BP47" i="14"/>
  <c r="BN47" i="14"/>
  <c r="BM47" i="14"/>
  <c r="BK47" i="14"/>
  <c r="BJ47" i="14"/>
  <c r="BH47" i="14"/>
  <c r="BG47" i="14"/>
  <c r="BE47" i="14"/>
  <c r="BD47" i="14"/>
  <c r="BB47" i="14"/>
  <c r="BA47" i="14"/>
  <c r="AY47" i="14"/>
  <c r="AX47" i="14"/>
  <c r="AV47" i="14"/>
  <c r="AU47" i="14"/>
  <c r="AS47" i="14"/>
  <c r="AR47" i="14"/>
  <c r="AP47" i="14"/>
  <c r="AO47" i="14"/>
  <c r="AM47" i="14"/>
  <c r="AL47" i="14"/>
  <c r="AJ47" i="14"/>
  <c r="AI47" i="14"/>
  <c r="AG47" i="14"/>
  <c r="AF47" i="14"/>
  <c r="AD47" i="14"/>
  <c r="AC47" i="14"/>
  <c r="AA47" i="14"/>
  <c r="Z47" i="14"/>
  <c r="X47" i="14"/>
  <c r="W47" i="14"/>
  <c r="U47" i="14"/>
  <c r="T47" i="14"/>
  <c r="R47" i="14"/>
  <c r="Q47" i="14"/>
  <c r="O47" i="14"/>
  <c r="N47" i="14"/>
  <c r="L47" i="14"/>
  <c r="K47" i="14"/>
  <c r="I47" i="14"/>
  <c r="H47" i="14"/>
  <c r="F47" i="14"/>
  <c r="E47" i="14"/>
  <c r="C47" i="14"/>
  <c r="B47" i="14"/>
  <c r="A47" i="14"/>
  <c r="HH46" i="14"/>
  <c r="HG46" i="14"/>
  <c r="HE46" i="14"/>
  <c r="HD46" i="14"/>
  <c r="HB46" i="14"/>
  <c r="HA46" i="14"/>
  <c r="GY46" i="14"/>
  <c r="GX46" i="14"/>
  <c r="GV46" i="14"/>
  <c r="GU46" i="14"/>
  <c r="GS46" i="14"/>
  <c r="GR46" i="14"/>
  <c r="GP46" i="14"/>
  <c r="GO46" i="14"/>
  <c r="GM46" i="14"/>
  <c r="GL46" i="14"/>
  <c r="GJ46" i="14"/>
  <c r="GI46" i="14"/>
  <c r="GG46" i="14"/>
  <c r="GF46" i="14"/>
  <c r="GD46" i="14"/>
  <c r="GC46" i="14"/>
  <c r="GA46" i="14"/>
  <c r="FZ46" i="14"/>
  <c r="FX46" i="14"/>
  <c r="FW46" i="14"/>
  <c r="FU46" i="14"/>
  <c r="FT46" i="14"/>
  <c r="FR46" i="14"/>
  <c r="FQ46" i="14"/>
  <c r="FO46" i="14"/>
  <c r="FN46" i="14"/>
  <c r="FL46" i="14"/>
  <c r="FK46" i="14"/>
  <c r="FI46" i="14"/>
  <c r="FH46" i="14"/>
  <c r="FF46" i="14"/>
  <c r="FE46" i="14"/>
  <c r="FC46" i="14"/>
  <c r="FB46" i="14"/>
  <c r="EZ46" i="14"/>
  <c r="EY46" i="14"/>
  <c r="EW46" i="14"/>
  <c r="EV46" i="14"/>
  <c r="ET46" i="14"/>
  <c r="ES46" i="14"/>
  <c r="EQ46" i="14"/>
  <c r="EP46" i="14"/>
  <c r="EN46" i="14"/>
  <c r="EM46" i="14"/>
  <c r="EK46" i="14"/>
  <c r="EJ46" i="14"/>
  <c r="EH46" i="14"/>
  <c r="EG46" i="14"/>
  <c r="EE46" i="14"/>
  <c r="ED46" i="14"/>
  <c r="EB46" i="14"/>
  <c r="EA46" i="14"/>
  <c r="DY46" i="14"/>
  <c r="DX46" i="14"/>
  <c r="DV46" i="14"/>
  <c r="DU46" i="14"/>
  <c r="DS46" i="14"/>
  <c r="DR46" i="14"/>
  <c r="DP46" i="14"/>
  <c r="DO46" i="14"/>
  <c r="DM46" i="14"/>
  <c r="DL46" i="14"/>
  <c r="DJ46" i="14"/>
  <c r="DI46" i="14"/>
  <c r="DG46" i="14"/>
  <c r="DF46" i="14"/>
  <c r="DD46" i="14"/>
  <c r="DC46" i="14"/>
  <c r="DA46" i="14"/>
  <c r="CZ46" i="14"/>
  <c r="CX46" i="14"/>
  <c r="CW46" i="14"/>
  <c r="CU46" i="14"/>
  <c r="CT46" i="14"/>
  <c r="CR46" i="14"/>
  <c r="CQ46" i="14"/>
  <c r="CO46" i="14"/>
  <c r="CN46" i="14"/>
  <c r="CL46" i="14"/>
  <c r="CK46" i="14"/>
  <c r="CI46" i="14"/>
  <c r="CH46" i="14"/>
  <c r="CF46" i="14"/>
  <c r="CE46" i="14"/>
  <c r="CC46" i="14"/>
  <c r="CB46" i="14"/>
  <c r="BZ46" i="14"/>
  <c r="BY46" i="14"/>
  <c r="BW46" i="14"/>
  <c r="BV46" i="14"/>
  <c r="BT46" i="14"/>
  <c r="BS46" i="14"/>
  <c r="BQ46" i="14"/>
  <c r="BP46" i="14"/>
  <c r="BN46" i="14"/>
  <c r="BM46" i="14"/>
  <c r="BK46" i="14"/>
  <c r="BJ46" i="14"/>
  <c r="BH46" i="14"/>
  <c r="BG46" i="14"/>
  <c r="BE46" i="14"/>
  <c r="BD46" i="14"/>
  <c r="BB46" i="14"/>
  <c r="BA46" i="14"/>
  <c r="AY46" i="14"/>
  <c r="AX46" i="14"/>
  <c r="AV46" i="14"/>
  <c r="AU46" i="14"/>
  <c r="AS46" i="14"/>
  <c r="AR46" i="14"/>
  <c r="AP46" i="14"/>
  <c r="AO46" i="14"/>
  <c r="AM46" i="14"/>
  <c r="AL46" i="14"/>
  <c r="AJ46" i="14"/>
  <c r="AI46" i="14"/>
  <c r="AG46" i="14"/>
  <c r="AF46" i="14"/>
  <c r="AD46" i="14"/>
  <c r="AC46" i="14"/>
  <c r="AA46" i="14"/>
  <c r="Z46" i="14"/>
  <c r="X46" i="14"/>
  <c r="W46" i="14"/>
  <c r="U46" i="14"/>
  <c r="T46" i="14"/>
  <c r="R46" i="14"/>
  <c r="Q46" i="14"/>
  <c r="O46" i="14"/>
  <c r="N46" i="14"/>
  <c r="L46" i="14"/>
  <c r="K46" i="14"/>
  <c r="I46" i="14"/>
  <c r="H46" i="14"/>
  <c r="F46" i="14"/>
  <c r="E46" i="14"/>
  <c r="C46" i="14"/>
  <c r="B46" i="14"/>
  <c r="A46" i="14"/>
  <c r="HH45" i="14"/>
  <c r="HG45" i="14"/>
  <c r="HE45" i="14"/>
  <c r="HD45" i="14"/>
  <c r="HB45" i="14"/>
  <c r="HA45" i="14"/>
  <c r="GY45" i="14"/>
  <c r="GX45" i="14"/>
  <c r="GV45" i="14"/>
  <c r="GU45" i="14"/>
  <c r="GS45" i="14"/>
  <c r="GR45" i="14"/>
  <c r="GP45" i="14"/>
  <c r="GO45" i="14"/>
  <c r="GM45" i="14"/>
  <c r="GL45" i="14"/>
  <c r="GJ45" i="14"/>
  <c r="GI45" i="14"/>
  <c r="GG45" i="14"/>
  <c r="GF45" i="14"/>
  <c r="GD45" i="14"/>
  <c r="GC45" i="14"/>
  <c r="GA45" i="14"/>
  <c r="FZ45" i="14"/>
  <c r="FX45" i="14"/>
  <c r="FW45" i="14"/>
  <c r="FU45" i="14"/>
  <c r="FT45" i="14"/>
  <c r="FR45" i="14"/>
  <c r="FQ45" i="14"/>
  <c r="FO45" i="14"/>
  <c r="FN45" i="14"/>
  <c r="FL45" i="14"/>
  <c r="FK45" i="14"/>
  <c r="FI45" i="14"/>
  <c r="FH45" i="14"/>
  <c r="FF45" i="14"/>
  <c r="FE45" i="14"/>
  <c r="FC45" i="14"/>
  <c r="FB45" i="14"/>
  <c r="EZ45" i="14"/>
  <c r="EY45" i="14"/>
  <c r="EW45" i="14"/>
  <c r="EV45" i="14"/>
  <c r="ET45" i="14"/>
  <c r="ES45" i="14"/>
  <c r="EQ45" i="14"/>
  <c r="EP45" i="14"/>
  <c r="EN45" i="14"/>
  <c r="EM45" i="14"/>
  <c r="EK45" i="14"/>
  <c r="EJ45" i="14"/>
  <c r="EH45" i="14"/>
  <c r="EG45" i="14"/>
  <c r="EE45" i="14"/>
  <c r="ED45" i="14"/>
  <c r="EB45" i="14"/>
  <c r="EA45" i="14"/>
  <c r="DY45" i="14"/>
  <c r="DX45" i="14"/>
  <c r="DV45" i="14"/>
  <c r="DU45" i="14"/>
  <c r="DS45" i="14"/>
  <c r="DR45" i="14"/>
  <c r="DP45" i="14"/>
  <c r="DO45" i="14"/>
  <c r="DM45" i="14"/>
  <c r="DL45" i="14"/>
  <c r="DJ45" i="14"/>
  <c r="DI45" i="14"/>
  <c r="DG45" i="14"/>
  <c r="DF45" i="14"/>
  <c r="DD45" i="14"/>
  <c r="DC45" i="14"/>
  <c r="DA45" i="14"/>
  <c r="CZ45" i="14"/>
  <c r="CX45" i="14"/>
  <c r="CW45" i="14"/>
  <c r="CU45" i="14"/>
  <c r="CT45" i="14"/>
  <c r="CR45" i="14"/>
  <c r="CQ45" i="14"/>
  <c r="CO45" i="14"/>
  <c r="CN45" i="14"/>
  <c r="CL45" i="14"/>
  <c r="CK45" i="14"/>
  <c r="CI45" i="14"/>
  <c r="CH45" i="14"/>
  <c r="CF45" i="14"/>
  <c r="CE45" i="14"/>
  <c r="CC45" i="14"/>
  <c r="CB45" i="14"/>
  <c r="BZ45" i="14"/>
  <c r="BY45" i="14"/>
  <c r="BW45" i="14"/>
  <c r="BV45" i="14"/>
  <c r="BT45" i="14"/>
  <c r="BS45" i="14"/>
  <c r="BQ45" i="14"/>
  <c r="BP45" i="14"/>
  <c r="BN45" i="14"/>
  <c r="BM45" i="14"/>
  <c r="BK45" i="14"/>
  <c r="BJ45" i="14"/>
  <c r="BH45" i="14"/>
  <c r="BG45" i="14"/>
  <c r="BE45" i="14"/>
  <c r="BD45" i="14"/>
  <c r="BB45" i="14"/>
  <c r="BA45" i="14"/>
  <c r="AY45" i="14"/>
  <c r="AX45" i="14"/>
  <c r="AV45" i="14"/>
  <c r="AU45" i="14"/>
  <c r="AS45" i="14"/>
  <c r="AR45" i="14"/>
  <c r="AP45" i="14"/>
  <c r="AO45" i="14"/>
  <c r="AM45" i="14"/>
  <c r="AL45" i="14"/>
  <c r="AJ45" i="14"/>
  <c r="AI45" i="14"/>
  <c r="AG45" i="14"/>
  <c r="AF45" i="14"/>
  <c r="AD45" i="14"/>
  <c r="AC45" i="14"/>
  <c r="AA45" i="14"/>
  <c r="Z45" i="14"/>
  <c r="X45" i="14"/>
  <c r="W45" i="14"/>
  <c r="U45" i="14"/>
  <c r="T45" i="14"/>
  <c r="R45" i="14"/>
  <c r="Q45" i="14"/>
  <c r="O45" i="14"/>
  <c r="N45" i="14"/>
  <c r="L45" i="14"/>
  <c r="K45" i="14"/>
  <c r="I45" i="14"/>
  <c r="H45" i="14"/>
  <c r="F45" i="14"/>
  <c r="E45" i="14"/>
  <c r="C45" i="14"/>
  <c r="B45" i="14"/>
  <c r="A45" i="14"/>
  <c r="HH44" i="14"/>
  <c r="HG44" i="14"/>
  <c r="HE44" i="14"/>
  <c r="HD44" i="14"/>
  <c r="HB44" i="14"/>
  <c r="HA44" i="14"/>
  <c r="GY44" i="14"/>
  <c r="GX44" i="14"/>
  <c r="GV44" i="14"/>
  <c r="GU44" i="14"/>
  <c r="GS44" i="14"/>
  <c r="GR44" i="14"/>
  <c r="GP44" i="14"/>
  <c r="GO44" i="14"/>
  <c r="GM44" i="14"/>
  <c r="GL44" i="14"/>
  <c r="GJ44" i="14"/>
  <c r="GI44" i="14"/>
  <c r="GG44" i="14"/>
  <c r="GF44" i="14"/>
  <c r="GD44" i="14"/>
  <c r="GC44" i="14"/>
  <c r="GA44" i="14"/>
  <c r="FZ44" i="14"/>
  <c r="FX44" i="14"/>
  <c r="FW44" i="14"/>
  <c r="FU44" i="14"/>
  <c r="FT44" i="14"/>
  <c r="FR44" i="14"/>
  <c r="FQ44" i="14"/>
  <c r="FO44" i="14"/>
  <c r="FN44" i="14"/>
  <c r="FL44" i="14"/>
  <c r="FK44" i="14"/>
  <c r="FI44" i="14"/>
  <c r="FH44" i="14"/>
  <c r="FF44" i="14"/>
  <c r="FE44" i="14"/>
  <c r="FC44" i="14"/>
  <c r="FB44" i="14"/>
  <c r="EZ44" i="14"/>
  <c r="EY44" i="14"/>
  <c r="EW44" i="14"/>
  <c r="EV44" i="14"/>
  <c r="ET44" i="14"/>
  <c r="ES44" i="14"/>
  <c r="EQ44" i="14"/>
  <c r="EP44" i="14"/>
  <c r="EN44" i="14"/>
  <c r="EM44" i="14"/>
  <c r="EK44" i="14"/>
  <c r="EJ44" i="14"/>
  <c r="EH44" i="14"/>
  <c r="EG44" i="14"/>
  <c r="EE44" i="14"/>
  <c r="ED44" i="14"/>
  <c r="EB44" i="14"/>
  <c r="EA44" i="14"/>
  <c r="DY44" i="14"/>
  <c r="DX44" i="14"/>
  <c r="DV44" i="14"/>
  <c r="DU44" i="14"/>
  <c r="DS44" i="14"/>
  <c r="DR44" i="14"/>
  <c r="DP44" i="14"/>
  <c r="DO44" i="14"/>
  <c r="DM44" i="14"/>
  <c r="DL44" i="14"/>
  <c r="DJ44" i="14"/>
  <c r="DI44" i="14"/>
  <c r="DG44" i="14"/>
  <c r="DF44" i="14"/>
  <c r="DD44" i="14"/>
  <c r="DC44" i="14"/>
  <c r="DA44" i="14"/>
  <c r="CZ44" i="14"/>
  <c r="CX44" i="14"/>
  <c r="CW44" i="14"/>
  <c r="CU44" i="14"/>
  <c r="CT44" i="14"/>
  <c r="CR44" i="14"/>
  <c r="CQ44" i="14"/>
  <c r="CO44" i="14"/>
  <c r="CN44" i="14"/>
  <c r="CL44" i="14"/>
  <c r="CK44" i="14"/>
  <c r="CI44" i="14"/>
  <c r="CH44" i="14"/>
  <c r="CF44" i="14"/>
  <c r="CE44" i="14"/>
  <c r="CC44" i="14"/>
  <c r="CB44" i="14"/>
  <c r="BZ44" i="14"/>
  <c r="BY44" i="14"/>
  <c r="BW44" i="14"/>
  <c r="BV44" i="14"/>
  <c r="BT44" i="14"/>
  <c r="BS44" i="14"/>
  <c r="BQ44" i="14"/>
  <c r="BP44" i="14"/>
  <c r="BN44" i="14"/>
  <c r="BM44" i="14"/>
  <c r="BK44" i="14"/>
  <c r="BJ44" i="14"/>
  <c r="BH44" i="14"/>
  <c r="BG44" i="14"/>
  <c r="BE44" i="14"/>
  <c r="BD44" i="14"/>
  <c r="BB44" i="14"/>
  <c r="BA44" i="14"/>
  <c r="AY44" i="14"/>
  <c r="AX44" i="14"/>
  <c r="AV44" i="14"/>
  <c r="AU44" i="14"/>
  <c r="AS44" i="14"/>
  <c r="AR44" i="14"/>
  <c r="AP44" i="14"/>
  <c r="AO44" i="14"/>
  <c r="AM44" i="14"/>
  <c r="AL44" i="14"/>
  <c r="AJ44" i="14"/>
  <c r="AI44" i="14"/>
  <c r="AG44" i="14"/>
  <c r="AF44" i="14"/>
  <c r="AD44" i="14"/>
  <c r="AC44" i="14"/>
  <c r="AA44" i="14"/>
  <c r="Z44" i="14"/>
  <c r="X44" i="14"/>
  <c r="W44" i="14"/>
  <c r="U44" i="14"/>
  <c r="T44" i="14"/>
  <c r="R44" i="14"/>
  <c r="Q44" i="14"/>
  <c r="O44" i="14"/>
  <c r="N44" i="14"/>
  <c r="L44" i="14"/>
  <c r="K44" i="14"/>
  <c r="I44" i="14"/>
  <c r="H44" i="14"/>
  <c r="F44" i="14"/>
  <c r="E44" i="14"/>
  <c r="C44" i="14"/>
  <c r="B44" i="14"/>
  <c r="A44" i="14"/>
  <c r="HH43" i="14"/>
  <c r="HG43" i="14"/>
  <c r="HE43" i="14"/>
  <c r="HD43" i="14"/>
  <c r="HB43" i="14"/>
  <c r="HA43" i="14"/>
  <c r="GY43" i="14"/>
  <c r="GX43" i="14"/>
  <c r="GV43" i="14"/>
  <c r="GU43" i="14"/>
  <c r="GS43" i="14"/>
  <c r="GR43" i="14"/>
  <c r="GP43" i="14"/>
  <c r="GO43" i="14"/>
  <c r="GM43" i="14"/>
  <c r="GL43" i="14"/>
  <c r="GJ43" i="14"/>
  <c r="GI43" i="14"/>
  <c r="GG43" i="14"/>
  <c r="GF43" i="14"/>
  <c r="GD43" i="14"/>
  <c r="GC43" i="14"/>
  <c r="GA43" i="14"/>
  <c r="FZ43" i="14"/>
  <c r="FX43" i="14"/>
  <c r="FW43" i="14"/>
  <c r="FU43" i="14"/>
  <c r="FT43" i="14"/>
  <c r="FR43" i="14"/>
  <c r="FQ43" i="14"/>
  <c r="FO43" i="14"/>
  <c r="FN43" i="14"/>
  <c r="FL43" i="14"/>
  <c r="FK43" i="14"/>
  <c r="FI43" i="14"/>
  <c r="FH43" i="14"/>
  <c r="FF43" i="14"/>
  <c r="FE43" i="14"/>
  <c r="FC43" i="14"/>
  <c r="FB43" i="14"/>
  <c r="EZ43" i="14"/>
  <c r="EY43" i="14"/>
  <c r="EW43" i="14"/>
  <c r="EV43" i="14"/>
  <c r="ET43" i="14"/>
  <c r="ES43" i="14"/>
  <c r="EQ43" i="14"/>
  <c r="EP43" i="14"/>
  <c r="EN43" i="14"/>
  <c r="EM43" i="14"/>
  <c r="EK43" i="14"/>
  <c r="EJ43" i="14"/>
  <c r="EH43" i="14"/>
  <c r="EG43" i="14"/>
  <c r="EE43" i="14"/>
  <c r="ED43" i="14"/>
  <c r="EB43" i="14"/>
  <c r="EA43" i="14"/>
  <c r="DY43" i="14"/>
  <c r="DX43" i="14"/>
  <c r="DV43" i="14"/>
  <c r="DU43" i="14"/>
  <c r="DS43" i="14"/>
  <c r="DR43" i="14"/>
  <c r="DP43" i="14"/>
  <c r="DO43" i="14"/>
  <c r="DM43" i="14"/>
  <c r="DL43" i="14"/>
  <c r="DJ43" i="14"/>
  <c r="DI43" i="14"/>
  <c r="DG43" i="14"/>
  <c r="DF43" i="14"/>
  <c r="DD43" i="14"/>
  <c r="DC43" i="14"/>
  <c r="DA43" i="14"/>
  <c r="CZ43" i="14"/>
  <c r="CX43" i="14"/>
  <c r="CW43" i="14"/>
  <c r="CU43" i="14"/>
  <c r="CT43" i="14"/>
  <c r="CR43" i="14"/>
  <c r="CQ43" i="14"/>
  <c r="CO43" i="14"/>
  <c r="CN43" i="14"/>
  <c r="CL43" i="14"/>
  <c r="CK43" i="14"/>
  <c r="CI43" i="14"/>
  <c r="CH43" i="14"/>
  <c r="CF43" i="14"/>
  <c r="CE43" i="14"/>
  <c r="CC43" i="14"/>
  <c r="CB43" i="14"/>
  <c r="BZ43" i="14"/>
  <c r="BY43" i="14"/>
  <c r="BW43" i="14"/>
  <c r="BV43" i="14"/>
  <c r="BT43" i="14"/>
  <c r="BS43" i="14"/>
  <c r="BQ43" i="14"/>
  <c r="BP43" i="14"/>
  <c r="BN43" i="14"/>
  <c r="BM43" i="14"/>
  <c r="BK43" i="14"/>
  <c r="BJ43" i="14"/>
  <c r="BH43" i="14"/>
  <c r="BG43" i="14"/>
  <c r="BE43" i="14"/>
  <c r="BD43" i="14"/>
  <c r="BB43" i="14"/>
  <c r="BA43" i="14"/>
  <c r="AY43" i="14"/>
  <c r="AX43" i="14"/>
  <c r="AV43" i="14"/>
  <c r="AU43" i="14"/>
  <c r="AS43" i="14"/>
  <c r="AR43" i="14"/>
  <c r="AP43" i="14"/>
  <c r="AO43" i="14"/>
  <c r="AM43" i="14"/>
  <c r="AL43" i="14"/>
  <c r="AJ43" i="14"/>
  <c r="AI43" i="14"/>
  <c r="AG43" i="14"/>
  <c r="AF43" i="14"/>
  <c r="AD43" i="14"/>
  <c r="AC43" i="14"/>
  <c r="AA43" i="14"/>
  <c r="Z43" i="14"/>
  <c r="X43" i="14"/>
  <c r="W43" i="14"/>
  <c r="U43" i="14"/>
  <c r="T43" i="14"/>
  <c r="R43" i="14"/>
  <c r="Q43" i="14"/>
  <c r="O43" i="14"/>
  <c r="N43" i="14"/>
  <c r="L43" i="14"/>
  <c r="K43" i="14"/>
  <c r="I43" i="14"/>
  <c r="H43" i="14"/>
  <c r="F43" i="14"/>
  <c r="E43" i="14"/>
  <c r="C43" i="14"/>
  <c r="B43" i="14"/>
  <c r="A43" i="14"/>
  <c r="HH42" i="14"/>
  <c r="HG42" i="14"/>
  <c r="HE42" i="14"/>
  <c r="HD42" i="14"/>
  <c r="HB42" i="14"/>
  <c r="HA42" i="14"/>
  <c r="GY42" i="14"/>
  <c r="GX42" i="14"/>
  <c r="GV42" i="14"/>
  <c r="GU42" i="14"/>
  <c r="GS42" i="14"/>
  <c r="GR42" i="14"/>
  <c r="GP42" i="14"/>
  <c r="GO42" i="14"/>
  <c r="GM42" i="14"/>
  <c r="GL42" i="14"/>
  <c r="GJ42" i="14"/>
  <c r="GI42" i="14"/>
  <c r="GG42" i="14"/>
  <c r="GF42" i="14"/>
  <c r="GD42" i="14"/>
  <c r="GC42" i="14"/>
  <c r="GA42" i="14"/>
  <c r="FZ42" i="14"/>
  <c r="FX42" i="14"/>
  <c r="FW42" i="14"/>
  <c r="FU42" i="14"/>
  <c r="FT42" i="14"/>
  <c r="FR42" i="14"/>
  <c r="FQ42" i="14"/>
  <c r="FO42" i="14"/>
  <c r="FN42" i="14"/>
  <c r="FL42" i="14"/>
  <c r="FK42" i="14"/>
  <c r="FI42" i="14"/>
  <c r="FH42" i="14"/>
  <c r="FF42" i="14"/>
  <c r="FE42" i="14"/>
  <c r="FC42" i="14"/>
  <c r="FB42" i="14"/>
  <c r="EZ42" i="14"/>
  <c r="EY42" i="14"/>
  <c r="EW42" i="14"/>
  <c r="EV42" i="14"/>
  <c r="ET42" i="14"/>
  <c r="ES42" i="14"/>
  <c r="EQ42" i="14"/>
  <c r="EP42" i="14"/>
  <c r="EN42" i="14"/>
  <c r="EM42" i="14"/>
  <c r="EK42" i="14"/>
  <c r="EJ42" i="14"/>
  <c r="EH42" i="14"/>
  <c r="EG42" i="14"/>
  <c r="EE42" i="14"/>
  <c r="ED42" i="14"/>
  <c r="EB42" i="14"/>
  <c r="EA42" i="14"/>
  <c r="DY42" i="14"/>
  <c r="DX42" i="14"/>
  <c r="DV42" i="14"/>
  <c r="DU42" i="14"/>
  <c r="DS42" i="14"/>
  <c r="DR42" i="14"/>
  <c r="DP42" i="14"/>
  <c r="DO42" i="14"/>
  <c r="DM42" i="14"/>
  <c r="DL42" i="14"/>
  <c r="DJ42" i="14"/>
  <c r="DI42" i="14"/>
  <c r="DG42" i="14"/>
  <c r="DF42" i="14"/>
  <c r="DD42" i="14"/>
  <c r="DC42" i="14"/>
  <c r="DA42" i="14"/>
  <c r="CZ42" i="14"/>
  <c r="CX42" i="14"/>
  <c r="CW42" i="14"/>
  <c r="CU42" i="14"/>
  <c r="CT42" i="14"/>
  <c r="CR42" i="14"/>
  <c r="CQ42" i="14"/>
  <c r="CO42" i="14"/>
  <c r="CN42" i="14"/>
  <c r="CL42" i="14"/>
  <c r="CK42" i="14"/>
  <c r="CI42" i="14"/>
  <c r="CH42" i="14"/>
  <c r="CF42" i="14"/>
  <c r="CE42" i="14"/>
  <c r="CC42" i="14"/>
  <c r="CB42" i="14"/>
  <c r="BZ42" i="14"/>
  <c r="BY42" i="14"/>
  <c r="BW42" i="14"/>
  <c r="BV42" i="14"/>
  <c r="BT42" i="14"/>
  <c r="BS42" i="14"/>
  <c r="BQ42" i="14"/>
  <c r="BP42" i="14"/>
  <c r="BN42" i="14"/>
  <c r="BM42" i="14"/>
  <c r="BK42" i="14"/>
  <c r="BJ42" i="14"/>
  <c r="BH42" i="14"/>
  <c r="BG42" i="14"/>
  <c r="BE42" i="14"/>
  <c r="BD42" i="14"/>
  <c r="BB42" i="14"/>
  <c r="BA42" i="14"/>
  <c r="AY42" i="14"/>
  <c r="AX42" i="14"/>
  <c r="AV42" i="14"/>
  <c r="AU42" i="14"/>
  <c r="AS42" i="14"/>
  <c r="AR42" i="14"/>
  <c r="AP42" i="14"/>
  <c r="AO42" i="14"/>
  <c r="AM42" i="14"/>
  <c r="AL42" i="14"/>
  <c r="AJ42" i="14"/>
  <c r="AI42" i="14"/>
  <c r="AG42" i="14"/>
  <c r="AF42" i="14"/>
  <c r="AD42" i="14"/>
  <c r="AC42" i="14"/>
  <c r="AA42" i="14"/>
  <c r="Z42" i="14"/>
  <c r="X42" i="14"/>
  <c r="W42" i="14"/>
  <c r="U42" i="14"/>
  <c r="T42" i="14"/>
  <c r="R42" i="14"/>
  <c r="Q42" i="14"/>
  <c r="O42" i="14"/>
  <c r="N42" i="14"/>
  <c r="L42" i="14"/>
  <c r="K42" i="14"/>
  <c r="I42" i="14"/>
  <c r="H42" i="14"/>
  <c r="F42" i="14"/>
  <c r="E42" i="14"/>
  <c r="C42" i="14"/>
  <c r="B42" i="14"/>
  <c r="A42" i="14"/>
  <c r="HH41" i="14"/>
  <c r="HG41" i="14"/>
  <c r="HE41" i="14"/>
  <c r="HD41" i="14"/>
  <c r="HB41" i="14"/>
  <c r="HA41" i="14"/>
  <c r="GY41" i="14"/>
  <c r="GX41" i="14"/>
  <c r="GV41" i="14"/>
  <c r="GU41" i="14"/>
  <c r="GS41" i="14"/>
  <c r="GR41" i="14"/>
  <c r="GP41" i="14"/>
  <c r="GO41" i="14"/>
  <c r="GM41" i="14"/>
  <c r="GL41" i="14"/>
  <c r="GJ41" i="14"/>
  <c r="GI41" i="14"/>
  <c r="GG41" i="14"/>
  <c r="GF41" i="14"/>
  <c r="GD41" i="14"/>
  <c r="GC41" i="14"/>
  <c r="GA41" i="14"/>
  <c r="FZ41" i="14"/>
  <c r="FX41" i="14"/>
  <c r="FW41" i="14"/>
  <c r="FU41" i="14"/>
  <c r="FT41" i="14"/>
  <c r="FR41" i="14"/>
  <c r="FQ41" i="14"/>
  <c r="FO41" i="14"/>
  <c r="FN41" i="14"/>
  <c r="FL41" i="14"/>
  <c r="FK41" i="14"/>
  <c r="FI41" i="14"/>
  <c r="FH41" i="14"/>
  <c r="FF41" i="14"/>
  <c r="FE41" i="14"/>
  <c r="FC41" i="14"/>
  <c r="FB41" i="14"/>
  <c r="EZ41" i="14"/>
  <c r="EY41" i="14"/>
  <c r="EW41" i="14"/>
  <c r="EV41" i="14"/>
  <c r="ET41" i="14"/>
  <c r="ES41" i="14"/>
  <c r="EQ41" i="14"/>
  <c r="EP41" i="14"/>
  <c r="EN41" i="14"/>
  <c r="EM41" i="14"/>
  <c r="EK41" i="14"/>
  <c r="EJ41" i="14"/>
  <c r="EH41" i="14"/>
  <c r="EG41" i="14"/>
  <c r="EE41" i="14"/>
  <c r="ED41" i="14"/>
  <c r="EB41" i="14"/>
  <c r="EA41" i="14"/>
  <c r="DY41" i="14"/>
  <c r="DX41" i="14"/>
  <c r="DV41" i="14"/>
  <c r="DU41" i="14"/>
  <c r="DS41" i="14"/>
  <c r="DR41" i="14"/>
  <c r="DP41" i="14"/>
  <c r="DO41" i="14"/>
  <c r="DM41" i="14"/>
  <c r="DL41" i="14"/>
  <c r="DJ41" i="14"/>
  <c r="DI41" i="14"/>
  <c r="DG41" i="14"/>
  <c r="DF41" i="14"/>
  <c r="DD41" i="14"/>
  <c r="DC41" i="14"/>
  <c r="DA41" i="14"/>
  <c r="CZ41" i="14"/>
  <c r="CX41" i="14"/>
  <c r="CW41" i="14"/>
  <c r="CU41" i="14"/>
  <c r="CT41" i="14"/>
  <c r="CR41" i="14"/>
  <c r="CQ41" i="14"/>
  <c r="CO41" i="14"/>
  <c r="CN41" i="14"/>
  <c r="CL41" i="14"/>
  <c r="CK41" i="14"/>
  <c r="CI41" i="14"/>
  <c r="CH41" i="14"/>
  <c r="CF41" i="14"/>
  <c r="CE41" i="14"/>
  <c r="CC41" i="14"/>
  <c r="CB41" i="14"/>
  <c r="BZ41" i="14"/>
  <c r="BY41" i="14"/>
  <c r="BW41" i="14"/>
  <c r="BV41" i="14"/>
  <c r="BT41" i="14"/>
  <c r="BS41" i="14"/>
  <c r="BQ41" i="14"/>
  <c r="BP41" i="14"/>
  <c r="BN41" i="14"/>
  <c r="BM41" i="14"/>
  <c r="BK41" i="14"/>
  <c r="BJ41" i="14"/>
  <c r="BH41" i="14"/>
  <c r="BG41" i="14"/>
  <c r="BE41" i="14"/>
  <c r="BD41" i="14"/>
  <c r="BB41" i="14"/>
  <c r="BA41" i="14"/>
  <c r="AY41" i="14"/>
  <c r="AX41" i="14"/>
  <c r="AV41" i="14"/>
  <c r="AU41" i="14"/>
  <c r="AS41" i="14"/>
  <c r="AR41" i="14"/>
  <c r="AP41" i="14"/>
  <c r="AO41" i="14"/>
  <c r="AM41" i="14"/>
  <c r="AL41" i="14"/>
  <c r="AJ41" i="14"/>
  <c r="AI41" i="14"/>
  <c r="AG41" i="14"/>
  <c r="AF41" i="14"/>
  <c r="AD41" i="14"/>
  <c r="AC41" i="14"/>
  <c r="AA41" i="14"/>
  <c r="Z41" i="14"/>
  <c r="X41" i="14"/>
  <c r="W41" i="14"/>
  <c r="U41" i="14"/>
  <c r="T41" i="14"/>
  <c r="R41" i="14"/>
  <c r="Q41" i="14"/>
  <c r="O41" i="14"/>
  <c r="N41" i="14"/>
  <c r="L41" i="14"/>
  <c r="K41" i="14"/>
  <c r="I41" i="14"/>
  <c r="H41" i="14"/>
  <c r="F41" i="14"/>
  <c r="E41" i="14"/>
  <c r="C41" i="14"/>
  <c r="B41" i="14"/>
  <c r="A41" i="14"/>
  <c r="HH40" i="14"/>
  <c r="HG40" i="14"/>
  <c r="HE40" i="14"/>
  <c r="HD40" i="14"/>
  <c r="HB40" i="14"/>
  <c r="HA40" i="14"/>
  <c r="GY40" i="14"/>
  <c r="GX40" i="14"/>
  <c r="GV40" i="14"/>
  <c r="GU40" i="14"/>
  <c r="GS40" i="14"/>
  <c r="GR40" i="14"/>
  <c r="GP40" i="14"/>
  <c r="GO40" i="14"/>
  <c r="GM40" i="14"/>
  <c r="GL40" i="14"/>
  <c r="GJ40" i="14"/>
  <c r="GI40" i="14"/>
  <c r="GG40" i="14"/>
  <c r="GF40" i="14"/>
  <c r="GD40" i="14"/>
  <c r="GC40" i="14"/>
  <c r="GA40" i="14"/>
  <c r="FZ40" i="14"/>
  <c r="FX40" i="14"/>
  <c r="FW40" i="14"/>
  <c r="FU40" i="14"/>
  <c r="FT40" i="14"/>
  <c r="FR40" i="14"/>
  <c r="FQ40" i="14"/>
  <c r="FO40" i="14"/>
  <c r="FN40" i="14"/>
  <c r="FL40" i="14"/>
  <c r="FK40" i="14"/>
  <c r="FI40" i="14"/>
  <c r="FH40" i="14"/>
  <c r="FF40" i="14"/>
  <c r="FE40" i="14"/>
  <c r="FC40" i="14"/>
  <c r="FB40" i="14"/>
  <c r="EZ40" i="14"/>
  <c r="EY40" i="14"/>
  <c r="EW40" i="14"/>
  <c r="EV40" i="14"/>
  <c r="ET40" i="14"/>
  <c r="ES40" i="14"/>
  <c r="EQ40" i="14"/>
  <c r="EP40" i="14"/>
  <c r="EN40" i="14"/>
  <c r="EM40" i="14"/>
  <c r="EK40" i="14"/>
  <c r="EJ40" i="14"/>
  <c r="EH40" i="14"/>
  <c r="EG40" i="14"/>
  <c r="EE40" i="14"/>
  <c r="ED40" i="14"/>
  <c r="EB40" i="14"/>
  <c r="EA40" i="14"/>
  <c r="DY40" i="14"/>
  <c r="DX40" i="14"/>
  <c r="DV40" i="14"/>
  <c r="DU40" i="14"/>
  <c r="DS40" i="14"/>
  <c r="DR40" i="14"/>
  <c r="DP40" i="14"/>
  <c r="DO40" i="14"/>
  <c r="DM40" i="14"/>
  <c r="DL40" i="14"/>
  <c r="DJ40" i="14"/>
  <c r="DI40" i="14"/>
  <c r="DG40" i="14"/>
  <c r="DF40" i="14"/>
  <c r="DD40" i="14"/>
  <c r="DC40" i="14"/>
  <c r="DA40" i="14"/>
  <c r="CZ40" i="14"/>
  <c r="CX40" i="14"/>
  <c r="CW40" i="14"/>
  <c r="CU40" i="14"/>
  <c r="CT40" i="14"/>
  <c r="CR40" i="14"/>
  <c r="CQ40" i="14"/>
  <c r="CO40" i="14"/>
  <c r="CN40" i="14"/>
  <c r="CL40" i="14"/>
  <c r="CK40" i="14"/>
  <c r="CI40" i="14"/>
  <c r="CH40" i="14"/>
  <c r="CF40" i="14"/>
  <c r="CE40" i="14"/>
  <c r="CC40" i="14"/>
  <c r="CB40" i="14"/>
  <c r="BZ40" i="14"/>
  <c r="BY40" i="14"/>
  <c r="BW40" i="14"/>
  <c r="BV40" i="14"/>
  <c r="BT40" i="14"/>
  <c r="BS40" i="14"/>
  <c r="BQ40" i="14"/>
  <c r="BP40" i="14"/>
  <c r="BN40" i="14"/>
  <c r="BM40" i="14"/>
  <c r="BK40" i="14"/>
  <c r="BJ40" i="14"/>
  <c r="BH40" i="14"/>
  <c r="BG40" i="14"/>
  <c r="BE40" i="14"/>
  <c r="BD40" i="14"/>
  <c r="BB40" i="14"/>
  <c r="BA40" i="14"/>
  <c r="AY40" i="14"/>
  <c r="AX40" i="14"/>
  <c r="AV40" i="14"/>
  <c r="AU40" i="14"/>
  <c r="AS40" i="14"/>
  <c r="AR40" i="14"/>
  <c r="AP40" i="14"/>
  <c r="AO40" i="14"/>
  <c r="AM40" i="14"/>
  <c r="AL40" i="14"/>
  <c r="AJ40" i="14"/>
  <c r="AI40" i="14"/>
  <c r="AG40" i="14"/>
  <c r="AF40" i="14"/>
  <c r="AD40" i="14"/>
  <c r="AC40" i="14"/>
  <c r="AA40" i="14"/>
  <c r="Z40" i="14"/>
  <c r="X40" i="14"/>
  <c r="W40" i="14"/>
  <c r="U40" i="14"/>
  <c r="T40" i="14"/>
  <c r="R40" i="14"/>
  <c r="Q40" i="14"/>
  <c r="O40" i="14"/>
  <c r="N40" i="14"/>
  <c r="L40" i="14"/>
  <c r="K40" i="14"/>
  <c r="I40" i="14"/>
  <c r="H40" i="14"/>
  <c r="F40" i="14"/>
  <c r="E40" i="14"/>
  <c r="C40" i="14"/>
  <c r="B40" i="14"/>
  <c r="A40" i="14"/>
  <c r="HH39" i="14"/>
  <c r="HG39" i="14"/>
  <c r="HE39" i="14"/>
  <c r="HD39" i="14"/>
  <c r="HB39" i="14"/>
  <c r="HA39" i="14"/>
  <c r="GY39" i="14"/>
  <c r="GX39" i="14"/>
  <c r="GV39" i="14"/>
  <c r="GU39" i="14"/>
  <c r="GS39" i="14"/>
  <c r="GR39" i="14"/>
  <c r="GP39" i="14"/>
  <c r="GO39" i="14"/>
  <c r="GM39" i="14"/>
  <c r="GL39" i="14"/>
  <c r="GJ39" i="14"/>
  <c r="GI39" i="14"/>
  <c r="GG39" i="14"/>
  <c r="GF39" i="14"/>
  <c r="GD39" i="14"/>
  <c r="GC39" i="14"/>
  <c r="GA39" i="14"/>
  <c r="FZ39" i="14"/>
  <c r="FX39" i="14"/>
  <c r="FW39" i="14"/>
  <c r="FU39" i="14"/>
  <c r="FT39" i="14"/>
  <c r="FR39" i="14"/>
  <c r="FQ39" i="14"/>
  <c r="FO39" i="14"/>
  <c r="FN39" i="14"/>
  <c r="FL39" i="14"/>
  <c r="FK39" i="14"/>
  <c r="FI39" i="14"/>
  <c r="FH39" i="14"/>
  <c r="FF39" i="14"/>
  <c r="FE39" i="14"/>
  <c r="FC39" i="14"/>
  <c r="FB39" i="14"/>
  <c r="EZ39" i="14"/>
  <c r="EY39" i="14"/>
  <c r="EW39" i="14"/>
  <c r="EV39" i="14"/>
  <c r="ET39" i="14"/>
  <c r="ES39" i="14"/>
  <c r="EQ39" i="14"/>
  <c r="EP39" i="14"/>
  <c r="EN39" i="14"/>
  <c r="EM39" i="14"/>
  <c r="EK39" i="14"/>
  <c r="EJ39" i="14"/>
  <c r="EH39" i="14"/>
  <c r="EG39" i="14"/>
  <c r="EE39" i="14"/>
  <c r="ED39" i="14"/>
  <c r="EB39" i="14"/>
  <c r="EA39" i="14"/>
  <c r="DY39" i="14"/>
  <c r="DX39" i="14"/>
  <c r="DV39" i="14"/>
  <c r="DU39" i="14"/>
  <c r="DS39" i="14"/>
  <c r="DR39" i="14"/>
  <c r="DP39" i="14"/>
  <c r="DO39" i="14"/>
  <c r="DM39" i="14"/>
  <c r="DL39" i="14"/>
  <c r="DJ39" i="14"/>
  <c r="DI39" i="14"/>
  <c r="DG39" i="14"/>
  <c r="DF39" i="14"/>
  <c r="DD39" i="14"/>
  <c r="DC39" i="14"/>
  <c r="DA39" i="14"/>
  <c r="CZ39" i="14"/>
  <c r="CX39" i="14"/>
  <c r="CW39" i="14"/>
  <c r="CU39" i="14"/>
  <c r="CT39" i="14"/>
  <c r="CR39" i="14"/>
  <c r="CQ39" i="14"/>
  <c r="CO39" i="14"/>
  <c r="CN39" i="14"/>
  <c r="CL39" i="14"/>
  <c r="CK39" i="14"/>
  <c r="CI39" i="14"/>
  <c r="CH39" i="14"/>
  <c r="CF39" i="14"/>
  <c r="CE39" i="14"/>
  <c r="CC39" i="14"/>
  <c r="CB39" i="14"/>
  <c r="BZ39" i="14"/>
  <c r="BY39" i="14"/>
  <c r="BW39" i="14"/>
  <c r="BV39" i="14"/>
  <c r="BT39" i="14"/>
  <c r="BS39" i="14"/>
  <c r="BQ39" i="14"/>
  <c r="BP39" i="14"/>
  <c r="BN39" i="14"/>
  <c r="BM39" i="14"/>
  <c r="BK39" i="14"/>
  <c r="BJ39" i="14"/>
  <c r="BH39" i="14"/>
  <c r="BG39" i="14"/>
  <c r="BE39" i="14"/>
  <c r="BD39" i="14"/>
  <c r="BB39" i="14"/>
  <c r="BA39" i="14"/>
  <c r="AY39" i="14"/>
  <c r="AX39" i="14"/>
  <c r="AV39" i="14"/>
  <c r="AU39" i="14"/>
  <c r="AS39" i="14"/>
  <c r="AR39" i="14"/>
  <c r="AP39" i="14"/>
  <c r="AO39" i="14"/>
  <c r="AM39" i="14"/>
  <c r="AL39" i="14"/>
  <c r="AJ39" i="14"/>
  <c r="AI39" i="14"/>
  <c r="AG39" i="14"/>
  <c r="AF39" i="14"/>
  <c r="AD39" i="14"/>
  <c r="AC39" i="14"/>
  <c r="AA39" i="14"/>
  <c r="Z39" i="14"/>
  <c r="X39" i="14"/>
  <c r="W39" i="14"/>
  <c r="U39" i="14"/>
  <c r="T39" i="14"/>
  <c r="R39" i="14"/>
  <c r="Q39" i="14"/>
  <c r="O39" i="14"/>
  <c r="N39" i="14"/>
  <c r="L39" i="14"/>
  <c r="K39" i="14"/>
  <c r="I39" i="14"/>
  <c r="H39" i="14"/>
  <c r="F39" i="14"/>
  <c r="E39" i="14"/>
  <c r="C39" i="14"/>
  <c r="B39" i="14"/>
  <c r="A39" i="14"/>
  <c r="HH38" i="14"/>
  <c r="HG38" i="14"/>
  <c r="HE38" i="14"/>
  <c r="HD38" i="14"/>
  <c r="HB38" i="14"/>
  <c r="HA38" i="14"/>
  <c r="GY38" i="14"/>
  <c r="GX38" i="14"/>
  <c r="GV38" i="14"/>
  <c r="GU38" i="14"/>
  <c r="GS38" i="14"/>
  <c r="GR38" i="14"/>
  <c r="GP38" i="14"/>
  <c r="GO38" i="14"/>
  <c r="GM38" i="14"/>
  <c r="GL38" i="14"/>
  <c r="GJ38" i="14"/>
  <c r="GI38" i="14"/>
  <c r="GG38" i="14"/>
  <c r="GF38" i="14"/>
  <c r="GD38" i="14"/>
  <c r="GC38" i="14"/>
  <c r="GA38" i="14"/>
  <c r="FZ38" i="14"/>
  <c r="FX38" i="14"/>
  <c r="FW38" i="14"/>
  <c r="FU38" i="14"/>
  <c r="FT38" i="14"/>
  <c r="FR38" i="14"/>
  <c r="FQ38" i="14"/>
  <c r="FO38" i="14"/>
  <c r="FN38" i="14"/>
  <c r="FL38" i="14"/>
  <c r="FK38" i="14"/>
  <c r="FI38" i="14"/>
  <c r="FH38" i="14"/>
  <c r="FF38" i="14"/>
  <c r="FE38" i="14"/>
  <c r="FC38" i="14"/>
  <c r="FB38" i="14"/>
  <c r="EZ38" i="14"/>
  <c r="EY38" i="14"/>
  <c r="EW38" i="14"/>
  <c r="EV38" i="14"/>
  <c r="ET38" i="14"/>
  <c r="ES38" i="14"/>
  <c r="EQ38" i="14"/>
  <c r="EP38" i="14"/>
  <c r="EN38" i="14"/>
  <c r="EM38" i="14"/>
  <c r="EK38" i="14"/>
  <c r="EJ38" i="14"/>
  <c r="EH38" i="14"/>
  <c r="EG38" i="14"/>
  <c r="EE38" i="14"/>
  <c r="ED38" i="14"/>
  <c r="EB38" i="14"/>
  <c r="EA38" i="14"/>
  <c r="DY38" i="14"/>
  <c r="DX38" i="14"/>
  <c r="DV38" i="14"/>
  <c r="DU38" i="14"/>
  <c r="DS38" i="14"/>
  <c r="DR38" i="14"/>
  <c r="DP38" i="14"/>
  <c r="DO38" i="14"/>
  <c r="DM38" i="14"/>
  <c r="DL38" i="14"/>
  <c r="DJ38" i="14"/>
  <c r="DI38" i="14"/>
  <c r="DG38" i="14"/>
  <c r="DF38" i="14"/>
  <c r="DD38" i="14"/>
  <c r="DC38" i="14"/>
  <c r="DA38" i="14"/>
  <c r="CZ38" i="14"/>
  <c r="CX38" i="14"/>
  <c r="CW38" i="14"/>
  <c r="CU38" i="14"/>
  <c r="CT38" i="14"/>
  <c r="CR38" i="14"/>
  <c r="CQ38" i="14"/>
  <c r="CO38" i="14"/>
  <c r="CN38" i="14"/>
  <c r="CL38" i="14"/>
  <c r="CK38" i="14"/>
  <c r="CI38" i="14"/>
  <c r="CH38" i="14"/>
  <c r="CF38" i="14"/>
  <c r="CE38" i="14"/>
  <c r="CC38" i="14"/>
  <c r="CB38" i="14"/>
  <c r="BZ38" i="14"/>
  <c r="BY38" i="14"/>
  <c r="BW38" i="14"/>
  <c r="BV38" i="14"/>
  <c r="BT38" i="14"/>
  <c r="BS38" i="14"/>
  <c r="BQ38" i="14"/>
  <c r="BP38" i="14"/>
  <c r="BN38" i="14"/>
  <c r="BM38" i="14"/>
  <c r="BK38" i="14"/>
  <c r="BJ38" i="14"/>
  <c r="BH38" i="14"/>
  <c r="BG38" i="14"/>
  <c r="BE38" i="14"/>
  <c r="BD38" i="14"/>
  <c r="BB38" i="14"/>
  <c r="BA38" i="14"/>
  <c r="AY38" i="14"/>
  <c r="AX38" i="14"/>
  <c r="AV38" i="14"/>
  <c r="AU38" i="14"/>
  <c r="AS38" i="14"/>
  <c r="AR38" i="14"/>
  <c r="AP38" i="14"/>
  <c r="AO38" i="14"/>
  <c r="AM38" i="14"/>
  <c r="AL38" i="14"/>
  <c r="AJ38" i="14"/>
  <c r="AI38" i="14"/>
  <c r="AG38" i="14"/>
  <c r="AF38" i="14"/>
  <c r="AD38" i="14"/>
  <c r="AC38" i="14"/>
  <c r="AA38" i="14"/>
  <c r="Z38" i="14"/>
  <c r="X38" i="14"/>
  <c r="W38" i="14"/>
  <c r="U38" i="14"/>
  <c r="T38" i="14"/>
  <c r="R38" i="14"/>
  <c r="Q38" i="14"/>
  <c r="O38" i="14"/>
  <c r="N38" i="14"/>
  <c r="L38" i="14"/>
  <c r="K38" i="14"/>
  <c r="I38" i="14"/>
  <c r="H38" i="14"/>
  <c r="F38" i="14"/>
  <c r="E38" i="14"/>
  <c r="C38" i="14"/>
  <c r="B38" i="14"/>
  <c r="A38" i="14"/>
  <c r="HH37" i="14"/>
  <c r="HG37" i="14"/>
  <c r="HE37" i="14"/>
  <c r="HD37" i="14"/>
  <c r="HB37" i="14"/>
  <c r="HA37" i="14"/>
  <c r="GY37" i="14"/>
  <c r="GX37" i="14"/>
  <c r="GV37" i="14"/>
  <c r="GU37" i="14"/>
  <c r="GS37" i="14"/>
  <c r="GR37" i="14"/>
  <c r="GP37" i="14"/>
  <c r="GO37" i="14"/>
  <c r="GM37" i="14"/>
  <c r="GL37" i="14"/>
  <c r="GJ37" i="14"/>
  <c r="GI37" i="14"/>
  <c r="GG37" i="14"/>
  <c r="GF37" i="14"/>
  <c r="GD37" i="14"/>
  <c r="GC37" i="14"/>
  <c r="GA37" i="14"/>
  <c r="FZ37" i="14"/>
  <c r="FX37" i="14"/>
  <c r="FW37" i="14"/>
  <c r="FU37" i="14"/>
  <c r="FT37" i="14"/>
  <c r="FR37" i="14"/>
  <c r="FQ37" i="14"/>
  <c r="FO37" i="14"/>
  <c r="FN37" i="14"/>
  <c r="FL37" i="14"/>
  <c r="FK37" i="14"/>
  <c r="FI37" i="14"/>
  <c r="FH37" i="14"/>
  <c r="FF37" i="14"/>
  <c r="FE37" i="14"/>
  <c r="FC37" i="14"/>
  <c r="FB37" i="14"/>
  <c r="EZ37" i="14"/>
  <c r="EY37" i="14"/>
  <c r="EW37" i="14"/>
  <c r="EV37" i="14"/>
  <c r="ET37" i="14"/>
  <c r="ES37" i="14"/>
  <c r="EQ37" i="14"/>
  <c r="EP37" i="14"/>
  <c r="EN37" i="14"/>
  <c r="EM37" i="14"/>
  <c r="EK37" i="14"/>
  <c r="EJ37" i="14"/>
  <c r="EH37" i="14"/>
  <c r="EG37" i="14"/>
  <c r="EE37" i="14"/>
  <c r="ED37" i="14"/>
  <c r="EB37" i="14"/>
  <c r="EA37" i="14"/>
  <c r="DY37" i="14"/>
  <c r="DX37" i="14"/>
  <c r="DV37" i="14"/>
  <c r="DU37" i="14"/>
  <c r="DS37" i="14"/>
  <c r="DR37" i="14"/>
  <c r="DP37" i="14"/>
  <c r="DO37" i="14"/>
  <c r="DM37" i="14"/>
  <c r="DL37" i="14"/>
  <c r="DJ37" i="14"/>
  <c r="DI37" i="14"/>
  <c r="DG37" i="14"/>
  <c r="DF37" i="14"/>
  <c r="DD37" i="14"/>
  <c r="DC37" i="14"/>
  <c r="DA37" i="14"/>
  <c r="CZ37" i="14"/>
  <c r="CX37" i="14"/>
  <c r="CW37" i="14"/>
  <c r="CU37" i="14"/>
  <c r="CT37" i="14"/>
  <c r="CR37" i="14"/>
  <c r="CQ37" i="14"/>
  <c r="CO37" i="14"/>
  <c r="CN37" i="14"/>
  <c r="CL37" i="14"/>
  <c r="CK37" i="14"/>
  <c r="CI37" i="14"/>
  <c r="CH37" i="14"/>
  <c r="CF37" i="14"/>
  <c r="CE37" i="14"/>
  <c r="CC37" i="14"/>
  <c r="CB37" i="14"/>
  <c r="BZ37" i="14"/>
  <c r="BY37" i="14"/>
  <c r="BW37" i="14"/>
  <c r="BV37" i="14"/>
  <c r="BT37" i="14"/>
  <c r="BS37" i="14"/>
  <c r="BQ37" i="14"/>
  <c r="BP37" i="14"/>
  <c r="BN37" i="14"/>
  <c r="BM37" i="14"/>
  <c r="BK37" i="14"/>
  <c r="BJ37" i="14"/>
  <c r="BH37" i="14"/>
  <c r="BG37" i="14"/>
  <c r="BE37" i="14"/>
  <c r="BD37" i="14"/>
  <c r="BB37" i="14"/>
  <c r="BA37" i="14"/>
  <c r="AY37" i="14"/>
  <c r="AX37" i="14"/>
  <c r="AV37" i="14"/>
  <c r="AU37" i="14"/>
  <c r="AS37" i="14"/>
  <c r="AR37" i="14"/>
  <c r="AP37" i="14"/>
  <c r="AO37" i="14"/>
  <c r="AM37" i="14"/>
  <c r="AL37" i="14"/>
  <c r="AJ37" i="14"/>
  <c r="AI37" i="14"/>
  <c r="AG37" i="14"/>
  <c r="AF37" i="14"/>
  <c r="AD37" i="14"/>
  <c r="AC37" i="14"/>
  <c r="AA37" i="14"/>
  <c r="Z37" i="14"/>
  <c r="X37" i="14"/>
  <c r="W37" i="14"/>
  <c r="U37" i="14"/>
  <c r="T37" i="14"/>
  <c r="R37" i="14"/>
  <c r="Q37" i="14"/>
  <c r="O37" i="14"/>
  <c r="N37" i="14"/>
  <c r="L37" i="14"/>
  <c r="K37" i="14"/>
  <c r="I37" i="14"/>
  <c r="H37" i="14"/>
  <c r="F37" i="14"/>
  <c r="E37" i="14"/>
  <c r="C37" i="14"/>
  <c r="B37" i="14"/>
  <c r="A37" i="14"/>
  <c r="HH36" i="14"/>
  <c r="HG36" i="14"/>
  <c r="HE36" i="14"/>
  <c r="HD36" i="14"/>
  <c r="HB36" i="14"/>
  <c r="HA36" i="14"/>
  <c r="GY36" i="14"/>
  <c r="GX36" i="14"/>
  <c r="GV36" i="14"/>
  <c r="GU36" i="14"/>
  <c r="GS36" i="14"/>
  <c r="GR36" i="14"/>
  <c r="GP36" i="14"/>
  <c r="GO36" i="14"/>
  <c r="GM36" i="14"/>
  <c r="GL36" i="14"/>
  <c r="GJ36" i="14"/>
  <c r="GI36" i="14"/>
  <c r="GG36" i="14"/>
  <c r="GF36" i="14"/>
  <c r="GD36" i="14"/>
  <c r="GC36" i="14"/>
  <c r="GA36" i="14"/>
  <c r="FZ36" i="14"/>
  <c r="FX36" i="14"/>
  <c r="FW36" i="14"/>
  <c r="FU36" i="14"/>
  <c r="FT36" i="14"/>
  <c r="FR36" i="14"/>
  <c r="FQ36" i="14"/>
  <c r="FO36" i="14"/>
  <c r="FN36" i="14"/>
  <c r="FL36" i="14"/>
  <c r="FK36" i="14"/>
  <c r="FI36" i="14"/>
  <c r="FH36" i="14"/>
  <c r="FF36" i="14"/>
  <c r="FE36" i="14"/>
  <c r="FC36" i="14"/>
  <c r="FB36" i="14"/>
  <c r="EZ36" i="14"/>
  <c r="EY36" i="14"/>
  <c r="EW36" i="14"/>
  <c r="EV36" i="14"/>
  <c r="ET36" i="14"/>
  <c r="ES36" i="14"/>
  <c r="EQ36" i="14"/>
  <c r="EP36" i="14"/>
  <c r="EN36" i="14"/>
  <c r="EM36" i="14"/>
  <c r="EK36" i="14"/>
  <c r="EJ36" i="14"/>
  <c r="EH36" i="14"/>
  <c r="EG36" i="14"/>
  <c r="EE36" i="14"/>
  <c r="ED36" i="14"/>
  <c r="EB36" i="14"/>
  <c r="EA36" i="14"/>
  <c r="DY36" i="14"/>
  <c r="DX36" i="14"/>
  <c r="DV36" i="14"/>
  <c r="DU36" i="14"/>
  <c r="DS36" i="14"/>
  <c r="DR36" i="14"/>
  <c r="DP36" i="14"/>
  <c r="DO36" i="14"/>
  <c r="DM36" i="14"/>
  <c r="DL36" i="14"/>
  <c r="DJ36" i="14"/>
  <c r="DI36" i="14"/>
  <c r="DG36" i="14"/>
  <c r="DF36" i="14"/>
  <c r="DD36" i="14"/>
  <c r="DC36" i="14"/>
  <c r="DA36" i="14"/>
  <c r="CZ36" i="14"/>
  <c r="CX36" i="14"/>
  <c r="CW36" i="14"/>
  <c r="CU36" i="14"/>
  <c r="CT36" i="14"/>
  <c r="CR36" i="14"/>
  <c r="CQ36" i="14"/>
  <c r="CO36" i="14"/>
  <c r="CN36" i="14"/>
  <c r="CL36" i="14"/>
  <c r="CK36" i="14"/>
  <c r="CI36" i="14"/>
  <c r="CH36" i="14"/>
  <c r="CF36" i="14"/>
  <c r="CE36" i="14"/>
  <c r="CC36" i="14"/>
  <c r="CB36" i="14"/>
  <c r="BZ36" i="14"/>
  <c r="BY36" i="14"/>
  <c r="BW36" i="14"/>
  <c r="BV36" i="14"/>
  <c r="BT36" i="14"/>
  <c r="BS36" i="14"/>
  <c r="BQ36" i="14"/>
  <c r="BP36" i="14"/>
  <c r="BN36" i="14"/>
  <c r="BM36" i="14"/>
  <c r="BK36" i="14"/>
  <c r="BJ36" i="14"/>
  <c r="BH36" i="14"/>
  <c r="BG36" i="14"/>
  <c r="BE36" i="14"/>
  <c r="BD36" i="14"/>
  <c r="BB36" i="14"/>
  <c r="BA36" i="14"/>
  <c r="AY36" i="14"/>
  <c r="AX36" i="14"/>
  <c r="AV36" i="14"/>
  <c r="AU36" i="14"/>
  <c r="AS36" i="14"/>
  <c r="AR36" i="14"/>
  <c r="AP36" i="14"/>
  <c r="AO36" i="14"/>
  <c r="AM36" i="14"/>
  <c r="AL36" i="14"/>
  <c r="AJ36" i="14"/>
  <c r="AI36" i="14"/>
  <c r="AG36" i="14"/>
  <c r="AF36" i="14"/>
  <c r="AD36" i="14"/>
  <c r="AC36" i="14"/>
  <c r="AA36" i="14"/>
  <c r="Z36" i="14"/>
  <c r="X36" i="14"/>
  <c r="W36" i="14"/>
  <c r="U36" i="14"/>
  <c r="T36" i="14"/>
  <c r="R36" i="14"/>
  <c r="Q36" i="14"/>
  <c r="O36" i="14"/>
  <c r="N36" i="14"/>
  <c r="L36" i="14"/>
  <c r="K36" i="14"/>
  <c r="I36" i="14"/>
  <c r="H36" i="14"/>
  <c r="F36" i="14"/>
  <c r="E36" i="14"/>
  <c r="C36" i="14"/>
  <c r="B36" i="14"/>
  <c r="A36" i="14"/>
  <c r="HH35" i="14"/>
  <c r="HG35" i="14"/>
  <c r="HE35" i="14"/>
  <c r="HD35" i="14"/>
  <c r="HB35" i="14"/>
  <c r="HA35" i="14"/>
  <c r="GY35" i="14"/>
  <c r="GX35" i="14"/>
  <c r="GV35" i="14"/>
  <c r="GU35" i="14"/>
  <c r="GS35" i="14"/>
  <c r="GR35" i="14"/>
  <c r="GP35" i="14"/>
  <c r="GO35" i="14"/>
  <c r="GM35" i="14"/>
  <c r="GL35" i="14"/>
  <c r="GJ35" i="14"/>
  <c r="GI35" i="14"/>
  <c r="GG35" i="14"/>
  <c r="GF35" i="14"/>
  <c r="GD35" i="14"/>
  <c r="GC35" i="14"/>
  <c r="GA35" i="14"/>
  <c r="FZ35" i="14"/>
  <c r="FX35" i="14"/>
  <c r="FW35" i="14"/>
  <c r="FU35" i="14"/>
  <c r="FT35" i="14"/>
  <c r="FR35" i="14"/>
  <c r="FQ35" i="14"/>
  <c r="FO35" i="14"/>
  <c r="FN35" i="14"/>
  <c r="FL35" i="14"/>
  <c r="FK35" i="14"/>
  <c r="FI35" i="14"/>
  <c r="FH35" i="14"/>
  <c r="FF35" i="14"/>
  <c r="FE35" i="14"/>
  <c r="FC35" i="14"/>
  <c r="FB35" i="14"/>
  <c r="EZ35" i="14"/>
  <c r="EY35" i="14"/>
  <c r="EW35" i="14"/>
  <c r="EV35" i="14"/>
  <c r="ET35" i="14"/>
  <c r="ES35" i="14"/>
  <c r="EQ35" i="14"/>
  <c r="EP35" i="14"/>
  <c r="EN35" i="14"/>
  <c r="EM35" i="14"/>
  <c r="EK35" i="14"/>
  <c r="EJ35" i="14"/>
  <c r="EH35" i="14"/>
  <c r="EG35" i="14"/>
  <c r="EE35" i="14"/>
  <c r="ED35" i="14"/>
  <c r="EB35" i="14"/>
  <c r="EA35" i="14"/>
  <c r="DY35" i="14"/>
  <c r="DX35" i="14"/>
  <c r="DV35" i="14"/>
  <c r="DU35" i="14"/>
  <c r="DS35" i="14"/>
  <c r="DR35" i="14"/>
  <c r="DP35" i="14"/>
  <c r="DO35" i="14"/>
  <c r="DM35" i="14"/>
  <c r="DL35" i="14"/>
  <c r="DJ35" i="14"/>
  <c r="DI35" i="14"/>
  <c r="DG35" i="14"/>
  <c r="DF35" i="14"/>
  <c r="DD35" i="14"/>
  <c r="DC35" i="14"/>
  <c r="DA35" i="14"/>
  <c r="CZ35" i="14"/>
  <c r="CX35" i="14"/>
  <c r="CW35" i="14"/>
  <c r="CU35" i="14"/>
  <c r="CT35" i="14"/>
  <c r="CR35" i="14"/>
  <c r="CQ35" i="14"/>
  <c r="CO35" i="14"/>
  <c r="CN35" i="14"/>
  <c r="CL35" i="14"/>
  <c r="CK35" i="14"/>
  <c r="CI35" i="14"/>
  <c r="CH35" i="14"/>
  <c r="CF35" i="14"/>
  <c r="CE35" i="14"/>
  <c r="CC35" i="14"/>
  <c r="CB35" i="14"/>
  <c r="BZ35" i="14"/>
  <c r="BY35" i="14"/>
  <c r="BW35" i="14"/>
  <c r="BV35" i="14"/>
  <c r="BT35" i="14"/>
  <c r="BS35" i="14"/>
  <c r="BQ35" i="14"/>
  <c r="BP35" i="14"/>
  <c r="BN35" i="14"/>
  <c r="BM35" i="14"/>
  <c r="BK35" i="14"/>
  <c r="BJ35" i="14"/>
  <c r="BH35" i="14"/>
  <c r="BG35" i="14"/>
  <c r="BE35" i="14"/>
  <c r="BD35" i="14"/>
  <c r="BB35" i="14"/>
  <c r="BA35" i="14"/>
  <c r="AY35" i="14"/>
  <c r="AX35" i="14"/>
  <c r="AV35" i="14"/>
  <c r="AU35" i="14"/>
  <c r="AS35" i="14"/>
  <c r="AR35" i="14"/>
  <c r="AP35" i="14"/>
  <c r="AO35" i="14"/>
  <c r="AM35" i="14"/>
  <c r="AL35" i="14"/>
  <c r="AJ35" i="14"/>
  <c r="AI35" i="14"/>
  <c r="AG35" i="14"/>
  <c r="AF35" i="14"/>
  <c r="AD35" i="14"/>
  <c r="AC35" i="14"/>
  <c r="AA35" i="14"/>
  <c r="Z35" i="14"/>
  <c r="X35" i="14"/>
  <c r="W35" i="14"/>
  <c r="U35" i="14"/>
  <c r="T35" i="14"/>
  <c r="R35" i="14"/>
  <c r="Q35" i="14"/>
  <c r="O35" i="14"/>
  <c r="N35" i="14"/>
  <c r="L35" i="14"/>
  <c r="K35" i="14"/>
  <c r="I35" i="14"/>
  <c r="H35" i="14"/>
  <c r="F35" i="14"/>
  <c r="E35" i="14"/>
  <c r="C35" i="14"/>
  <c r="B35" i="14"/>
  <c r="A35" i="14"/>
  <c r="HH34" i="14"/>
  <c r="HG34" i="14"/>
  <c r="HE34" i="14"/>
  <c r="HD34" i="14"/>
  <c r="HB34" i="14"/>
  <c r="HA34" i="14"/>
  <c r="GY34" i="14"/>
  <c r="GX34" i="14"/>
  <c r="GV34" i="14"/>
  <c r="GU34" i="14"/>
  <c r="GS34" i="14"/>
  <c r="GR34" i="14"/>
  <c r="GP34" i="14"/>
  <c r="GO34" i="14"/>
  <c r="GM34" i="14"/>
  <c r="GL34" i="14"/>
  <c r="GJ34" i="14"/>
  <c r="GI34" i="14"/>
  <c r="GG34" i="14"/>
  <c r="GF34" i="14"/>
  <c r="GD34" i="14"/>
  <c r="GC34" i="14"/>
  <c r="GA34" i="14"/>
  <c r="FZ34" i="14"/>
  <c r="FX34" i="14"/>
  <c r="FW34" i="14"/>
  <c r="FU34" i="14"/>
  <c r="FT34" i="14"/>
  <c r="FR34" i="14"/>
  <c r="FQ34" i="14"/>
  <c r="FO34" i="14"/>
  <c r="FN34" i="14"/>
  <c r="FL34" i="14"/>
  <c r="FK34" i="14"/>
  <c r="FI34" i="14"/>
  <c r="FH34" i="14"/>
  <c r="FF34" i="14"/>
  <c r="FE34" i="14"/>
  <c r="FC34" i="14"/>
  <c r="FB34" i="14"/>
  <c r="EZ34" i="14"/>
  <c r="EY34" i="14"/>
  <c r="EW34" i="14"/>
  <c r="EV34" i="14"/>
  <c r="ET34" i="14"/>
  <c r="ES34" i="14"/>
  <c r="EQ34" i="14"/>
  <c r="EP34" i="14"/>
  <c r="EN34" i="14"/>
  <c r="EM34" i="14"/>
  <c r="EK34" i="14"/>
  <c r="EJ34" i="14"/>
  <c r="EH34" i="14"/>
  <c r="EG34" i="14"/>
  <c r="EE34" i="14"/>
  <c r="ED34" i="14"/>
  <c r="EB34" i="14"/>
  <c r="EA34" i="14"/>
  <c r="DY34" i="14"/>
  <c r="DX34" i="14"/>
  <c r="DV34" i="14"/>
  <c r="DU34" i="14"/>
  <c r="DS34" i="14"/>
  <c r="DR34" i="14"/>
  <c r="DP34" i="14"/>
  <c r="DO34" i="14"/>
  <c r="DM34" i="14"/>
  <c r="DL34" i="14"/>
  <c r="DJ34" i="14"/>
  <c r="DI34" i="14"/>
  <c r="DG34" i="14"/>
  <c r="DF34" i="14"/>
  <c r="DD34" i="14"/>
  <c r="DC34" i="14"/>
  <c r="DA34" i="14"/>
  <c r="CZ34" i="14"/>
  <c r="CX34" i="14"/>
  <c r="CW34" i="14"/>
  <c r="CU34" i="14"/>
  <c r="CT34" i="14"/>
  <c r="CR34" i="14"/>
  <c r="CQ34" i="14"/>
  <c r="CO34" i="14"/>
  <c r="CN34" i="14"/>
  <c r="CL34" i="14"/>
  <c r="CK34" i="14"/>
  <c r="CI34" i="14"/>
  <c r="CH34" i="14"/>
  <c r="CF34" i="14"/>
  <c r="CE34" i="14"/>
  <c r="CC34" i="14"/>
  <c r="CB34" i="14"/>
  <c r="BZ34" i="14"/>
  <c r="BY34" i="14"/>
  <c r="BW34" i="14"/>
  <c r="BV34" i="14"/>
  <c r="BT34" i="14"/>
  <c r="BS34" i="14"/>
  <c r="BQ34" i="14"/>
  <c r="BP34" i="14"/>
  <c r="BN34" i="14"/>
  <c r="BM34" i="14"/>
  <c r="BK34" i="14"/>
  <c r="BJ34" i="14"/>
  <c r="BH34" i="14"/>
  <c r="BG34" i="14"/>
  <c r="BE34" i="14"/>
  <c r="BD34" i="14"/>
  <c r="BB34" i="14"/>
  <c r="BA34" i="14"/>
  <c r="AY34" i="14"/>
  <c r="AX34" i="14"/>
  <c r="AV34" i="14"/>
  <c r="AU34" i="14"/>
  <c r="AS34" i="14"/>
  <c r="AR34" i="14"/>
  <c r="AP34" i="14"/>
  <c r="AO34" i="14"/>
  <c r="AM34" i="14"/>
  <c r="AL34" i="14"/>
  <c r="AJ34" i="14"/>
  <c r="AI34" i="14"/>
  <c r="AG34" i="14"/>
  <c r="AF34" i="14"/>
  <c r="AD34" i="14"/>
  <c r="AC34" i="14"/>
  <c r="AA34" i="14"/>
  <c r="Z34" i="14"/>
  <c r="X34" i="14"/>
  <c r="W34" i="14"/>
  <c r="U34" i="14"/>
  <c r="T34" i="14"/>
  <c r="R34" i="14"/>
  <c r="Q34" i="14"/>
  <c r="O34" i="14"/>
  <c r="N34" i="14"/>
  <c r="L34" i="14"/>
  <c r="K34" i="14"/>
  <c r="I34" i="14"/>
  <c r="H34" i="14"/>
  <c r="F34" i="14"/>
  <c r="E34" i="14"/>
  <c r="C34" i="14"/>
  <c r="B34" i="14"/>
  <c r="A34" i="14"/>
  <c r="HH33" i="14"/>
  <c r="HG33" i="14"/>
  <c r="HE33" i="14"/>
  <c r="HD33" i="14"/>
  <c r="HB33" i="14"/>
  <c r="HA33" i="14"/>
  <c r="GY33" i="14"/>
  <c r="GX33" i="14"/>
  <c r="GV33" i="14"/>
  <c r="GU33" i="14"/>
  <c r="GS33" i="14"/>
  <c r="GR33" i="14"/>
  <c r="GP33" i="14"/>
  <c r="GO33" i="14"/>
  <c r="GM33" i="14"/>
  <c r="GL33" i="14"/>
  <c r="GJ33" i="14"/>
  <c r="GI33" i="14"/>
  <c r="GG33" i="14"/>
  <c r="GF33" i="14"/>
  <c r="GD33" i="14"/>
  <c r="GC33" i="14"/>
  <c r="GA33" i="14"/>
  <c r="FZ33" i="14"/>
  <c r="FX33" i="14"/>
  <c r="FW33" i="14"/>
  <c r="FU33" i="14"/>
  <c r="FT33" i="14"/>
  <c r="FR33" i="14"/>
  <c r="FQ33" i="14"/>
  <c r="FO33" i="14"/>
  <c r="FN33" i="14"/>
  <c r="FL33" i="14"/>
  <c r="FK33" i="14"/>
  <c r="FI33" i="14"/>
  <c r="FH33" i="14"/>
  <c r="FF33" i="14"/>
  <c r="FE33" i="14"/>
  <c r="FC33" i="14"/>
  <c r="FB33" i="14"/>
  <c r="EZ33" i="14"/>
  <c r="EY33" i="14"/>
  <c r="EW33" i="14"/>
  <c r="EV33" i="14"/>
  <c r="ET33" i="14"/>
  <c r="ES33" i="14"/>
  <c r="EQ33" i="14"/>
  <c r="EP33" i="14"/>
  <c r="EN33" i="14"/>
  <c r="EM33" i="14"/>
  <c r="EK33" i="14"/>
  <c r="EJ33" i="14"/>
  <c r="EH33" i="14"/>
  <c r="EG33" i="14"/>
  <c r="EE33" i="14"/>
  <c r="ED33" i="14"/>
  <c r="EB33" i="14"/>
  <c r="EA33" i="14"/>
  <c r="DY33" i="14"/>
  <c r="DX33" i="14"/>
  <c r="DV33" i="14"/>
  <c r="DU33" i="14"/>
  <c r="DS33" i="14"/>
  <c r="DR33" i="14"/>
  <c r="DP33" i="14"/>
  <c r="DO33" i="14"/>
  <c r="DM33" i="14"/>
  <c r="DL33" i="14"/>
  <c r="DJ33" i="14"/>
  <c r="DI33" i="14"/>
  <c r="DG33" i="14"/>
  <c r="DF33" i="14"/>
  <c r="DD33" i="14"/>
  <c r="DC33" i="14"/>
  <c r="DA33" i="14"/>
  <c r="CZ33" i="14"/>
  <c r="CX33" i="14"/>
  <c r="CW33" i="14"/>
  <c r="CU33" i="14"/>
  <c r="CT33" i="14"/>
  <c r="CR33" i="14"/>
  <c r="CQ33" i="14"/>
  <c r="CO33" i="14"/>
  <c r="CN33" i="14"/>
  <c r="CL33" i="14"/>
  <c r="CK33" i="14"/>
  <c r="CI33" i="14"/>
  <c r="CH33" i="14"/>
  <c r="CF33" i="14"/>
  <c r="CE33" i="14"/>
  <c r="CC33" i="14"/>
  <c r="CB33" i="14"/>
  <c r="BZ33" i="14"/>
  <c r="BY33" i="14"/>
  <c r="BW33" i="14"/>
  <c r="BV33" i="14"/>
  <c r="BT33" i="14"/>
  <c r="BS33" i="14"/>
  <c r="BQ33" i="14"/>
  <c r="BP33" i="14"/>
  <c r="BN33" i="14"/>
  <c r="BM33" i="14"/>
  <c r="BK33" i="14"/>
  <c r="BJ33" i="14"/>
  <c r="BH33" i="14"/>
  <c r="BG33" i="14"/>
  <c r="BE33" i="14"/>
  <c r="BD33" i="14"/>
  <c r="BB33" i="14"/>
  <c r="BA33" i="14"/>
  <c r="AY33" i="14"/>
  <c r="AX33" i="14"/>
  <c r="AV33" i="14"/>
  <c r="AU33" i="14"/>
  <c r="AS33" i="14"/>
  <c r="AR33" i="14"/>
  <c r="AP33" i="14"/>
  <c r="AO33" i="14"/>
  <c r="AM33" i="14"/>
  <c r="AL33" i="14"/>
  <c r="AJ33" i="14"/>
  <c r="AI33" i="14"/>
  <c r="AG33" i="14"/>
  <c r="AF33" i="14"/>
  <c r="AD33" i="14"/>
  <c r="AC33" i="14"/>
  <c r="AA33" i="14"/>
  <c r="Z33" i="14"/>
  <c r="X33" i="14"/>
  <c r="W33" i="14"/>
  <c r="U33" i="14"/>
  <c r="T33" i="14"/>
  <c r="R33" i="14"/>
  <c r="Q33" i="14"/>
  <c r="O33" i="14"/>
  <c r="N33" i="14"/>
  <c r="L33" i="14"/>
  <c r="K33" i="14"/>
  <c r="I33" i="14"/>
  <c r="H33" i="14"/>
  <c r="F33" i="14"/>
  <c r="E33" i="14"/>
  <c r="C33" i="14"/>
  <c r="B33" i="14"/>
  <c r="A33" i="14"/>
  <c r="HH32" i="14"/>
  <c r="HG32" i="14"/>
  <c r="HE32" i="14"/>
  <c r="HD32" i="14"/>
  <c r="HB32" i="14"/>
  <c r="HA32" i="14"/>
  <c r="GY32" i="14"/>
  <c r="GX32" i="14"/>
  <c r="GV32" i="14"/>
  <c r="GU32" i="14"/>
  <c r="GS32" i="14"/>
  <c r="GR32" i="14"/>
  <c r="GP32" i="14"/>
  <c r="GO32" i="14"/>
  <c r="GM32" i="14"/>
  <c r="GL32" i="14"/>
  <c r="GJ32" i="14"/>
  <c r="GI32" i="14"/>
  <c r="GG32" i="14"/>
  <c r="GF32" i="14"/>
  <c r="GD32" i="14"/>
  <c r="GC32" i="14"/>
  <c r="GA32" i="14"/>
  <c r="FZ32" i="14"/>
  <c r="FX32" i="14"/>
  <c r="FW32" i="14"/>
  <c r="FU32" i="14"/>
  <c r="FT32" i="14"/>
  <c r="FR32" i="14"/>
  <c r="FQ32" i="14"/>
  <c r="FO32" i="14"/>
  <c r="FN32" i="14"/>
  <c r="FL32" i="14"/>
  <c r="FK32" i="14"/>
  <c r="FI32" i="14"/>
  <c r="FH32" i="14"/>
  <c r="FF32" i="14"/>
  <c r="FE32" i="14"/>
  <c r="FC32" i="14"/>
  <c r="FB32" i="14"/>
  <c r="EZ32" i="14"/>
  <c r="EY32" i="14"/>
  <c r="EW32" i="14"/>
  <c r="EV32" i="14"/>
  <c r="ET32" i="14"/>
  <c r="ES32" i="14"/>
  <c r="EQ32" i="14"/>
  <c r="EP32" i="14"/>
  <c r="EN32" i="14"/>
  <c r="EM32" i="14"/>
  <c r="EK32" i="14"/>
  <c r="EJ32" i="14"/>
  <c r="EH32" i="14"/>
  <c r="EG32" i="14"/>
  <c r="EE32" i="14"/>
  <c r="ED32" i="14"/>
  <c r="EB32" i="14"/>
  <c r="EA32" i="14"/>
  <c r="DY32" i="14"/>
  <c r="DX32" i="14"/>
  <c r="DV32" i="14"/>
  <c r="DU32" i="14"/>
  <c r="DS32" i="14"/>
  <c r="DR32" i="14"/>
  <c r="DP32" i="14"/>
  <c r="DO32" i="14"/>
  <c r="DM32" i="14"/>
  <c r="DL32" i="14"/>
  <c r="DJ32" i="14"/>
  <c r="DI32" i="14"/>
  <c r="DG32" i="14"/>
  <c r="DF32" i="14"/>
  <c r="DD32" i="14"/>
  <c r="DC32" i="14"/>
  <c r="DA32" i="14"/>
  <c r="CZ32" i="14"/>
  <c r="CX32" i="14"/>
  <c r="CW32" i="14"/>
  <c r="CU32" i="14"/>
  <c r="CT32" i="14"/>
  <c r="CR32" i="14"/>
  <c r="CQ32" i="14"/>
  <c r="CO32" i="14"/>
  <c r="CN32" i="14"/>
  <c r="CL32" i="14"/>
  <c r="CK32" i="14"/>
  <c r="CI32" i="14"/>
  <c r="CH32" i="14"/>
  <c r="CF32" i="14"/>
  <c r="CE32" i="14"/>
  <c r="CC32" i="14"/>
  <c r="CB32" i="14"/>
  <c r="BZ32" i="14"/>
  <c r="BY32" i="14"/>
  <c r="BW32" i="14"/>
  <c r="BV32" i="14"/>
  <c r="BT32" i="14"/>
  <c r="BS32" i="14"/>
  <c r="BQ32" i="14"/>
  <c r="BP32" i="14"/>
  <c r="BN32" i="14"/>
  <c r="BM32" i="14"/>
  <c r="BK32" i="14"/>
  <c r="BJ32" i="14"/>
  <c r="BH32" i="14"/>
  <c r="BG32" i="14"/>
  <c r="BE32" i="14"/>
  <c r="BD32" i="14"/>
  <c r="BB32" i="14"/>
  <c r="BA32" i="14"/>
  <c r="AY32" i="14"/>
  <c r="AX32" i="14"/>
  <c r="AV32" i="14"/>
  <c r="AU32" i="14"/>
  <c r="AS32" i="14"/>
  <c r="AR32" i="14"/>
  <c r="AP32" i="14"/>
  <c r="AO32" i="14"/>
  <c r="AM32" i="14"/>
  <c r="AL32" i="14"/>
  <c r="AJ32" i="14"/>
  <c r="AI32" i="14"/>
  <c r="AG32" i="14"/>
  <c r="AF32" i="14"/>
  <c r="AD32" i="14"/>
  <c r="AC32" i="14"/>
  <c r="AA32" i="14"/>
  <c r="Z32" i="14"/>
  <c r="X32" i="14"/>
  <c r="W32" i="14"/>
  <c r="U32" i="14"/>
  <c r="T32" i="14"/>
  <c r="R32" i="14"/>
  <c r="Q32" i="14"/>
  <c r="O32" i="14"/>
  <c r="N32" i="14"/>
  <c r="L32" i="14"/>
  <c r="K32" i="14"/>
  <c r="I32" i="14"/>
  <c r="H32" i="14"/>
  <c r="F32" i="14"/>
  <c r="E32" i="14"/>
  <c r="C32" i="14"/>
  <c r="B32" i="14"/>
  <c r="A32" i="14"/>
  <c r="HH31" i="14"/>
  <c r="HG31" i="14"/>
  <c r="HE31" i="14"/>
  <c r="HD31" i="14"/>
  <c r="HB31" i="14"/>
  <c r="HA31" i="14"/>
  <c r="GY31" i="14"/>
  <c r="GX31" i="14"/>
  <c r="GV31" i="14"/>
  <c r="GU31" i="14"/>
  <c r="GS31" i="14"/>
  <c r="GR31" i="14"/>
  <c r="GP31" i="14"/>
  <c r="GO31" i="14"/>
  <c r="GM31" i="14"/>
  <c r="GL31" i="14"/>
  <c r="GJ31" i="14"/>
  <c r="GI31" i="14"/>
  <c r="GG31" i="14"/>
  <c r="GF31" i="14"/>
  <c r="GD31" i="14"/>
  <c r="GC31" i="14"/>
  <c r="GA31" i="14"/>
  <c r="FZ31" i="14"/>
  <c r="FX31" i="14"/>
  <c r="FW31" i="14"/>
  <c r="FU31" i="14"/>
  <c r="FT31" i="14"/>
  <c r="FR31" i="14"/>
  <c r="FQ31" i="14"/>
  <c r="FO31" i="14"/>
  <c r="FN31" i="14"/>
  <c r="FL31" i="14"/>
  <c r="FK31" i="14"/>
  <c r="FI31" i="14"/>
  <c r="FH31" i="14"/>
  <c r="FF31" i="14"/>
  <c r="FE31" i="14"/>
  <c r="FC31" i="14"/>
  <c r="FB31" i="14"/>
  <c r="EZ31" i="14"/>
  <c r="EY31" i="14"/>
  <c r="EW31" i="14"/>
  <c r="EV31" i="14"/>
  <c r="ET31" i="14"/>
  <c r="ES31" i="14"/>
  <c r="EQ31" i="14"/>
  <c r="EP31" i="14"/>
  <c r="EN31" i="14"/>
  <c r="EM31" i="14"/>
  <c r="EK31" i="14"/>
  <c r="EJ31" i="14"/>
  <c r="EH31" i="14"/>
  <c r="EG31" i="14"/>
  <c r="EE31" i="14"/>
  <c r="ED31" i="14"/>
  <c r="EB31" i="14"/>
  <c r="EA31" i="14"/>
  <c r="DY31" i="14"/>
  <c r="DX31" i="14"/>
  <c r="DV31" i="14"/>
  <c r="DU31" i="14"/>
  <c r="DS31" i="14"/>
  <c r="DR31" i="14"/>
  <c r="DP31" i="14"/>
  <c r="DO31" i="14"/>
  <c r="DM31" i="14"/>
  <c r="DL31" i="14"/>
  <c r="DJ31" i="14"/>
  <c r="DI31" i="14"/>
  <c r="DG31" i="14"/>
  <c r="DF31" i="14"/>
  <c r="DD31" i="14"/>
  <c r="DC31" i="14"/>
  <c r="DA31" i="14"/>
  <c r="CZ31" i="14"/>
  <c r="CX31" i="14"/>
  <c r="CW31" i="14"/>
  <c r="CU31" i="14"/>
  <c r="CT31" i="14"/>
  <c r="CR31" i="14"/>
  <c r="CQ31" i="14"/>
  <c r="CO31" i="14"/>
  <c r="CN31" i="14"/>
  <c r="CL31" i="14"/>
  <c r="CK31" i="14"/>
  <c r="CI31" i="14"/>
  <c r="CH31" i="14"/>
  <c r="CF31" i="14"/>
  <c r="CE31" i="14"/>
  <c r="CC31" i="14"/>
  <c r="CB31" i="14"/>
  <c r="BZ31" i="14"/>
  <c r="BY31" i="14"/>
  <c r="BW31" i="14"/>
  <c r="BV31" i="14"/>
  <c r="BT31" i="14"/>
  <c r="BS31" i="14"/>
  <c r="BQ31" i="14"/>
  <c r="BP31" i="14"/>
  <c r="BN31" i="14"/>
  <c r="BM31" i="14"/>
  <c r="BK31" i="14"/>
  <c r="BJ31" i="14"/>
  <c r="BH31" i="14"/>
  <c r="BG31" i="14"/>
  <c r="BE31" i="14"/>
  <c r="BD31" i="14"/>
  <c r="BB31" i="14"/>
  <c r="BA31" i="14"/>
  <c r="AY31" i="14"/>
  <c r="AX31" i="14"/>
  <c r="AV31" i="14"/>
  <c r="AU31" i="14"/>
  <c r="AS31" i="14"/>
  <c r="AR31" i="14"/>
  <c r="AP31" i="14"/>
  <c r="AO31" i="14"/>
  <c r="AM31" i="14"/>
  <c r="AL31" i="14"/>
  <c r="AJ31" i="14"/>
  <c r="AI31" i="14"/>
  <c r="AG31" i="14"/>
  <c r="AF31" i="14"/>
  <c r="AD31" i="14"/>
  <c r="AC31" i="14"/>
  <c r="AA31" i="14"/>
  <c r="Z31" i="14"/>
  <c r="X31" i="14"/>
  <c r="W31" i="14"/>
  <c r="U31" i="14"/>
  <c r="T31" i="14"/>
  <c r="R31" i="14"/>
  <c r="Q31" i="14"/>
  <c r="O31" i="14"/>
  <c r="N31" i="14"/>
  <c r="L31" i="14"/>
  <c r="K31" i="14"/>
  <c r="I31" i="14"/>
  <c r="H31" i="14"/>
  <c r="F31" i="14"/>
  <c r="E31" i="14"/>
  <c r="C31" i="14"/>
  <c r="B31" i="14"/>
  <c r="A31" i="14"/>
  <c r="HH30" i="14"/>
  <c r="HG30" i="14"/>
  <c r="HE30" i="14"/>
  <c r="HD30" i="14"/>
  <c r="HB30" i="14"/>
  <c r="HA30" i="14"/>
  <c r="GY30" i="14"/>
  <c r="GX30" i="14"/>
  <c r="GV30" i="14"/>
  <c r="GU30" i="14"/>
  <c r="GS30" i="14"/>
  <c r="GR30" i="14"/>
  <c r="GP30" i="14"/>
  <c r="GO30" i="14"/>
  <c r="GM30" i="14"/>
  <c r="GL30" i="14"/>
  <c r="GJ30" i="14"/>
  <c r="GI30" i="14"/>
  <c r="GG30" i="14"/>
  <c r="GF30" i="14"/>
  <c r="GD30" i="14"/>
  <c r="GC30" i="14"/>
  <c r="GA30" i="14"/>
  <c r="FZ30" i="14"/>
  <c r="FX30" i="14"/>
  <c r="FW30" i="14"/>
  <c r="FU30" i="14"/>
  <c r="FT30" i="14"/>
  <c r="FR30" i="14"/>
  <c r="FQ30" i="14"/>
  <c r="FO30" i="14"/>
  <c r="FN30" i="14"/>
  <c r="FL30" i="14"/>
  <c r="FK30" i="14"/>
  <c r="FI30" i="14"/>
  <c r="FH30" i="14"/>
  <c r="FF30" i="14"/>
  <c r="FE30" i="14"/>
  <c r="FC30" i="14"/>
  <c r="FB30" i="14"/>
  <c r="EZ30" i="14"/>
  <c r="EY30" i="14"/>
  <c r="EW30" i="14"/>
  <c r="EV30" i="14"/>
  <c r="ET30" i="14"/>
  <c r="ES30" i="14"/>
  <c r="EQ30" i="14"/>
  <c r="EP30" i="14"/>
  <c r="EN30" i="14"/>
  <c r="EM30" i="14"/>
  <c r="EK30" i="14"/>
  <c r="EJ30" i="14"/>
  <c r="EH30" i="14"/>
  <c r="EG30" i="14"/>
  <c r="EE30" i="14"/>
  <c r="ED30" i="14"/>
  <c r="EB30" i="14"/>
  <c r="EA30" i="14"/>
  <c r="DY30" i="14"/>
  <c r="DX30" i="14"/>
  <c r="DV30" i="14"/>
  <c r="DU30" i="14"/>
  <c r="DS30" i="14"/>
  <c r="DR30" i="14"/>
  <c r="DP30" i="14"/>
  <c r="DO30" i="14"/>
  <c r="DM30" i="14"/>
  <c r="DL30" i="14"/>
  <c r="DJ30" i="14"/>
  <c r="DI30" i="14"/>
  <c r="DG30" i="14"/>
  <c r="DF30" i="14"/>
  <c r="DD30" i="14"/>
  <c r="DC30" i="14"/>
  <c r="DA30" i="14"/>
  <c r="CZ30" i="14"/>
  <c r="CX30" i="14"/>
  <c r="CW30" i="14"/>
  <c r="CU30" i="14"/>
  <c r="CT30" i="14"/>
  <c r="CR30" i="14"/>
  <c r="CQ30" i="14"/>
  <c r="CO30" i="14"/>
  <c r="CN30" i="14"/>
  <c r="CL30" i="14"/>
  <c r="CK30" i="14"/>
  <c r="CI30" i="14"/>
  <c r="CH30" i="14"/>
  <c r="CF30" i="14"/>
  <c r="CE30" i="14"/>
  <c r="CC30" i="14"/>
  <c r="CB30" i="14"/>
  <c r="BZ30" i="14"/>
  <c r="BY30" i="14"/>
  <c r="BW30" i="14"/>
  <c r="BV30" i="14"/>
  <c r="BT30" i="14"/>
  <c r="BS30" i="14"/>
  <c r="BQ30" i="14"/>
  <c r="BP30" i="14"/>
  <c r="BN30" i="14"/>
  <c r="BM30" i="14"/>
  <c r="BK30" i="14"/>
  <c r="BJ30" i="14"/>
  <c r="BH30" i="14"/>
  <c r="BG30" i="14"/>
  <c r="BE30" i="14"/>
  <c r="BD30" i="14"/>
  <c r="BB30" i="14"/>
  <c r="BA30" i="14"/>
  <c r="AY30" i="14"/>
  <c r="AX30" i="14"/>
  <c r="AV30" i="14"/>
  <c r="AU30" i="14"/>
  <c r="AS30" i="14"/>
  <c r="AR30" i="14"/>
  <c r="AP30" i="14"/>
  <c r="AO30" i="14"/>
  <c r="AM30" i="14"/>
  <c r="AL30" i="14"/>
  <c r="AJ30" i="14"/>
  <c r="AI30" i="14"/>
  <c r="AG30" i="14"/>
  <c r="AF30" i="14"/>
  <c r="AD30" i="14"/>
  <c r="AC30" i="14"/>
  <c r="AA30" i="14"/>
  <c r="Z30" i="14"/>
  <c r="X30" i="14"/>
  <c r="W30" i="14"/>
  <c r="U30" i="14"/>
  <c r="T30" i="14"/>
  <c r="R30" i="14"/>
  <c r="Q30" i="14"/>
  <c r="O30" i="14"/>
  <c r="N30" i="14"/>
  <c r="L30" i="14"/>
  <c r="K30" i="14"/>
  <c r="I30" i="14"/>
  <c r="H30" i="14"/>
  <c r="F30" i="14"/>
  <c r="E30" i="14"/>
  <c r="C30" i="14"/>
  <c r="B30" i="14"/>
  <c r="A30" i="14"/>
  <c r="HH29" i="14"/>
  <c r="HG29" i="14"/>
  <c r="HE29" i="14"/>
  <c r="HD29" i="14"/>
  <c r="HB29" i="14"/>
  <c r="HA29" i="14"/>
  <c r="GY29" i="14"/>
  <c r="GX29" i="14"/>
  <c r="GV29" i="14"/>
  <c r="GU29" i="14"/>
  <c r="GS29" i="14"/>
  <c r="GR29" i="14"/>
  <c r="GP29" i="14"/>
  <c r="GO29" i="14"/>
  <c r="GM29" i="14"/>
  <c r="GL29" i="14"/>
  <c r="GJ29" i="14"/>
  <c r="GI29" i="14"/>
  <c r="GG29" i="14"/>
  <c r="GF29" i="14"/>
  <c r="GD29" i="14"/>
  <c r="GC29" i="14"/>
  <c r="GA29" i="14"/>
  <c r="FZ29" i="14"/>
  <c r="FX29" i="14"/>
  <c r="FW29" i="14"/>
  <c r="FU29" i="14"/>
  <c r="FT29" i="14"/>
  <c r="FR29" i="14"/>
  <c r="FQ29" i="14"/>
  <c r="FO29" i="14"/>
  <c r="FN29" i="14"/>
  <c r="FL29" i="14"/>
  <c r="FK29" i="14"/>
  <c r="FI29" i="14"/>
  <c r="FH29" i="14"/>
  <c r="FF29" i="14"/>
  <c r="FE29" i="14"/>
  <c r="FC29" i="14"/>
  <c r="FB29" i="14"/>
  <c r="EZ29" i="14"/>
  <c r="EY29" i="14"/>
  <c r="EW29" i="14"/>
  <c r="EV29" i="14"/>
  <c r="ET29" i="14"/>
  <c r="ES29" i="14"/>
  <c r="EQ29" i="14"/>
  <c r="EP29" i="14"/>
  <c r="EN29" i="14"/>
  <c r="EM29" i="14"/>
  <c r="EK29" i="14"/>
  <c r="EJ29" i="14"/>
  <c r="EH29" i="14"/>
  <c r="EG29" i="14"/>
  <c r="EE29" i="14"/>
  <c r="ED29" i="14"/>
  <c r="EB29" i="14"/>
  <c r="EA29" i="14"/>
  <c r="DY29" i="14"/>
  <c r="DX29" i="14"/>
  <c r="DV29" i="14"/>
  <c r="DU29" i="14"/>
  <c r="DS29" i="14"/>
  <c r="DR29" i="14"/>
  <c r="DP29" i="14"/>
  <c r="DO29" i="14"/>
  <c r="DM29" i="14"/>
  <c r="DL29" i="14"/>
  <c r="DJ29" i="14"/>
  <c r="DI29" i="14"/>
  <c r="DG29" i="14"/>
  <c r="DF29" i="14"/>
  <c r="DD29" i="14"/>
  <c r="DC29" i="14"/>
  <c r="DA29" i="14"/>
  <c r="CZ29" i="14"/>
  <c r="CX29" i="14"/>
  <c r="CW29" i="14"/>
  <c r="CU29" i="14"/>
  <c r="CT29" i="14"/>
  <c r="CR29" i="14"/>
  <c r="CQ29" i="14"/>
  <c r="CO29" i="14"/>
  <c r="CN29" i="14"/>
  <c r="CL29" i="14"/>
  <c r="CK29" i="14"/>
  <c r="CI29" i="14"/>
  <c r="CH29" i="14"/>
  <c r="CF29" i="14"/>
  <c r="CE29" i="14"/>
  <c r="CC29" i="14"/>
  <c r="CB29" i="14"/>
  <c r="BZ29" i="14"/>
  <c r="BY29" i="14"/>
  <c r="BW29" i="14"/>
  <c r="BV29" i="14"/>
  <c r="BT29" i="14"/>
  <c r="BS29" i="14"/>
  <c r="BQ29" i="14"/>
  <c r="BP29" i="14"/>
  <c r="BN29" i="14"/>
  <c r="BM29" i="14"/>
  <c r="BK29" i="14"/>
  <c r="BJ29" i="14"/>
  <c r="BH29" i="14"/>
  <c r="BG29" i="14"/>
  <c r="BE29" i="14"/>
  <c r="BD29" i="14"/>
  <c r="BB29" i="14"/>
  <c r="BA29" i="14"/>
  <c r="AY29" i="14"/>
  <c r="AX29" i="14"/>
  <c r="AV29" i="14"/>
  <c r="AU29" i="14"/>
  <c r="AS29" i="14"/>
  <c r="AR29" i="14"/>
  <c r="AP29" i="14"/>
  <c r="AO29" i="14"/>
  <c r="AM29" i="14"/>
  <c r="AL29" i="14"/>
  <c r="AJ29" i="14"/>
  <c r="AI29" i="14"/>
  <c r="AG29" i="14"/>
  <c r="AF29" i="14"/>
  <c r="AD29" i="14"/>
  <c r="AC29" i="14"/>
  <c r="AA29" i="14"/>
  <c r="Z29" i="14"/>
  <c r="X29" i="14"/>
  <c r="W29" i="14"/>
  <c r="U29" i="14"/>
  <c r="T29" i="14"/>
  <c r="R29" i="14"/>
  <c r="Q29" i="14"/>
  <c r="O29" i="14"/>
  <c r="N29" i="14"/>
  <c r="L29" i="14"/>
  <c r="K29" i="14"/>
  <c r="I29" i="14"/>
  <c r="H29" i="14"/>
  <c r="F29" i="14"/>
  <c r="E29" i="14"/>
  <c r="C29" i="14"/>
  <c r="B29" i="14"/>
  <c r="A29" i="14"/>
  <c r="HH28" i="14"/>
  <c r="HG28" i="14"/>
  <c r="HE28" i="14"/>
  <c r="HD28" i="14"/>
  <c r="HB28" i="14"/>
  <c r="HA28" i="14"/>
  <c r="GY28" i="14"/>
  <c r="GX28" i="14"/>
  <c r="GV28" i="14"/>
  <c r="GU28" i="14"/>
  <c r="GS28" i="14"/>
  <c r="GR28" i="14"/>
  <c r="GP28" i="14"/>
  <c r="GO28" i="14"/>
  <c r="GM28" i="14"/>
  <c r="GL28" i="14"/>
  <c r="GJ28" i="14"/>
  <c r="GI28" i="14"/>
  <c r="GG28" i="14"/>
  <c r="GF28" i="14"/>
  <c r="GD28" i="14"/>
  <c r="GC28" i="14"/>
  <c r="GA28" i="14"/>
  <c r="FZ28" i="14"/>
  <c r="FX28" i="14"/>
  <c r="FW28" i="14"/>
  <c r="FU28" i="14"/>
  <c r="FT28" i="14"/>
  <c r="FR28" i="14"/>
  <c r="FQ28" i="14"/>
  <c r="FO28" i="14"/>
  <c r="FN28" i="14"/>
  <c r="FL28" i="14"/>
  <c r="FK28" i="14"/>
  <c r="FI28" i="14"/>
  <c r="FH28" i="14"/>
  <c r="FF28" i="14"/>
  <c r="FE28" i="14"/>
  <c r="FC28" i="14"/>
  <c r="FB28" i="14"/>
  <c r="EZ28" i="14"/>
  <c r="EY28" i="14"/>
  <c r="EW28" i="14"/>
  <c r="EV28" i="14"/>
  <c r="ET28" i="14"/>
  <c r="ES28" i="14"/>
  <c r="EQ28" i="14"/>
  <c r="EP28" i="14"/>
  <c r="EN28" i="14"/>
  <c r="EM28" i="14"/>
  <c r="EK28" i="14"/>
  <c r="EJ28" i="14"/>
  <c r="EH28" i="14"/>
  <c r="EG28" i="14"/>
  <c r="EE28" i="14"/>
  <c r="ED28" i="14"/>
  <c r="EB28" i="14"/>
  <c r="EA28" i="14"/>
  <c r="DY28" i="14"/>
  <c r="DX28" i="14"/>
  <c r="DV28" i="14"/>
  <c r="DU28" i="14"/>
  <c r="DS28" i="14"/>
  <c r="DR28" i="14"/>
  <c r="DP28" i="14"/>
  <c r="DO28" i="14"/>
  <c r="DM28" i="14"/>
  <c r="DL28" i="14"/>
  <c r="DJ28" i="14"/>
  <c r="DI28" i="14"/>
  <c r="DG28" i="14"/>
  <c r="DF28" i="14"/>
  <c r="DD28" i="14"/>
  <c r="DC28" i="14"/>
  <c r="DA28" i="14"/>
  <c r="CZ28" i="14"/>
  <c r="CX28" i="14"/>
  <c r="CW28" i="14"/>
  <c r="CU28" i="14"/>
  <c r="CT28" i="14"/>
  <c r="CR28" i="14"/>
  <c r="CQ28" i="14"/>
  <c r="CO28" i="14"/>
  <c r="CN28" i="14"/>
  <c r="CL28" i="14"/>
  <c r="CK28" i="14"/>
  <c r="CI28" i="14"/>
  <c r="CH28" i="14"/>
  <c r="CF28" i="14"/>
  <c r="CE28" i="14"/>
  <c r="CC28" i="14"/>
  <c r="CB28" i="14"/>
  <c r="BZ28" i="14"/>
  <c r="BY28" i="14"/>
  <c r="BW28" i="14"/>
  <c r="BV28" i="14"/>
  <c r="BT28" i="14"/>
  <c r="BS28" i="14"/>
  <c r="BQ28" i="14"/>
  <c r="BP28" i="14"/>
  <c r="BN28" i="14"/>
  <c r="BM28" i="14"/>
  <c r="BK28" i="14"/>
  <c r="BJ28" i="14"/>
  <c r="BH28" i="14"/>
  <c r="BG28" i="14"/>
  <c r="BE28" i="14"/>
  <c r="BD28" i="14"/>
  <c r="BB28" i="14"/>
  <c r="BA28" i="14"/>
  <c r="AY28" i="14"/>
  <c r="AX28" i="14"/>
  <c r="AV28" i="14"/>
  <c r="AU28" i="14"/>
  <c r="AS28" i="14"/>
  <c r="AR28" i="14"/>
  <c r="AP28" i="14"/>
  <c r="AO28" i="14"/>
  <c r="AM28" i="14"/>
  <c r="AL28" i="14"/>
  <c r="AJ28" i="14"/>
  <c r="AI28" i="14"/>
  <c r="AG28" i="14"/>
  <c r="AF28" i="14"/>
  <c r="AD28" i="14"/>
  <c r="AC28" i="14"/>
  <c r="AA28" i="14"/>
  <c r="Z28" i="14"/>
  <c r="X28" i="14"/>
  <c r="W28" i="14"/>
  <c r="U28" i="14"/>
  <c r="T28" i="14"/>
  <c r="R28" i="14"/>
  <c r="Q28" i="14"/>
  <c r="O28" i="14"/>
  <c r="N28" i="14"/>
  <c r="L28" i="14"/>
  <c r="K28" i="14"/>
  <c r="I28" i="14"/>
  <c r="H28" i="14"/>
  <c r="F28" i="14"/>
  <c r="E28" i="14"/>
  <c r="C28" i="14"/>
  <c r="B28" i="14"/>
  <c r="A28" i="14"/>
  <c r="HH27" i="14"/>
  <c r="HG27" i="14"/>
  <c r="HE27" i="14"/>
  <c r="HD27" i="14"/>
  <c r="HB27" i="14"/>
  <c r="HA27" i="14"/>
  <c r="GY27" i="14"/>
  <c r="GX27" i="14"/>
  <c r="GV27" i="14"/>
  <c r="GU27" i="14"/>
  <c r="GS27" i="14"/>
  <c r="GR27" i="14"/>
  <c r="GP27" i="14"/>
  <c r="GO27" i="14"/>
  <c r="GM27" i="14"/>
  <c r="GL27" i="14"/>
  <c r="GJ27" i="14"/>
  <c r="GI27" i="14"/>
  <c r="GG27" i="14"/>
  <c r="GF27" i="14"/>
  <c r="GD27" i="14"/>
  <c r="GC27" i="14"/>
  <c r="GA27" i="14"/>
  <c r="FZ27" i="14"/>
  <c r="FX27" i="14"/>
  <c r="FW27" i="14"/>
  <c r="FU27" i="14"/>
  <c r="FT27" i="14"/>
  <c r="FR27" i="14"/>
  <c r="FQ27" i="14"/>
  <c r="FO27" i="14"/>
  <c r="FN27" i="14"/>
  <c r="FL27" i="14"/>
  <c r="FK27" i="14"/>
  <c r="FI27" i="14"/>
  <c r="FH27" i="14"/>
  <c r="FF27" i="14"/>
  <c r="FE27" i="14"/>
  <c r="FC27" i="14"/>
  <c r="FB27" i="14"/>
  <c r="EZ27" i="14"/>
  <c r="EY27" i="14"/>
  <c r="EW27" i="14"/>
  <c r="EV27" i="14"/>
  <c r="ET27" i="14"/>
  <c r="ES27" i="14"/>
  <c r="EQ27" i="14"/>
  <c r="EP27" i="14"/>
  <c r="EN27" i="14"/>
  <c r="EM27" i="14"/>
  <c r="EK27" i="14"/>
  <c r="EJ27" i="14"/>
  <c r="EH27" i="14"/>
  <c r="EG27" i="14"/>
  <c r="EE27" i="14"/>
  <c r="ED27" i="14"/>
  <c r="EB27" i="14"/>
  <c r="EA27" i="14"/>
  <c r="DY27" i="14"/>
  <c r="DX27" i="14"/>
  <c r="DV27" i="14"/>
  <c r="DU27" i="14"/>
  <c r="DS27" i="14"/>
  <c r="DR27" i="14"/>
  <c r="DP27" i="14"/>
  <c r="DO27" i="14"/>
  <c r="DM27" i="14"/>
  <c r="DL27" i="14"/>
  <c r="DJ27" i="14"/>
  <c r="DI27" i="14"/>
  <c r="DG27" i="14"/>
  <c r="DF27" i="14"/>
  <c r="DD27" i="14"/>
  <c r="DC27" i="14"/>
  <c r="DA27" i="14"/>
  <c r="CZ27" i="14"/>
  <c r="CX27" i="14"/>
  <c r="CW27" i="14"/>
  <c r="CU27" i="14"/>
  <c r="CT27" i="14"/>
  <c r="CR27" i="14"/>
  <c r="CQ27" i="14"/>
  <c r="CO27" i="14"/>
  <c r="CN27" i="14"/>
  <c r="CL27" i="14"/>
  <c r="CK27" i="14"/>
  <c r="CI27" i="14"/>
  <c r="CH27" i="14"/>
  <c r="CF27" i="14"/>
  <c r="CE27" i="14"/>
  <c r="CC27" i="14"/>
  <c r="CB27" i="14"/>
  <c r="BZ27" i="14"/>
  <c r="BY27" i="14"/>
  <c r="BW27" i="14"/>
  <c r="BV27" i="14"/>
  <c r="BT27" i="14"/>
  <c r="BS27" i="14"/>
  <c r="BQ27" i="14"/>
  <c r="BP27" i="14"/>
  <c r="BN27" i="14"/>
  <c r="BM27" i="14"/>
  <c r="BK27" i="14"/>
  <c r="BJ27" i="14"/>
  <c r="BH27" i="14"/>
  <c r="BG27" i="14"/>
  <c r="BE27" i="14"/>
  <c r="BD27" i="14"/>
  <c r="BB27" i="14"/>
  <c r="BA27" i="14"/>
  <c r="AY27" i="14"/>
  <c r="AX27" i="14"/>
  <c r="AV27" i="14"/>
  <c r="AU27" i="14"/>
  <c r="AS27" i="14"/>
  <c r="AR27" i="14"/>
  <c r="AP27" i="14"/>
  <c r="AO27" i="14"/>
  <c r="AM27" i="14"/>
  <c r="AL27" i="14"/>
  <c r="AJ27" i="14"/>
  <c r="AI27" i="14"/>
  <c r="AG27" i="14"/>
  <c r="AF27" i="14"/>
  <c r="AD27" i="14"/>
  <c r="AC27" i="14"/>
  <c r="AA27" i="14"/>
  <c r="Z27" i="14"/>
  <c r="X27" i="14"/>
  <c r="W27" i="14"/>
  <c r="U27" i="14"/>
  <c r="T27" i="14"/>
  <c r="R27" i="14"/>
  <c r="Q27" i="14"/>
  <c r="O27" i="14"/>
  <c r="N27" i="14"/>
  <c r="L27" i="14"/>
  <c r="K27" i="14"/>
  <c r="I27" i="14"/>
  <c r="H27" i="14"/>
  <c r="F27" i="14"/>
  <c r="E27" i="14"/>
  <c r="C27" i="14"/>
  <c r="B27" i="14"/>
  <c r="A27" i="14"/>
  <c r="HH26" i="14"/>
  <c r="HG26" i="14"/>
  <c r="HE26" i="14"/>
  <c r="HD26" i="14"/>
  <c r="HB26" i="14"/>
  <c r="HA26" i="14"/>
  <c r="GY26" i="14"/>
  <c r="GX26" i="14"/>
  <c r="GV26" i="14"/>
  <c r="GU26" i="14"/>
  <c r="GS26" i="14"/>
  <c r="GR26" i="14"/>
  <c r="GP26" i="14"/>
  <c r="GO26" i="14"/>
  <c r="GM26" i="14"/>
  <c r="GL26" i="14"/>
  <c r="GJ26" i="14"/>
  <c r="GI26" i="14"/>
  <c r="GG26" i="14"/>
  <c r="GF26" i="14"/>
  <c r="GD26" i="14"/>
  <c r="GC26" i="14"/>
  <c r="GA26" i="14"/>
  <c r="FZ26" i="14"/>
  <c r="FX26" i="14"/>
  <c r="FW26" i="14"/>
  <c r="FU26" i="14"/>
  <c r="FT26" i="14"/>
  <c r="FR26" i="14"/>
  <c r="FQ26" i="14"/>
  <c r="FO26" i="14"/>
  <c r="FN26" i="14"/>
  <c r="FL26" i="14"/>
  <c r="FK26" i="14"/>
  <c r="FI26" i="14"/>
  <c r="FH26" i="14"/>
  <c r="FF26" i="14"/>
  <c r="FE26" i="14"/>
  <c r="FC26" i="14"/>
  <c r="FB26" i="14"/>
  <c r="EZ26" i="14"/>
  <c r="EY26" i="14"/>
  <c r="EW26" i="14"/>
  <c r="EV26" i="14"/>
  <c r="ET26" i="14"/>
  <c r="ES26" i="14"/>
  <c r="EQ26" i="14"/>
  <c r="EP26" i="14"/>
  <c r="EN26" i="14"/>
  <c r="EM26" i="14"/>
  <c r="EK26" i="14"/>
  <c r="EJ26" i="14"/>
  <c r="EH26" i="14"/>
  <c r="EG26" i="14"/>
  <c r="EE26" i="14"/>
  <c r="ED26" i="14"/>
  <c r="EB26" i="14"/>
  <c r="EA26" i="14"/>
  <c r="DY26" i="14"/>
  <c r="DX26" i="14"/>
  <c r="DV26" i="14"/>
  <c r="DU26" i="14"/>
  <c r="DS26" i="14"/>
  <c r="DR26" i="14"/>
  <c r="DP26" i="14"/>
  <c r="DO26" i="14"/>
  <c r="DM26" i="14"/>
  <c r="DL26" i="14"/>
  <c r="DJ26" i="14"/>
  <c r="DI26" i="14"/>
  <c r="DG26" i="14"/>
  <c r="DF26" i="14"/>
  <c r="DD26" i="14"/>
  <c r="DC26" i="14"/>
  <c r="DA26" i="14"/>
  <c r="CZ26" i="14"/>
  <c r="CX26" i="14"/>
  <c r="CW26" i="14"/>
  <c r="CU26" i="14"/>
  <c r="CT26" i="14"/>
  <c r="CR26" i="14"/>
  <c r="CQ26" i="14"/>
  <c r="CO26" i="14"/>
  <c r="CN26" i="14"/>
  <c r="CL26" i="14"/>
  <c r="CK26" i="14"/>
  <c r="CI26" i="14"/>
  <c r="CH26" i="14"/>
  <c r="CF26" i="14"/>
  <c r="CE26" i="14"/>
  <c r="CC26" i="14"/>
  <c r="CB26" i="14"/>
  <c r="BZ26" i="14"/>
  <c r="BY26" i="14"/>
  <c r="BW26" i="14"/>
  <c r="BV26" i="14"/>
  <c r="BT26" i="14"/>
  <c r="BS26" i="14"/>
  <c r="BQ26" i="14"/>
  <c r="BP26" i="14"/>
  <c r="BN26" i="14"/>
  <c r="BM26" i="14"/>
  <c r="BK26" i="14"/>
  <c r="BJ26" i="14"/>
  <c r="BH26" i="14"/>
  <c r="BG26" i="14"/>
  <c r="BE26" i="14"/>
  <c r="BD26" i="14"/>
  <c r="BB26" i="14"/>
  <c r="BA26" i="14"/>
  <c r="AY26" i="14"/>
  <c r="AX26" i="14"/>
  <c r="AV26" i="14"/>
  <c r="AU26" i="14"/>
  <c r="AS26" i="14"/>
  <c r="AR26" i="14"/>
  <c r="AP26" i="14"/>
  <c r="AO26" i="14"/>
  <c r="AM26" i="14"/>
  <c r="AL26" i="14"/>
  <c r="AJ26" i="14"/>
  <c r="AI26" i="14"/>
  <c r="AG26" i="14"/>
  <c r="AF26" i="14"/>
  <c r="AD26" i="14"/>
  <c r="AC26" i="14"/>
  <c r="AA26" i="14"/>
  <c r="Z26" i="14"/>
  <c r="X26" i="14"/>
  <c r="W26" i="14"/>
  <c r="U26" i="14"/>
  <c r="T26" i="14"/>
  <c r="R26" i="14"/>
  <c r="Q26" i="14"/>
  <c r="O26" i="14"/>
  <c r="N26" i="14"/>
  <c r="L26" i="14"/>
  <c r="K26" i="14"/>
  <c r="I26" i="14"/>
  <c r="H26" i="14"/>
  <c r="F26" i="14"/>
  <c r="E26" i="14"/>
  <c r="C26" i="14"/>
  <c r="B26" i="14"/>
  <c r="A26" i="14"/>
  <c r="HH25" i="14"/>
  <c r="HG25" i="14"/>
  <c r="HE25" i="14"/>
  <c r="HD25" i="14"/>
  <c r="HB25" i="14"/>
  <c r="HA25" i="14"/>
  <c r="GY25" i="14"/>
  <c r="GX25" i="14"/>
  <c r="GV25" i="14"/>
  <c r="GU25" i="14"/>
  <c r="GS25" i="14"/>
  <c r="GR25" i="14"/>
  <c r="GP25" i="14"/>
  <c r="GO25" i="14"/>
  <c r="GM25" i="14"/>
  <c r="GL25" i="14"/>
  <c r="GJ25" i="14"/>
  <c r="GI25" i="14"/>
  <c r="GG25" i="14"/>
  <c r="GF25" i="14"/>
  <c r="GD25" i="14"/>
  <c r="GC25" i="14"/>
  <c r="GA25" i="14"/>
  <c r="FZ25" i="14"/>
  <c r="FX25" i="14"/>
  <c r="FW25" i="14"/>
  <c r="FU25" i="14"/>
  <c r="FT25" i="14"/>
  <c r="FR25" i="14"/>
  <c r="FQ25" i="14"/>
  <c r="FO25" i="14"/>
  <c r="FN25" i="14"/>
  <c r="FL25" i="14"/>
  <c r="FK25" i="14"/>
  <c r="FI25" i="14"/>
  <c r="FH25" i="14"/>
  <c r="FF25" i="14"/>
  <c r="FE25" i="14"/>
  <c r="FC25" i="14"/>
  <c r="FB25" i="14"/>
  <c r="EZ25" i="14"/>
  <c r="EY25" i="14"/>
  <c r="EW25" i="14"/>
  <c r="EV25" i="14"/>
  <c r="ET25" i="14"/>
  <c r="ES25" i="14"/>
  <c r="EQ25" i="14"/>
  <c r="EP25" i="14"/>
  <c r="EN25" i="14"/>
  <c r="EM25" i="14"/>
  <c r="EK25" i="14"/>
  <c r="EJ25" i="14"/>
  <c r="EH25" i="14"/>
  <c r="EG25" i="14"/>
  <c r="EE25" i="14"/>
  <c r="ED25" i="14"/>
  <c r="EB25" i="14"/>
  <c r="EA25" i="14"/>
  <c r="DY25" i="14"/>
  <c r="DX25" i="14"/>
  <c r="DV25" i="14"/>
  <c r="DU25" i="14"/>
  <c r="DS25" i="14"/>
  <c r="DR25" i="14"/>
  <c r="DP25" i="14"/>
  <c r="DO25" i="14"/>
  <c r="DM25" i="14"/>
  <c r="DL25" i="14"/>
  <c r="DJ25" i="14"/>
  <c r="DI25" i="14"/>
  <c r="DG25" i="14"/>
  <c r="DF25" i="14"/>
  <c r="DD25" i="14"/>
  <c r="DC25" i="14"/>
  <c r="DA25" i="14"/>
  <c r="CZ25" i="14"/>
  <c r="CX25" i="14"/>
  <c r="CW25" i="14"/>
  <c r="CU25" i="14"/>
  <c r="CT25" i="14"/>
  <c r="CR25" i="14"/>
  <c r="CQ25" i="14"/>
  <c r="CO25" i="14"/>
  <c r="CN25" i="14"/>
  <c r="CL25" i="14"/>
  <c r="CK25" i="14"/>
  <c r="CI25" i="14"/>
  <c r="CH25" i="14"/>
  <c r="CF25" i="14"/>
  <c r="CE25" i="14"/>
  <c r="CC25" i="14"/>
  <c r="CB25" i="14"/>
  <c r="BZ25" i="14"/>
  <c r="BY25" i="14"/>
  <c r="BW25" i="14"/>
  <c r="BV25" i="14"/>
  <c r="BT25" i="14"/>
  <c r="BS25" i="14"/>
  <c r="BQ25" i="14"/>
  <c r="BP25" i="14"/>
  <c r="BN25" i="14"/>
  <c r="BM25" i="14"/>
  <c r="BK25" i="14"/>
  <c r="BJ25" i="14"/>
  <c r="BH25" i="14"/>
  <c r="BG25" i="14"/>
  <c r="BE25" i="14"/>
  <c r="BD25" i="14"/>
  <c r="BB25" i="14"/>
  <c r="BA25" i="14"/>
  <c r="AY25" i="14"/>
  <c r="AX25" i="14"/>
  <c r="AV25" i="14"/>
  <c r="AU25" i="14"/>
  <c r="AS25" i="14"/>
  <c r="AR25" i="14"/>
  <c r="AP25" i="14"/>
  <c r="AO25" i="14"/>
  <c r="AM25" i="14"/>
  <c r="AL25" i="14"/>
  <c r="AJ25" i="14"/>
  <c r="AI25" i="14"/>
  <c r="AG25" i="14"/>
  <c r="AF25" i="14"/>
  <c r="AD25" i="14"/>
  <c r="AC25" i="14"/>
  <c r="AA25" i="14"/>
  <c r="Z25" i="14"/>
  <c r="X25" i="14"/>
  <c r="W25" i="14"/>
  <c r="U25" i="14"/>
  <c r="T25" i="14"/>
  <c r="R25" i="14"/>
  <c r="Q25" i="14"/>
  <c r="O25" i="14"/>
  <c r="N25" i="14"/>
  <c r="L25" i="14"/>
  <c r="K25" i="14"/>
  <c r="I25" i="14"/>
  <c r="H25" i="14"/>
  <c r="F25" i="14"/>
  <c r="E25" i="14"/>
  <c r="C25" i="14"/>
  <c r="B25" i="14"/>
  <c r="A25" i="14"/>
  <c r="HH24" i="14"/>
  <c r="HG24" i="14"/>
  <c r="HE24" i="14"/>
  <c r="HD24" i="14"/>
  <c r="HB24" i="14"/>
  <c r="HA24" i="14"/>
  <c r="GY24" i="14"/>
  <c r="GX24" i="14"/>
  <c r="GV24" i="14"/>
  <c r="GU24" i="14"/>
  <c r="GS24" i="14"/>
  <c r="GR24" i="14"/>
  <c r="GP24" i="14"/>
  <c r="GO24" i="14"/>
  <c r="GM24" i="14"/>
  <c r="GL24" i="14"/>
  <c r="GJ24" i="14"/>
  <c r="GI24" i="14"/>
  <c r="GG24" i="14"/>
  <c r="GF24" i="14"/>
  <c r="GD24" i="14"/>
  <c r="GC24" i="14"/>
  <c r="GA24" i="14"/>
  <c r="FZ24" i="14"/>
  <c r="FX24" i="14"/>
  <c r="FW24" i="14"/>
  <c r="FU24" i="14"/>
  <c r="FT24" i="14"/>
  <c r="FR24" i="14"/>
  <c r="FQ24" i="14"/>
  <c r="FO24" i="14"/>
  <c r="FN24" i="14"/>
  <c r="FL24" i="14"/>
  <c r="FK24" i="14"/>
  <c r="FI24" i="14"/>
  <c r="FH24" i="14"/>
  <c r="FF24" i="14"/>
  <c r="FE24" i="14"/>
  <c r="FC24" i="14"/>
  <c r="FB24" i="14"/>
  <c r="EZ24" i="14"/>
  <c r="EY24" i="14"/>
  <c r="EW24" i="14"/>
  <c r="EV24" i="14"/>
  <c r="ET24" i="14"/>
  <c r="ES24" i="14"/>
  <c r="EQ24" i="14"/>
  <c r="EP24" i="14"/>
  <c r="EN24" i="14"/>
  <c r="EM24" i="14"/>
  <c r="EK24" i="14"/>
  <c r="EJ24" i="14"/>
  <c r="EH24" i="14"/>
  <c r="EG24" i="14"/>
  <c r="EE24" i="14"/>
  <c r="ED24" i="14"/>
  <c r="EB24" i="14"/>
  <c r="EA24" i="14"/>
  <c r="DY24" i="14"/>
  <c r="DX24" i="14"/>
  <c r="DV24" i="14"/>
  <c r="DU24" i="14"/>
  <c r="DS24" i="14"/>
  <c r="DR24" i="14"/>
  <c r="DP24" i="14"/>
  <c r="DO24" i="14"/>
  <c r="DM24" i="14"/>
  <c r="DL24" i="14"/>
  <c r="DJ24" i="14"/>
  <c r="DI24" i="14"/>
  <c r="DG24" i="14"/>
  <c r="DF24" i="14"/>
  <c r="DD24" i="14"/>
  <c r="DC24" i="14"/>
  <c r="DA24" i="14"/>
  <c r="CZ24" i="14"/>
  <c r="CX24" i="14"/>
  <c r="CW24" i="14"/>
  <c r="CU24" i="14"/>
  <c r="CT24" i="14"/>
  <c r="CR24" i="14"/>
  <c r="CQ24" i="14"/>
  <c r="CO24" i="14"/>
  <c r="CN24" i="14"/>
  <c r="CL24" i="14"/>
  <c r="CK24" i="14"/>
  <c r="CI24" i="14"/>
  <c r="CH24" i="14"/>
  <c r="CF24" i="14"/>
  <c r="CE24" i="14"/>
  <c r="CC24" i="14"/>
  <c r="CB24" i="14"/>
  <c r="BZ24" i="14"/>
  <c r="BY24" i="14"/>
  <c r="BW24" i="14"/>
  <c r="BV24" i="14"/>
  <c r="BT24" i="14"/>
  <c r="BS24" i="14"/>
  <c r="BQ24" i="14"/>
  <c r="BP24" i="14"/>
  <c r="BN24" i="14"/>
  <c r="BM24" i="14"/>
  <c r="BK24" i="14"/>
  <c r="BJ24" i="14"/>
  <c r="BH24" i="14"/>
  <c r="BG24" i="14"/>
  <c r="BE24" i="14"/>
  <c r="BD24" i="14"/>
  <c r="BB24" i="14"/>
  <c r="BA24" i="14"/>
  <c r="AY24" i="14"/>
  <c r="AX24" i="14"/>
  <c r="AV24" i="14"/>
  <c r="AU24" i="14"/>
  <c r="AS24" i="14"/>
  <c r="AR24" i="14"/>
  <c r="AP24" i="14"/>
  <c r="AO24" i="14"/>
  <c r="AM24" i="14"/>
  <c r="AL24" i="14"/>
  <c r="AJ24" i="14"/>
  <c r="AI24" i="14"/>
  <c r="AG24" i="14"/>
  <c r="AF24" i="14"/>
  <c r="AD24" i="14"/>
  <c r="AC24" i="14"/>
  <c r="AA24" i="14"/>
  <c r="Z24" i="14"/>
  <c r="X24" i="14"/>
  <c r="W24" i="14"/>
  <c r="U24" i="14"/>
  <c r="T24" i="14"/>
  <c r="R24" i="14"/>
  <c r="Q24" i="14"/>
  <c r="O24" i="14"/>
  <c r="N24" i="14"/>
  <c r="L24" i="14"/>
  <c r="K24" i="14"/>
  <c r="I24" i="14"/>
  <c r="H24" i="14"/>
  <c r="F24" i="14"/>
  <c r="E24" i="14"/>
  <c r="C24" i="14"/>
  <c r="B24" i="14"/>
  <c r="A24" i="14"/>
  <c r="HH23" i="14"/>
  <c r="HG23" i="14"/>
  <c r="HE23" i="14"/>
  <c r="HD23" i="14"/>
  <c r="HB23" i="14"/>
  <c r="HA23" i="14"/>
  <c r="GY23" i="14"/>
  <c r="GX23" i="14"/>
  <c r="GV23" i="14"/>
  <c r="GU23" i="14"/>
  <c r="GS23" i="14"/>
  <c r="GR23" i="14"/>
  <c r="GP23" i="14"/>
  <c r="GO23" i="14"/>
  <c r="GM23" i="14"/>
  <c r="GL23" i="14"/>
  <c r="GJ23" i="14"/>
  <c r="GI23" i="14"/>
  <c r="GG23" i="14"/>
  <c r="GF23" i="14"/>
  <c r="GD23" i="14"/>
  <c r="GC23" i="14"/>
  <c r="GA23" i="14"/>
  <c r="FZ23" i="14"/>
  <c r="FX23" i="14"/>
  <c r="FW23" i="14"/>
  <c r="FU23" i="14"/>
  <c r="FT23" i="14"/>
  <c r="FR23" i="14"/>
  <c r="FQ23" i="14"/>
  <c r="FO23" i="14"/>
  <c r="FN23" i="14"/>
  <c r="FL23" i="14"/>
  <c r="FK23" i="14"/>
  <c r="FI23" i="14"/>
  <c r="FH23" i="14"/>
  <c r="FF23" i="14"/>
  <c r="FE23" i="14"/>
  <c r="FC23" i="14"/>
  <c r="FB23" i="14"/>
  <c r="EZ23" i="14"/>
  <c r="EY23" i="14"/>
  <c r="EW23" i="14"/>
  <c r="EV23" i="14"/>
  <c r="ET23" i="14"/>
  <c r="ES23" i="14"/>
  <c r="EQ23" i="14"/>
  <c r="EP23" i="14"/>
  <c r="EN23" i="14"/>
  <c r="EM23" i="14"/>
  <c r="EK23" i="14"/>
  <c r="EJ23" i="14"/>
  <c r="EH23" i="14"/>
  <c r="EG23" i="14"/>
  <c r="EE23" i="14"/>
  <c r="ED23" i="14"/>
  <c r="EB23" i="14"/>
  <c r="EA23" i="14"/>
  <c r="DY23" i="14"/>
  <c r="DX23" i="14"/>
  <c r="DV23" i="14"/>
  <c r="DU23" i="14"/>
  <c r="DS23" i="14"/>
  <c r="DR23" i="14"/>
  <c r="DP23" i="14"/>
  <c r="DO23" i="14"/>
  <c r="DM23" i="14"/>
  <c r="DL23" i="14"/>
  <c r="DJ23" i="14"/>
  <c r="DI23" i="14"/>
  <c r="DG23" i="14"/>
  <c r="DF23" i="14"/>
  <c r="DD23" i="14"/>
  <c r="DC23" i="14"/>
  <c r="DA23" i="14"/>
  <c r="CZ23" i="14"/>
  <c r="CX23" i="14"/>
  <c r="CW23" i="14"/>
  <c r="CU23" i="14"/>
  <c r="CT23" i="14"/>
  <c r="CR23" i="14"/>
  <c r="CQ23" i="14"/>
  <c r="CO23" i="14"/>
  <c r="CN23" i="14"/>
  <c r="CL23" i="14"/>
  <c r="CK23" i="14"/>
  <c r="CI23" i="14"/>
  <c r="CH23" i="14"/>
  <c r="CF23" i="14"/>
  <c r="CE23" i="14"/>
  <c r="CC23" i="14"/>
  <c r="CB23" i="14"/>
  <c r="BZ23" i="14"/>
  <c r="BY23" i="14"/>
  <c r="BW23" i="14"/>
  <c r="BV23" i="14"/>
  <c r="BT23" i="14"/>
  <c r="BS23" i="14"/>
  <c r="BQ23" i="14"/>
  <c r="BP23" i="14"/>
  <c r="BN23" i="14"/>
  <c r="BM23" i="14"/>
  <c r="BK23" i="14"/>
  <c r="BJ23" i="14"/>
  <c r="BH23" i="14"/>
  <c r="BG23" i="14"/>
  <c r="BE23" i="14"/>
  <c r="BD23" i="14"/>
  <c r="BB23" i="14"/>
  <c r="BA23" i="14"/>
  <c r="AY23" i="14"/>
  <c r="AX23" i="14"/>
  <c r="AV23" i="14"/>
  <c r="AU23" i="14"/>
  <c r="AS23" i="14"/>
  <c r="AR23" i="14"/>
  <c r="AP23" i="14"/>
  <c r="AO23" i="14"/>
  <c r="AM23" i="14"/>
  <c r="AL23" i="14"/>
  <c r="AJ23" i="14"/>
  <c r="AI23" i="14"/>
  <c r="AG23" i="14"/>
  <c r="AF23" i="14"/>
  <c r="AD23" i="14"/>
  <c r="AC23" i="14"/>
  <c r="AA23" i="14"/>
  <c r="Z23" i="14"/>
  <c r="X23" i="14"/>
  <c r="W23" i="14"/>
  <c r="U23" i="14"/>
  <c r="T23" i="14"/>
  <c r="R23" i="14"/>
  <c r="Q23" i="14"/>
  <c r="O23" i="14"/>
  <c r="N23" i="14"/>
  <c r="L23" i="14"/>
  <c r="K23" i="14"/>
  <c r="I23" i="14"/>
  <c r="H23" i="14"/>
  <c r="F23" i="14"/>
  <c r="E23" i="14"/>
  <c r="C23" i="14"/>
  <c r="B23" i="14"/>
  <c r="A23" i="14"/>
  <c r="HH22" i="14"/>
  <c r="HG22" i="14"/>
  <c r="HE22" i="14"/>
  <c r="HD22" i="14"/>
  <c r="HB22" i="14"/>
  <c r="HA22" i="14"/>
  <c r="GY22" i="14"/>
  <c r="GX22" i="14"/>
  <c r="GV22" i="14"/>
  <c r="GU22" i="14"/>
  <c r="GS22" i="14"/>
  <c r="GR22" i="14"/>
  <c r="GP22" i="14"/>
  <c r="GO22" i="14"/>
  <c r="GM22" i="14"/>
  <c r="GL22" i="14"/>
  <c r="GJ22" i="14"/>
  <c r="GI22" i="14"/>
  <c r="GG22" i="14"/>
  <c r="GF22" i="14"/>
  <c r="GD22" i="14"/>
  <c r="GC22" i="14"/>
  <c r="GA22" i="14"/>
  <c r="FZ22" i="14"/>
  <c r="FX22" i="14"/>
  <c r="FW22" i="14"/>
  <c r="FU22" i="14"/>
  <c r="FT22" i="14"/>
  <c r="FR22" i="14"/>
  <c r="FQ22" i="14"/>
  <c r="FO22" i="14"/>
  <c r="FN22" i="14"/>
  <c r="FL22" i="14"/>
  <c r="FK22" i="14"/>
  <c r="FI22" i="14"/>
  <c r="FH22" i="14"/>
  <c r="FF22" i="14"/>
  <c r="FE22" i="14"/>
  <c r="FC22" i="14"/>
  <c r="FB22" i="14"/>
  <c r="EZ22" i="14"/>
  <c r="EY22" i="14"/>
  <c r="EW22" i="14"/>
  <c r="EV22" i="14"/>
  <c r="ET22" i="14"/>
  <c r="ES22" i="14"/>
  <c r="EQ22" i="14"/>
  <c r="EP22" i="14"/>
  <c r="EN22" i="14"/>
  <c r="EM22" i="14"/>
  <c r="EK22" i="14"/>
  <c r="EJ22" i="14"/>
  <c r="EH22" i="14"/>
  <c r="EG22" i="14"/>
  <c r="EE22" i="14"/>
  <c r="ED22" i="14"/>
  <c r="EB22" i="14"/>
  <c r="EA22" i="14"/>
  <c r="DY22" i="14"/>
  <c r="DX22" i="14"/>
  <c r="DV22" i="14"/>
  <c r="DU22" i="14"/>
  <c r="DS22" i="14"/>
  <c r="DR22" i="14"/>
  <c r="DP22" i="14"/>
  <c r="DO22" i="14"/>
  <c r="DM22" i="14"/>
  <c r="DL22" i="14"/>
  <c r="DJ22" i="14"/>
  <c r="DI22" i="14"/>
  <c r="DG22" i="14"/>
  <c r="DF22" i="14"/>
  <c r="DD22" i="14"/>
  <c r="DC22" i="14"/>
  <c r="DA22" i="14"/>
  <c r="CZ22" i="14"/>
  <c r="CX22" i="14"/>
  <c r="CW22" i="14"/>
  <c r="CU22" i="14"/>
  <c r="CT22" i="14"/>
  <c r="CR22" i="14"/>
  <c r="CQ22" i="14"/>
  <c r="CO22" i="14"/>
  <c r="CN22" i="14"/>
  <c r="CL22" i="14"/>
  <c r="CK22" i="14"/>
  <c r="CI22" i="14"/>
  <c r="CH22" i="14"/>
  <c r="CF22" i="14"/>
  <c r="CE22" i="14"/>
  <c r="CC22" i="14"/>
  <c r="CB22" i="14"/>
  <c r="BZ22" i="14"/>
  <c r="BY22" i="14"/>
  <c r="BW22" i="14"/>
  <c r="BV22" i="14"/>
  <c r="BT22" i="14"/>
  <c r="BS22" i="14"/>
  <c r="BQ22" i="14"/>
  <c r="BP22" i="14"/>
  <c r="BN22" i="14"/>
  <c r="BM22" i="14"/>
  <c r="BK22" i="14"/>
  <c r="BJ22" i="14"/>
  <c r="BH22" i="14"/>
  <c r="BG22" i="14"/>
  <c r="BE22" i="14"/>
  <c r="BD22" i="14"/>
  <c r="BB22" i="14"/>
  <c r="BA22" i="14"/>
  <c r="AY22" i="14"/>
  <c r="AX22" i="14"/>
  <c r="AV22" i="14"/>
  <c r="AU22" i="14"/>
  <c r="AS22" i="14"/>
  <c r="AR22" i="14"/>
  <c r="AP22" i="14"/>
  <c r="AO22" i="14"/>
  <c r="AM22" i="14"/>
  <c r="AL22" i="14"/>
  <c r="AJ22" i="14"/>
  <c r="AI22" i="14"/>
  <c r="AG22" i="14"/>
  <c r="AF22" i="14"/>
  <c r="AD22" i="14"/>
  <c r="AC22" i="14"/>
  <c r="AA22" i="14"/>
  <c r="Z22" i="14"/>
  <c r="X22" i="14"/>
  <c r="W22" i="14"/>
  <c r="U22" i="14"/>
  <c r="T22" i="14"/>
  <c r="R22" i="14"/>
  <c r="Q22" i="14"/>
  <c r="O22" i="14"/>
  <c r="N22" i="14"/>
  <c r="L22" i="14"/>
  <c r="K22" i="14"/>
  <c r="I22" i="14"/>
  <c r="H22" i="14"/>
  <c r="F22" i="14"/>
  <c r="E22" i="14"/>
  <c r="C22" i="14"/>
  <c r="B22" i="14"/>
  <c r="A22" i="14"/>
  <c r="HH21" i="14"/>
  <c r="HG21" i="14"/>
  <c r="HE21" i="14"/>
  <c r="HD21" i="14"/>
  <c r="HB21" i="14"/>
  <c r="HA21" i="14"/>
  <c r="GY21" i="14"/>
  <c r="GX21" i="14"/>
  <c r="GV21" i="14"/>
  <c r="GU21" i="14"/>
  <c r="GS21" i="14"/>
  <c r="GR21" i="14"/>
  <c r="GP21" i="14"/>
  <c r="GO21" i="14"/>
  <c r="GM21" i="14"/>
  <c r="GL21" i="14"/>
  <c r="GJ21" i="14"/>
  <c r="GI21" i="14"/>
  <c r="GG21" i="14"/>
  <c r="GF21" i="14"/>
  <c r="GD21" i="14"/>
  <c r="GC21" i="14"/>
  <c r="GA21" i="14"/>
  <c r="FZ21" i="14"/>
  <c r="FX21" i="14"/>
  <c r="FW21" i="14"/>
  <c r="FU21" i="14"/>
  <c r="FT21" i="14"/>
  <c r="FR21" i="14"/>
  <c r="FQ21" i="14"/>
  <c r="FO21" i="14"/>
  <c r="FN21" i="14"/>
  <c r="FL21" i="14"/>
  <c r="FK21" i="14"/>
  <c r="FI21" i="14"/>
  <c r="FH21" i="14"/>
  <c r="FF21" i="14"/>
  <c r="FE21" i="14"/>
  <c r="FC21" i="14"/>
  <c r="FB21" i="14"/>
  <c r="EZ21" i="14"/>
  <c r="EY21" i="14"/>
  <c r="EW21" i="14"/>
  <c r="EV21" i="14"/>
  <c r="ET21" i="14"/>
  <c r="ES21" i="14"/>
  <c r="EQ21" i="14"/>
  <c r="EP21" i="14"/>
  <c r="EN21" i="14"/>
  <c r="EM21" i="14"/>
  <c r="EK21" i="14"/>
  <c r="EJ21" i="14"/>
  <c r="EH21" i="14"/>
  <c r="EG21" i="14"/>
  <c r="EE21" i="14"/>
  <c r="ED21" i="14"/>
  <c r="EB21" i="14"/>
  <c r="EA21" i="14"/>
  <c r="DY21" i="14"/>
  <c r="DX21" i="14"/>
  <c r="DV21" i="14"/>
  <c r="DU21" i="14"/>
  <c r="DS21" i="14"/>
  <c r="DR21" i="14"/>
  <c r="DP21" i="14"/>
  <c r="DO21" i="14"/>
  <c r="DM21" i="14"/>
  <c r="DL21" i="14"/>
  <c r="DJ21" i="14"/>
  <c r="DI21" i="14"/>
  <c r="DG21" i="14"/>
  <c r="DF21" i="14"/>
  <c r="DD21" i="14"/>
  <c r="DC21" i="14"/>
  <c r="DA21" i="14"/>
  <c r="CZ21" i="14"/>
  <c r="CX21" i="14"/>
  <c r="CW21" i="14"/>
  <c r="CU21" i="14"/>
  <c r="CT21" i="14"/>
  <c r="CR21" i="14"/>
  <c r="CQ21" i="14"/>
  <c r="CO21" i="14"/>
  <c r="CN21" i="14"/>
  <c r="CL21" i="14"/>
  <c r="CK21" i="14"/>
  <c r="CI21" i="14"/>
  <c r="CH21" i="14"/>
  <c r="CF21" i="14"/>
  <c r="CE21" i="14"/>
  <c r="CC21" i="14"/>
  <c r="CB21" i="14"/>
  <c r="BZ21" i="14"/>
  <c r="BY21" i="14"/>
  <c r="BW21" i="14"/>
  <c r="BV21" i="14"/>
  <c r="BT21" i="14"/>
  <c r="BS21" i="14"/>
  <c r="BQ21" i="14"/>
  <c r="BP21" i="14"/>
  <c r="BN21" i="14"/>
  <c r="BM21" i="14"/>
  <c r="BK21" i="14"/>
  <c r="BJ21" i="14"/>
  <c r="BH21" i="14"/>
  <c r="BG21" i="14"/>
  <c r="BE21" i="14"/>
  <c r="BD21" i="14"/>
  <c r="BB21" i="14"/>
  <c r="BA21" i="14"/>
  <c r="AY21" i="14"/>
  <c r="AX21" i="14"/>
  <c r="AV21" i="14"/>
  <c r="AU21" i="14"/>
  <c r="AS21" i="14"/>
  <c r="AR21" i="14"/>
  <c r="AP21" i="14"/>
  <c r="AO21" i="14"/>
  <c r="AM21" i="14"/>
  <c r="AL21" i="14"/>
  <c r="AJ21" i="14"/>
  <c r="AI21" i="14"/>
  <c r="AG21" i="14"/>
  <c r="AF21" i="14"/>
  <c r="AD21" i="14"/>
  <c r="AC21" i="14"/>
  <c r="AA21" i="14"/>
  <c r="Z21" i="14"/>
  <c r="X21" i="14"/>
  <c r="W21" i="14"/>
  <c r="U21" i="14"/>
  <c r="T21" i="14"/>
  <c r="R21" i="14"/>
  <c r="Q21" i="14"/>
  <c r="O21" i="14"/>
  <c r="N21" i="14"/>
  <c r="L21" i="14"/>
  <c r="K21" i="14"/>
  <c r="I21" i="14"/>
  <c r="H21" i="14"/>
  <c r="F21" i="14"/>
  <c r="E21" i="14"/>
  <c r="C21" i="14"/>
  <c r="B21" i="14"/>
  <c r="A21" i="14"/>
  <c r="HH20" i="14"/>
  <c r="HG20" i="14"/>
  <c r="HE20" i="14"/>
  <c r="HD20" i="14"/>
  <c r="HB20" i="14"/>
  <c r="HA20" i="14"/>
  <c r="GY20" i="14"/>
  <c r="GX20" i="14"/>
  <c r="GV20" i="14"/>
  <c r="GU20" i="14"/>
  <c r="GS20" i="14"/>
  <c r="GR20" i="14"/>
  <c r="GP20" i="14"/>
  <c r="GO20" i="14"/>
  <c r="GM20" i="14"/>
  <c r="GL20" i="14"/>
  <c r="GJ20" i="14"/>
  <c r="GI20" i="14"/>
  <c r="GG20" i="14"/>
  <c r="GF20" i="14"/>
  <c r="GD20" i="14"/>
  <c r="GC20" i="14"/>
  <c r="GA20" i="14"/>
  <c r="FZ20" i="14"/>
  <c r="FX20" i="14"/>
  <c r="FW20" i="14"/>
  <c r="FU20" i="14"/>
  <c r="FT20" i="14"/>
  <c r="FR20" i="14"/>
  <c r="FQ20" i="14"/>
  <c r="FO20" i="14"/>
  <c r="FN20" i="14"/>
  <c r="FL20" i="14"/>
  <c r="FK20" i="14"/>
  <c r="FI20" i="14"/>
  <c r="FH20" i="14"/>
  <c r="FF20" i="14"/>
  <c r="FE20" i="14"/>
  <c r="FC20" i="14"/>
  <c r="FB20" i="14"/>
  <c r="EZ20" i="14"/>
  <c r="EY20" i="14"/>
  <c r="EW20" i="14"/>
  <c r="EV20" i="14"/>
  <c r="ET20" i="14"/>
  <c r="ES20" i="14"/>
  <c r="EQ20" i="14"/>
  <c r="EP20" i="14"/>
  <c r="EN20" i="14"/>
  <c r="EM20" i="14"/>
  <c r="EK20" i="14"/>
  <c r="EJ20" i="14"/>
  <c r="EH20" i="14"/>
  <c r="EG20" i="14"/>
  <c r="EE20" i="14"/>
  <c r="ED20" i="14"/>
  <c r="EB20" i="14"/>
  <c r="EA20" i="14"/>
  <c r="DY20" i="14"/>
  <c r="DX20" i="14"/>
  <c r="DV20" i="14"/>
  <c r="DU20" i="14"/>
  <c r="DS20" i="14"/>
  <c r="DR20" i="14"/>
  <c r="DP20" i="14"/>
  <c r="DO20" i="14"/>
  <c r="DM20" i="14"/>
  <c r="DL20" i="14"/>
  <c r="DJ20" i="14"/>
  <c r="DI20" i="14"/>
  <c r="DG20" i="14"/>
  <c r="DF20" i="14"/>
  <c r="DD20" i="14"/>
  <c r="DC20" i="14"/>
  <c r="DA20" i="14"/>
  <c r="CZ20" i="14"/>
  <c r="CX20" i="14"/>
  <c r="CW20" i="14"/>
  <c r="CU20" i="14"/>
  <c r="CT20" i="14"/>
  <c r="CR20" i="14"/>
  <c r="CQ20" i="14"/>
  <c r="CO20" i="14"/>
  <c r="CN20" i="14"/>
  <c r="CL20" i="14"/>
  <c r="CK20" i="14"/>
  <c r="CI20" i="14"/>
  <c r="CH20" i="14"/>
  <c r="CF20" i="14"/>
  <c r="CE20" i="14"/>
  <c r="CC20" i="14"/>
  <c r="CB20" i="14"/>
  <c r="BZ20" i="14"/>
  <c r="BY20" i="14"/>
  <c r="BW20" i="14"/>
  <c r="BV20" i="14"/>
  <c r="BT20" i="14"/>
  <c r="BS20" i="14"/>
  <c r="BQ20" i="14"/>
  <c r="BP20" i="14"/>
  <c r="BN20" i="14"/>
  <c r="BM20" i="14"/>
  <c r="BK20" i="14"/>
  <c r="BJ20" i="14"/>
  <c r="BH20" i="14"/>
  <c r="BG20" i="14"/>
  <c r="BE20" i="14"/>
  <c r="BD20" i="14"/>
  <c r="BB20" i="14"/>
  <c r="BA20" i="14"/>
  <c r="AY20" i="14"/>
  <c r="AX20" i="14"/>
  <c r="AV20" i="14"/>
  <c r="AU20" i="14"/>
  <c r="AS20" i="14"/>
  <c r="AR20" i="14"/>
  <c r="AP20" i="14"/>
  <c r="AO20" i="14"/>
  <c r="AM20" i="14"/>
  <c r="AL20" i="14"/>
  <c r="AJ20" i="14"/>
  <c r="AI20" i="14"/>
  <c r="AG20" i="14"/>
  <c r="AF20" i="14"/>
  <c r="AD20" i="14"/>
  <c r="AC20" i="14"/>
  <c r="AA20" i="14"/>
  <c r="Z20" i="14"/>
  <c r="X20" i="14"/>
  <c r="W20" i="14"/>
  <c r="U20" i="14"/>
  <c r="T20" i="14"/>
  <c r="R20" i="14"/>
  <c r="Q20" i="14"/>
  <c r="O20" i="14"/>
  <c r="N20" i="14"/>
  <c r="L20" i="14"/>
  <c r="K20" i="14"/>
  <c r="I20" i="14"/>
  <c r="H20" i="14"/>
  <c r="F20" i="14"/>
  <c r="E20" i="14"/>
  <c r="C20" i="14"/>
  <c r="B20" i="14"/>
  <c r="A20" i="14"/>
  <c r="HH19" i="14"/>
  <c r="HG19" i="14"/>
  <c r="HE19" i="14"/>
  <c r="HD19" i="14"/>
  <c r="HB19" i="14"/>
  <c r="HA19" i="14"/>
  <c r="GY19" i="14"/>
  <c r="GX19" i="14"/>
  <c r="GV19" i="14"/>
  <c r="GU19" i="14"/>
  <c r="GS19" i="14"/>
  <c r="GR19" i="14"/>
  <c r="GP19" i="14"/>
  <c r="GO19" i="14"/>
  <c r="GM19" i="14"/>
  <c r="GL19" i="14"/>
  <c r="GJ19" i="14"/>
  <c r="GI19" i="14"/>
  <c r="GG19" i="14"/>
  <c r="GF19" i="14"/>
  <c r="GD19" i="14"/>
  <c r="GC19" i="14"/>
  <c r="GA19" i="14"/>
  <c r="FZ19" i="14"/>
  <c r="FX19" i="14"/>
  <c r="FW19" i="14"/>
  <c r="FU19" i="14"/>
  <c r="FT19" i="14"/>
  <c r="FR19" i="14"/>
  <c r="FQ19" i="14"/>
  <c r="FO19" i="14"/>
  <c r="FN19" i="14"/>
  <c r="FL19" i="14"/>
  <c r="FK19" i="14"/>
  <c r="FI19" i="14"/>
  <c r="FH19" i="14"/>
  <c r="FF19" i="14"/>
  <c r="FE19" i="14"/>
  <c r="FC19" i="14"/>
  <c r="FB19" i="14"/>
  <c r="EZ19" i="14"/>
  <c r="EY19" i="14"/>
  <c r="EW19" i="14"/>
  <c r="EV19" i="14"/>
  <c r="ET19" i="14"/>
  <c r="ES19" i="14"/>
  <c r="EQ19" i="14"/>
  <c r="EP19" i="14"/>
  <c r="EN19" i="14"/>
  <c r="EM19" i="14"/>
  <c r="EK19" i="14"/>
  <c r="EJ19" i="14"/>
  <c r="EH19" i="14"/>
  <c r="EG19" i="14"/>
  <c r="EE19" i="14"/>
  <c r="ED19" i="14"/>
  <c r="EB19" i="14"/>
  <c r="EA19" i="14"/>
  <c r="DY19" i="14"/>
  <c r="DX19" i="14"/>
  <c r="DV19" i="14"/>
  <c r="DU19" i="14"/>
  <c r="DS19" i="14"/>
  <c r="DR19" i="14"/>
  <c r="DP19" i="14"/>
  <c r="DO19" i="14"/>
  <c r="DM19" i="14"/>
  <c r="DL19" i="14"/>
  <c r="DJ19" i="14"/>
  <c r="DI19" i="14"/>
  <c r="DG19" i="14"/>
  <c r="DF19" i="14"/>
  <c r="DD19" i="14"/>
  <c r="DC19" i="14"/>
  <c r="DA19" i="14"/>
  <c r="CZ19" i="14"/>
  <c r="CX19" i="14"/>
  <c r="CW19" i="14"/>
  <c r="CU19" i="14"/>
  <c r="CT19" i="14"/>
  <c r="CR19" i="14"/>
  <c r="CQ19" i="14"/>
  <c r="CO19" i="14"/>
  <c r="CN19" i="14"/>
  <c r="CL19" i="14"/>
  <c r="CK19" i="14"/>
  <c r="CI19" i="14"/>
  <c r="CH19" i="14"/>
  <c r="CF19" i="14"/>
  <c r="CE19" i="14"/>
  <c r="CC19" i="14"/>
  <c r="CB19" i="14"/>
  <c r="BZ19" i="14"/>
  <c r="BY19" i="14"/>
  <c r="BW19" i="14"/>
  <c r="BV19" i="14"/>
  <c r="BT19" i="14"/>
  <c r="BS19" i="14"/>
  <c r="BQ19" i="14"/>
  <c r="BP19" i="14"/>
  <c r="BN19" i="14"/>
  <c r="BM19" i="14"/>
  <c r="BK19" i="14"/>
  <c r="BJ19" i="14"/>
  <c r="BH19" i="14"/>
  <c r="BG19" i="14"/>
  <c r="BE19" i="14"/>
  <c r="BD19" i="14"/>
  <c r="BB19" i="14"/>
  <c r="BA19" i="14"/>
  <c r="AY19" i="14"/>
  <c r="AX19" i="14"/>
  <c r="AV19" i="14"/>
  <c r="AU19" i="14"/>
  <c r="AS19" i="14"/>
  <c r="AR19" i="14"/>
  <c r="AP19" i="14"/>
  <c r="AO19" i="14"/>
  <c r="AM19" i="14"/>
  <c r="AL19" i="14"/>
  <c r="AJ19" i="14"/>
  <c r="AI19" i="14"/>
  <c r="AG19" i="14"/>
  <c r="AF19" i="14"/>
  <c r="AD19" i="14"/>
  <c r="AC19" i="14"/>
  <c r="AA19" i="14"/>
  <c r="Z19" i="14"/>
  <c r="X19" i="14"/>
  <c r="W19" i="14"/>
  <c r="U19" i="14"/>
  <c r="T19" i="14"/>
  <c r="R19" i="14"/>
  <c r="Q19" i="14"/>
  <c r="O19" i="14"/>
  <c r="N19" i="14"/>
  <c r="L19" i="14"/>
  <c r="K19" i="14"/>
  <c r="I19" i="14"/>
  <c r="H19" i="14"/>
  <c r="F19" i="14"/>
  <c r="E19" i="14"/>
  <c r="C19" i="14"/>
  <c r="B19" i="14"/>
  <c r="A19" i="14"/>
  <c r="HH18" i="14"/>
  <c r="HG18" i="14"/>
  <c r="HE18" i="14"/>
  <c r="HD18" i="14"/>
  <c r="HB18" i="14"/>
  <c r="HA18" i="14"/>
  <c r="GY18" i="14"/>
  <c r="GX18" i="14"/>
  <c r="GV18" i="14"/>
  <c r="GU18" i="14"/>
  <c r="GS18" i="14"/>
  <c r="GR18" i="14"/>
  <c r="GP18" i="14"/>
  <c r="GO18" i="14"/>
  <c r="GM18" i="14"/>
  <c r="GL18" i="14"/>
  <c r="GJ18" i="14"/>
  <c r="GI18" i="14"/>
  <c r="GG18" i="14"/>
  <c r="GF18" i="14"/>
  <c r="GD18" i="14"/>
  <c r="GC18" i="14"/>
  <c r="GA18" i="14"/>
  <c r="FZ18" i="14"/>
  <c r="FX18" i="14"/>
  <c r="FW18" i="14"/>
  <c r="FU18" i="14"/>
  <c r="FT18" i="14"/>
  <c r="FR18" i="14"/>
  <c r="FQ18" i="14"/>
  <c r="FO18" i="14"/>
  <c r="FN18" i="14"/>
  <c r="FL18" i="14"/>
  <c r="FK18" i="14"/>
  <c r="FI18" i="14"/>
  <c r="FH18" i="14"/>
  <c r="FF18" i="14"/>
  <c r="FE18" i="14"/>
  <c r="FC18" i="14"/>
  <c r="FB18" i="14"/>
  <c r="EZ18" i="14"/>
  <c r="EY18" i="14"/>
  <c r="EW18" i="14"/>
  <c r="EV18" i="14"/>
  <c r="ET18" i="14"/>
  <c r="ES18" i="14"/>
  <c r="EQ18" i="14"/>
  <c r="EP18" i="14"/>
  <c r="EN18" i="14"/>
  <c r="EM18" i="14"/>
  <c r="EK18" i="14"/>
  <c r="EJ18" i="14"/>
  <c r="EH18" i="14"/>
  <c r="EG18" i="14"/>
  <c r="EE18" i="14"/>
  <c r="ED18" i="14"/>
  <c r="EB18" i="14"/>
  <c r="EA18" i="14"/>
  <c r="DY18" i="14"/>
  <c r="DX18" i="14"/>
  <c r="DV18" i="14"/>
  <c r="DU18" i="14"/>
  <c r="DS18" i="14"/>
  <c r="DR18" i="14"/>
  <c r="DP18" i="14"/>
  <c r="DO18" i="14"/>
  <c r="DM18" i="14"/>
  <c r="DL18" i="14"/>
  <c r="DJ18" i="14"/>
  <c r="DI18" i="14"/>
  <c r="DG18" i="14"/>
  <c r="DF18" i="14"/>
  <c r="DD18" i="14"/>
  <c r="DC18" i="14"/>
  <c r="DA18" i="14"/>
  <c r="CZ18" i="14"/>
  <c r="CX18" i="14"/>
  <c r="CW18" i="14"/>
  <c r="CU18" i="14"/>
  <c r="CT18" i="14"/>
  <c r="CR18" i="14"/>
  <c r="CQ18" i="14"/>
  <c r="CO18" i="14"/>
  <c r="CN18" i="14"/>
  <c r="CL18" i="14"/>
  <c r="CK18" i="14"/>
  <c r="CI18" i="14"/>
  <c r="CH18" i="14"/>
  <c r="CF18" i="14"/>
  <c r="CE18" i="14"/>
  <c r="CC18" i="14"/>
  <c r="CB18" i="14"/>
  <c r="BZ18" i="14"/>
  <c r="BY18" i="14"/>
  <c r="BW18" i="14"/>
  <c r="BV18" i="14"/>
  <c r="BT18" i="14"/>
  <c r="BS18" i="14"/>
  <c r="BQ18" i="14"/>
  <c r="BP18" i="14"/>
  <c r="BN18" i="14"/>
  <c r="BM18" i="14"/>
  <c r="BK18" i="14"/>
  <c r="BJ18" i="14"/>
  <c r="BH18" i="14"/>
  <c r="BG18" i="14"/>
  <c r="BE18" i="14"/>
  <c r="BD18" i="14"/>
  <c r="BB18" i="14"/>
  <c r="BA18" i="14"/>
  <c r="AY18" i="14"/>
  <c r="AX18" i="14"/>
  <c r="AV18" i="14"/>
  <c r="AU18" i="14"/>
  <c r="AS18" i="14"/>
  <c r="AR18" i="14"/>
  <c r="AP18" i="14"/>
  <c r="AO18" i="14"/>
  <c r="AM18" i="14"/>
  <c r="AL18" i="14"/>
  <c r="AJ18" i="14"/>
  <c r="AI18" i="14"/>
  <c r="AG18" i="14"/>
  <c r="AF18" i="14"/>
  <c r="AD18" i="14"/>
  <c r="AC18" i="14"/>
  <c r="AA18" i="14"/>
  <c r="Z18" i="14"/>
  <c r="X18" i="14"/>
  <c r="W18" i="14"/>
  <c r="U18" i="14"/>
  <c r="T18" i="14"/>
  <c r="R18" i="14"/>
  <c r="Q18" i="14"/>
  <c r="O18" i="14"/>
  <c r="N18" i="14"/>
  <c r="L18" i="14"/>
  <c r="K18" i="14"/>
  <c r="I18" i="14"/>
  <c r="H18" i="14"/>
  <c r="F18" i="14"/>
  <c r="E18" i="14"/>
  <c r="C18" i="14"/>
  <c r="B18" i="14"/>
  <c r="A18" i="14"/>
  <c r="HH17" i="14"/>
  <c r="HG17" i="14"/>
  <c r="HE17" i="14"/>
  <c r="HD17" i="14"/>
  <c r="HB17" i="14"/>
  <c r="HA17" i="14"/>
  <c r="GY17" i="14"/>
  <c r="GX17" i="14"/>
  <c r="GV17" i="14"/>
  <c r="GU17" i="14"/>
  <c r="GS17" i="14"/>
  <c r="GR17" i="14"/>
  <c r="GP17" i="14"/>
  <c r="GO17" i="14"/>
  <c r="GM17" i="14"/>
  <c r="GL17" i="14"/>
  <c r="GJ17" i="14"/>
  <c r="GI17" i="14"/>
  <c r="GG17" i="14"/>
  <c r="GF17" i="14"/>
  <c r="GD17" i="14"/>
  <c r="GC17" i="14"/>
  <c r="GA17" i="14"/>
  <c r="FZ17" i="14"/>
  <c r="FX17" i="14"/>
  <c r="FW17" i="14"/>
  <c r="FU17" i="14"/>
  <c r="FT17" i="14"/>
  <c r="FR17" i="14"/>
  <c r="FQ17" i="14"/>
  <c r="FO17" i="14"/>
  <c r="FN17" i="14"/>
  <c r="FL17" i="14"/>
  <c r="FK17" i="14"/>
  <c r="FI17" i="14"/>
  <c r="FH17" i="14"/>
  <c r="FF17" i="14"/>
  <c r="FE17" i="14"/>
  <c r="FC17" i="14"/>
  <c r="FB17" i="14"/>
  <c r="EZ17" i="14"/>
  <c r="EY17" i="14"/>
  <c r="EW17" i="14"/>
  <c r="EV17" i="14"/>
  <c r="ET17" i="14"/>
  <c r="ES17" i="14"/>
  <c r="EQ17" i="14"/>
  <c r="EP17" i="14"/>
  <c r="EN17" i="14"/>
  <c r="EM17" i="14"/>
  <c r="EK17" i="14"/>
  <c r="EJ17" i="14"/>
  <c r="EH17" i="14"/>
  <c r="EG17" i="14"/>
  <c r="EE17" i="14"/>
  <c r="ED17" i="14"/>
  <c r="EB17" i="14"/>
  <c r="EA17" i="14"/>
  <c r="DY17" i="14"/>
  <c r="DX17" i="14"/>
  <c r="DV17" i="14"/>
  <c r="DU17" i="14"/>
  <c r="DS17" i="14"/>
  <c r="DR17" i="14"/>
  <c r="DP17" i="14"/>
  <c r="DO17" i="14"/>
  <c r="DM17" i="14"/>
  <c r="DL17" i="14"/>
  <c r="DJ17" i="14"/>
  <c r="DI17" i="14"/>
  <c r="DG17" i="14"/>
  <c r="DF17" i="14"/>
  <c r="DD17" i="14"/>
  <c r="DC17" i="14"/>
  <c r="DA17" i="14"/>
  <c r="CZ17" i="14"/>
  <c r="CX17" i="14"/>
  <c r="CW17" i="14"/>
  <c r="CU17" i="14"/>
  <c r="CT17" i="14"/>
  <c r="CR17" i="14"/>
  <c r="CQ17" i="14"/>
  <c r="CO17" i="14"/>
  <c r="CN17" i="14"/>
  <c r="CL17" i="14"/>
  <c r="CK17" i="14"/>
  <c r="CI17" i="14"/>
  <c r="CH17" i="14"/>
  <c r="CF17" i="14"/>
  <c r="CE17" i="14"/>
  <c r="CC17" i="14"/>
  <c r="CB17" i="14"/>
  <c r="BZ17" i="14"/>
  <c r="BY17" i="14"/>
  <c r="BW17" i="14"/>
  <c r="BV17" i="14"/>
  <c r="BT17" i="14"/>
  <c r="BS17" i="14"/>
  <c r="BQ17" i="14"/>
  <c r="BP17" i="14"/>
  <c r="BN17" i="14"/>
  <c r="BM17" i="14"/>
  <c r="BK17" i="14"/>
  <c r="BJ17" i="14"/>
  <c r="BH17" i="14"/>
  <c r="BG17" i="14"/>
  <c r="BE17" i="14"/>
  <c r="BD17" i="14"/>
  <c r="BB17" i="14"/>
  <c r="BA17" i="14"/>
  <c r="AY17" i="14"/>
  <c r="AX17" i="14"/>
  <c r="AV17" i="14"/>
  <c r="AU17" i="14"/>
  <c r="AS17" i="14"/>
  <c r="AR17" i="14"/>
  <c r="AP17" i="14"/>
  <c r="AO17" i="14"/>
  <c r="AM17" i="14"/>
  <c r="AL17" i="14"/>
  <c r="AJ17" i="14"/>
  <c r="AI17" i="14"/>
  <c r="AG17" i="14"/>
  <c r="AF17" i="14"/>
  <c r="AD17" i="14"/>
  <c r="AC17" i="14"/>
  <c r="AA17" i="14"/>
  <c r="Z17" i="14"/>
  <c r="X17" i="14"/>
  <c r="W17" i="14"/>
  <c r="U17" i="14"/>
  <c r="T17" i="14"/>
  <c r="R17" i="14"/>
  <c r="Q17" i="14"/>
  <c r="O17" i="14"/>
  <c r="N17" i="14"/>
  <c r="L17" i="14"/>
  <c r="K17" i="14"/>
  <c r="I17" i="14"/>
  <c r="H17" i="14"/>
  <c r="F17" i="14"/>
  <c r="E17" i="14"/>
  <c r="C17" i="14"/>
  <c r="B17" i="14"/>
  <c r="A17" i="14"/>
  <c r="HH16" i="14"/>
  <c r="HG16" i="14"/>
  <c r="HE16" i="14"/>
  <c r="HD16" i="14"/>
  <c r="HB16" i="14"/>
  <c r="HA16" i="14"/>
  <c r="GY16" i="14"/>
  <c r="GX16" i="14"/>
  <c r="GV16" i="14"/>
  <c r="GU16" i="14"/>
  <c r="GS16" i="14"/>
  <c r="GR16" i="14"/>
  <c r="GP16" i="14"/>
  <c r="GO16" i="14"/>
  <c r="GM16" i="14"/>
  <c r="GL16" i="14"/>
  <c r="GJ16" i="14"/>
  <c r="GI16" i="14"/>
  <c r="GG16" i="14"/>
  <c r="GF16" i="14"/>
  <c r="GE16" i="14"/>
  <c r="GD16" i="14"/>
  <c r="GC16" i="14"/>
  <c r="GA16" i="14"/>
  <c r="FZ16" i="14"/>
  <c r="FX16" i="14"/>
  <c r="FW16" i="14"/>
  <c r="FU16" i="14"/>
  <c r="FT16" i="14"/>
  <c r="FR16" i="14"/>
  <c r="FQ16" i="14"/>
  <c r="FO16" i="14"/>
  <c r="FN16" i="14"/>
  <c r="FL16" i="14"/>
  <c r="FK16" i="14"/>
  <c r="FI16" i="14"/>
  <c r="FH16" i="14"/>
  <c r="FF16" i="14"/>
  <c r="FE16" i="14"/>
  <c r="FC16" i="14"/>
  <c r="FB16" i="14"/>
  <c r="EZ16" i="14"/>
  <c r="EY16" i="14"/>
  <c r="EW16" i="14"/>
  <c r="EV16" i="14"/>
  <c r="ET16" i="14"/>
  <c r="ES16" i="14"/>
  <c r="EQ16" i="14"/>
  <c r="EP16" i="14"/>
  <c r="EN16" i="14"/>
  <c r="EM16" i="14"/>
  <c r="EK16" i="14"/>
  <c r="EJ16" i="14"/>
  <c r="EH16" i="14"/>
  <c r="EG16" i="14"/>
  <c r="EE16" i="14"/>
  <c r="ED16" i="14"/>
  <c r="EB16" i="14"/>
  <c r="EA16" i="14"/>
  <c r="DY16" i="14"/>
  <c r="DX16" i="14"/>
  <c r="DV16" i="14"/>
  <c r="DU16" i="14"/>
  <c r="DS16" i="14"/>
  <c r="DR16" i="14"/>
  <c r="DP16" i="14"/>
  <c r="DO16" i="14"/>
  <c r="DM16" i="14"/>
  <c r="DL16" i="14"/>
  <c r="DJ16" i="14"/>
  <c r="DI16" i="14"/>
  <c r="DG16" i="14"/>
  <c r="DF16" i="14"/>
  <c r="DD16" i="14"/>
  <c r="DC16" i="14"/>
  <c r="DA16" i="14"/>
  <c r="CZ16" i="14"/>
  <c r="CX16" i="14"/>
  <c r="CW16" i="14"/>
  <c r="CU16" i="14"/>
  <c r="CT16" i="14"/>
  <c r="CR16" i="14"/>
  <c r="CQ16" i="14"/>
  <c r="CO16" i="14"/>
  <c r="CN16" i="14"/>
  <c r="CL16" i="14"/>
  <c r="CK16" i="14"/>
  <c r="CI16" i="14"/>
  <c r="CH16" i="14"/>
  <c r="CF16" i="14"/>
  <c r="CE16" i="14"/>
  <c r="CC16" i="14"/>
  <c r="CB16" i="14"/>
  <c r="BZ16" i="14"/>
  <c r="BY16" i="14"/>
  <c r="BW16" i="14"/>
  <c r="BV16" i="14"/>
  <c r="BT16" i="14"/>
  <c r="BS16" i="14"/>
  <c r="BQ16" i="14"/>
  <c r="BP16" i="14"/>
  <c r="BN16" i="14"/>
  <c r="BM16" i="14"/>
  <c r="BK16" i="14"/>
  <c r="BJ16" i="14"/>
  <c r="BH16" i="14"/>
  <c r="BG16" i="14"/>
  <c r="BE16" i="14"/>
  <c r="BD16" i="14"/>
  <c r="BB16" i="14"/>
  <c r="BA16" i="14"/>
  <c r="AY16" i="14"/>
  <c r="AX16" i="14"/>
  <c r="AV16" i="14"/>
  <c r="AU16" i="14"/>
  <c r="AS16" i="14"/>
  <c r="AR16" i="14"/>
  <c r="AP16" i="14"/>
  <c r="AO16" i="14"/>
  <c r="AM16" i="14"/>
  <c r="AL16" i="14"/>
  <c r="AJ16" i="14"/>
  <c r="AI16" i="14"/>
  <c r="AG16" i="14"/>
  <c r="AF16" i="14"/>
  <c r="AD16" i="14"/>
  <c r="AC16" i="14"/>
  <c r="AA16" i="14"/>
  <c r="Z16" i="14"/>
  <c r="X16" i="14"/>
  <c r="W16" i="14"/>
  <c r="U16" i="14"/>
  <c r="T16" i="14"/>
  <c r="R16" i="14"/>
  <c r="Q16" i="14"/>
  <c r="O16" i="14"/>
  <c r="N16" i="14"/>
  <c r="L16" i="14"/>
  <c r="K16" i="14"/>
  <c r="I16" i="14"/>
  <c r="H16" i="14"/>
  <c r="F16" i="14"/>
  <c r="E16" i="14"/>
  <c r="C16" i="14"/>
  <c r="B16" i="14"/>
  <c r="A16" i="14"/>
  <c r="HH15" i="14"/>
  <c r="HG15" i="14"/>
  <c r="HE15" i="14"/>
  <c r="HD15" i="14"/>
  <c r="HB15" i="14"/>
  <c r="HA15" i="14"/>
  <c r="GY15" i="14"/>
  <c r="GX15" i="14"/>
  <c r="GV15" i="14"/>
  <c r="GU15" i="14"/>
  <c r="GS15" i="14"/>
  <c r="GR15" i="14"/>
  <c r="GP15" i="14"/>
  <c r="GO15" i="14"/>
  <c r="GM15" i="14"/>
  <c r="GL15" i="14"/>
  <c r="GJ15" i="14"/>
  <c r="GI15" i="14"/>
  <c r="GG15" i="14"/>
  <c r="GF15" i="14"/>
  <c r="GD15" i="14"/>
  <c r="GC15" i="14"/>
  <c r="GA15" i="14"/>
  <c r="FZ15" i="14"/>
  <c r="FX15" i="14"/>
  <c r="FW15" i="14"/>
  <c r="FU15" i="14"/>
  <c r="FT15" i="14"/>
  <c r="FR15" i="14"/>
  <c r="FQ15" i="14"/>
  <c r="FO15" i="14"/>
  <c r="FN15" i="14"/>
  <c r="FL15" i="14"/>
  <c r="FK15" i="14"/>
  <c r="FI15" i="14"/>
  <c r="FH15" i="14"/>
  <c r="FF15" i="14"/>
  <c r="FE15" i="14"/>
  <c r="FC15" i="14"/>
  <c r="FB15" i="14"/>
  <c r="EZ15" i="14"/>
  <c r="EY15" i="14"/>
  <c r="EW15" i="14"/>
  <c r="EV15" i="14"/>
  <c r="ET15" i="14"/>
  <c r="ES15" i="14"/>
  <c r="EQ15" i="14"/>
  <c r="EP15" i="14"/>
  <c r="EN15" i="14"/>
  <c r="EM15" i="14"/>
  <c r="EK15" i="14"/>
  <c r="EJ15" i="14"/>
  <c r="EH15" i="14"/>
  <c r="EG15" i="14"/>
  <c r="EE15" i="14"/>
  <c r="ED15" i="14"/>
  <c r="EB15" i="14"/>
  <c r="EA15" i="14"/>
  <c r="DY15" i="14"/>
  <c r="DX15" i="14"/>
  <c r="DV15" i="14"/>
  <c r="DU15" i="14"/>
  <c r="DS15" i="14"/>
  <c r="DR15" i="14"/>
  <c r="DP15" i="14"/>
  <c r="DO15" i="14"/>
  <c r="DM15" i="14"/>
  <c r="DL15" i="14"/>
  <c r="DJ15" i="14"/>
  <c r="DI15" i="14"/>
  <c r="DG15" i="14"/>
  <c r="DF15" i="14"/>
  <c r="DD15" i="14"/>
  <c r="DC15" i="14"/>
  <c r="DA15" i="14"/>
  <c r="CZ15" i="14"/>
  <c r="CX15" i="14"/>
  <c r="CW15" i="14"/>
  <c r="CU15" i="14"/>
  <c r="CT15" i="14"/>
  <c r="CR15" i="14"/>
  <c r="CQ15" i="14"/>
  <c r="CO15" i="14"/>
  <c r="CN15" i="14"/>
  <c r="CL15" i="14"/>
  <c r="CK15" i="14"/>
  <c r="CI15" i="14"/>
  <c r="CH15" i="14"/>
  <c r="CF15" i="14"/>
  <c r="CE15" i="14"/>
  <c r="CC15" i="14"/>
  <c r="CB15" i="14"/>
  <c r="BZ15" i="14"/>
  <c r="BY15" i="14"/>
  <c r="BW15" i="14"/>
  <c r="BV15" i="14"/>
  <c r="BT15" i="14"/>
  <c r="BS15" i="14"/>
  <c r="BQ15" i="14"/>
  <c r="BP15" i="14"/>
  <c r="BN15" i="14"/>
  <c r="BM15" i="14"/>
  <c r="BK15" i="14"/>
  <c r="BJ15" i="14"/>
  <c r="BH15" i="14"/>
  <c r="BG15" i="14"/>
  <c r="BE15" i="14"/>
  <c r="BD15" i="14"/>
  <c r="BB15" i="14"/>
  <c r="BA15" i="14"/>
  <c r="AY15" i="14"/>
  <c r="AX15" i="14"/>
  <c r="AV15" i="14"/>
  <c r="AU15" i="14"/>
  <c r="AS15" i="14"/>
  <c r="AR15" i="14"/>
  <c r="AP15" i="14"/>
  <c r="AO15" i="14"/>
  <c r="AM15" i="14"/>
  <c r="AL15" i="14"/>
  <c r="AJ15" i="14"/>
  <c r="AI15" i="14"/>
  <c r="AG15" i="14"/>
  <c r="AF15" i="14"/>
  <c r="AD15" i="14"/>
  <c r="AC15" i="14"/>
  <c r="AA15" i="14"/>
  <c r="Z15" i="14"/>
  <c r="X15" i="14"/>
  <c r="W15" i="14"/>
  <c r="U15" i="14"/>
  <c r="T15" i="14"/>
  <c r="R15" i="14"/>
  <c r="Q15" i="14"/>
  <c r="O15" i="14"/>
  <c r="N15" i="14"/>
  <c r="L15" i="14"/>
  <c r="K15" i="14"/>
  <c r="I15" i="14"/>
  <c r="H15" i="14"/>
  <c r="F15" i="14"/>
  <c r="E15" i="14"/>
  <c r="C15" i="14"/>
  <c r="B15" i="14"/>
  <c r="A15" i="14"/>
  <c r="HH14" i="14"/>
  <c r="HG14" i="14"/>
  <c r="HE14" i="14"/>
  <c r="HD14" i="14"/>
  <c r="HB14" i="14"/>
  <c r="HA14" i="14"/>
  <c r="GY14" i="14"/>
  <c r="GX14" i="14"/>
  <c r="GV14" i="14"/>
  <c r="GU14" i="14"/>
  <c r="GS14" i="14"/>
  <c r="GR14" i="14"/>
  <c r="GP14" i="14"/>
  <c r="GO14" i="14"/>
  <c r="GM14" i="14"/>
  <c r="GL14" i="14"/>
  <c r="GJ14" i="14"/>
  <c r="GI14" i="14"/>
  <c r="GG14" i="14"/>
  <c r="GF14" i="14"/>
  <c r="GD14" i="14"/>
  <c r="GC14" i="14"/>
  <c r="GA14" i="14"/>
  <c r="FZ14" i="14"/>
  <c r="FX14" i="14"/>
  <c r="FW14" i="14"/>
  <c r="FU14" i="14"/>
  <c r="FT14" i="14"/>
  <c r="FR14" i="14"/>
  <c r="FQ14" i="14"/>
  <c r="FO14" i="14"/>
  <c r="FN14" i="14"/>
  <c r="FL14" i="14"/>
  <c r="FK14" i="14"/>
  <c r="FI14" i="14"/>
  <c r="FH14" i="14"/>
  <c r="FF14" i="14"/>
  <c r="FE14" i="14"/>
  <c r="FC14" i="14"/>
  <c r="FB14" i="14"/>
  <c r="EZ14" i="14"/>
  <c r="EY14" i="14"/>
  <c r="EW14" i="14"/>
  <c r="EV14" i="14"/>
  <c r="ET14" i="14"/>
  <c r="ES14" i="14"/>
  <c r="EQ14" i="14"/>
  <c r="EP14" i="14"/>
  <c r="EN14" i="14"/>
  <c r="EM14" i="14"/>
  <c r="EK14" i="14"/>
  <c r="EJ14" i="14"/>
  <c r="EH14" i="14"/>
  <c r="EG14" i="14"/>
  <c r="EE14" i="14"/>
  <c r="ED14" i="14"/>
  <c r="EB14" i="14"/>
  <c r="EA14" i="14"/>
  <c r="DY14" i="14"/>
  <c r="DX14" i="14"/>
  <c r="DV14" i="14"/>
  <c r="DU14" i="14"/>
  <c r="DS14" i="14"/>
  <c r="DR14" i="14"/>
  <c r="DP14" i="14"/>
  <c r="DO14" i="14"/>
  <c r="DM14" i="14"/>
  <c r="DL14" i="14"/>
  <c r="DJ14" i="14"/>
  <c r="DI14" i="14"/>
  <c r="DG14" i="14"/>
  <c r="DF14" i="14"/>
  <c r="DD14" i="14"/>
  <c r="DC14" i="14"/>
  <c r="DA14" i="14"/>
  <c r="CZ14" i="14"/>
  <c r="CX14" i="14"/>
  <c r="CW14" i="14"/>
  <c r="CU14" i="14"/>
  <c r="CT14" i="14"/>
  <c r="CR14" i="14"/>
  <c r="CQ14" i="14"/>
  <c r="CO14" i="14"/>
  <c r="CN14" i="14"/>
  <c r="CL14" i="14"/>
  <c r="CK14" i="14"/>
  <c r="CI14" i="14"/>
  <c r="CH14" i="14"/>
  <c r="CF14" i="14"/>
  <c r="CE14" i="14"/>
  <c r="CC14" i="14"/>
  <c r="CB14" i="14"/>
  <c r="BZ14" i="14"/>
  <c r="BY14" i="14"/>
  <c r="BW14" i="14"/>
  <c r="BV14" i="14"/>
  <c r="BT14" i="14"/>
  <c r="BS14" i="14"/>
  <c r="BQ14" i="14"/>
  <c r="BP14" i="14"/>
  <c r="BN14" i="14"/>
  <c r="BM14" i="14"/>
  <c r="BK14" i="14"/>
  <c r="BJ14" i="14"/>
  <c r="BH14" i="14"/>
  <c r="BG14" i="14"/>
  <c r="BE14" i="14"/>
  <c r="BD14" i="14"/>
  <c r="BB14" i="14"/>
  <c r="BA14" i="14"/>
  <c r="AY14" i="14"/>
  <c r="AX14" i="14"/>
  <c r="AV14" i="14"/>
  <c r="AU14" i="14"/>
  <c r="AS14" i="14"/>
  <c r="AR14" i="14"/>
  <c r="AP14" i="14"/>
  <c r="AO14" i="14"/>
  <c r="AM14" i="14"/>
  <c r="AL14" i="14"/>
  <c r="AJ14" i="14"/>
  <c r="AI14" i="14"/>
  <c r="AG14" i="14"/>
  <c r="AF14" i="14"/>
  <c r="AD14" i="14"/>
  <c r="AC14" i="14"/>
  <c r="AA14" i="14"/>
  <c r="Z14" i="14"/>
  <c r="X14" i="14"/>
  <c r="W14" i="14"/>
  <c r="U14" i="14"/>
  <c r="T14" i="14"/>
  <c r="R14" i="14"/>
  <c r="Q14" i="14"/>
  <c r="O14" i="14"/>
  <c r="N14" i="14"/>
  <c r="L14" i="14"/>
  <c r="K14" i="14"/>
  <c r="I14" i="14"/>
  <c r="H14" i="14"/>
  <c r="F14" i="14"/>
  <c r="E14" i="14"/>
  <c r="C14" i="14"/>
  <c r="B14" i="14"/>
  <c r="A14" i="14"/>
  <c r="HH13" i="14"/>
  <c r="HG13" i="14"/>
  <c r="HE13" i="14"/>
  <c r="HD13" i="14"/>
  <c r="HB13" i="14"/>
  <c r="HA13" i="14"/>
  <c r="GY13" i="14"/>
  <c r="GX13" i="14"/>
  <c r="GV13" i="14"/>
  <c r="GU13" i="14"/>
  <c r="GS13" i="14"/>
  <c r="GR13" i="14"/>
  <c r="GP13" i="14"/>
  <c r="GO13" i="14"/>
  <c r="GM13" i="14"/>
  <c r="GL13" i="14"/>
  <c r="GJ13" i="14"/>
  <c r="GI13" i="14"/>
  <c r="GG13" i="14"/>
  <c r="GF13" i="14"/>
  <c r="GD13" i="14"/>
  <c r="GC13" i="14"/>
  <c r="GA13" i="14"/>
  <c r="FZ13" i="14"/>
  <c r="FX13" i="14"/>
  <c r="FW13" i="14"/>
  <c r="FU13" i="14"/>
  <c r="FT13" i="14"/>
  <c r="FR13" i="14"/>
  <c r="FQ13" i="14"/>
  <c r="FO13" i="14"/>
  <c r="FN13" i="14"/>
  <c r="FL13" i="14"/>
  <c r="FK13" i="14"/>
  <c r="FI13" i="14"/>
  <c r="FH13" i="14"/>
  <c r="FF13" i="14"/>
  <c r="FE13" i="14"/>
  <c r="FC13" i="14"/>
  <c r="FB13" i="14"/>
  <c r="EZ13" i="14"/>
  <c r="EY13" i="14"/>
  <c r="EW13" i="14"/>
  <c r="EV13" i="14"/>
  <c r="ET13" i="14"/>
  <c r="ES13" i="14"/>
  <c r="EQ13" i="14"/>
  <c r="EP13" i="14"/>
  <c r="EN13" i="14"/>
  <c r="EM13" i="14"/>
  <c r="EK13" i="14"/>
  <c r="EJ13" i="14"/>
  <c r="EH13" i="14"/>
  <c r="EG13" i="14"/>
  <c r="EE13" i="14"/>
  <c r="ED13" i="14"/>
  <c r="EB13" i="14"/>
  <c r="EA13" i="14"/>
  <c r="DY13" i="14"/>
  <c r="DX13" i="14"/>
  <c r="DV13" i="14"/>
  <c r="DU13" i="14"/>
  <c r="DS13" i="14"/>
  <c r="DR13" i="14"/>
  <c r="DP13" i="14"/>
  <c r="DO13" i="14"/>
  <c r="DM13" i="14"/>
  <c r="DL13" i="14"/>
  <c r="DJ13" i="14"/>
  <c r="DI13" i="14"/>
  <c r="DG13" i="14"/>
  <c r="DF13" i="14"/>
  <c r="DD13" i="14"/>
  <c r="DC13" i="14"/>
  <c r="DA13" i="14"/>
  <c r="CZ13" i="14"/>
  <c r="CX13" i="14"/>
  <c r="CW13" i="14"/>
  <c r="CU13" i="14"/>
  <c r="CT13" i="14"/>
  <c r="CR13" i="14"/>
  <c r="CQ13" i="14"/>
  <c r="CO13" i="14"/>
  <c r="CN13" i="14"/>
  <c r="CL13" i="14"/>
  <c r="CK13" i="14"/>
  <c r="CI13" i="14"/>
  <c r="CH13" i="14"/>
  <c r="CF13" i="14"/>
  <c r="CE13" i="14"/>
  <c r="CC13" i="14"/>
  <c r="CB13" i="14"/>
  <c r="BZ13" i="14"/>
  <c r="BY13" i="14"/>
  <c r="BW13" i="14"/>
  <c r="BV13" i="14"/>
  <c r="BT13" i="14"/>
  <c r="BS13" i="14"/>
  <c r="BQ13" i="14"/>
  <c r="BP13" i="14"/>
  <c r="BN13" i="14"/>
  <c r="BM13" i="14"/>
  <c r="BK13" i="14"/>
  <c r="BJ13" i="14"/>
  <c r="BH13" i="14"/>
  <c r="BG13" i="14"/>
  <c r="BE13" i="14"/>
  <c r="BD13" i="14"/>
  <c r="BB13" i="14"/>
  <c r="BA13" i="14"/>
  <c r="AY13" i="14"/>
  <c r="AX13" i="14"/>
  <c r="AV13" i="14"/>
  <c r="AU13" i="14"/>
  <c r="AS13" i="14"/>
  <c r="AR13" i="14"/>
  <c r="AP13" i="14"/>
  <c r="AO13" i="14"/>
  <c r="AM13" i="14"/>
  <c r="AL13" i="14"/>
  <c r="AJ13" i="14"/>
  <c r="AI13" i="14"/>
  <c r="AG13" i="14"/>
  <c r="AF13" i="14"/>
  <c r="AD13" i="14"/>
  <c r="AC13" i="14"/>
  <c r="AA13" i="14"/>
  <c r="Z13" i="14"/>
  <c r="X13" i="14"/>
  <c r="W13" i="14"/>
  <c r="U13" i="14"/>
  <c r="T13" i="14"/>
  <c r="R13" i="14"/>
  <c r="Q13" i="14"/>
  <c r="O13" i="14"/>
  <c r="N13" i="14"/>
  <c r="L13" i="14"/>
  <c r="K13" i="14"/>
  <c r="I13" i="14"/>
  <c r="H13" i="14"/>
  <c r="F13" i="14"/>
  <c r="E13" i="14"/>
  <c r="C13" i="14"/>
  <c r="B13" i="14"/>
  <c r="A13" i="14"/>
  <c r="HH12" i="14"/>
  <c r="HG12" i="14"/>
  <c r="HE12" i="14"/>
  <c r="HD12" i="14"/>
  <c r="HB12" i="14"/>
  <c r="HA12" i="14"/>
  <c r="GY12" i="14"/>
  <c r="GX12" i="14"/>
  <c r="GV12" i="14"/>
  <c r="GU12" i="14"/>
  <c r="GS12" i="14"/>
  <c r="GR12" i="14"/>
  <c r="GP12" i="14"/>
  <c r="GO12" i="14"/>
  <c r="GM12" i="14"/>
  <c r="GL12" i="14"/>
  <c r="GJ12" i="14"/>
  <c r="GI12" i="14"/>
  <c r="GG12" i="14"/>
  <c r="GF12" i="14"/>
  <c r="GE12" i="14"/>
  <c r="GD12" i="14"/>
  <c r="GC12" i="14"/>
  <c r="GA12" i="14"/>
  <c r="FZ12" i="14"/>
  <c r="FX12" i="14"/>
  <c r="FW12" i="14"/>
  <c r="FU12" i="14"/>
  <c r="FT12" i="14"/>
  <c r="FR12" i="14"/>
  <c r="FQ12" i="14"/>
  <c r="FO12" i="14"/>
  <c r="FN12" i="14"/>
  <c r="FL12" i="14"/>
  <c r="FK12" i="14"/>
  <c r="FI12" i="14"/>
  <c r="FH12" i="14"/>
  <c r="FF12" i="14"/>
  <c r="FE12" i="14"/>
  <c r="FC12" i="14"/>
  <c r="FB12" i="14"/>
  <c r="EZ12" i="14"/>
  <c r="EY12" i="14"/>
  <c r="EW12" i="14"/>
  <c r="EV12" i="14"/>
  <c r="ET12" i="14"/>
  <c r="ES12" i="14"/>
  <c r="EQ12" i="14"/>
  <c r="EP12" i="14"/>
  <c r="EN12" i="14"/>
  <c r="EM12" i="14"/>
  <c r="EK12" i="14"/>
  <c r="EJ12" i="14"/>
  <c r="EH12" i="14"/>
  <c r="EG12" i="14"/>
  <c r="EE12" i="14"/>
  <c r="ED12" i="14"/>
  <c r="EB12" i="14"/>
  <c r="EA12" i="14"/>
  <c r="DY12" i="14"/>
  <c r="DX12" i="14"/>
  <c r="DV12" i="14"/>
  <c r="DU12" i="14"/>
  <c r="DS12" i="14"/>
  <c r="DR12" i="14"/>
  <c r="DP12" i="14"/>
  <c r="DO12" i="14"/>
  <c r="DM12" i="14"/>
  <c r="DL12" i="14"/>
  <c r="DJ12" i="14"/>
  <c r="DI12" i="14"/>
  <c r="DG12" i="14"/>
  <c r="DF12" i="14"/>
  <c r="DD12" i="14"/>
  <c r="DC12" i="14"/>
  <c r="DA12" i="14"/>
  <c r="CZ12" i="14"/>
  <c r="CX12" i="14"/>
  <c r="CW12" i="14"/>
  <c r="CU12" i="14"/>
  <c r="CT12" i="14"/>
  <c r="CR12" i="14"/>
  <c r="CQ12" i="14"/>
  <c r="CO12" i="14"/>
  <c r="CN12" i="14"/>
  <c r="CL12" i="14"/>
  <c r="CK12" i="14"/>
  <c r="CI12" i="14"/>
  <c r="CH12" i="14"/>
  <c r="CF12" i="14"/>
  <c r="CE12" i="14"/>
  <c r="CC12" i="14"/>
  <c r="CB12" i="14"/>
  <c r="BZ12" i="14"/>
  <c r="BY12" i="14"/>
  <c r="BW12" i="14"/>
  <c r="BV12" i="14"/>
  <c r="BT12" i="14"/>
  <c r="BS12" i="14"/>
  <c r="BQ12" i="14"/>
  <c r="BP12" i="14"/>
  <c r="BN12" i="14"/>
  <c r="BM12" i="14"/>
  <c r="BK12" i="14"/>
  <c r="BJ12" i="14"/>
  <c r="BH12" i="14"/>
  <c r="BG12" i="14"/>
  <c r="BE12" i="14"/>
  <c r="BD12" i="14"/>
  <c r="BB12" i="14"/>
  <c r="BA12" i="14"/>
  <c r="AY12" i="14"/>
  <c r="AX12" i="14"/>
  <c r="AV12" i="14"/>
  <c r="AU12" i="14"/>
  <c r="AS12" i="14"/>
  <c r="AR12" i="14"/>
  <c r="AP12" i="14"/>
  <c r="AO12" i="14"/>
  <c r="AM12" i="14"/>
  <c r="AL12" i="14"/>
  <c r="AJ12" i="14"/>
  <c r="AI12" i="14"/>
  <c r="AG12" i="14"/>
  <c r="AF12" i="14"/>
  <c r="AD12" i="14"/>
  <c r="AC12" i="14"/>
  <c r="AA12" i="14"/>
  <c r="Z12" i="14"/>
  <c r="X12" i="14"/>
  <c r="W12" i="14"/>
  <c r="U12" i="14"/>
  <c r="T12" i="14"/>
  <c r="R12" i="14"/>
  <c r="Q12" i="14"/>
  <c r="O12" i="14"/>
  <c r="N12" i="14"/>
  <c r="L12" i="14"/>
  <c r="K12" i="14"/>
  <c r="I12" i="14"/>
  <c r="H12" i="14"/>
  <c r="F12" i="14"/>
  <c r="E12" i="14"/>
  <c r="C12" i="14"/>
  <c r="B12" i="14"/>
  <c r="A12" i="14"/>
  <c r="HH11" i="14"/>
  <c r="HG11" i="14"/>
  <c r="HE11" i="14"/>
  <c r="HD11" i="14"/>
  <c r="HB11" i="14"/>
  <c r="HA11" i="14"/>
  <c r="GY11" i="14"/>
  <c r="GX11" i="14"/>
  <c r="GV11" i="14"/>
  <c r="GU11" i="14"/>
  <c r="GS11" i="14"/>
  <c r="GR11" i="14"/>
  <c r="GP11" i="14"/>
  <c r="GO11" i="14"/>
  <c r="GM11" i="14"/>
  <c r="GL11" i="14"/>
  <c r="GJ11" i="14"/>
  <c r="GI11" i="14"/>
  <c r="GG11" i="14"/>
  <c r="GF11" i="14"/>
  <c r="GD11" i="14"/>
  <c r="GC11" i="14"/>
  <c r="GA11" i="14"/>
  <c r="FZ11" i="14"/>
  <c r="FX11" i="14"/>
  <c r="FW11" i="14"/>
  <c r="FU11" i="14"/>
  <c r="FT11" i="14"/>
  <c r="FR11" i="14"/>
  <c r="FQ11" i="14"/>
  <c r="FO11" i="14"/>
  <c r="FN11" i="14"/>
  <c r="FL11" i="14"/>
  <c r="FK11" i="14"/>
  <c r="FI11" i="14"/>
  <c r="FH11" i="14"/>
  <c r="FF11" i="14"/>
  <c r="FE11" i="14"/>
  <c r="FC11" i="14"/>
  <c r="FB11" i="14"/>
  <c r="EZ11" i="14"/>
  <c r="EY11" i="14"/>
  <c r="EW11" i="14"/>
  <c r="EV11" i="14"/>
  <c r="ET11" i="14"/>
  <c r="ES11" i="14"/>
  <c r="EQ11" i="14"/>
  <c r="EP11" i="14"/>
  <c r="EN11" i="14"/>
  <c r="EM11" i="14"/>
  <c r="EK11" i="14"/>
  <c r="EJ11" i="14"/>
  <c r="EH11" i="14"/>
  <c r="EG11" i="14"/>
  <c r="EE11" i="14"/>
  <c r="ED11" i="14"/>
  <c r="EB11" i="14"/>
  <c r="EA11" i="14"/>
  <c r="DY11" i="14"/>
  <c r="DX11" i="14"/>
  <c r="DV11" i="14"/>
  <c r="DU11" i="14"/>
  <c r="DS11" i="14"/>
  <c r="DR11" i="14"/>
  <c r="DP11" i="14"/>
  <c r="DO11" i="14"/>
  <c r="DM11" i="14"/>
  <c r="DL11" i="14"/>
  <c r="DJ11" i="14"/>
  <c r="DI11" i="14"/>
  <c r="DG11" i="14"/>
  <c r="DF11" i="14"/>
  <c r="DD11" i="14"/>
  <c r="DC11" i="14"/>
  <c r="DA11" i="14"/>
  <c r="CZ11" i="14"/>
  <c r="CX11" i="14"/>
  <c r="CW11" i="14"/>
  <c r="CU11" i="14"/>
  <c r="CT11" i="14"/>
  <c r="CR11" i="14"/>
  <c r="CQ11" i="14"/>
  <c r="CO11" i="14"/>
  <c r="CN11" i="14"/>
  <c r="CL11" i="14"/>
  <c r="CK11" i="14"/>
  <c r="CI11" i="14"/>
  <c r="CH11" i="14"/>
  <c r="CF11" i="14"/>
  <c r="CE11" i="14"/>
  <c r="CC11" i="14"/>
  <c r="CB11" i="14"/>
  <c r="BZ11" i="14"/>
  <c r="BY11" i="14"/>
  <c r="BW11" i="14"/>
  <c r="BV11" i="14"/>
  <c r="BT11" i="14"/>
  <c r="BS11" i="14"/>
  <c r="BQ11" i="14"/>
  <c r="BP11" i="14"/>
  <c r="BN11" i="14"/>
  <c r="BM11" i="14"/>
  <c r="BK11" i="14"/>
  <c r="BJ11" i="14"/>
  <c r="BH11" i="14"/>
  <c r="BG11" i="14"/>
  <c r="BE11" i="14"/>
  <c r="BD11" i="14"/>
  <c r="BB11" i="14"/>
  <c r="BA11" i="14"/>
  <c r="AY11" i="14"/>
  <c r="AX11" i="14"/>
  <c r="AV11" i="14"/>
  <c r="AU11" i="14"/>
  <c r="AS11" i="14"/>
  <c r="AR11" i="14"/>
  <c r="AP11" i="14"/>
  <c r="AO11" i="14"/>
  <c r="AM11" i="14"/>
  <c r="AL11" i="14"/>
  <c r="AJ11" i="14"/>
  <c r="AI11" i="14"/>
  <c r="AG11" i="14"/>
  <c r="AF11" i="14"/>
  <c r="AD11" i="14"/>
  <c r="AC11" i="14"/>
  <c r="AA11" i="14"/>
  <c r="Z11" i="14"/>
  <c r="X11" i="14"/>
  <c r="W11" i="14"/>
  <c r="U11" i="14"/>
  <c r="T11" i="14"/>
  <c r="R11" i="14"/>
  <c r="Q11" i="14"/>
  <c r="O11" i="14"/>
  <c r="N11" i="14"/>
  <c r="L11" i="14"/>
  <c r="K11" i="14"/>
  <c r="I11" i="14"/>
  <c r="H11" i="14"/>
  <c r="F11" i="14"/>
  <c r="E11" i="14"/>
  <c r="C11" i="14"/>
  <c r="B11" i="14"/>
  <c r="A11" i="14"/>
  <c r="HH10" i="14"/>
  <c r="HG10" i="14"/>
  <c r="HE10" i="14"/>
  <c r="HD10" i="14"/>
  <c r="HB10" i="14"/>
  <c r="HA10" i="14"/>
  <c r="GY10" i="14"/>
  <c r="GX10" i="14"/>
  <c r="GV10" i="14"/>
  <c r="GU10" i="14"/>
  <c r="GS10" i="14"/>
  <c r="GR10" i="14"/>
  <c r="GP10" i="14"/>
  <c r="GO10" i="14"/>
  <c r="GM10" i="14"/>
  <c r="GL10" i="14"/>
  <c r="GJ10" i="14"/>
  <c r="GI10" i="14"/>
  <c r="GG10" i="14"/>
  <c r="GF10" i="14"/>
  <c r="GD10" i="14"/>
  <c r="GC10" i="14"/>
  <c r="GA10" i="14"/>
  <c r="FZ10" i="14"/>
  <c r="FX10" i="14"/>
  <c r="FW10" i="14"/>
  <c r="FU10" i="14"/>
  <c r="FT10" i="14"/>
  <c r="FR10" i="14"/>
  <c r="FQ10" i="14"/>
  <c r="FO10" i="14"/>
  <c r="FN10" i="14"/>
  <c r="FL10" i="14"/>
  <c r="FK10" i="14"/>
  <c r="FI10" i="14"/>
  <c r="FH10" i="14"/>
  <c r="FF10" i="14"/>
  <c r="FE10" i="14"/>
  <c r="FC10" i="14"/>
  <c r="FB10" i="14"/>
  <c r="EZ10" i="14"/>
  <c r="EY10" i="14"/>
  <c r="EW10" i="14"/>
  <c r="EV10" i="14"/>
  <c r="ET10" i="14"/>
  <c r="ES10" i="14"/>
  <c r="EQ10" i="14"/>
  <c r="EP10" i="14"/>
  <c r="EN10" i="14"/>
  <c r="EM10" i="14"/>
  <c r="EK10" i="14"/>
  <c r="EJ10" i="14"/>
  <c r="EH10" i="14"/>
  <c r="EG10" i="14"/>
  <c r="EE10" i="14"/>
  <c r="ED10" i="14"/>
  <c r="EB10" i="14"/>
  <c r="EA10" i="14"/>
  <c r="DY10" i="14"/>
  <c r="DX10" i="14"/>
  <c r="DV10" i="14"/>
  <c r="DU10" i="14"/>
  <c r="DS10" i="14"/>
  <c r="DR10" i="14"/>
  <c r="DP10" i="14"/>
  <c r="DO10" i="14"/>
  <c r="DM10" i="14"/>
  <c r="DL10" i="14"/>
  <c r="DJ10" i="14"/>
  <c r="DI10" i="14"/>
  <c r="DG10" i="14"/>
  <c r="DF10" i="14"/>
  <c r="DD10" i="14"/>
  <c r="DC10" i="14"/>
  <c r="DA10" i="14"/>
  <c r="CZ10" i="14"/>
  <c r="CX10" i="14"/>
  <c r="CW10" i="14"/>
  <c r="CU10" i="14"/>
  <c r="CT10" i="14"/>
  <c r="CR10" i="14"/>
  <c r="CQ10" i="14"/>
  <c r="CO10" i="14"/>
  <c r="CN10" i="14"/>
  <c r="CL10" i="14"/>
  <c r="CK10" i="14"/>
  <c r="CI10" i="14"/>
  <c r="CH10" i="14"/>
  <c r="CF10" i="14"/>
  <c r="CE10" i="14"/>
  <c r="CC10" i="14"/>
  <c r="CB10" i="14"/>
  <c r="BZ10" i="14"/>
  <c r="BY10" i="14"/>
  <c r="BW10" i="14"/>
  <c r="BV10" i="14"/>
  <c r="BT10" i="14"/>
  <c r="BS10" i="14"/>
  <c r="BQ10" i="14"/>
  <c r="BP10" i="14"/>
  <c r="BN10" i="14"/>
  <c r="BM10" i="14"/>
  <c r="BK10" i="14"/>
  <c r="BJ10" i="14"/>
  <c r="BH10" i="14"/>
  <c r="BG10" i="14"/>
  <c r="BE10" i="14"/>
  <c r="BD10" i="14"/>
  <c r="BB10" i="14"/>
  <c r="BA10" i="14"/>
  <c r="AY10" i="14"/>
  <c r="AX10" i="14"/>
  <c r="AV10" i="14"/>
  <c r="AU10" i="14"/>
  <c r="AS10" i="14"/>
  <c r="AR10" i="14"/>
  <c r="AP10" i="14"/>
  <c r="AO10" i="14"/>
  <c r="AM10" i="14"/>
  <c r="AL10" i="14"/>
  <c r="AJ10" i="14"/>
  <c r="AI10" i="14"/>
  <c r="AG10" i="14"/>
  <c r="AF10" i="14"/>
  <c r="AD10" i="14"/>
  <c r="AC10" i="14"/>
  <c r="AA10" i="14"/>
  <c r="Z10" i="14"/>
  <c r="X10" i="14"/>
  <c r="W10" i="14"/>
  <c r="U10" i="14"/>
  <c r="T10" i="14"/>
  <c r="R10" i="14"/>
  <c r="Q10" i="14"/>
  <c r="O10" i="14"/>
  <c r="N10" i="14"/>
  <c r="L10" i="14"/>
  <c r="K10" i="14"/>
  <c r="I10" i="14"/>
  <c r="H10" i="14"/>
  <c r="F10" i="14"/>
  <c r="E10" i="14"/>
  <c r="C10" i="14"/>
  <c r="B10" i="14"/>
  <c r="A10" i="14"/>
  <c r="HH9" i="14"/>
  <c r="HG9" i="14"/>
  <c r="HE9" i="14"/>
  <c r="HD9" i="14"/>
  <c r="HB9" i="14"/>
  <c r="HA9" i="14"/>
  <c r="GZ9" i="14"/>
  <c r="GY9" i="14"/>
  <c r="GX9" i="14"/>
  <c r="GV9" i="14"/>
  <c r="GU9" i="14"/>
  <c r="GS9" i="14"/>
  <c r="GR9" i="14"/>
  <c r="GP9" i="14"/>
  <c r="GO9" i="14"/>
  <c r="GM9" i="14"/>
  <c r="GL9" i="14"/>
  <c r="GJ9" i="14"/>
  <c r="GI9" i="14"/>
  <c r="GG9" i="14"/>
  <c r="GF9" i="14"/>
  <c r="GD9" i="14"/>
  <c r="GC9" i="14"/>
  <c r="GA9" i="14"/>
  <c r="FZ9" i="14"/>
  <c r="FX9" i="14"/>
  <c r="FW9" i="14"/>
  <c r="FU9" i="14"/>
  <c r="FT9" i="14"/>
  <c r="FR9" i="14"/>
  <c r="FQ9" i="14"/>
  <c r="FO9" i="14"/>
  <c r="FN9" i="14"/>
  <c r="FL9" i="14"/>
  <c r="FK9" i="14"/>
  <c r="FI9" i="14"/>
  <c r="FH9" i="14"/>
  <c r="FF9" i="14"/>
  <c r="FE9" i="14"/>
  <c r="FC9" i="14"/>
  <c r="FB9" i="14"/>
  <c r="EZ9" i="14"/>
  <c r="EY9" i="14"/>
  <c r="EW9" i="14"/>
  <c r="EV9" i="14"/>
  <c r="ET9" i="14"/>
  <c r="ES9" i="14"/>
  <c r="EQ9" i="14"/>
  <c r="EP9" i="14"/>
  <c r="EN9" i="14"/>
  <c r="EM9" i="14"/>
  <c r="EK9" i="14"/>
  <c r="EJ9" i="14"/>
  <c r="EH9" i="14"/>
  <c r="EG9" i="14"/>
  <c r="EE9" i="14"/>
  <c r="ED9" i="14"/>
  <c r="EB9" i="14"/>
  <c r="EA9" i="14"/>
  <c r="DY9" i="14"/>
  <c r="DX9" i="14"/>
  <c r="DV9" i="14"/>
  <c r="DU9" i="14"/>
  <c r="DS9" i="14"/>
  <c r="DR9" i="14"/>
  <c r="DP9" i="14"/>
  <c r="DO9" i="14"/>
  <c r="DM9" i="14"/>
  <c r="DL9" i="14"/>
  <c r="DJ9" i="14"/>
  <c r="DI9" i="14"/>
  <c r="DG9" i="14"/>
  <c r="DF9" i="14"/>
  <c r="DD9" i="14"/>
  <c r="DC9" i="14"/>
  <c r="DA9" i="14"/>
  <c r="CZ9" i="14"/>
  <c r="CX9" i="14"/>
  <c r="CW9" i="14"/>
  <c r="CU9" i="14"/>
  <c r="CT9" i="14"/>
  <c r="CR9" i="14"/>
  <c r="CQ9" i="14"/>
  <c r="CO9" i="14"/>
  <c r="CN9" i="14"/>
  <c r="CL9" i="14"/>
  <c r="CK9" i="14"/>
  <c r="CI9" i="14"/>
  <c r="CH9" i="14"/>
  <c r="CF9" i="14"/>
  <c r="CE9" i="14"/>
  <c r="CC9" i="14"/>
  <c r="CB9" i="14"/>
  <c r="BZ9" i="14"/>
  <c r="BY9" i="14"/>
  <c r="BW9" i="14"/>
  <c r="BV9" i="14"/>
  <c r="BT9" i="14"/>
  <c r="BS9" i="14"/>
  <c r="BQ9" i="14"/>
  <c r="BP9" i="14"/>
  <c r="BN9" i="14"/>
  <c r="BM9" i="14"/>
  <c r="BK9" i="14"/>
  <c r="BJ9" i="14"/>
  <c r="BH9" i="14"/>
  <c r="BG9" i="14"/>
  <c r="BE9" i="14"/>
  <c r="BD9" i="14"/>
  <c r="BB9" i="14"/>
  <c r="BA9" i="14"/>
  <c r="AY9" i="14"/>
  <c r="AX9" i="14"/>
  <c r="AV9" i="14"/>
  <c r="AU9" i="14"/>
  <c r="AS9" i="14"/>
  <c r="AR9" i="14"/>
  <c r="AP9" i="14"/>
  <c r="AO9" i="14"/>
  <c r="AN9" i="14"/>
  <c r="AM9" i="14"/>
  <c r="AL9" i="14"/>
  <c r="AJ9" i="14"/>
  <c r="AI9" i="14"/>
  <c r="AG9" i="14"/>
  <c r="AF9" i="14"/>
  <c r="AD9" i="14"/>
  <c r="AC9" i="14"/>
  <c r="AA9" i="14"/>
  <c r="Z9" i="14"/>
  <c r="X9" i="14"/>
  <c r="W9" i="14"/>
  <c r="U9" i="14"/>
  <c r="T9" i="14"/>
  <c r="R9" i="14"/>
  <c r="Q9" i="14"/>
  <c r="P9" i="14"/>
  <c r="O9" i="14"/>
  <c r="N9" i="14"/>
  <c r="L9" i="14"/>
  <c r="K9" i="14"/>
  <c r="I9" i="14"/>
  <c r="H9" i="14"/>
  <c r="F9" i="14"/>
  <c r="E9" i="14"/>
  <c r="C9" i="14"/>
  <c r="B9" i="14"/>
  <c r="A9" i="14"/>
  <c r="HH8" i="14"/>
  <c r="HG8" i="14"/>
  <c r="HE8" i="14"/>
  <c r="HD8" i="14"/>
  <c r="HB8" i="14"/>
  <c r="HA8" i="14"/>
  <c r="GY8" i="14"/>
  <c r="GX8" i="14"/>
  <c r="GV8" i="14"/>
  <c r="GU8" i="14"/>
  <c r="GS8" i="14"/>
  <c r="GR8" i="14"/>
  <c r="GP8" i="14"/>
  <c r="GO8" i="14"/>
  <c r="GM8" i="14"/>
  <c r="GL8" i="14"/>
  <c r="GJ8" i="14"/>
  <c r="GI8" i="14"/>
  <c r="GG8" i="14"/>
  <c r="GF8" i="14"/>
  <c r="GD8" i="14"/>
  <c r="GC8" i="14"/>
  <c r="GA8" i="14"/>
  <c r="FZ8" i="14"/>
  <c r="FX8" i="14"/>
  <c r="FW8" i="14"/>
  <c r="FU8" i="14"/>
  <c r="FT8" i="14"/>
  <c r="FR8" i="14"/>
  <c r="FQ8" i="14"/>
  <c r="FO8" i="14"/>
  <c r="FN8" i="14"/>
  <c r="FL8" i="14"/>
  <c r="FK8" i="14"/>
  <c r="FI8" i="14"/>
  <c r="FH8" i="14"/>
  <c r="FF8" i="14"/>
  <c r="FE8" i="14"/>
  <c r="FC8" i="14"/>
  <c r="FB8" i="14"/>
  <c r="EZ8" i="14"/>
  <c r="EY8" i="14"/>
  <c r="EW8" i="14"/>
  <c r="EV8" i="14"/>
  <c r="ET8" i="14"/>
  <c r="ES8" i="14"/>
  <c r="EQ8" i="14"/>
  <c r="EP8" i="14"/>
  <c r="EN8" i="14"/>
  <c r="EM8" i="14"/>
  <c r="EK8" i="14"/>
  <c r="EJ8" i="14"/>
  <c r="EH8" i="14"/>
  <c r="EG8" i="14"/>
  <c r="EE8" i="14"/>
  <c r="ED8" i="14"/>
  <c r="EB8" i="14"/>
  <c r="EA8" i="14"/>
  <c r="DY8" i="14"/>
  <c r="DX8" i="14"/>
  <c r="DV8" i="14"/>
  <c r="DU8" i="14"/>
  <c r="DS8" i="14"/>
  <c r="DR8" i="14"/>
  <c r="DP8" i="14"/>
  <c r="DO8" i="14"/>
  <c r="DM8" i="14"/>
  <c r="DL8" i="14"/>
  <c r="DJ8" i="14"/>
  <c r="DI8" i="14"/>
  <c r="DG8" i="14"/>
  <c r="DF8" i="14"/>
  <c r="DD8" i="14"/>
  <c r="DC8" i="14"/>
  <c r="DA8" i="14"/>
  <c r="CZ8" i="14"/>
  <c r="CX8" i="14"/>
  <c r="CW8" i="14"/>
  <c r="CU8" i="14"/>
  <c r="CT8" i="14"/>
  <c r="CR8" i="14"/>
  <c r="CQ8" i="14"/>
  <c r="CO8" i="14"/>
  <c r="CN8" i="14"/>
  <c r="CL8" i="14"/>
  <c r="CK8" i="14"/>
  <c r="CI8" i="14"/>
  <c r="CH8" i="14"/>
  <c r="CF8" i="14"/>
  <c r="CE8" i="14"/>
  <c r="CC8" i="14"/>
  <c r="CB8" i="14"/>
  <c r="BZ8" i="14"/>
  <c r="BY8" i="14"/>
  <c r="BW8" i="14"/>
  <c r="BV8" i="14"/>
  <c r="BT8" i="14"/>
  <c r="BS8" i="14"/>
  <c r="BQ8" i="14"/>
  <c r="BP8" i="14"/>
  <c r="BN8" i="14"/>
  <c r="BM8" i="14"/>
  <c r="BK8" i="14"/>
  <c r="BJ8" i="14"/>
  <c r="BH8" i="14"/>
  <c r="BG8" i="14"/>
  <c r="BE8" i="14"/>
  <c r="BD8" i="14"/>
  <c r="BB8" i="14"/>
  <c r="BA8" i="14"/>
  <c r="AY8" i="14"/>
  <c r="AX8" i="14"/>
  <c r="AV8" i="14"/>
  <c r="AU8" i="14"/>
  <c r="AS8" i="14"/>
  <c r="AR8" i="14"/>
  <c r="AP8" i="14"/>
  <c r="AO8" i="14"/>
  <c r="AM8" i="14"/>
  <c r="AL8" i="14"/>
  <c r="AJ8" i="14"/>
  <c r="AI8" i="14"/>
  <c r="AG8" i="14"/>
  <c r="AF8" i="14"/>
  <c r="AD8" i="14"/>
  <c r="AC8" i="14"/>
  <c r="AA8" i="14"/>
  <c r="Z8" i="14"/>
  <c r="X8" i="14"/>
  <c r="W8" i="14"/>
  <c r="U8" i="14"/>
  <c r="T8" i="14"/>
  <c r="R8" i="14"/>
  <c r="Q8" i="14"/>
  <c r="O8" i="14"/>
  <c r="N8" i="14"/>
  <c r="L8" i="14"/>
  <c r="K8" i="14"/>
  <c r="I8" i="14"/>
  <c r="H8" i="14"/>
  <c r="F8" i="14"/>
  <c r="E8" i="14"/>
  <c r="C8" i="14"/>
  <c r="B8" i="14"/>
  <c r="A8" i="14"/>
  <c r="HH7" i="14"/>
  <c r="HG7" i="14"/>
  <c r="HE7" i="14"/>
  <c r="HD7" i="14"/>
  <c r="HB7" i="14"/>
  <c r="HA7" i="14"/>
  <c r="GY7" i="14"/>
  <c r="GX7" i="14"/>
  <c r="GV7" i="14"/>
  <c r="GU7" i="14"/>
  <c r="GS7" i="14"/>
  <c r="GR7" i="14"/>
  <c r="GP7" i="14"/>
  <c r="GO7" i="14"/>
  <c r="GM7" i="14"/>
  <c r="GL7" i="14"/>
  <c r="GJ7" i="14"/>
  <c r="GI7" i="14"/>
  <c r="GG7" i="14"/>
  <c r="GF7" i="14"/>
  <c r="GD7" i="14"/>
  <c r="GC7" i="14"/>
  <c r="GA7" i="14"/>
  <c r="FZ7" i="14"/>
  <c r="FX7" i="14"/>
  <c r="FW7" i="14"/>
  <c r="FU7" i="14"/>
  <c r="FT7" i="14"/>
  <c r="FR7" i="14"/>
  <c r="FQ7" i="14"/>
  <c r="FO7" i="14"/>
  <c r="FN7" i="14"/>
  <c r="FL7" i="14"/>
  <c r="FK7" i="14"/>
  <c r="FI7" i="14"/>
  <c r="FH7" i="14"/>
  <c r="FF7" i="14"/>
  <c r="FE7" i="14"/>
  <c r="FC7" i="14"/>
  <c r="FB7" i="14"/>
  <c r="EZ7" i="14"/>
  <c r="EY7" i="14"/>
  <c r="EW7" i="14"/>
  <c r="EV7" i="14"/>
  <c r="ET7" i="14"/>
  <c r="ES7" i="14"/>
  <c r="EQ7" i="14"/>
  <c r="EP7" i="14"/>
  <c r="EN7" i="14"/>
  <c r="EM7" i="14"/>
  <c r="EK7" i="14"/>
  <c r="EJ7" i="14"/>
  <c r="EH7" i="14"/>
  <c r="EG7" i="14"/>
  <c r="EE7" i="14"/>
  <c r="ED7" i="14"/>
  <c r="EB7" i="14"/>
  <c r="EA7" i="14"/>
  <c r="DY7" i="14"/>
  <c r="DX7" i="14"/>
  <c r="DV7" i="14"/>
  <c r="DU7" i="14"/>
  <c r="DS7" i="14"/>
  <c r="DR7" i="14"/>
  <c r="DP7" i="14"/>
  <c r="DO7" i="14"/>
  <c r="DM7" i="14"/>
  <c r="DL7" i="14"/>
  <c r="DJ7" i="14"/>
  <c r="DI7" i="14"/>
  <c r="DG7" i="14"/>
  <c r="DF7" i="14"/>
  <c r="DD7" i="14"/>
  <c r="DC7" i="14"/>
  <c r="DA7" i="14"/>
  <c r="CZ7" i="14"/>
  <c r="CX7" i="14"/>
  <c r="CW7" i="14"/>
  <c r="CV7" i="14"/>
  <c r="CU7" i="14"/>
  <c r="CT7" i="14"/>
  <c r="CR7" i="14"/>
  <c r="CQ7" i="14"/>
  <c r="CO7" i="14"/>
  <c r="CN7" i="14"/>
  <c r="CL7" i="14"/>
  <c r="CK7" i="14"/>
  <c r="CI7" i="14"/>
  <c r="CH7" i="14"/>
  <c r="CF7" i="14"/>
  <c r="CE7" i="14"/>
  <c r="CC7" i="14"/>
  <c r="CB7" i="14"/>
  <c r="BZ7" i="14"/>
  <c r="BY7" i="14"/>
  <c r="BX7" i="14"/>
  <c r="BW7" i="14"/>
  <c r="BV7" i="14"/>
  <c r="BT7" i="14"/>
  <c r="BS7" i="14"/>
  <c r="BQ7" i="14"/>
  <c r="BP7" i="14"/>
  <c r="BN7" i="14"/>
  <c r="BM7" i="14"/>
  <c r="BK7" i="14"/>
  <c r="BJ7" i="14"/>
  <c r="BH7" i="14"/>
  <c r="BG7" i="14"/>
  <c r="BE7" i="14"/>
  <c r="BD7" i="14"/>
  <c r="BB7" i="14"/>
  <c r="BA7" i="14"/>
  <c r="AY7" i="14"/>
  <c r="AX7" i="14"/>
  <c r="AV7" i="14"/>
  <c r="AU7" i="14"/>
  <c r="AS7" i="14"/>
  <c r="AR7" i="14"/>
  <c r="AP7" i="14"/>
  <c r="AO7" i="14"/>
  <c r="AM7" i="14"/>
  <c r="AL7" i="14"/>
  <c r="AJ7" i="14"/>
  <c r="AI7" i="14"/>
  <c r="AG7" i="14"/>
  <c r="AF7" i="14"/>
  <c r="AD7" i="14"/>
  <c r="AC7" i="14"/>
  <c r="AA7" i="14"/>
  <c r="Z7" i="14"/>
  <c r="X7" i="14"/>
  <c r="W7" i="14"/>
  <c r="U7" i="14"/>
  <c r="T7" i="14"/>
  <c r="R7" i="14"/>
  <c r="Q7" i="14"/>
  <c r="O7" i="14"/>
  <c r="N7" i="14"/>
  <c r="L7" i="14"/>
  <c r="K7" i="14"/>
  <c r="I7" i="14"/>
  <c r="H7" i="14"/>
  <c r="F7" i="14"/>
  <c r="E7" i="14"/>
  <c r="C7" i="14"/>
  <c r="B7" i="14"/>
  <c r="A7" i="14"/>
  <c r="HH6" i="14"/>
  <c r="HG6" i="14"/>
  <c r="HE6" i="14"/>
  <c r="HD6" i="14"/>
  <c r="HB6" i="14"/>
  <c r="HA6" i="14"/>
  <c r="GY6" i="14"/>
  <c r="GX6" i="14"/>
  <c r="GV6" i="14"/>
  <c r="GU6" i="14"/>
  <c r="GS6" i="14"/>
  <c r="GR6" i="14"/>
  <c r="GP6" i="14"/>
  <c r="GO6" i="14"/>
  <c r="GM6" i="14"/>
  <c r="GL6" i="14"/>
  <c r="GJ6" i="14"/>
  <c r="GI6" i="14"/>
  <c r="GG6" i="14"/>
  <c r="GF6" i="14"/>
  <c r="GD6" i="14"/>
  <c r="GC6" i="14"/>
  <c r="GA6" i="14"/>
  <c r="FZ6" i="14"/>
  <c r="FX6" i="14"/>
  <c r="FW6" i="14"/>
  <c r="FU6" i="14"/>
  <c r="FT6" i="14"/>
  <c r="FR6" i="14"/>
  <c r="FQ6" i="14"/>
  <c r="FO6" i="14"/>
  <c r="FN6" i="14"/>
  <c r="FL6" i="14"/>
  <c r="FK6" i="14"/>
  <c r="FI6" i="14"/>
  <c r="FH6" i="14"/>
  <c r="FF6" i="14"/>
  <c r="FE6" i="14"/>
  <c r="FC6" i="14"/>
  <c r="FB6" i="14"/>
  <c r="EZ6" i="14"/>
  <c r="EY6" i="14"/>
  <c r="EW6" i="14"/>
  <c r="EV6" i="14"/>
  <c r="ET6" i="14"/>
  <c r="ES6" i="14"/>
  <c r="EQ6" i="14"/>
  <c r="EP6" i="14"/>
  <c r="EN6" i="14"/>
  <c r="EM6" i="14"/>
  <c r="EK6" i="14"/>
  <c r="EJ6" i="14"/>
  <c r="EH6" i="14"/>
  <c r="EG6" i="14"/>
  <c r="EE6" i="14"/>
  <c r="ED6" i="14"/>
  <c r="EB6" i="14"/>
  <c r="EA6" i="14"/>
  <c r="DY6" i="14"/>
  <c r="DX6" i="14"/>
  <c r="DV6" i="14"/>
  <c r="DU6" i="14"/>
  <c r="DS6" i="14"/>
  <c r="DR6" i="14"/>
  <c r="DP6" i="14"/>
  <c r="DO6" i="14"/>
  <c r="DM6" i="14"/>
  <c r="DL6" i="14"/>
  <c r="DJ6" i="14"/>
  <c r="DI6" i="14"/>
  <c r="DG6" i="14"/>
  <c r="DF6" i="14"/>
  <c r="DD6" i="14"/>
  <c r="DC6" i="14"/>
  <c r="DA6" i="14"/>
  <c r="CZ6" i="14"/>
  <c r="CX6" i="14"/>
  <c r="CW6" i="14"/>
  <c r="CU6" i="14"/>
  <c r="CT6" i="14"/>
  <c r="CR6" i="14"/>
  <c r="CQ6" i="14"/>
  <c r="CO6" i="14"/>
  <c r="CN6" i="14"/>
  <c r="CL6" i="14"/>
  <c r="CK6" i="14"/>
  <c r="CI6" i="14"/>
  <c r="CH6" i="14"/>
  <c r="CF6" i="14"/>
  <c r="CE6" i="14"/>
  <c r="CC6" i="14"/>
  <c r="CB6" i="14"/>
  <c r="BZ6" i="14"/>
  <c r="BY6" i="14"/>
  <c r="BW6" i="14"/>
  <c r="BV6" i="14"/>
  <c r="BT6" i="14"/>
  <c r="BS6" i="14"/>
  <c r="BQ6" i="14"/>
  <c r="BP6" i="14"/>
  <c r="BN6" i="14"/>
  <c r="BM6" i="14"/>
  <c r="BK6" i="14"/>
  <c r="BJ6" i="14"/>
  <c r="BH6" i="14"/>
  <c r="BG6" i="14"/>
  <c r="BE6" i="14"/>
  <c r="BD6" i="14"/>
  <c r="BB6" i="14"/>
  <c r="BA6" i="14"/>
  <c r="AY6" i="14"/>
  <c r="AX6" i="14"/>
  <c r="AV6" i="14"/>
  <c r="AU6" i="14"/>
  <c r="AS6" i="14"/>
  <c r="AR6" i="14"/>
  <c r="AP6" i="14"/>
  <c r="AO6" i="14"/>
  <c r="AM6" i="14"/>
  <c r="AL6" i="14"/>
  <c r="AJ6" i="14"/>
  <c r="AI6" i="14"/>
  <c r="AG6" i="14"/>
  <c r="AF6" i="14"/>
  <c r="AD6" i="14"/>
  <c r="AC6" i="14"/>
  <c r="AA6" i="14"/>
  <c r="Z6" i="14"/>
  <c r="X6" i="14"/>
  <c r="W6" i="14"/>
  <c r="U6" i="14"/>
  <c r="T6" i="14"/>
  <c r="R6" i="14"/>
  <c r="Q6" i="14"/>
  <c r="O6" i="14"/>
  <c r="N6" i="14"/>
  <c r="L6" i="14"/>
  <c r="K6" i="14"/>
  <c r="I6" i="14"/>
  <c r="H6" i="14"/>
  <c r="F6" i="14"/>
  <c r="E6" i="14"/>
  <c r="C6" i="14"/>
  <c r="B6" i="14"/>
  <c r="A6" i="14"/>
  <c r="HH5" i="14"/>
  <c r="HG5" i="14"/>
  <c r="HE5" i="14"/>
  <c r="HD5" i="14"/>
  <c r="HB5" i="14"/>
  <c r="HA5" i="14"/>
  <c r="GY5" i="14"/>
  <c r="GX5" i="14"/>
  <c r="GV5" i="14"/>
  <c r="GU5" i="14"/>
  <c r="GS5" i="14"/>
  <c r="GR5" i="14"/>
  <c r="GP5" i="14"/>
  <c r="GO5" i="14"/>
  <c r="GM5" i="14"/>
  <c r="GL5" i="14"/>
  <c r="GJ5" i="14"/>
  <c r="GI5" i="14"/>
  <c r="GG5" i="14"/>
  <c r="GF5" i="14"/>
  <c r="GD5" i="14"/>
  <c r="GC5" i="14"/>
  <c r="GB5" i="14"/>
  <c r="GA5" i="14"/>
  <c r="FZ5" i="14"/>
  <c r="FX5" i="14"/>
  <c r="FW5" i="14"/>
  <c r="FU5" i="14"/>
  <c r="FT5" i="14"/>
  <c r="FR5" i="14"/>
  <c r="FQ5" i="14"/>
  <c r="FO5" i="14"/>
  <c r="FN5" i="14"/>
  <c r="FL5" i="14"/>
  <c r="FK5" i="14"/>
  <c r="FI5" i="14"/>
  <c r="FH5" i="14"/>
  <c r="FF5" i="14"/>
  <c r="FE5" i="14"/>
  <c r="FD5" i="14"/>
  <c r="FC5" i="14"/>
  <c r="FB5" i="14"/>
  <c r="EZ5" i="14"/>
  <c r="EY5" i="14"/>
  <c r="EW5" i="14"/>
  <c r="EV5" i="14"/>
  <c r="ET5" i="14"/>
  <c r="ES5" i="14"/>
  <c r="EQ5" i="14"/>
  <c r="EP5" i="14"/>
  <c r="EN5" i="14"/>
  <c r="EM5" i="14"/>
  <c r="EK5" i="14"/>
  <c r="EJ5" i="14"/>
  <c r="EH5" i="14"/>
  <c r="EG5" i="14"/>
  <c r="EE5" i="14"/>
  <c r="ED5" i="14"/>
  <c r="EB5" i="14"/>
  <c r="EA5" i="14"/>
  <c r="DY5" i="14"/>
  <c r="DX5" i="14"/>
  <c r="DV5" i="14"/>
  <c r="DU5" i="14"/>
  <c r="DS5" i="14"/>
  <c r="DR5" i="14"/>
  <c r="DP5" i="14"/>
  <c r="DO5" i="14"/>
  <c r="DM5" i="14"/>
  <c r="DL5" i="14"/>
  <c r="DJ5" i="14"/>
  <c r="DI5" i="14"/>
  <c r="DG5" i="14"/>
  <c r="DF5" i="14"/>
  <c r="DD5" i="14"/>
  <c r="DC5" i="14"/>
  <c r="DA5" i="14"/>
  <c r="CZ5" i="14"/>
  <c r="CX5" i="14"/>
  <c r="CW5" i="14"/>
  <c r="CU5" i="14"/>
  <c r="CT5" i="14"/>
  <c r="CR5" i="14"/>
  <c r="CQ5" i="14"/>
  <c r="CO5" i="14"/>
  <c r="CN5" i="14"/>
  <c r="CL5" i="14"/>
  <c r="CK5" i="14"/>
  <c r="CI5" i="14"/>
  <c r="CH5" i="14"/>
  <c r="CF5" i="14"/>
  <c r="CE5" i="14"/>
  <c r="CC5" i="14"/>
  <c r="CB5" i="14"/>
  <c r="BZ5" i="14"/>
  <c r="BY5" i="14"/>
  <c r="BW5" i="14"/>
  <c r="BV5" i="14"/>
  <c r="BT5" i="14"/>
  <c r="BS5" i="14"/>
  <c r="BQ5" i="14"/>
  <c r="BP5" i="14"/>
  <c r="BN5" i="14"/>
  <c r="BM5" i="14"/>
  <c r="BK5" i="14"/>
  <c r="BJ5" i="14"/>
  <c r="BH5" i="14"/>
  <c r="BG5" i="14"/>
  <c r="BE5" i="14"/>
  <c r="BD5" i="14"/>
  <c r="BB5" i="14"/>
  <c r="BA5" i="14"/>
  <c r="AY5" i="14"/>
  <c r="AX5" i="14"/>
  <c r="AV5" i="14"/>
  <c r="AU5" i="14"/>
  <c r="AS5" i="14"/>
  <c r="AR5" i="14"/>
  <c r="AP5" i="14"/>
  <c r="AO5" i="14"/>
  <c r="AM5" i="14"/>
  <c r="AL5" i="14"/>
  <c r="AJ5" i="14"/>
  <c r="AI5" i="14"/>
  <c r="AG5" i="14"/>
  <c r="AF5" i="14"/>
  <c r="AD5" i="14"/>
  <c r="AC5" i="14"/>
  <c r="AA5" i="14"/>
  <c r="Z5" i="14"/>
  <c r="X5" i="14"/>
  <c r="W5" i="14"/>
  <c r="U5" i="14"/>
  <c r="T5" i="14"/>
  <c r="R5" i="14"/>
  <c r="Q5" i="14"/>
  <c r="O5" i="14"/>
  <c r="N5" i="14"/>
  <c r="L5" i="14"/>
  <c r="K5" i="14"/>
  <c r="I5" i="14"/>
  <c r="H5" i="14"/>
  <c r="F5" i="14"/>
  <c r="E5" i="14"/>
  <c r="C5" i="14"/>
  <c r="B5" i="14"/>
  <c r="A5" i="14"/>
  <c r="HH4" i="14"/>
  <c r="HG4" i="14"/>
  <c r="HE4" i="14"/>
  <c r="HD4" i="14"/>
  <c r="HB4" i="14"/>
  <c r="HA4" i="14"/>
  <c r="GY4" i="14"/>
  <c r="GX4" i="14"/>
  <c r="GV4" i="14"/>
  <c r="GU4" i="14"/>
  <c r="GS4" i="14"/>
  <c r="GR4" i="14"/>
  <c r="GP4" i="14"/>
  <c r="GO4" i="14"/>
  <c r="GM4" i="14"/>
  <c r="GL4" i="14"/>
  <c r="GJ4" i="14"/>
  <c r="GI4" i="14"/>
  <c r="GG4" i="14"/>
  <c r="GF4" i="14"/>
  <c r="GD4" i="14"/>
  <c r="GC4" i="14"/>
  <c r="GA4" i="14"/>
  <c r="FZ4" i="14"/>
  <c r="FX4" i="14"/>
  <c r="FW4" i="14"/>
  <c r="FU4" i="14"/>
  <c r="FT4" i="14"/>
  <c r="FR4" i="14"/>
  <c r="FQ4" i="14"/>
  <c r="FO4" i="14"/>
  <c r="FN4" i="14"/>
  <c r="FL4" i="14"/>
  <c r="FK4" i="14"/>
  <c r="FI4" i="14"/>
  <c r="FH4" i="14"/>
  <c r="FF4" i="14"/>
  <c r="FE4" i="14"/>
  <c r="FC4" i="14"/>
  <c r="FB4" i="14"/>
  <c r="EZ4" i="14"/>
  <c r="EY4" i="14"/>
  <c r="EW4" i="14"/>
  <c r="EV4" i="14"/>
  <c r="ET4" i="14"/>
  <c r="ES4" i="14"/>
  <c r="EQ4" i="14"/>
  <c r="EP4" i="14"/>
  <c r="EN4" i="14"/>
  <c r="EM4" i="14"/>
  <c r="EK4" i="14"/>
  <c r="EJ4" i="14"/>
  <c r="EH4" i="14"/>
  <c r="EG4" i="14"/>
  <c r="EE4" i="14"/>
  <c r="ED4" i="14"/>
  <c r="EB4" i="14"/>
  <c r="EA4" i="14"/>
  <c r="DY4" i="14"/>
  <c r="DX4" i="14"/>
  <c r="DV4" i="14"/>
  <c r="DU4" i="14"/>
  <c r="DS4" i="14"/>
  <c r="DR4" i="14"/>
  <c r="DP4" i="14"/>
  <c r="DO4" i="14"/>
  <c r="DM4" i="14"/>
  <c r="DL4" i="14"/>
  <c r="DJ4" i="14"/>
  <c r="DI4" i="14"/>
  <c r="DG4" i="14"/>
  <c r="DF4" i="14"/>
  <c r="DD4" i="14"/>
  <c r="DC4" i="14"/>
  <c r="DA4" i="14"/>
  <c r="CZ4" i="14"/>
  <c r="CX4" i="14"/>
  <c r="CW4" i="14"/>
  <c r="CU4" i="14"/>
  <c r="CT4" i="14"/>
  <c r="CR4" i="14"/>
  <c r="CQ4" i="14"/>
  <c r="CO4" i="14"/>
  <c r="CN4" i="14"/>
  <c r="CL4" i="14"/>
  <c r="CK4" i="14"/>
  <c r="CI4" i="14"/>
  <c r="CH4" i="14"/>
  <c r="CF4" i="14"/>
  <c r="CE4" i="14"/>
  <c r="CC4" i="14"/>
  <c r="CB4" i="14"/>
  <c r="BZ4" i="14"/>
  <c r="BY4" i="14"/>
  <c r="BW4" i="14"/>
  <c r="BV4" i="14"/>
  <c r="BT4" i="14"/>
  <c r="BS4" i="14"/>
  <c r="BQ4" i="14"/>
  <c r="BP4" i="14"/>
  <c r="BN4" i="14"/>
  <c r="BM4" i="14"/>
  <c r="BK4" i="14"/>
  <c r="BJ4" i="14"/>
  <c r="BH4" i="14"/>
  <c r="BG4" i="14"/>
  <c r="BE4" i="14"/>
  <c r="BD4" i="14"/>
  <c r="BB4" i="14"/>
  <c r="BA4" i="14"/>
  <c r="AY4" i="14"/>
  <c r="AX4" i="14"/>
  <c r="AV4" i="14"/>
  <c r="AU4" i="14"/>
  <c r="AS4" i="14"/>
  <c r="AR4" i="14"/>
  <c r="AP4" i="14"/>
  <c r="AO4" i="14"/>
  <c r="AM4" i="14"/>
  <c r="AL4" i="14"/>
  <c r="AJ4" i="14"/>
  <c r="AI4" i="14"/>
  <c r="AG4" i="14"/>
  <c r="AF4" i="14"/>
  <c r="AD4" i="14"/>
  <c r="AC4" i="14"/>
  <c r="AA4" i="14"/>
  <c r="Z4" i="14"/>
  <c r="X4" i="14"/>
  <c r="W4" i="14"/>
  <c r="U4" i="14"/>
  <c r="T4" i="14"/>
  <c r="R4" i="14"/>
  <c r="Q4" i="14"/>
  <c r="O4" i="14"/>
  <c r="N4" i="14"/>
  <c r="L4" i="14"/>
  <c r="K4" i="14"/>
  <c r="I4" i="14"/>
  <c r="H4" i="14"/>
  <c r="F4" i="14"/>
  <c r="E4" i="14"/>
  <c r="C4" i="14"/>
  <c r="B4" i="14"/>
  <c r="A4" i="14"/>
  <c r="HH3" i="14"/>
  <c r="HG3" i="14"/>
  <c r="HE3" i="14"/>
  <c r="HD3" i="14"/>
  <c r="HB3" i="14"/>
  <c r="HA3" i="14"/>
  <c r="GY3" i="14"/>
  <c r="GX3" i="14"/>
  <c r="GV3" i="14"/>
  <c r="GU3" i="14"/>
  <c r="GS3" i="14"/>
  <c r="GR3" i="14"/>
  <c r="GP3" i="14"/>
  <c r="GO3" i="14"/>
  <c r="GM3" i="14"/>
  <c r="GL3" i="14"/>
  <c r="GJ3" i="14"/>
  <c r="GI3" i="14"/>
  <c r="GG3" i="14"/>
  <c r="GF3" i="14"/>
  <c r="GD3" i="14"/>
  <c r="GC3" i="14"/>
  <c r="GA3" i="14"/>
  <c r="FZ3" i="14"/>
  <c r="FX3" i="14"/>
  <c r="FW3" i="14"/>
  <c r="FU3" i="14"/>
  <c r="FT3" i="14"/>
  <c r="FR3" i="14"/>
  <c r="FQ3" i="14"/>
  <c r="FO3" i="14"/>
  <c r="FN3" i="14"/>
  <c r="FL3" i="14"/>
  <c r="FK3" i="14"/>
  <c r="FI3" i="14"/>
  <c r="FH3" i="14"/>
  <c r="FF3" i="14"/>
  <c r="FE3" i="14"/>
  <c r="FC3" i="14"/>
  <c r="FB3" i="14"/>
  <c r="EZ3" i="14"/>
  <c r="EY3" i="14"/>
  <c r="EW3" i="14"/>
  <c r="EV3" i="14"/>
  <c r="ET3" i="14"/>
  <c r="ES3" i="14"/>
  <c r="EQ3" i="14"/>
  <c r="EP3" i="14"/>
  <c r="EN3" i="14"/>
  <c r="EM3" i="14"/>
  <c r="EK3" i="14"/>
  <c r="EJ3" i="14"/>
  <c r="EH3" i="14"/>
  <c r="EG3" i="14"/>
  <c r="EE3" i="14"/>
  <c r="ED3" i="14"/>
  <c r="EB3" i="14"/>
  <c r="EA3" i="14"/>
  <c r="DY3" i="14"/>
  <c r="DX3" i="14"/>
  <c r="DV3" i="14"/>
  <c r="DU3" i="14"/>
  <c r="DS3" i="14"/>
  <c r="DR3" i="14"/>
  <c r="DP3" i="14"/>
  <c r="DO3" i="14"/>
  <c r="DM3" i="14"/>
  <c r="DL3" i="14"/>
  <c r="DJ3" i="14"/>
  <c r="DI3" i="14"/>
  <c r="DG3" i="14"/>
  <c r="DF3" i="14"/>
  <c r="DD3" i="14"/>
  <c r="DC3" i="14"/>
  <c r="DA3" i="14"/>
  <c r="CZ3" i="14"/>
  <c r="CX3" i="14"/>
  <c r="CW3" i="14"/>
  <c r="CU3" i="14"/>
  <c r="CT3" i="14"/>
  <c r="CR3" i="14"/>
  <c r="CQ3" i="14"/>
  <c r="CO3" i="14"/>
  <c r="CN3" i="14"/>
  <c r="CL3" i="14"/>
  <c r="CK3" i="14"/>
  <c r="CI3" i="14"/>
  <c r="CH3" i="14"/>
  <c r="CF3" i="14"/>
  <c r="CE3" i="14"/>
  <c r="CC3" i="14"/>
  <c r="CB3" i="14"/>
  <c r="BZ3" i="14"/>
  <c r="BY3" i="14"/>
  <c r="BX3" i="14"/>
  <c r="BW3" i="14"/>
  <c r="BV3" i="14"/>
  <c r="BT3" i="14"/>
  <c r="BS3" i="14"/>
  <c r="BQ3" i="14"/>
  <c r="BP3" i="14"/>
  <c r="BN3" i="14"/>
  <c r="BM3" i="14"/>
  <c r="BK3" i="14"/>
  <c r="BJ3" i="14"/>
  <c r="BH3" i="14"/>
  <c r="BG3" i="14"/>
  <c r="BE3" i="14"/>
  <c r="BD3" i="14"/>
  <c r="BB3" i="14"/>
  <c r="BA3" i="14"/>
  <c r="AZ3" i="14"/>
  <c r="AY3" i="14"/>
  <c r="AX3" i="14"/>
  <c r="AV3" i="14"/>
  <c r="AU3" i="14"/>
  <c r="AS3" i="14"/>
  <c r="AR3" i="14"/>
  <c r="AP3" i="14"/>
  <c r="AO3" i="14"/>
  <c r="AM3" i="14"/>
  <c r="AL3" i="14"/>
  <c r="AJ3" i="14"/>
  <c r="AI3" i="14"/>
  <c r="AG3" i="14"/>
  <c r="AF3" i="14"/>
  <c r="AD3" i="14"/>
  <c r="AC3" i="14"/>
  <c r="AA3" i="14"/>
  <c r="Z3" i="14"/>
  <c r="X3" i="14"/>
  <c r="W3" i="14"/>
  <c r="U3" i="14"/>
  <c r="T3" i="14"/>
  <c r="R3" i="14"/>
  <c r="Q3" i="14"/>
  <c r="O3" i="14"/>
  <c r="N3" i="14"/>
  <c r="L3" i="14"/>
  <c r="K3" i="14"/>
  <c r="I3" i="14"/>
  <c r="H3" i="14"/>
  <c r="F3" i="14"/>
  <c r="E3" i="14"/>
  <c r="C3" i="14"/>
  <c r="B3" i="14"/>
  <c r="A3" i="14"/>
  <c r="HH2" i="14"/>
  <c r="HG2" i="14"/>
  <c r="HI9" i="14" s="1"/>
  <c r="HE2" i="14"/>
  <c r="HD2" i="14"/>
  <c r="HF6" i="14" s="1"/>
  <c r="HB2" i="14"/>
  <c r="HA2" i="14"/>
  <c r="HC6" i="14" s="1"/>
  <c r="GY2" i="14"/>
  <c r="GX2" i="14"/>
  <c r="GZ7" i="14" s="1"/>
  <c r="GV2" i="14"/>
  <c r="GU2" i="14"/>
  <c r="GW7" i="14" s="1"/>
  <c r="GS2" i="14"/>
  <c r="GR2" i="14"/>
  <c r="GT4" i="14" s="1"/>
  <c r="GP2" i="14"/>
  <c r="GO2" i="14"/>
  <c r="GQ14" i="14" s="1"/>
  <c r="GM2" i="14"/>
  <c r="GL2" i="14"/>
  <c r="GN9" i="14" s="1"/>
  <c r="GJ2" i="14"/>
  <c r="GI2" i="14"/>
  <c r="GK9" i="14" s="1"/>
  <c r="GG2" i="14"/>
  <c r="GF2" i="14"/>
  <c r="GH6" i="14" s="1"/>
  <c r="GD2" i="14"/>
  <c r="GC2" i="14"/>
  <c r="GE6" i="14" s="1"/>
  <c r="GA2" i="14"/>
  <c r="FZ2" i="14"/>
  <c r="GB7" i="14" s="1"/>
  <c r="FX2" i="14"/>
  <c r="FW2" i="14"/>
  <c r="FY15" i="14" s="1"/>
  <c r="FU2" i="14"/>
  <c r="FT2" i="14"/>
  <c r="FV4" i="14" s="1"/>
  <c r="FR2" i="14"/>
  <c r="FQ2" i="14"/>
  <c r="FS8" i="14" s="1"/>
  <c r="FO2" i="14"/>
  <c r="FN2" i="14"/>
  <c r="FP9" i="14" s="1"/>
  <c r="FL2" i="14"/>
  <c r="FK2" i="14"/>
  <c r="FM9" i="14" s="1"/>
  <c r="FI2" i="14"/>
  <c r="FH2" i="14"/>
  <c r="FJ6" i="14" s="1"/>
  <c r="FF2" i="14"/>
  <c r="FE2" i="14"/>
  <c r="FG6" i="14" s="1"/>
  <c r="FC2" i="14"/>
  <c r="FB2" i="14"/>
  <c r="FD7" i="14" s="1"/>
  <c r="EZ2" i="14"/>
  <c r="EY2" i="14"/>
  <c r="FA15" i="14" s="1"/>
  <c r="EW2" i="14"/>
  <c r="EV2" i="14"/>
  <c r="EX4" i="14" s="1"/>
  <c r="ET2" i="14"/>
  <c r="ES2" i="14"/>
  <c r="EU8" i="14" s="1"/>
  <c r="EQ2" i="14"/>
  <c r="EP2" i="14"/>
  <c r="ER9" i="14" s="1"/>
  <c r="EN2" i="14"/>
  <c r="EM2" i="14"/>
  <c r="EO9" i="14" s="1"/>
  <c r="EK2" i="14"/>
  <c r="EJ2" i="14"/>
  <c r="EL6" i="14" s="1"/>
  <c r="EH2" i="14"/>
  <c r="EG2" i="14"/>
  <c r="EI16" i="14" s="1"/>
  <c r="EE2" i="14"/>
  <c r="ED2" i="14"/>
  <c r="EF7" i="14" s="1"/>
  <c r="EB2" i="14"/>
  <c r="EA2" i="14"/>
  <c r="EC7" i="14" s="1"/>
  <c r="DY2" i="14"/>
  <c r="DX2" i="14"/>
  <c r="DZ4" i="14" s="1"/>
  <c r="DV2" i="14"/>
  <c r="DU2" i="14"/>
  <c r="DW8" i="14" s="1"/>
  <c r="DS2" i="14"/>
  <c r="DR2" i="14"/>
  <c r="DT9" i="14" s="1"/>
  <c r="DP2" i="14"/>
  <c r="DO2" i="14"/>
  <c r="DQ9" i="14" s="1"/>
  <c r="DM2" i="14"/>
  <c r="DL2" i="14"/>
  <c r="DN6" i="14" s="1"/>
  <c r="DJ2" i="14"/>
  <c r="DI2" i="14"/>
  <c r="DK16" i="14" s="1"/>
  <c r="DG2" i="14"/>
  <c r="DF2" i="14"/>
  <c r="DH7" i="14" s="1"/>
  <c r="DD2" i="14"/>
  <c r="DC2" i="14"/>
  <c r="DE7" i="14" s="1"/>
  <c r="DA2" i="14"/>
  <c r="CZ2" i="14"/>
  <c r="DB4" i="14" s="1"/>
  <c r="CX2" i="14"/>
  <c r="CW2" i="14"/>
  <c r="CY8" i="14" s="1"/>
  <c r="CU2" i="14"/>
  <c r="CT2" i="14"/>
  <c r="CV9" i="14" s="1"/>
  <c r="CR2" i="14"/>
  <c r="CQ2" i="14"/>
  <c r="CS17" i="14" s="1"/>
  <c r="CO2" i="14"/>
  <c r="CN2" i="14"/>
  <c r="CP6" i="14" s="1"/>
  <c r="CL2" i="14"/>
  <c r="CK2" i="14"/>
  <c r="CM6" i="14" s="1"/>
  <c r="CI2" i="14"/>
  <c r="CH2" i="14"/>
  <c r="CJ7" i="14" s="1"/>
  <c r="CF2" i="14"/>
  <c r="CE2" i="14"/>
  <c r="CG7" i="14" s="1"/>
  <c r="CC2" i="14"/>
  <c r="CB2" i="14"/>
  <c r="CD8" i="14" s="1"/>
  <c r="BZ2" i="14"/>
  <c r="BY2" i="14"/>
  <c r="CA10" i="14" s="1"/>
  <c r="BW2" i="14"/>
  <c r="BV2" i="14"/>
  <c r="BX9" i="14" s="1"/>
  <c r="BT2" i="14"/>
  <c r="BS2" i="14"/>
  <c r="BU17" i="14" s="1"/>
  <c r="BQ2" i="14"/>
  <c r="BP2" i="14"/>
  <c r="BR6" i="14" s="1"/>
  <c r="BN2" i="14"/>
  <c r="BM2" i="14"/>
  <c r="BO10" i="14" s="1"/>
  <c r="BK2" i="14"/>
  <c r="BJ2" i="14"/>
  <c r="BL7" i="14" s="1"/>
  <c r="BH2" i="14"/>
  <c r="BG2" i="14"/>
  <c r="BI7" i="14" s="1"/>
  <c r="BE2" i="14"/>
  <c r="BD2" i="14"/>
  <c r="BF8" i="14" s="1"/>
  <c r="BB2" i="14"/>
  <c r="BA2" i="14"/>
  <c r="BC8" i="14" s="1"/>
  <c r="AY2" i="14"/>
  <c r="AX2" i="14"/>
  <c r="AZ9" i="14" s="1"/>
  <c r="AV2" i="14"/>
  <c r="AU2" i="14"/>
  <c r="AW9" i="14" s="1"/>
  <c r="AS2" i="14"/>
  <c r="AR2" i="14"/>
  <c r="AT6" i="14" s="1"/>
  <c r="AP2" i="14"/>
  <c r="AO2" i="14"/>
  <c r="AQ10" i="14" s="1"/>
  <c r="AM2" i="14"/>
  <c r="AL2" i="14"/>
  <c r="AN7" i="14" s="1"/>
  <c r="AJ2" i="14"/>
  <c r="AI2" i="14"/>
  <c r="AK7" i="14" s="1"/>
  <c r="AG2" i="14"/>
  <c r="AF2" i="14"/>
  <c r="AH4" i="14" s="1"/>
  <c r="AD2" i="14"/>
  <c r="AC2" i="14"/>
  <c r="AE18" i="14" s="1"/>
  <c r="AA2" i="14"/>
  <c r="Z2" i="14"/>
  <c r="AB19" i="14" s="1"/>
  <c r="X2" i="14"/>
  <c r="W2" i="14"/>
  <c r="Y9" i="14" s="1"/>
  <c r="U2" i="14"/>
  <c r="T2" i="14"/>
  <c r="V10" i="14" s="1"/>
  <c r="R2" i="14"/>
  <c r="Q2" i="14"/>
  <c r="O2" i="14"/>
  <c r="N2" i="14"/>
  <c r="P7" i="14" s="1"/>
  <c r="L2" i="14"/>
  <c r="K2" i="14"/>
  <c r="M7" i="14" s="1"/>
  <c r="I2" i="14"/>
  <c r="H2" i="14"/>
  <c r="J8" i="14" s="1"/>
  <c r="F2" i="14"/>
  <c r="F3" i="6" s="1"/>
  <c r="E2" i="14"/>
  <c r="E3" i="6" s="1"/>
  <c r="C2" i="14"/>
  <c r="C3" i="6" s="1"/>
  <c r="B2" i="14"/>
  <c r="B3" i="6" s="1"/>
  <c r="O49" i="8"/>
  <c r="N49" i="8"/>
  <c r="O48" i="8"/>
  <c r="N48" i="8"/>
  <c r="O47" i="8"/>
  <c r="N47" i="8"/>
  <c r="O46" i="8"/>
  <c r="N46" i="8"/>
  <c r="O45" i="8"/>
  <c r="N45" i="8"/>
  <c r="O44" i="8"/>
  <c r="N44" i="8"/>
  <c r="O43" i="8"/>
  <c r="N43" i="8"/>
  <c r="O42" i="8"/>
  <c r="N42" i="8"/>
  <c r="O41" i="8"/>
  <c r="N41" i="8"/>
  <c r="O40" i="8"/>
  <c r="N40" i="8"/>
  <c r="O39" i="8"/>
  <c r="N39" i="8"/>
  <c r="O38" i="8"/>
  <c r="N38" i="8"/>
  <c r="O37" i="8"/>
  <c r="N37" i="8"/>
  <c r="O36" i="8"/>
  <c r="N36" i="8"/>
  <c r="O35" i="8"/>
  <c r="N35" i="8"/>
  <c r="O34" i="8"/>
  <c r="N34" i="8"/>
  <c r="O33" i="8"/>
  <c r="N33" i="8"/>
  <c r="O32" i="8"/>
  <c r="N32" i="8"/>
  <c r="O31" i="8"/>
  <c r="N31" i="8"/>
  <c r="O30" i="8"/>
  <c r="N30" i="8"/>
  <c r="O29" i="8"/>
  <c r="N29" i="8"/>
  <c r="O28" i="8"/>
  <c r="N28" i="8"/>
  <c r="O27" i="8"/>
  <c r="N27" i="8"/>
  <c r="O26" i="8"/>
  <c r="N26" i="8"/>
  <c r="O25" i="8"/>
  <c r="N25" i="8"/>
  <c r="O24" i="8"/>
  <c r="N24" i="8"/>
  <c r="O23" i="8"/>
  <c r="N23" i="8"/>
  <c r="O22" i="8"/>
  <c r="N22" i="8"/>
  <c r="O21" i="8"/>
  <c r="N21" i="8"/>
  <c r="O20" i="8"/>
  <c r="N20" i="8"/>
  <c r="O19" i="8"/>
  <c r="N19" i="8"/>
  <c r="O18" i="8"/>
  <c r="N18" i="8"/>
  <c r="O17" i="8"/>
  <c r="N17" i="8"/>
  <c r="O16" i="8"/>
  <c r="N16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O7" i="8"/>
  <c r="N7" i="8"/>
  <c r="O6" i="8"/>
  <c r="N6" i="8"/>
  <c r="O5" i="8"/>
  <c r="N5" i="8"/>
  <c r="O4" i="8"/>
  <c r="N4" i="8"/>
  <c r="O3" i="8"/>
  <c r="N3" i="8"/>
  <c r="O2" i="8"/>
  <c r="N2" i="8"/>
  <c r="Q49" i="7"/>
  <c r="P49" i="7"/>
  <c r="I49" i="7"/>
  <c r="H49" i="7"/>
  <c r="R49" i="8" s="1"/>
  <c r="F49" i="7"/>
  <c r="E49" i="7"/>
  <c r="D49" i="7"/>
  <c r="Q48" i="7"/>
  <c r="P48" i="7"/>
  <c r="I48" i="7"/>
  <c r="H48" i="7"/>
  <c r="R48" i="8" s="1"/>
  <c r="F48" i="7"/>
  <c r="E48" i="7"/>
  <c r="D48" i="7"/>
  <c r="Q47" i="7"/>
  <c r="P47" i="7"/>
  <c r="I47" i="7"/>
  <c r="H47" i="7"/>
  <c r="R47" i="8" s="1"/>
  <c r="F47" i="7"/>
  <c r="E47" i="7"/>
  <c r="K47" i="7" s="1"/>
  <c r="P47" i="8" s="1"/>
  <c r="D47" i="7"/>
  <c r="Q46" i="7"/>
  <c r="P46" i="7"/>
  <c r="I46" i="7"/>
  <c r="H46" i="7"/>
  <c r="R46" i="8" s="1"/>
  <c r="F46" i="7"/>
  <c r="E46" i="7"/>
  <c r="D46" i="7"/>
  <c r="Q45" i="7"/>
  <c r="P45" i="7"/>
  <c r="I45" i="7"/>
  <c r="H45" i="7"/>
  <c r="R45" i="8" s="1"/>
  <c r="F45" i="7"/>
  <c r="E45" i="7"/>
  <c r="D45" i="7"/>
  <c r="Q44" i="7"/>
  <c r="P44" i="7"/>
  <c r="I44" i="7"/>
  <c r="H44" i="7"/>
  <c r="R44" i="8" s="1"/>
  <c r="F44" i="7"/>
  <c r="E44" i="7"/>
  <c r="D44" i="7"/>
  <c r="Q43" i="7"/>
  <c r="P43" i="7"/>
  <c r="I43" i="7"/>
  <c r="H43" i="7"/>
  <c r="R43" i="8" s="1"/>
  <c r="F43" i="7"/>
  <c r="E43" i="7"/>
  <c r="K43" i="7" s="1"/>
  <c r="P43" i="8" s="1"/>
  <c r="D43" i="7"/>
  <c r="Q42" i="7"/>
  <c r="P42" i="7"/>
  <c r="I42" i="7"/>
  <c r="H42" i="7"/>
  <c r="F42" i="7"/>
  <c r="E42" i="7"/>
  <c r="D42" i="7"/>
  <c r="Q41" i="7"/>
  <c r="P41" i="7"/>
  <c r="I41" i="7"/>
  <c r="H41" i="7"/>
  <c r="R41" i="8" s="1"/>
  <c r="F41" i="7"/>
  <c r="E41" i="7"/>
  <c r="D41" i="7"/>
  <c r="Q40" i="7"/>
  <c r="P40" i="7"/>
  <c r="I40" i="7"/>
  <c r="H40" i="7"/>
  <c r="R40" i="8" s="1"/>
  <c r="F40" i="7"/>
  <c r="E40" i="7"/>
  <c r="D40" i="7"/>
  <c r="Q39" i="7"/>
  <c r="P39" i="7"/>
  <c r="I39" i="7"/>
  <c r="H39" i="7"/>
  <c r="R39" i="8" s="1"/>
  <c r="F39" i="7"/>
  <c r="E39" i="7"/>
  <c r="K39" i="7" s="1"/>
  <c r="P39" i="8" s="1"/>
  <c r="D39" i="7"/>
  <c r="Q38" i="7"/>
  <c r="P38" i="7"/>
  <c r="I38" i="7"/>
  <c r="H38" i="7"/>
  <c r="R38" i="8" s="1"/>
  <c r="F38" i="7"/>
  <c r="E38" i="7"/>
  <c r="D38" i="7"/>
  <c r="Q37" i="7"/>
  <c r="P37" i="7"/>
  <c r="I37" i="7"/>
  <c r="H37" i="7"/>
  <c r="R37" i="8" s="1"/>
  <c r="F37" i="7"/>
  <c r="E37" i="7"/>
  <c r="D37" i="7"/>
  <c r="Q36" i="7"/>
  <c r="P36" i="7"/>
  <c r="I36" i="7"/>
  <c r="H36" i="7"/>
  <c r="F36" i="7"/>
  <c r="E36" i="7"/>
  <c r="D36" i="7"/>
  <c r="Q35" i="7"/>
  <c r="P35" i="7"/>
  <c r="I35" i="7"/>
  <c r="H35" i="7"/>
  <c r="R35" i="8" s="1"/>
  <c r="F35" i="7"/>
  <c r="E35" i="7"/>
  <c r="D35" i="7"/>
  <c r="Q34" i="7"/>
  <c r="P34" i="7"/>
  <c r="I34" i="7"/>
  <c r="H34" i="7"/>
  <c r="F34" i="7"/>
  <c r="E34" i="7"/>
  <c r="D34" i="7"/>
  <c r="Q33" i="7"/>
  <c r="P33" i="7"/>
  <c r="I33" i="7"/>
  <c r="H33" i="7"/>
  <c r="R33" i="8" s="1"/>
  <c r="F33" i="7"/>
  <c r="E33" i="7"/>
  <c r="K33" i="7" s="1"/>
  <c r="P33" i="8" s="1"/>
  <c r="D33" i="7"/>
  <c r="Q32" i="7"/>
  <c r="P32" i="7"/>
  <c r="I32" i="7"/>
  <c r="H32" i="7"/>
  <c r="R32" i="8" s="1"/>
  <c r="F32" i="7"/>
  <c r="E32" i="7"/>
  <c r="D32" i="7"/>
  <c r="Q31" i="7"/>
  <c r="P31" i="7"/>
  <c r="I31" i="7"/>
  <c r="H31" i="7"/>
  <c r="R31" i="8" s="1"/>
  <c r="F31" i="7"/>
  <c r="E31" i="7"/>
  <c r="D31" i="7"/>
  <c r="Q30" i="7"/>
  <c r="P30" i="7"/>
  <c r="I30" i="7"/>
  <c r="H30" i="7"/>
  <c r="R30" i="8" s="1"/>
  <c r="F30" i="7"/>
  <c r="E30" i="7"/>
  <c r="D30" i="7"/>
  <c r="Q29" i="7"/>
  <c r="P29" i="7"/>
  <c r="I29" i="7"/>
  <c r="H29" i="7"/>
  <c r="R29" i="8" s="1"/>
  <c r="F29" i="7"/>
  <c r="E29" i="7"/>
  <c r="D29" i="7"/>
  <c r="Q28" i="7"/>
  <c r="P28" i="7"/>
  <c r="I28" i="7"/>
  <c r="H28" i="7"/>
  <c r="F28" i="7"/>
  <c r="E28" i="7"/>
  <c r="D28" i="7"/>
  <c r="Q27" i="7"/>
  <c r="P27" i="7"/>
  <c r="I27" i="7"/>
  <c r="H27" i="7"/>
  <c r="R27" i="8" s="1"/>
  <c r="F27" i="7"/>
  <c r="E27" i="7"/>
  <c r="D27" i="7"/>
  <c r="Q26" i="7"/>
  <c r="P26" i="7"/>
  <c r="I26" i="7"/>
  <c r="H26" i="7"/>
  <c r="F26" i="7"/>
  <c r="E26" i="7"/>
  <c r="D26" i="7"/>
  <c r="Q25" i="7"/>
  <c r="P25" i="7"/>
  <c r="I25" i="7"/>
  <c r="H25" i="7"/>
  <c r="R25" i="8" s="1"/>
  <c r="F25" i="7"/>
  <c r="E25" i="7"/>
  <c r="K25" i="7" s="1"/>
  <c r="P25" i="8" s="1"/>
  <c r="D25" i="7"/>
  <c r="Q24" i="7"/>
  <c r="P24" i="7"/>
  <c r="I24" i="7"/>
  <c r="H24" i="7"/>
  <c r="R24" i="8" s="1"/>
  <c r="F24" i="7"/>
  <c r="E24" i="7"/>
  <c r="D24" i="7"/>
  <c r="Q23" i="7"/>
  <c r="P23" i="7"/>
  <c r="I23" i="7"/>
  <c r="H23" i="7"/>
  <c r="R23" i="8" s="1"/>
  <c r="F23" i="7"/>
  <c r="E23" i="7"/>
  <c r="K23" i="7" s="1"/>
  <c r="P23" i="8" s="1"/>
  <c r="D23" i="7"/>
  <c r="Q22" i="7"/>
  <c r="P22" i="7"/>
  <c r="I22" i="7"/>
  <c r="H22" i="7"/>
  <c r="R22" i="8" s="1"/>
  <c r="F22" i="7"/>
  <c r="E22" i="7"/>
  <c r="D22" i="7"/>
  <c r="Q21" i="7"/>
  <c r="P21" i="7"/>
  <c r="I21" i="7"/>
  <c r="H21" i="7"/>
  <c r="R21" i="8" s="1"/>
  <c r="F21" i="7"/>
  <c r="E21" i="7"/>
  <c r="D21" i="7"/>
  <c r="Q20" i="7"/>
  <c r="P20" i="7"/>
  <c r="I20" i="7"/>
  <c r="H20" i="7"/>
  <c r="F20" i="7"/>
  <c r="E20" i="7"/>
  <c r="D20" i="7"/>
  <c r="Q19" i="7"/>
  <c r="P19" i="7"/>
  <c r="I19" i="7"/>
  <c r="H19" i="7"/>
  <c r="R19" i="8" s="1"/>
  <c r="F19" i="7"/>
  <c r="E19" i="7"/>
  <c r="D19" i="7"/>
  <c r="Q18" i="7"/>
  <c r="P18" i="7"/>
  <c r="I18" i="7"/>
  <c r="H18" i="7"/>
  <c r="F18" i="7"/>
  <c r="E18" i="7"/>
  <c r="D18" i="7"/>
  <c r="Q17" i="7"/>
  <c r="P17" i="7"/>
  <c r="I17" i="7"/>
  <c r="H17" i="7"/>
  <c r="R17" i="8" s="1"/>
  <c r="F17" i="7"/>
  <c r="E17" i="7"/>
  <c r="K17" i="7" s="1"/>
  <c r="P17" i="8" s="1"/>
  <c r="D17" i="7"/>
  <c r="Q16" i="7"/>
  <c r="P16" i="7"/>
  <c r="I16" i="7"/>
  <c r="H16" i="7"/>
  <c r="R16" i="8" s="1"/>
  <c r="F16" i="7"/>
  <c r="E16" i="7"/>
  <c r="D16" i="7"/>
  <c r="Q15" i="7"/>
  <c r="P15" i="7"/>
  <c r="I15" i="7"/>
  <c r="H15" i="7"/>
  <c r="R15" i="8" s="1"/>
  <c r="F15" i="7"/>
  <c r="E15" i="7"/>
  <c r="D15" i="7"/>
  <c r="Q14" i="7"/>
  <c r="P14" i="7"/>
  <c r="I14" i="7"/>
  <c r="H14" i="7"/>
  <c r="R14" i="8" s="1"/>
  <c r="F14" i="7"/>
  <c r="E14" i="7"/>
  <c r="D14" i="7"/>
  <c r="Q13" i="7"/>
  <c r="P13" i="7"/>
  <c r="I13" i="7"/>
  <c r="H13" i="7"/>
  <c r="R13" i="8" s="1"/>
  <c r="F13" i="7"/>
  <c r="E13" i="7"/>
  <c r="D13" i="7"/>
  <c r="Q12" i="7"/>
  <c r="P12" i="7"/>
  <c r="I12" i="7"/>
  <c r="H12" i="7"/>
  <c r="F12" i="7"/>
  <c r="E12" i="7"/>
  <c r="D12" i="7"/>
  <c r="Q11" i="7"/>
  <c r="P11" i="7"/>
  <c r="I11" i="7"/>
  <c r="H11" i="7"/>
  <c r="R11" i="8" s="1"/>
  <c r="F11" i="7"/>
  <c r="E11" i="7"/>
  <c r="D11" i="7"/>
  <c r="Q10" i="7"/>
  <c r="P10" i="7"/>
  <c r="I10" i="7"/>
  <c r="H10" i="7"/>
  <c r="F10" i="7"/>
  <c r="E10" i="7"/>
  <c r="D10" i="7"/>
  <c r="Q9" i="7"/>
  <c r="P9" i="7"/>
  <c r="I9" i="7"/>
  <c r="H9" i="7"/>
  <c r="R9" i="8" s="1"/>
  <c r="F9" i="7"/>
  <c r="E9" i="7"/>
  <c r="K9" i="7" s="1"/>
  <c r="P9" i="8" s="1"/>
  <c r="D9" i="7"/>
  <c r="Q8" i="7"/>
  <c r="P8" i="7"/>
  <c r="I8" i="7"/>
  <c r="H8" i="7"/>
  <c r="R8" i="8" s="1"/>
  <c r="F8" i="7"/>
  <c r="E8" i="7"/>
  <c r="D8" i="7"/>
  <c r="Q7" i="7"/>
  <c r="P7" i="7"/>
  <c r="I7" i="7"/>
  <c r="H7" i="7"/>
  <c r="R7" i="8" s="1"/>
  <c r="F7" i="7"/>
  <c r="E7" i="7"/>
  <c r="D7" i="7"/>
  <c r="Q6" i="7"/>
  <c r="P6" i="7"/>
  <c r="I6" i="7"/>
  <c r="H6" i="7"/>
  <c r="R6" i="8" s="1"/>
  <c r="F6" i="7"/>
  <c r="E6" i="7"/>
  <c r="D6" i="7"/>
  <c r="Q5" i="7"/>
  <c r="P5" i="7"/>
  <c r="I5" i="7"/>
  <c r="H5" i="7"/>
  <c r="R5" i="8" s="1"/>
  <c r="F5" i="7"/>
  <c r="E5" i="7"/>
  <c r="D5" i="7"/>
  <c r="Q4" i="7"/>
  <c r="P4" i="7"/>
  <c r="I4" i="7"/>
  <c r="H4" i="7"/>
  <c r="R4" i="8" s="1"/>
  <c r="F4" i="7"/>
  <c r="E4" i="7"/>
  <c r="D4" i="7"/>
  <c r="Q3" i="7"/>
  <c r="P3" i="7"/>
  <c r="I3" i="7"/>
  <c r="H3" i="7"/>
  <c r="R3" i="8" s="1"/>
  <c r="F3" i="7"/>
  <c r="E3" i="7"/>
  <c r="D3" i="7"/>
  <c r="Q2" i="7"/>
  <c r="P2" i="7"/>
  <c r="I2" i="7"/>
  <c r="H2" i="7"/>
  <c r="F2" i="7"/>
  <c r="E2" i="7"/>
  <c r="D2" i="7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F1" i="6"/>
  <c r="F2" i="6" s="1"/>
  <c r="E1" i="6"/>
  <c r="E2" i="6" s="1"/>
  <c r="C1" i="6"/>
  <c r="C2" i="6" s="1"/>
  <c r="B1" i="6"/>
  <c r="B2" i="6" s="1"/>
  <c r="K105" i="5"/>
  <c r="H33" i="10" s="1"/>
  <c r="K104" i="5"/>
  <c r="H32" i="10" s="1"/>
  <c r="K103" i="5"/>
  <c r="H31" i="10" s="1"/>
  <c r="K102" i="5"/>
  <c r="H30" i="10" s="1"/>
  <c r="G102" i="5"/>
  <c r="K101" i="5"/>
  <c r="K100" i="5"/>
  <c r="H28" i="10" s="1"/>
  <c r="K99" i="5"/>
  <c r="K98" i="5"/>
  <c r="H26" i="10" s="1"/>
  <c r="K97" i="5"/>
  <c r="H25" i="10" s="1"/>
  <c r="K96" i="5"/>
  <c r="H24" i="10" s="1"/>
  <c r="K95" i="5"/>
  <c r="H23" i="10" s="1"/>
  <c r="K94" i="5"/>
  <c r="H22" i="10" s="1"/>
  <c r="K93" i="5"/>
  <c r="K92" i="5"/>
  <c r="H20" i="10" s="1"/>
  <c r="K91" i="5"/>
  <c r="H98" i="5" s="1"/>
  <c r="K90" i="5"/>
  <c r="H18" i="10" s="1"/>
  <c r="K89" i="5"/>
  <c r="H17" i="10" s="1"/>
  <c r="K88" i="5"/>
  <c r="H16" i="10" s="1"/>
  <c r="K87" i="5"/>
  <c r="H15" i="10" s="1"/>
  <c r="K86" i="5"/>
  <c r="H14" i="10" s="1"/>
  <c r="K85" i="5"/>
  <c r="K84" i="5"/>
  <c r="H12" i="10" s="1"/>
  <c r="K83" i="5"/>
  <c r="K82" i="5"/>
  <c r="H10" i="10" s="1"/>
  <c r="K81" i="5"/>
  <c r="H9" i="10" s="1"/>
  <c r="K80" i="5"/>
  <c r="H8" i="10" s="1"/>
  <c r="K79" i="5"/>
  <c r="H7" i="10" s="1"/>
  <c r="K78" i="5"/>
  <c r="H6" i="10" s="1"/>
  <c r="K77" i="5"/>
  <c r="K76" i="5"/>
  <c r="H4" i="10" s="1"/>
  <c r="K75" i="5"/>
  <c r="K74" i="5"/>
  <c r="H2" i="10" s="1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H12" i="3"/>
  <c r="G12" i="3"/>
  <c r="M11" i="3"/>
  <c r="L11" i="3"/>
  <c r="M10" i="3"/>
  <c r="L10" i="3"/>
  <c r="H10" i="3"/>
  <c r="G10" i="3"/>
  <c r="M9" i="3"/>
  <c r="L9" i="3"/>
  <c r="H9" i="3"/>
  <c r="G9" i="3"/>
  <c r="M8" i="3"/>
  <c r="L8" i="3"/>
  <c r="M7" i="3"/>
  <c r="L7" i="3"/>
  <c r="M6" i="3"/>
  <c r="L6" i="3"/>
  <c r="M5" i="3"/>
  <c r="L5" i="3"/>
  <c r="M4" i="3"/>
  <c r="L4" i="3"/>
  <c r="M3" i="3"/>
  <c r="L3" i="3"/>
  <c r="M2" i="3"/>
  <c r="L2" i="3"/>
  <c r="F1" i="3"/>
  <c r="G98" i="5" l="1"/>
  <c r="K7" i="7"/>
  <c r="P7" i="8" s="1"/>
  <c r="K15" i="7"/>
  <c r="P15" i="8" s="1"/>
  <c r="K41" i="7"/>
  <c r="P41" i="8" s="1"/>
  <c r="G93" i="5"/>
  <c r="K38" i="7"/>
  <c r="P38" i="8" s="1"/>
  <c r="K46" i="7"/>
  <c r="P46" i="8" s="1"/>
  <c r="GN3" i="14"/>
  <c r="BF4" i="14"/>
  <c r="DH5" i="14"/>
  <c r="AB7" i="14"/>
  <c r="DB8" i="14"/>
  <c r="FD9" i="14"/>
  <c r="AT10" i="14"/>
  <c r="H93" i="5"/>
  <c r="AB3" i="14"/>
  <c r="CD4" i="14"/>
  <c r="EF5" i="14"/>
  <c r="AZ7" i="14"/>
  <c r="DZ8" i="14"/>
  <c r="GB9" i="14"/>
  <c r="AW13" i="14"/>
  <c r="AW17" i="14"/>
  <c r="V6" i="14"/>
  <c r="EX8" i="14"/>
  <c r="FV8" i="14"/>
  <c r="G95" i="5"/>
  <c r="CV3" i="14"/>
  <c r="P5" i="14"/>
  <c r="GZ5" i="14"/>
  <c r="DT7" i="14"/>
  <c r="GT8" i="14"/>
  <c r="BL9" i="14"/>
  <c r="J23" i="7"/>
  <c r="Q23" i="8" s="1"/>
  <c r="DT3" i="14"/>
  <c r="AN5" i="14"/>
  <c r="ER7" i="14"/>
  <c r="AH8" i="14"/>
  <c r="CJ9" i="14"/>
  <c r="EC11" i="14"/>
  <c r="EC15" i="14"/>
  <c r="K3" i="7"/>
  <c r="P3" i="8" s="1"/>
  <c r="K19" i="7"/>
  <c r="P19" i="8" s="1"/>
  <c r="K35" i="7"/>
  <c r="P35" i="8" s="1"/>
  <c r="ER3" i="14"/>
  <c r="J4" i="14"/>
  <c r="BL5" i="14"/>
  <c r="FP7" i="14"/>
  <c r="DH9" i="14"/>
  <c r="FM20" i="14"/>
  <c r="FP3" i="14"/>
  <c r="CJ5" i="14"/>
  <c r="GN7" i="14"/>
  <c r="EF9" i="14"/>
  <c r="CY10" i="14"/>
  <c r="CA14" i="14"/>
  <c r="CA18" i="14"/>
  <c r="K8" i="7"/>
  <c r="P8" i="8" s="1"/>
  <c r="K16" i="7"/>
  <c r="P16" i="8" s="1"/>
  <c r="K40" i="7"/>
  <c r="P40" i="8" s="1"/>
  <c r="G21" i="7"/>
  <c r="G45" i="7"/>
  <c r="M30" i="7"/>
  <c r="G4" i="7"/>
  <c r="K5" i="7"/>
  <c r="P5" i="8" s="1"/>
  <c r="K13" i="7"/>
  <c r="P13" i="8" s="1"/>
  <c r="J16" i="7"/>
  <c r="Q16" i="8" s="1"/>
  <c r="K29" i="7"/>
  <c r="P29" i="8" s="1"/>
  <c r="K37" i="7"/>
  <c r="P37" i="8" s="1"/>
  <c r="K45" i="7"/>
  <c r="P45" i="8" s="1"/>
  <c r="M34" i="7"/>
  <c r="N34" i="7" s="1"/>
  <c r="M42" i="7"/>
  <c r="O42" i="7" s="1"/>
  <c r="H101" i="5"/>
  <c r="M102" i="5"/>
  <c r="H96" i="5"/>
  <c r="J12" i="7"/>
  <c r="Q12" i="8" s="1"/>
  <c r="G17" i="7"/>
  <c r="J20" i="7"/>
  <c r="Q20" i="8" s="1"/>
  <c r="J28" i="7"/>
  <c r="Q28" i="8" s="1"/>
  <c r="K4" i="7"/>
  <c r="P4" i="8" s="1"/>
  <c r="J7" i="7"/>
  <c r="Q7" i="8" s="1"/>
  <c r="J15" i="7"/>
  <c r="Q15" i="8" s="1"/>
  <c r="S15" i="8" s="1"/>
  <c r="K21" i="7"/>
  <c r="P21" i="8" s="1"/>
  <c r="K22" i="7"/>
  <c r="P22" i="8" s="1"/>
  <c r="J36" i="7"/>
  <c r="Q36" i="8" s="1"/>
  <c r="G41" i="7"/>
  <c r="G49" i="7"/>
  <c r="M12" i="7"/>
  <c r="N12" i="7" s="1"/>
  <c r="G11" i="7"/>
  <c r="G40" i="7"/>
  <c r="G48" i="7"/>
  <c r="M18" i="7"/>
  <c r="N18" i="7" s="1"/>
  <c r="G39" i="7"/>
  <c r="G47" i="7"/>
  <c r="G8" i="7"/>
  <c r="G16" i="7"/>
  <c r="G29" i="7"/>
  <c r="K30" i="7"/>
  <c r="P30" i="8" s="1"/>
  <c r="G31" i="7"/>
  <c r="S16" i="8"/>
  <c r="K27" i="7"/>
  <c r="P27" i="8" s="1"/>
  <c r="G105" i="5"/>
  <c r="S7" i="8"/>
  <c r="M14" i="7"/>
  <c r="O14" i="7" s="1"/>
  <c r="G24" i="7"/>
  <c r="G99" i="5"/>
  <c r="G5" i="7"/>
  <c r="G13" i="7"/>
  <c r="K14" i="7"/>
  <c r="P14" i="8" s="1"/>
  <c r="M22" i="7"/>
  <c r="O22" i="7" s="1"/>
  <c r="K24" i="7"/>
  <c r="P24" i="8" s="1"/>
  <c r="G37" i="7"/>
  <c r="K44" i="7"/>
  <c r="P44" i="8" s="1"/>
  <c r="J27" i="7"/>
  <c r="Q27" i="8" s="1"/>
  <c r="J30" i="7"/>
  <c r="Q30" i="8" s="1"/>
  <c r="J35" i="7"/>
  <c r="Q35" i="8" s="1"/>
  <c r="K42" i="7"/>
  <c r="P42" i="8" s="1"/>
  <c r="K48" i="7"/>
  <c r="P48" i="8" s="1"/>
  <c r="K49" i="7"/>
  <c r="P49" i="8" s="1"/>
  <c r="G3" i="7"/>
  <c r="K6" i="7"/>
  <c r="P6" i="8" s="1"/>
  <c r="J11" i="7"/>
  <c r="Q11" i="8" s="1"/>
  <c r="J22" i="7"/>
  <c r="Q22" i="8" s="1"/>
  <c r="G23" i="7"/>
  <c r="J31" i="7"/>
  <c r="Q31" i="8" s="1"/>
  <c r="J32" i="7"/>
  <c r="Q32" i="8" s="1"/>
  <c r="S32" i="8" s="1"/>
  <c r="J43" i="7"/>
  <c r="Q43" i="8" s="1"/>
  <c r="S43" i="8" s="1"/>
  <c r="H90" i="5"/>
  <c r="K11" i="7"/>
  <c r="P11" i="8" s="1"/>
  <c r="J38" i="7"/>
  <c r="Q38" i="8" s="1"/>
  <c r="S38" i="8" s="1"/>
  <c r="J44" i="7"/>
  <c r="Q44" i="8" s="1"/>
  <c r="J46" i="7"/>
  <c r="Q46" i="8" s="1"/>
  <c r="S46" i="8" s="1"/>
  <c r="G97" i="5"/>
  <c r="J19" i="7"/>
  <c r="Q19" i="8" s="1"/>
  <c r="S19" i="8" s="1"/>
  <c r="G103" i="5"/>
  <c r="J8" i="7"/>
  <c r="Q8" i="8" s="1"/>
  <c r="S8" i="8" s="1"/>
  <c r="J14" i="7"/>
  <c r="Q14" i="8" s="1"/>
  <c r="G28" i="7"/>
  <c r="G91" i="5"/>
  <c r="J3" i="7"/>
  <c r="Q3" i="8" s="1"/>
  <c r="J6" i="7"/>
  <c r="Q6" i="8" s="1"/>
  <c r="S6" i="8" s="1"/>
  <c r="G20" i="7"/>
  <c r="G27" i="7"/>
  <c r="K28" i="7"/>
  <c r="P28" i="8" s="1"/>
  <c r="G32" i="7"/>
  <c r="M36" i="7"/>
  <c r="J39" i="7"/>
  <c r="Q39" i="8" s="1"/>
  <c r="S39" i="8" s="1"/>
  <c r="J40" i="7"/>
  <c r="Q40" i="8" s="1"/>
  <c r="S40" i="8" s="1"/>
  <c r="J47" i="7"/>
  <c r="Q47" i="8" s="1"/>
  <c r="S47" i="8" s="1"/>
  <c r="J48" i="7"/>
  <c r="Q48" i="8" s="1"/>
  <c r="G101" i="5"/>
  <c r="G19" i="7"/>
  <c r="K20" i="7"/>
  <c r="P20" i="8" s="1"/>
  <c r="K31" i="7"/>
  <c r="P31" i="8" s="1"/>
  <c r="S31" i="8" s="1"/>
  <c r="K32" i="7"/>
  <c r="P32" i="8" s="1"/>
  <c r="G35" i="7"/>
  <c r="K36" i="7"/>
  <c r="P36" i="8" s="1"/>
  <c r="M38" i="7"/>
  <c r="O38" i="7" s="1"/>
  <c r="G43" i="7"/>
  <c r="M44" i="7"/>
  <c r="N44" i="7" s="1"/>
  <c r="M47" i="7"/>
  <c r="N47" i="7" s="1"/>
  <c r="R34" i="8"/>
  <c r="J34" i="7"/>
  <c r="Q34" i="8" s="1"/>
  <c r="H11" i="10"/>
  <c r="H95" i="5"/>
  <c r="N99" i="5" s="1"/>
  <c r="S22" i="8"/>
  <c r="K26" i="7"/>
  <c r="P26" i="8" s="1"/>
  <c r="G26" i="7"/>
  <c r="M31" i="7"/>
  <c r="G30" i="7"/>
  <c r="M32" i="7"/>
  <c r="M33" i="7"/>
  <c r="S35" i="8"/>
  <c r="K2" i="7"/>
  <c r="P2" i="8" s="1"/>
  <c r="G2" i="7"/>
  <c r="R2" i="8"/>
  <c r="J2" i="7"/>
  <c r="Q2" i="8" s="1"/>
  <c r="G9" i="7"/>
  <c r="G15" i="7"/>
  <c r="R26" i="8"/>
  <c r="J26" i="7"/>
  <c r="Q26" i="8" s="1"/>
  <c r="H19" i="10"/>
  <c r="H29" i="10"/>
  <c r="H103" i="5"/>
  <c r="G12" i="7"/>
  <c r="M23" i="7"/>
  <c r="G22" i="7"/>
  <c r="M24" i="7"/>
  <c r="M25" i="7"/>
  <c r="J24" i="7"/>
  <c r="Q24" i="8" s="1"/>
  <c r="S30" i="8"/>
  <c r="G33" i="7"/>
  <c r="R42" i="8"/>
  <c r="J42" i="7"/>
  <c r="Q42" i="8" s="1"/>
  <c r="M26" i="7"/>
  <c r="M7" i="7"/>
  <c r="G6" i="7"/>
  <c r="M8" i="7"/>
  <c r="M9" i="7"/>
  <c r="M10" i="7"/>
  <c r="K18" i="7"/>
  <c r="P18" i="8" s="1"/>
  <c r="G18" i="7"/>
  <c r="H5" i="10"/>
  <c r="G92" i="5"/>
  <c r="H13" i="10"/>
  <c r="H94" i="5"/>
  <c r="S3" i="8"/>
  <c r="G7" i="7"/>
  <c r="K12" i="7"/>
  <c r="P12" i="8" s="1"/>
  <c r="R18" i="8"/>
  <c r="J18" i="7"/>
  <c r="Q18" i="8" s="1"/>
  <c r="S27" i="8"/>
  <c r="M28" i="7"/>
  <c r="M39" i="7"/>
  <c r="G38" i="7"/>
  <c r="M40" i="7"/>
  <c r="M41" i="7"/>
  <c r="O30" i="7"/>
  <c r="N30" i="7"/>
  <c r="H3" i="10"/>
  <c r="G90" i="5"/>
  <c r="M98" i="5" s="1"/>
  <c r="H27" i="10"/>
  <c r="H102" i="5"/>
  <c r="M104" i="5" s="1"/>
  <c r="K10" i="7"/>
  <c r="P10" i="8" s="1"/>
  <c r="G10" i="7"/>
  <c r="M15" i="7"/>
  <c r="G14" i="7"/>
  <c r="M16" i="7"/>
  <c r="M17" i="7"/>
  <c r="H21" i="10"/>
  <c r="N100" i="5"/>
  <c r="H100" i="5"/>
  <c r="M6" i="7"/>
  <c r="R10" i="8"/>
  <c r="J10" i="7"/>
  <c r="Q10" i="8" s="1"/>
  <c r="O18" i="7"/>
  <c r="M20" i="7"/>
  <c r="S23" i="8"/>
  <c r="G25" i="7"/>
  <c r="K34" i="7"/>
  <c r="P34" i="8" s="1"/>
  <c r="S34" i="8" s="1"/>
  <c r="G34" i="7"/>
  <c r="G42" i="7"/>
  <c r="M49" i="7"/>
  <c r="R12" i="8"/>
  <c r="M46" i="7"/>
  <c r="G100" i="5"/>
  <c r="N104" i="5"/>
  <c r="J5" i="7"/>
  <c r="Q5" i="8" s="1"/>
  <c r="S5" i="8" s="1"/>
  <c r="M11" i="7"/>
  <c r="J13" i="7"/>
  <c r="Q13" i="8" s="1"/>
  <c r="S13" i="8" s="1"/>
  <c r="M19" i="7"/>
  <c r="J21" i="7"/>
  <c r="Q21" i="8" s="1"/>
  <c r="S21" i="8" s="1"/>
  <c r="M27" i="7"/>
  <c r="J29" i="7"/>
  <c r="Q29" i="8" s="1"/>
  <c r="M35" i="7"/>
  <c r="G36" i="7"/>
  <c r="J37" i="7"/>
  <c r="Q37" i="8" s="1"/>
  <c r="S37" i="8" s="1"/>
  <c r="M43" i="7"/>
  <c r="G44" i="7"/>
  <c r="J45" i="7"/>
  <c r="Q45" i="8" s="1"/>
  <c r="S45" i="8" s="1"/>
  <c r="R36" i="8"/>
  <c r="S29" i="8"/>
  <c r="M48" i="7"/>
  <c r="R28" i="8"/>
  <c r="S28" i="8" s="1"/>
  <c r="H92" i="5"/>
  <c r="G94" i="5"/>
  <c r="M99" i="5" s="1"/>
  <c r="H97" i="5"/>
  <c r="H105" i="5"/>
  <c r="M13" i="7"/>
  <c r="M21" i="7"/>
  <c r="M29" i="7"/>
  <c r="M37" i="7"/>
  <c r="M45" i="7"/>
  <c r="G46" i="7"/>
  <c r="R20" i="8"/>
  <c r="J4" i="7"/>
  <c r="Q4" i="8" s="1"/>
  <c r="H91" i="5"/>
  <c r="N98" i="5" s="1"/>
  <c r="G96" i="5"/>
  <c r="M101" i="5" s="1"/>
  <c r="H99" i="5"/>
  <c r="N102" i="5" s="1"/>
  <c r="J9" i="7"/>
  <c r="Q9" i="8" s="1"/>
  <c r="S9" i="8" s="1"/>
  <c r="J17" i="7"/>
  <c r="Q17" i="8" s="1"/>
  <c r="S17" i="8" s="1"/>
  <c r="J25" i="7"/>
  <c r="Q25" i="8" s="1"/>
  <c r="S25" i="8" s="1"/>
  <c r="J33" i="7"/>
  <c r="Q33" i="8" s="1"/>
  <c r="S33" i="8" s="1"/>
  <c r="J41" i="7"/>
  <c r="Q41" i="8" s="1"/>
  <c r="S41" i="8" s="1"/>
  <c r="J49" i="7"/>
  <c r="Q49" i="8" s="1"/>
  <c r="S49" i="8" s="1"/>
  <c r="D50" i="14"/>
  <c r="D51" i="6" s="1"/>
  <c r="D46" i="14"/>
  <c r="D47" i="6" s="1"/>
  <c r="D49" i="14"/>
  <c r="D50" i="6" s="1"/>
  <c r="D45" i="14"/>
  <c r="D46" i="6" s="1"/>
  <c r="D48" i="14"/>
  <c r="D49" i="6" s="1"/>
  <c r="D44" i="14"/>
  <c r="D45" i="6" s="1"/>
  <c r="D51" i="14"/>
  <c r="D47" i="14"/>
  <c r="D48" i="6" s="1"/>
  <c r="D43" i="14"/>
  <c r="D44" i="6" s="1"/>
  <c r="D42" i="14"/>
  <c r="D43" i="6" s="1"/>
  <c r="D38" i="14"/>
  <c r="D39" i="6" s="1"/>
  <c r="D41" i="14"/>
  <c r="D42" i="6" s="1"/>
  <c r="D37" i="14"/>
  <c r="D38" i="6" s="1"/>
  <c r="D40" i="14"/>
  <c r="D41" i="6" s="1"/>
  <c r="D36" i="14"/>
  <c r="D37" i="6" s="1"/>
  <c r="D32" i="14"/>
  <c r="D33" i="6" s="1"/>
  <c r="D28" i="14"/>
  <c r="D29" i="6" s="1"/>
  <c r="D31" i="14"/>
  <c r="D32" i="6" s="1"/>
  <c r="D27" i="14"/>
  <c r="D28" i="6" s="1"/>
  <c r="D34" i="14"/>
  <c r="D35" i="6" s="1"/>
  <c r="D30" i="14"/>
  <c r="D31" i="6" s="1"/>
  <c r="D39" i="14"/>
  <c r="D40" i="6" s="1"/>
  <c r="D33" i="14"/>
  <c r="D34" i="6" s="1"/>
  <c r="D29" i="14"/>
  <c r="D30" i="6" s="1"/>
  <c r="D26" i="14"/>
  <c r="D27" i="6" s="1"/>
  <c r="D22" i="14"/>
  <c r="D23" i="6" s="1"/>
  <c r="D25" i="14"/>
  <c r="D26" i="6" s="1"/>
  <c r="D21" i="14"/>
  <c r="D22" i="6" s="1"/>
  <c r="D24" i="14"/>
  <c r="D25" i="6" s="1"/>
  <c r="D20" i="14"/>
  <c r="D21" i="6" s="1"/>
  <c r="D23" i="14"/>
  <c r="D24" i="6" s="1"/>
  <c r="D35" i="14"/>
  <c r="D36" i="6" s="1"/>
  <c r="D15" i="14"/>
  <c r="D16" i="6" s="1"/>
  <c r="D11" i="14"/>
  <c r="D12" i="6" s="1"/>
  <c r="D18" i="14"/>
  <c r="D19" i="6" s="1"/>
  <c r="D14" i="14"/>
  <c r="D15" i="6" s="1"/>
  <c r="D17" i="14"/>
  <c r="D18" i="6" s="1"/>
  <c r="D13" i="14"/>
  <c r="D14" i="6" s="1"/>
  <c r="D19" i="14"/>
  <c r="D20" i="6" s="1"/>
  <c r="D16" i="14"/>
  <c r="D17" i="6" s="1"/>
  <c r="D12" i="14"/>
  <c r="D13" i="6" s="1"/>
  <c r="D10" i="14"/>
  <c r="D11" i="6" s="1"/>
  <c r="D6" i="14"/>
  <c r="D7" i="6" s="1"/>
  <c r="D9" i="14"/>
  <c r="D10" i="6" s="1"/>
  <c r="D5" i="14"/>
  <c r="D6" i="6" s="1"/>
  <c r="D8" i="14"/>
  <c r="D9" i="6" s="1"/>
  <c r="D4" i="14"/>
  <c r="D5" i="6" s="1"/>
  <c r="G48" i="14"/>
  <c r="G49" i="6" s="1"/>
  <c r="G44" i="14"/>
  <c r="G45" i="6" s="1"/>
  <c r="G51" i="14"/>
  <c r="G47" i="14"/>
  <c r="G48" i="6" s="1"/>
  <c r="G43" i="14"/>
  <c r="G44" i="6" s="1"/>
  <c r="G49" i="14"/>
  <c r="G50" i="6" s="1"/>
  <c r="G45" i="14"/>
  <c r="G46" i="6" s="1"/>
  <c r="G41" i="14"/>
  <c r="G42" i="6" s="1"/>
  <c r="G37" i="14"/>
  <c r="G38" i="6" s="1"/>
  <c r="G40" i="14"/>
  <c r="G41" i="6" s="1"/>
  <c r="G36" i="14"/>
  <c r="G37" i="6" s="1"/>
  <c r="G39" i="14"/>
  <c r="G40" i="6" s="1"/>
  <c r="G35" i="14"/>
  <c r="G36" i="6" s="1"/>
  <c r="G50" i="14"/>
  <c r="G51" i="6" s="1"/>
  <c r="G46" i="14"/>
  <c r="G47" i="6" s="1"/>
  <c r="G42" i="14"/>
  <c r="G43" i="6" s="1"/>
  <c r="G38" i="14"/>
  <c r="G39" i="6" s="1"/>
  <c r="G34" i="14"/>
  <c r="G35" i="6" s="1"/>
  <c r="G30" i="14"/>
  <c r="G31" i="6" s="1"/>
  <c r="G33" i="14"/>
  <c r="G34" i="6" s="1"/>
  <c r="G29" i="14"/>
  <c r="G30" i="6" s="1"/>
  <c r="G32" i="14"/>
  <c r="G33" i="6" s="1"/>
  <c r="G28" i="14"/>
  <c r="G29" i="6" s="1"/>
  <c r="G24" i="14"/>
  <c r="G25" i="6" s="1"/>
  <c r="G23" i="14"/>
  <c r="G24" i="6" s="1"/>
  <c r="G19" i="14"/>
  <c r="G20" i="6" s="1"/>
  <c r="G31" i="14"/>
  <c r="G32" i="6" s="1"/>
  <c r="G26" i="14"/>
  <c r="G27" i="6" s="1"/>
  <c r="G22" i="14"/>
  <c r="G23" i="6" s="1"/>
  <c r="G27" i="14"/>
  <c r="G28" i="6" s="1"/>
  <c r="G25" i="14"/>
  <c r="G26" i="6" s="1"/>
  <c r="G21" i="14"/>
  <c r="G22" i="6" s="1"/>
  <c r="G17" i="14"/>
  <c r="G18" i="6" s="1"/>
  <c r="G13" i="14"/>
  <c r="G14" i="6" s="1"/>
  <c r="G16" i="14"/>
  <c r="G17" i="6" s="1"/>
  <c r="G12" i="14"/>
  <c r="G13" i="6" s="1"/>
  <c r="G15" i="14"/>
  <c r="G16" i="6" s="1"/>
  <c r="G11" i="14"/>
  <c r="G12" i="6" s="1"/>
  <c r="G20" i="14"/>
  <c r="G21" i="6" s="1"/>
  <c r="G9" i="14"/>
  <c r="G10" i="6" s="1"/>
  <c r="G5" i="14"/>
  <c r="G6" i="6" s="1"/>
  <c r="G18" i="14"/>
  <c r="G19" i="6" s="1"/>
  <c r="G14" i="14"/>
  <c r="G15" i="6" s="1"/>
  <c r="G8" i="14"/>
  <c r="G9" i="6" s="1"/>
  <c r="G4" i="14"/>
  <c r="G5" i="6" s="1"/>
  <c r="G7" i="14"/>
  <c r="G8" i="6" s="1"/>
  <c r="G3" i="14"/>
  <c r="G4" i="6" s="1"/>
  <c r="G10" i="14"/>
  <c r="G11" i="6" s="1"/>
  <c r="G6" i="14"/>
  <c r="G7" i="6" s="1"/>
  <c r="S50" i="14"/>
  <c r="S46" i="14"/>
  <c r="S49" i="14"/>
  <c r="S45" i="14"/>
  <c r="S51" i="14"/>
  <c r="S47" i="14"/>
  <c r="S43" i="14"/>
  <c r="S39" i="14"/>
  <c r="S35" i="14"/>
  <c r="S48" i="14"/>
  <c r="S44" i="14"/>
  <c r="S42" i="14"/>
  <c r="S38" i="14"/>
  <c r="S41" i="14"/>
  <c r="S37" i="14"/>
  <c r="S40" i="14"/>
  <c r="S36" i="14"/>
  <c r="S32" i="14"/>
  <c r="S28" i="14"/>
  <c r="S31" i="14"/>
  <c r="S27" i="14"/>
  <c r="S34" i="14"/>
  <c r="S30" i="14"/>
  <c r="S33" i="14"/>
  <c r="S29" i="14"/>
  <c r="S26" i="14"/>
  <c r="S22" i="14"/>
  <c r="S25" i="14"/>
  <c r="S21" i="14"/>
  <c r="S24" i="14"/>
  <c r="S20" i="14"/>
  <c r="S23" i="14"/>
  <c r="S19" i="14"/>
  <c r="S15" i="14"/>
  <c r="S11" i="14"/>
  <c r="S18" i="14"/>
  <c r="S14" i="14"/>
  <c r="S17" i="14"/>
  <c r="S13" i="14"/>
  <c r="S7" i="14"/>
  <c r="S3" i="14"/>
  <c r="S10" i="14"/>
  <c r="S6" i="14"/>
  <c r="S9" i="14"/>
  <c r="S5" i="14"/>
  <c r="S16" i="14"/>
  <c r="S12" i="14"/>
  <c r="S8" i="14"/>
  <c r="S4" i="14"/>
  <c r="D3" i="14"/>
  <c r="D4" i="6" s="1"/>
  <c r="J51" i="14"/>
  <c r="J47" i="14"/>
  <c r="J43" i="14"/>
  <c r="J50" i="14"/>
  <c r="J46" i="14"/>
  <c r="J49" i="14"/>
  <c r="J45" i="14"/>
  <c r="J48" i="14"/>
  <c r="J44" i="14"/>
  <c r="J39" i="14"/>
  <c r="J42" i="14"/>
  <c r="J38" i="14"/>
  <c r="J41" i="14"/>
  <c r="J37" i="14"/>
  <c r="J36" i="14"/>
  <c r="J33" i="14"/>
  <c r="J29" i="14"/>
  <c r="J35" i="14"/>
  <c r="J32" i="14"/>
  <c r="J28" i="14"/>
  <c r="J31" i="14"/>
  <c r="J34" i="14"/>
  <c r="J30" i="14"/>
  <c r="J40" i="14"/>
  <c r="J23" i="14"/>
  <c r="J26" i="14"/>
  <c r="J22" i="14"/>
  <c r="J27" i="14"/>
  <c r="J25" i="14"/>
  <c r="J21" i="14"/>
  <c r="J24" i="14"/>
  <c r="J19" i="14"/>
  <c r="J16" i="14"/>
  <c r="J12" i="14"/>
  <c r="J15" i="14"/>
  <c r="J11" i="14"/>
  <c r="J20" i="14"/>
  <c r="J18" i="14"/>
  <c r="J14" i="14"/>
  <c r="J17" i="14"/>
  <c r="J13" i="14"/>
  <c r="J7" i="14"/>
  <c r="J3" i="14"/>
  <c r="J10" i="14"/>
  <c r="J6" i="14"/>
  <c r="J9" i="14"/>
  <c r="J5" i="14"/>
  <c r="V49" i="14"/>
  <c r="V45" i="14"/>
  <c r="V48" i="14"/>
  <c r="V44" i="14"/>
  <c r="V51" i="14"/>
  <c r="V47" i="14"/>
  <c r="V43" i="14"/>
  <c r="V50" i="14"/>
  <c r="V46" i="14"/>
  <c r="V41" i="14"/>
  <c r="V37" i="14"/>
  <c r="V40" i="14"/>
  <c r="V36" i="14"/>
  <c r="V39" i="14"/>
  <c r="V35" i="14"/>
  <c r="V31" i="14"/>
  <c r="V27" i="14"/>
  <c r="V42" i="14"/>
  <c r="V34" i="14"/>
  <c r="V30" i="14"/>
  <c r="V38" i="14"/>
  <c r="V33" i="14"/>
  <c r="V29" i="14"/>
  <c r="V32" i="14"/>
  <c r="V28" i="14"/>
  <c r="V25" i="14"/>
  <c r="V21" i="14"/>
  <c r="V24" i="14"/>
  <c r="V20" i="14"/>
  <c r="V23" i="14"/>
  <c r="V26" i="14"/>
  <c r="V22" i="14"/>
  <c r="V18" i="14"/>
  <c r="V14" i="14"/>
  <c r="V17" i="14"/>
  <c r="V13" i="14"/>
  <c r="V16" i="14"/>
  <c r="V12" i="14"/>
  <c r="V19" i="14"/>
  <c r="V15" i="14"/>
  <c r="V11" i="14"/>
  <c r="V9" i="14"/>
  <c r="V5" i="14"/>
  <c r="V8" i="14"/>
  <c r="V4" i="14"/>
  <c r="V7" i="14"/>
  <c r="V3" i="14"/>
  <c r="D7" i="14"/>
  <c r="D8" i="6" s="1"/>
  <c r="AH51" i="14"/>
  <c r="AH47" i="14"/>
  <c r="AH43" i="14"/>
  <c r="AH50" i="14"/>
  <c r="AH46" i="14"/>
  <c r="AH49" i="14"/>
  <c r="AH45" i="14"/>
  <c r="AH48" i="14"/>
  <c r="AH44" i="14"/>
  <c r="AH39" i="14"/>
  <c r="AH35" i="14"/>
  <c r="AH42" i="14"/>
  <c r="AH38" i="14"/>
  <c r="AH41" i="14"/>
  <c r="AH37" i="14"/>
  <c r="AH33" i="14"/>
  <c r="AH29" i="14"/>
  <c r="AH32" i="14"/>
  <c r="AH28" i="14"/>
  <c r="AH31" i="14"/>
  <c r="AH27" i="14"/>
  <c r="AH40" i="14"/>
  <c r="AH34" i="14"/>
  <c r="AH30" i="14"/>
  <c r="AH36" i="14"/>
  <c r="AH23" i="14"/>
  <c r="AH19" i="14"/>
  <c r="AH26" i="14"/>
  <c r="AH22" i="14"/>
  <c r="AH25" i="14"/>
  <c r="AH21" i="14"/>
  <c r="AH24" i="14"/>
  <c r="AH20" i="14"/>
  <c r="AH16" i="14"/>
  <c r="AH12" i="14"/>
  <c r="AH15" i="14"/>
  <c r="AH11" i="14"/>
  <c r="AH18" i="14"/>
  <c r="AH14" i="14"/>
  <c r="AH17" i="14"/>
  <c r="AH13" i="14"/>
  <c r="AT49" i="14"/>
  <c r="AT45" i="14"/>
  <c r="AT48" i="14"/>
  <c r="AT44" i="14"/>
  <c r="AT51" i="14"/>
  <c r="AT47" i="14"/>
  <c r="AT43" i="14"/>
  <c r="AT50" i="14"/>
  <c r="AT46" i="14"/>
  <c r="AT41" i="14"/>
  <c r="AT37" i="14"/>
  <c r="AT40" i="14"/>
  <c r="AT36" i="14"/>
  <c r="AT39" i="14"/>
  <c r="AT35" i="14"/>
  <c r="AT31" i="14"/>
  <c r="AT27" i="14"/>
  <c r="AT42" i="14"/>
  <c r="AT38" i="14"/>
  <c r="AT34" i="14"/>
  <c r="AT30" i="14"/>
  <c r="AT33" i="14"/>
  <c r="AT29" i="14"/>
  <c r="AT32" i="14"/>
  <c r="AT28" i="14"/>
  <c r="AT25" i="14"/>
  <c r="AT21" i="14"/>
  <c r="AT24" i="14"/>
  <c r="AT20" i="14"/>
  <c r="AT23" i="14"/>
  <c r="AT26" i="14"/>
  <c r="AT22" i="14"/>
  <c r="AT18" i="14"/>
  <c r="AT14" i="14"/>
  <c r="AT19" i="14"/>
  <c r="AT17" i="14"/>
  <c r="AT13" i="14"/>
  <c r="AT16" i="14"/>
  <c r="AT12" i="14"/>
  <c r="AT15" i="14"/>
  <c r="AT11" i="14"/>
  <c r="BF51" i="14"/>
  <c r="BF47" i="14"/>
  <c r="BF43" i="14"/>
  <c r="BF50" i="14"/>
  <c r="BF46" i="14"/>
  <c r="BF49" i="14"/>
  <c r="BF45" i="14"/>
  <c r="BF48" i="14"/>
  <c r="BF44" i="14"/>
  <c r="BF39" i="14"/>
  <c r="BF35" i="14"/>
  <c r="BF42" i="14"/>
  <c r="BF38" i="14"/>
  <c r="BF41" i="14"/>
  <c r="BF37" i="14"/>
  <c r="BF33" i="14"/>
  <c r="BF29" i="14"/>
  <c r="BF32" i="14"/>
  <c r="BF28" i="14"/>
  <c r="BF31" i="14"/>
  <c r="BF27" i="14"/>
  <c r="BF40" i="14"/>
  <c r="BF36" i="14"/>
  <c r="BF34" i="14"/>
  <c r="BF30" i="14"/>
  <c r="BF23" i="14"/>
  <c r="BF19" i="14"/>
  <c r="BF26" i="14"/>
  <c r="BF22" i="14"/>
  <c r="BF25" i="14"/>
  <c r="BF21" i="14"/>
  <c r="BF24" i="14"/>
  <c r="BF16" i="14"/>
  <c r="BF12" i="14"/>
  <c r="BF15" i="14"/>
  <c r="BF11" i="14"/>
  <c r="BF18" i="14"/>
  <c r="BF14" i="14"/>
  <c r="BF20" i="14"/>
  <c r="BF17" i="14"/>
  <c r="BF13" i="14"/>
  <c r="BR49" i="14"/>
  <c r="BR45" i="14"/>
  <c r="BR48" i="14"/>
  <c r="BR44" i="14"/>
  <c r="BR51" i="14"/>
  <c r="BR47" i="14"/>
  <c r="BR43" i="14"/>
  <c r="BR50" i="14"/>
  <c r="BR46" i="14"/>
  <c r="BR41" i="14"/>
  <c r="BR37" i="14"/>
  <c r="BR40" i="14"/>
  <c r="BR36" i="14"/>
  <c r="BR39" i="14"/>
  <c r="BR35" i="14"/>
  <c r="BR42" i="14"/>
  <c r="BR31" i="14"/>
  <c r="BR27" i="14"/>
  <c r="BR38" i="14"/>
  <c r="BR34" i="14"/>
  <c r="BR30" i="14"/>
  <c r="BR33" i="14"/>
  <c r="BR29" i="14"/>
  <c r="BR32" i="14"/>
  <c r="BR28" i="14"/>
  <c r="BR25" i="14"/>
  <c r="BR21" i="14"/>
  <c r="BR24" i="14"/>
  <c r="BR20" i="14"/>
  <c r="BR23" i="14"/>
  <c r="BR26" i="14"/>
  <c r="BR22" i="14"/>
  <c r="BR18" i="14"/>
  <c r="BR14" i="14"/>
  <c r="BR10" i="14"/>
  <c r="BR17" i="14"/>
  <c r="BR13" i="14"/>
  <c r="BR16" i="14"/>
  <c r="BR12" i="14"/>
  <c r="BR19" i="14"/>
  <c r="BR15" i="14"/>
  <c r="BR11" i="14"/>
  <c r="CD51" i="14"/>
  <c r="CD47" i="14"/>
  <c r="CD43" i="14"/>
  <c r="CD50" i="14"/>
  <c r="CD46" i="14"/>
  <c r="CD49" i="14"/>
  <c r="CD45" i="14"/>
  <c r="CD48" i="14"/>
  <c r="CD44" i="14"/>
  <c r="CD39" i="14"/>
  <c r="CD35" i="14"/>
  <c r="CD42" i="14"/>
  <c r="CD38" i="14"/>
  <c r="CD41" i="14"/>
  <c r="CD37" i="14"/>
  <c r="CD33" i="14"/>
  <c r="CD29" i="14"/>
  <c r="CD32" i="14"/>
  <c r="CD28" i="14"/>
  <c r="CD40" i="14"/>
  <c r="CD31" i="14"/>
  <c r="CD27" i="14"/>
  <c r="CD36" i="14"/>
  <c r="CD34" i="14"/>
  <c r="CD30" i="14"/>
  <c r="CD23" i="14"/>
  <c r="CD19" i="14"/>
  <c r="CD26" i="14"/>
  <c r="CD22" i="14"/>
  <c r="CD25" i="14"/>
  <c r="CD21" i="14"/>
  <c r="CD24" i="14"/>
  <c r="CD20" i="14"/>
  <c r="CD16" i="14"/>
  <c r="CD12" i="14"/>
  <c r="CD15" i="14"/>
  <c r="CD11" i="14"/>
  <c r="CD18" i="14"/>
  <c r="CD14" i="14"/>
  <c r="CD17" i="14"/>
  <c r="CD13" i="14"/>
  <c r="CP49" i="14"/>
  <c r="CP45" i="14"/>
  <c r="CP48" i="14"/>
  <c r="CP44" i="14"/>
  <c r="CP51" i="14"/>
  <c r="CP47" i="14"/>
  <c r="CP43" i="14"/>
  <c r="CP50" i="14"/>
  <c r="CP46" i="14"/>
  <c r="CP41" i="14"/>
  <c r="CP37" i="14"/>
  <c r="CP40" i="14"/>
  <c r="CP36" i="14"/>
  <c r="CP39" i="14"/>
  <c r="CP35" i="14"/>
  <c r="CP38" i="14"/>
  <c r="CP31" i="14"/>
  <c r="CP27" i="14"/>
  <c r="CP34" i="14"/>
  <c r="CP30" i="14"/>
  <c r="CP33" i="14"/>
  <c r="CP29" i="14"/>
  <c r="CP32" i="14"/>
  <c r="CP28" i="14"/>
  <c r="CP25" i="14"/>
  <c r="CP21" i="14"/>
  <c r="CP24" i="14"/>
  <c r="CP20" i="14"/>
  <c r="CP42" i="14"/>
  <c r="CP23" i="14"/>
  <c r="CP26" i="14"/>
  <c r="CP22" i="14"/>
  <c r="CP18" i="14"/>
  <c r="CP14" i="14"/>
  <c r="CP10" i="14"/>
  <c r="CP19" i="14"/>
  <c r="CP17" i="14"/>
  <c r="CP13" i="14"/>
  <c r="CP16" i="14"/>
  <c r="CP12" i="14"/>
  <c r="CP15" i="14"/>
  <c r="CP11" i="14"/>
  <c r="DB51" i="14"/>
  <c r="DB47" i="14"/>
  <c r="DB43" i="14"/>
  <c r="DB50" i="14"/>
  <c r="DB46" i="14"/>
  <c r="DB49" i="14"/>
  <c r="DB45" i="14"/>
  <c r="DB48" i="14"/>
  <c r="DB44" i="14"/>
  <c r="DB39" i="14"/>
  <c r="DB35" i="14"/>
  <c r="DB42" i="14"/>
  <c r="DB38" i="14"/>
  <c r="DB41" i="14"/>
  <c r="DB37" i="14"/>
  <c r="DB33" i="14"/>
  <c r="DB29" i="14"/>
  <c r="DB32" i="14"/>
  <c r="DB28" i="14"/>
  <c r="DB40" i="14"/>
  <c r="DB36" i="14"/>
  <c r="DB31" i="14"/>
  <c r="DB27" i="14"/>
  <c r="DB34" i="14"/>
  <c r="DB30" i="14"/>
  <c r="DB23" i="14"/>
  <c r="DB19" i="14"/>
  <c r="DB26" i="14"/>
  <c r="DB22" i="14"/>
  <c r="DB25" i="14"/>
  <c r="DB21" i="14"/>
  <c r="DB24" i="14"/>
  <c r="DB20" i="14"/>
  <c r="DB16" i="14"/>
  <c r="DB12" i="14"/>
  <c r="DB15" i="14"/>
  <c r="DB11" i="14"/>
  <c r="DB18" i="14"/>
  <c r="DB14" i="14"/>
  <c r="DB17" i="14"/>
  <c r="DB13" i="14"/>
  <c r="DN49" i="14"/>
  <c r="DN45" i="14"/>
  <c r="DN48" i="14"/>
  <c r="DN44" i="14"/>
  <c r="DN51" i="14"/>
  <c r="DN47" i="14"/>
  <c r="DN43" i="14"/>
  <c r="DN50" i="14"/>
  <c r="DN46" i="14"/>
  <c r="DN41" i="14"/>
  <c r="DN37" i="14"/>
  <c r="DN40" i="14"/>
  <c r="DN36" i="14"/>
  <c r="DN39" i="14"/>
  <c r="DN35" i="14"/>
  <c r="DN31" i="14"/>
  <c r="DN27" i="14"/>
  <c r="DN34" i="14"/>
  <c r="DN30" i="14"/>
  <c r="DN33" i="14"/>
  <c r="DN29" i="14"/>
  <c r="DN42" i="14"/>
  <c r="DN32" i="14"/>
  <c r="DN28" i="14"/>
  <c r="DN25" i="14"/>
  <c r="DN21" i="14"/>
  <c r="DN24" i="14"/>
  <c r="DN20" i="14"/>
  <c r="DN38" i="14"/>
  <c r="DN23" i="14"/>
  <c r="DN26" i="14"/>
  <c r="DN22" i="14"/>
  <c r="DN18" i="14"/>
  <c r="DN14" i="14"/>
  <c r="DN10" i="14"/>
  <c r="DN17" i="14"/>
  <c r="DN13" i="14"/>
  <c r="DN16" i="14"/>
  <c r="DN12" i="14"/>
  <c r="DN19" i="14"/>
  <c r="DN15" i="14"/>
  <c r="DN11" i="14"/>
  <c r="DZ51" i="14"/>
  <c r="DZ47" i="14"/>
  <c r="DZ43" i="14"/>
  <c r="DZ50" i="14"/>
  <c r="DZ46" i="14"/>
  <c r="DZ49" i="14"/>
  <c r="DZ45" i="14"/>
  <c r="DZ48" i="14"/>
  <c r="DZ44" i="14"/>
  <c r="DZ39" i="14"/>
  <c r="DZ35" i="14"/>
  <c r="DZ42" i="14"/>
  <c r="DZ38" i="14"/>
  <c r="DZ41" i="14"/>
  <c r="DZ37" i="14"/>
  <c r="DZ33" i="14"/>
  <c r="DZ29" i="14"/>
  <c r="DZ40" i="14"/>
  <c r="DZ32" i="14"/>
  <c r="DZ28" i="14"/>
  <c r="DZ36" i="14"/>
  <c r="DZ31" i="14"/>
  <c r="DZ27" i="14"/>
  <c r="DZ34" i="14"/>
  <c r="DZ30" i="14"/>
  <c r="DZ23" i="14"/>
  <c r="DZ19" i="14"/>
  <c r="DZ26" i="14"/>
  <c r="DZ22" i="14"/>
  <c r="DZ25" i="14"/>
  <c r="DZ21" i="14"/>
  <c r="DZ24" i="14"/>
  <c r="DZ20" i="14"/>
  <c r="DZ16" i="14"/>
  <c r="DZ12" i="14"/>
  <c r="DZ15" i="14"/>
  <c r="DZ11" i="14"/>
  <c r="DZ18" i="14"/>
  <c r="DZ14" i="14"/>
  <c r="DZ10" i="14"/>
  <c r="DZ17" i="14"/>
  <c r="DZ13" i="14"/>
  <c r="EL49" i="14"/>
  <c r="EL45" i="14"/>
  <c r="EL48" i="14"/>
  <c r="EL44" i="14"/>
  <c r="EL51" i="14"/>
  <c r="EL47" i="14"/>
  <c r="EL43" i="14"/>
  <c r="EL50" i="14"/>
  <c r="EL46" i="14"/>
  <c r="EL41" i="14"/>
  <c r="EL37" i="14"/>
  <c r="EL40" i="14"/>
  <c r="EL36" i="14"/>
  <c r="EL39" i="14"/>
  <c r="EL35" i="14"/>
  <c r="EL31" i="14"/>
  <c r="EL27" i="14"/>
  <c r="EL34" i="14"/>
  <c r="EL30" i="14"/>
  <c r="EL33" i="14"/>
  <c r="EL29" i="14"/>
  <c r="EL42" i="14"/>
  <c r="EL38" i="14"/>
  <c r="EL32" i="14"/>
  <c r="EL28" i="14"/>
  <c r="EL25" i="14"/>
  <c r="EL21" i="14"/>
  <c r="EL24" i="14"/>
  <c r="EL20" i="14"/>
  <c r="EL23" i="14"/>
  <c r="EL26" i="14"/>
  <c r="EL22" i="14"/>
  <c r="EL18" i="14"/>
  <c r="EL14" i="14"/>
  <c r="EL10" i="14"/>
  <c r="EL19" i="14"/>
  <c r="EL17" i="14"/>
  <c r="EL13" i="14"/>
  <c r="EL16" i="14"/>
  <c r="EL12" i="14"/>
  <c r="EL15" i="14"/>
  <c r="EL11" i="14"/>
  <c r="EX51" i="14"/>
  <c r="EX47" i="14"/>
  <c r="EX43" i="14"/>
  <c r="EX50" i="14"/>
  <c r="EX46" i="14"/>
  <c r="EX49" i="14"/>
  <c r="EX45" i="14"/>
  <c r="EX48" i="14"/>
  <c r="EX44" i="14"/>
  <c r="EX39" i="14"/>
  <c r="EX35" i="14"/>
  <c r="EX42" i="14"/>
  <c r="EX38" i="14"/>
  <c r="EX41" i="14"/>
  <c r="EX37" i="14"/>
  <c r="EX33" i="14"/>
  <c r="EX29" i="14"/>
  <c r="EX40" i="14"/>
  <c r="EX36" i="14"/>
  <c r="EX32" i="14"/>
  <c r="EX28" i="14"/>
  <c r="EX31" i="14"/>
  <c r="EX27" i="14"/>
  <c r="EX34" i="14"/>
  <c r="EX30" i="14"/>
  <c r="EX23" i="14"/>
  <c r="EX19" i="14"/>
  <c r="EX26" i="14"/>
  <c r="EX22" i="14"/>
  <c r="EX25" i="14"/>
  <c r="EX21" i="14"/>
  <c r="EX24" i="14"/>
  <c r="EX20" i="14"/>
  <c r="EX16" i="14"/>
  <c r="EX12" i="14"/>
  <c r="EX15" i="14"/>
  <c r="EX11" i="14"/>
  <c r="EX18" i="14"/>
  <c r="EX14" i="14"/>
  <c r="EX10" i="14"/>
  <c r="EX17" i="14"/>
  <c r="EX13" i="14"/>
  <c r="FJ49" i="14"/>
  <c r="FJ45" i="14"/>
  <c r="FJ48" i="14"/>
  <c r="FJ44" i="14"/>
  <c r="FJ51" i="14"/>
  <c r="FJ47" i="14"/>
  <c r="FJ43" i="14"/>
  <c r="FJ50" i="14"/>
  <c r="FJ46" i="14"/>
  <c r="FJ41" i="14"/>
  <c r="FJ37" i="14"/>
  <c r="FJ40" i="14"/>
  <c r="FJ36" i="14"/>
  <c r="FJ39" i="14"/>
  <c r="FJ35" i="14"/>
  <c r="FJ31" i="14"/>
  <c r="FJ27" i="14"/>
  <c r="FJ34" i="14"/>
  <c r="FJ30" i="14"/>
  <c r="FJ42" i="14"/>
  <c r="FJ33" i="14"/>
  <c r="FJ29" i="14"/>
  <c r="FJ38" i="14"/>
  <c r="FJ32" i="14"/>
  <c r="FJ28" i="14"/>
  <c r="FJ25" i="14"/>
  <c r="FJ21" i="14"/>
  <c r="FJ24" i="14"/>
  <c r="FJ20" i="14"/>
  <c r="FJ23" i="14"/>
  <c r="FJ26" i="14"/>
  <c r="FJ22" i="14"/>
  <c r="FJ18" i="14"/>
  <c r="FJ14" i="14"/>
  <c r="FJ10" i="14"/>
  <c r="FJ17" i="14"/>
  <c r="FJ13" i="14"/>
  <c r="FJ16" i="14"/>
  <c r="FJ12" i="14"/>
  <c r="FJ19" i="14"/>
  <c r="FJ15" i="14"/>
  <c r="FJ11" i="14"/>
  <c r="FV51" i="14"/>
  <c r="FV47" i="14"/>
  <c r="FV43" i="14"/>
  <c r="FV50" i="14"/>
  <c r="FV46" i="14"/>
  <c r="FV49" i="14"/>
  <c r="FV45" i="14"/>
  <c r="FV48" i="14"/>
  <c r="FV44" i="14"/>
  <c r="FV39" i="14"/>
  <c r="FV35" i="14"/>
  <c r="FV42" i="14"/>
  <c r="FV38" i="14"/>
  <c r="FV41" i="14"/>
  <c r="FV37" i="14"/>
  <c r="FV40" i="14"/>
  <c r="FV33" i="14"/>
  <c r="FV29" i="14"/>
  <c r="FV36" i="14"/>
  <c r="FV32" i="14"/>
  <c r="FV28" i="14"/>
  <c r="FV31" i="14"/>
  <c r="FV27" i="14"/>
  <c r="FV34" i="14"/>
  <c r="FV30" i="14"/>
  <c r="FV23" i="14"/>
  <c r="FV19" i="14"/>
  <c r="FV26" i="14"/>
  <c r="FV22" i="14"/>
  <c r="FV25" i="14"/>
  <c r="FV21" i="14"/>
  <c r="FV24" i="14"/>
  <c r="FV20" i="14"/>
  <c r="FV16" i="14"/>
  <c r="FV12" i="14"/>
  <c r="FV15" i="14"/>
  <c r="FV11" i="14"/>
  <c r="FV14" i="14"/>
  <c r="FV10" i="14"/>
  <c r="FV18" i="14"/>
  <c r="FV17" i="14"/>
  <c r="FV13" i="14"/>
  <c r="GH49" i="14"/>
  <c r="GH45" i="14"/>
  <c r="GH48" i="14"/>
  <c r="GH44" i="14"/>
  <c r="GH51" i="14"/>
  <c r="GH47" i="14"/>
  <c r="GH43" i="14"/>
  <c r="GH50" i="14"/>
  <c r="GH46" i="14"/>
  <c r="GH42" i="14"/>
  <c r="GH41" i="14"/>
  <c r="GH37" i="14"/>
  <c r="GH40" i="14"/>
  <c r="GH36" i="14"/>
  <c r="GH39" i="14"/>
  <c r="GH35" i="14"/>
  <c r="GH31" i="14"/>
  <c r="GH27" i="14"/>
  <c r="GH34" i="14"/>
  <c r="GH30" i="14"/>
  <c r="GH38" i="14"/>
  <c r="GH33" i="14"/>
  <c r="GH29" i="14"/>
  <c r="GH32" i="14"/>
  <c r="GH28" i="14"/>
  <c r="GH25" i="14"/>
  <c r="GH21" i="14"/>
  <c r="GH24" i="14"/>
  <c r="GH20" i="14"/>
  <c r="GH23" i="14"/>
  <c r="GH19" i="14"/>
  <c r="GH26" i="14"/>
  <c r="GH22" i="14"/>
  <c r="GH14" i="14"/>
  <c r="GH10" i="14"/>
  <c r="GH18" i="14"/>
  <c r="GH17" i="14"/>
  <c r="GH13" i="14"/>
  <c r="GH16" i="14"/>
  <c r="GH12" i="14"/>
  <c r="GH15" i="14"/>
  <c r="GH11" i="14"/>
  <c r="GT51" i="14"/>
  <c r="GT47" i="14"/>
  <c r="GT43" i="14"/>
  <c r="GT50" i="14"/>
  <c r="GT46" i="14"/>
  <c r="GT49" i="14"/>
  <c r="GT45" i="14"/>
  <c r="GT48" i="14"/>
  <c r="GT44" i="14"/>
  <c r="GT39" i="14"/>
  <c r="GT35" i="14"/>
  <c r="GT38" i="14"/>
  <c r="GT42" i="14"/>
  <c r="GT41" i="14"/>
  <c r="GT37" i="14"/>
  <c r="GT36" i="14"/>
  <c r="GT33" i="14"/>
  <c r="GT29" i="14"/>
  <c r="GT32" i="14"/>
  <c r="GT28" i="14"/>
  <c r="GT31" i="14"/>
  <c r="GT27" i="14"/>
  <c r="GT30" i="14"/>
  <c r="GT23" i="14"/>
  <c r="GT19" i="14"/>
  <c r="GT26" i="14"/>
  <c r="GT22" i="14"/>
  <c r="GT25" i="14"/>
  <c r="GT21" i="14"/>
  <c r="GT34" i="14"/>
  <c r="GT24" i="14"/>
  <c r="GT20" i="14"/>
  <c r="GT40" i="14"/>
  <c r="GT18" i="14"/>
  <c r="GT16" i="14"/>
  <c r="GT12" i="14"/>
  <c r="GT15" i="14"/>
  <c r="GT11" i="14"/>
  <c r="GT14" i="14"/>
  <c r="GT10" i="14"/>
  <c r="GT17" i="14"/>
  <c r="GT13" i="14"/>
  <c r="HF49" i="14"/>
  <c r="HF45" i="14"/>
  <c r="HF48" i="14"/>
  <c r="HF44" i="14"/>
  <c r="HF51" i="14"/>
  <c r="HF47" i="14"/>
  <c r="HF43" i="14"/>
  <c r="HF50" i="14"/>
  <c r="HF46" i="14"/>
  <c r="HF42" i="14"/>
  <c r="HF41" i="14"/>
  <c r="HF37" i="14"/>
  <c r="HF40" i="14"/>
  <c r="HF36" i="14"/>
  <c r="HF39" i="14"/>
  <c r="HF35" i="14"/>
  <c r="HF31" i="14"/>
  <c r="HF27" i="14"/>
  <c r="HF30" i="14"/>
  <c r="HF26" i="14"/>
  <c r="HF38" i="14"/>
  <c r="HF33" i="14"/>
  <c r="HF29" i="14"/>
  <c r="HF34" i="14"/>
  <c r="HF32" i="14"/>
  <c r="HF28" i="14"/>
  <c r="HF25" i="14"/>
  <c r="HF21" i="14"/>
  <c r="HF24" i="14"/>
  <c r="HF20" i="14"/>
  <c r="HF23" i="14"/>
  <c r="HF19" i="14"/>
  <c r="HF22" i="14"/>
  <c r="HF14" i="14"/>
  <c r="HF10" i="14"/>
  <c r="HF17" i="14"/>
  <c r="HF13" i="14"/>
  <c r="HF18" i="14"/>
  <c r="HF16" i="14"/>
  <c r="HF12" i="14"/>
  <c r="HF15" i="14"/>
  <c r="HF11" i="14"/>
  <c r="M3" i="14"/>
  <c r="AK3" i="14"/>
  <c r="BI3" i="14"/>
  <c r="CG3" i="14"/>
  <c r="DE3" i="14"/>
  <c r="EC3" i="14"/>
  <c r="FA3" i="14"/>
  <c r="FY3" i="14"/>
  <c r="GW3" i="14"/>
  <c r="AQ4" i="14"/>
  <c r="BO4" i="14"/>
  <c r="CM4" i="14"/>
  <c r="DK4" i="14"/>
  <c r="EI4" i="14"/>
  <c r="FG4" i="14"/>
  <c r="GE4" i="14"/>
  <c r="HC4" i="14"/>
  <c r="Y5" i="14"/>
  <c r="AW5" i="14"/>
  <c r="BU5" i="14"/>
  <c r="CS5" i="14"/>
  <c r="DQ5" i="14"/>
  <c r="EO5" i="14"/>
  <c r="FM5" i="14"/>
  <c r="GK5" i="14"/>
  <c r="HI5" i="14"/>
  <c r="AE6" i="14"/>
  <c r="BC6" i="14"/>
  <c r="CA6" i="14"/>
  <c r="CY6" i="14"/>
  <c r="DW6" i="14"/>
  <c r="EU6" i="14"/>
  <c r="FS6" i="14"/>
  <c r="GQ6" i="14"/>
  <c r="FA7" i="14"/>
  <c r="FY7" i="14"/>
  <c r="AQ8" i="14"/>
  <c r="BO8" i="14"/>
  <c r="CM8" i="14"/>
  <c r="DK8" i="14"/>
  <c r="EI8" i="14"/>
  <c r="FG8" i="14"/>
  <c r="GE8" i="14"/>
  <c r="HC8" i="14"/>
  <c r="BU9" i="14"/>
  <c r="CS9" i="14"/>
  <c r="AE10" i="14"/>
  <c r="BC10" i="14"/>
  <c r="CD10" i="14"/>
  <c r="FA11" i="14"/>
  <c r="HC12" i="14"/>
  <c r="BU13" i="14"/>
  <c r="CY14" i="14"/>
  <c r="HC16" i="14"/>
  <c r="CY18" i="14"/>
  <c r="AT3" i="14"/>
  <c r="BR3" i="14"/>
  <c r="CP3" i="14"/>
  <c r="DN3" i="14"/>
  <c r="EL3" i="14"/>
  <c r="FJ3" i="14"/>
  <c r="GH3" i="14"/>
  <c r="HF3" i="14"/>
  <c r="AB4" i="14"/>
  <c r="AZ4" i="14"/>
  <c r="BX4" i="14"/>
  <c r="CV4" i="14"/>
  <c r="DT4" i="14"/>
  <c r="ER4" i="14"/>
  <c r="FP4" i="14"/>
  <c r="GN4" i="14"/>
  <c r="AH5" i="14"/>
  <c r="BF5" i="14"/>
  <c r="CD5" i="14"/>
  <c r="DB5" i="14"/>
  <c r="DZ5" i="14"/>
  <c r="EX5" i="14"/>
  <c r="FV5" i="14"/>
  <c r="GT5" i="14"/>
  <c r="P6" i="14"/>
  <c r="AN6" i="14"/>
  <c r="BL6" i="14"/>
  <c r="CJ6" i="14"/>
  <c r="DH6" i="14"/>
  <c r="EF6" i="14"/>
  <c r="FD6" i="14"/>
  <c r="GB6" i="14"/>
  <c r="GZ6" i="14"/>
  <c r="AT7" i="14"/>
  <c r="BR7" i="14"/>
  <c r="CP7" i="14"/>
  <c r="DN7" i="14"/>
  <c r="EL7" i="14"/>
  <c r="FJ7" i="14"/>
  <c r="GH7" i="14"/>
  <c r="HF7" i="14"/>
  <c r="AB8" i="14"/>
  <c r="AZ8" i="14"/>
  <c r="BX8" i="14"/>
  <c r="CV8" i="14"/>
  <c r="DT8" i="14"/>
  <c r="ER8" i="14"/>
  <c r="FP8" i="14"/>
  <c r="GN8" i="14"/>
  <c r="AH9" i="14"/>
  <c r="BF9" i="14"/>
  <c r="CD9" i="14"/>
  <c r="DB9" i="14"/>
  <c r="DZ9" i="14"/>
  <c r="EX9" i="14"/>
  <c r="FV9" i="14"/>
  <c r="GT9" i="14"/>
  <c r="P10" i="14"/>
  <c r="AN10" i="14"/>
  <c r="BL10" i="14"/>
  <c r="DW10" i="14"/>
  <c r="FY11" i="14"/>
  <c r="AQ12" i="14"/>
  <c r="CS13" i="14"/>
  <c r="DW14" i="14"/>
  <c r="AQ16" i="14"/>
  <c r="DW18" i="14"/>
  <c r="M49" i="14"/>
  <c r="M45" i="14"/>
  <c r="M48" i="14"/>
  <c r="M44" i="14"/>
  <c r="M50" i="14"/>
  <c r="M46" i="14"/>
  <c r="M51" i="14"/>
  <c r="M47" i="14"/>
  <c r="M43" i="14"/>
  <c r="M42" i="14"/>
  <c r="M38" i="14"/>
  <c r="M41" i="14"/>
  <c r="M37" i="14"/>
  <c r="M40" i="14"/>
  <c r="M36" i="14"/>
  <c r="M39" i="14"/>
  <c r="M35" i="14"/>
  <c r="M31" i="14"/>
  <c r="M27" i="14"/>
  <c r="M34" i="14"/>
  <c r="M30" i="14"/>
  <c r="M33" i="14"/>
  <c r="M29" i="14"/>
  <c r="M25" i="14"/>
  <c r="M21" i="14"/>
  <c r="M24" i="14"/>
  <c r="M20" i="14"/>
  <c r="M23" i="14"/>
  <c r="M19" i="14"/>
  <c r="M32" i="14"/>
  <c r="M28" i="14"/>
  <c r="M26" i="14"/>
  <c r="M22" i="14"/>
  <c r="M18" i="14"/>
  <c r="M14" i="14"/>
  <c r="M17" i="14"/>
  <c r="M13" i="14"/>
  <c r="M16" i="14"/>
  <c r="M12" i="14"/>
  <c r="Y51" i="14"/>
  <c r="Y47" i="14"/>
  <c r="Y43" i="14"/>
  <c r="Y50" i="14"/>
  <c r="Y46" i="14"/>
  <c r="Y48" i="14"/>
  <c r="Y44" i="14"/>
  <c r="Y40" i="14"/>
  <c r="Y36" i="14"/>
  <c r="Y39" i="14"/>
  <c r="Y35" i="14"/>
  <c r="Y49" i="14"/>
  <c r="Y45" i="14"/>
  <c r="Y42" i="14"/>
  <c r="Y38" i="14"/>
  <c r="Y41" i="14"/>
  <c r="Y37" i="14"/>
  <c r="Y33" i="14"/>
  <c r="Y29" i="14"/>
  <c r="Y32" i="14"/>
  <c r="Y28" i="14"/>
  <c r="Y31" i="14"/>
  <c r="Y27" i="14"/>
  <c r="Y23" i="14"/>
  <c r="Y34" i="14"/>
  <c r="Y30" i="14"/>
  <c r="Y26" i="14"/>
  <c r="Y22" i="14"/>
  <c r="Y25" i="14"/>
  <c r="Y21" i="14"/>
  <c r="Y24" i="14"/>
  <c r="Y20" i="14"/>
  <c r="Y16" i="14"/>
  <c r="Y12" i="14"/>
  <c r="Y19" i="14"/>
  <c r="Y15" i="14"/>
  <c r="Y11" i="14"/>
  <c r="Y18" i="14"/>
  <c r="Y14" i="14"/>
  <c r="AK49" i="14"/>
  <c r="AK45" i="14"/>
  <c r="AK48" i="14"/>
  <c r="AK44" i="14"/>
  <c r="AK50" i="14"/>
  <c r="AK46" i="14"/>
  <c r="AK42" i="14"/>
  <c r="AK38" i="14"/>
  <c r="AK41" i="14"/>
  <c r="AK37" i="14"/>
  <c r="AK40" i="14"/>
  <c r="AK36" i="14"/>
  <c r="AK39" i="14"/>
  <c r="AK35" i="14"/>
  <c r="AK51" i="14"/>
  <c r="AK47" i="14"/>
  <c r="AK43" i="14"/>
  <c r="AK31" i="14"/>
  <c r="AK27" i="14"/>
  <c r="AK34" i="14"/>
  <c r="AK30" i="14"/>
  <c r="AK33" i="14"/>
  <c r="AK29" i="14"/>
  <c r="AK25" i="14"/>
  <c r="AK21" i="14"/>
  <c r="AK24" i="14"/>
  <c r="AK20" i="14"/>
  <c r="AK23" i="14"/>
  <c r="AK19" i="14"/>
  <c r="AK32" i="14"/>
  <c r="AK28" i="14"/>
  <c r="AK26" i="14"/>
  <c r="AK22" i="14"/>
  <c r="AK18" i="14"/>
  <c r="AK14" i="14"/>
  <c r="AK17" i="14"/>
  <c r="AK13" i="14"/>
  <c r="AK16" i="14"/>
  <c r="AK12" i="14"/>
  <c r="AW51" i="14"/>
  <c r="AW47" i="14"/>
  <c r="AW43" i="14"/>
  <c r="AW50" i="14"/>
  <c r="AW46" i="14"/>
  <c r="AW48" i="14"/>
  <c r="AW44" i="14"/>
  <c r="AW40" i="14"/>
  <c r="AW36" i="14"/>
  <c r="AW39" i="14"/>
  <c r="AW35" i="14"/>
  <c r="AW49" i="14"/>
  <c r="AW45" i="14"/>
  <c r="AW42" i="14"/>
  <c r="AW38" i="14"/>
  <c r="AW41" i="14"/>
  <c r="AW37" i="14"/>
  <c r="AW33" i="14"/>
  <c r="AW29" i="14"/>
  <c r="AW32" i="14"/>
  <c r="AW28" i="14"/>
  <c r="AW31" i="14"/>
  <c r="AW27" i="14"/>
  <c r="AW23" i="14"/>
  <c r="AW34" i="14"/>
  <c r="AW30" i="14"/>
  <c r="AW26" i="14"/>
  <c r="AW22" i="14"/>
  <c r="AW25" i="14"/>
  <c r="AW21" i="14"/>
  <c r="AW24" i="14"/>
  <c r="AW16" i="14"/>
  <c r="AW12" i="14"/>
  <c r="AW15" i="14"/>
  <c r="AW11" i="14"/>
  <c r="AW20" i="14"/>
  <c r="AW18" i="14"/>
  <c r="AW14" i="14"/>
  <c r="AW19" i="14"/>
  <c r="BI49" i="14"/>
  <c r="BI45" i="14"/>
  <c r="BI48" i="14"/>
  <c r="BI44" i="14"/>
  <c r="BI50" i="14"/>
  <c r="BI46" i="14"/>
  <c r="BI42" i="14"/>
  <c r="BI38" i="14"/>
  <c r="BI41" i="14"/>
  <c r="BI37" i="14"/>
  <c r="BI40" i="14"/>
  <c r="BI36" i="14"/>
  <c r="BI51" i="14"/>
  <c r="BI47" i="14"/>
  <c r="BI43" i="14"/>
  <c r="BI39" i="14"/>
  <c r="BI35" i="14"/>
  <c r="BI31" i="14"/>
  <c r="BI27" i="14"/>
  <c r="BI34" i="14"/>
  <c r="BI30" i="14"/>
  <c r="BI33" i="14"/>
  <c r="BI29" i="14"/>
  <c r="BI25" i="14"/>
  <c r="BI21" i="14"/>
  <c r="BI24" i="14"/>
  <c r="BI20" i="14"/>
  <c r="BI32" i="14"/>
  <c r="BI28" i="14"/>
  <c r="BI23" i="14"/>
  <c r="BI19" i="14"/>
  <c r="BI26" i="14"/>
  <c r="BI22" i="14"/>
  <c r="BI18" i="14"/>
  <c r="BI14" i="14"/>
  <c r="BI17" i="14"/>
  <c r="BI13" i="14"/>
  <c r="BI16" i="14"/>
  <c r="BI12" i="14"/>
  <c r="BU51" i="14"/>
  <c r="BU47" i="14"/>
  <c r="BU43" i="14"/>
  <c r="BU50" i="14"/>
  <c r="BU46" i="14"/>
  <c r="BU48" i="14"/>
  <c r="BU44" i="14"/>
  <c r="BU40" i="14"/>
  <c r="BU36" i="14"/>
  <c r="BU49" i="14"/>
  <c r="BU45" i="14"/>
  <c r="BU39" i="14"/>
  <c r="BU35" i="14"/>
  <c r="BU42" i="14"/>
  <c r="BU38" i="14"/>
  <c r="BU41" i="14"/>
  <c r="BU37" i="14"/>
  <c r="BU33" i="14"/>
  <c r="BU29" i="14"/>
  <c r="BU32" i="14"/>
  <c r="BU28" i="14"/>
  <c r="BU31" i="14"/>
  <c r="BU27" i="14"/>
  <c r="BU34" i="14"/>
  <c r="BU30" i="14"/>
  <c r="BU23" i="14"/>
  <c r="BU26" i="14"/>
  <c r="BU22" i="14"/>
  <c r="BU25" i="14"/>
  <c r="BU21" i="14"/>
  <c r="BU24" i="14"/>
  <c r="BU16" i="14"/>
  <c r="BU12" i="14"/>
  <c r="BU19" i="14"/>
  <c r="BU20" i="14"/>
  <c r="BU15" i="14"/>
  <c r="BU11" i="14"/>
  <c r="BU18" i="14"/>
  <c r="BU14" i="14"/>
  <c r="BU10" i="14"/>
  <c r="CG49" i="14"/>
  <c r="CG45" i="14"/>
  <c r="CG48" i="14"/>
  <c r="CG44" i="14"/>
  <c r="CG50" i="14"/>
  <c r="CG46" i="14"/>
  <c r="CG42" i="14"/>
  <c r="CG38" i="14"/>
  <c r="CG41" i="14"/>
  <c r="CG37" i="14"/>
  <c r="CG40" i="14"/>
  <c r="CG36" i="14"/>
  <c r="CG51" i="14"/>
  <c r="CG47" i="14"/>
  <c r="CG43" i="14"/>
  <c r="CG39" i="14"/>
  <c r="CG35" i="14"/>
  <c r="CG31" i="14"/>
  <c r="CG27" i="14"/>
  <c r="CG34" i="14"/>
  <c r="CG30" i="14"/>
  <c r="CG33" i="14"/>
  <c r="CG29" i="14"/>
  <c r="CG25" i="14"/>
  <c r="CG21" i="14"/>
  <c r="CG24" i="14"/>
  <c r="CG20" i="14"/>
  <c r="CG32" i="14"/>
  <c r="CG28" i="14"/>
  <c r="CG23" i="14"/>
  <c r="CG19" i="14"/>
  <c r="CG26" i="14"/>
  <c r="CG22" i="14"/>
  <c r="CG18" i="14"/>
  <c r="CG14" i="14"/>
  <c r="CG10" i="14"/>
  <c r="CG17" i="14"/>
  <c r="CG13" i="14"/>
  <c r="CG16" i="14"/>
  <c r="CG12" i="14"/>
  <c r="CS51" i="14"/>
  <c r="CS47" i="14"/>
  <c r="CS43" i="14"/>
  <c r="CS50" i="14"/>
  <c r="CS46" i="14"/>
  <c r="CS48" i="14"/>
  <c r="CS44" i="14"/>
  <c r="CS40" i="14"/>
  <c r="CS36" i="14"/>
  <c r="CS49" i="14"/>
  <c r="CS45" i="14"/>
  <c r="CS39" i="14"/>
  <c r="CS35" i="14"/>
  <c r="CS42" i="14"/>
  <c r="CS38" i="14"/>
  <c r="CS41" i="14"/>
  <c r="CS37" i="14"/>
  <c r="CS33" i="14"/>
  <c r="CS29" i="14"/>
  <c r="CS32" i="14"/>
  <c r="CS28" i="14"/>
  <c r="CS31" i="14"/>
  <c r="CS27" i="14"/>
  <c r="CS34" i="14"/>
  <c r="CS30" i="14"/>
  <c r="CS23" i="14"/>
  <c r="CS26" i="14"/>
  <c r="CS22" i="14"/>
  <c r="CS25" i="14"/>
  <c r="CS21" i="14"/>
  <c r="CS24" i="14"/>
  <c r="CS16" i="14"/>
  <c r="CS12" i="14"/>
  <c r="CS20" i="14"/>
  <c r="CS15" i="14"/>
  <c r="CS11" i="14"/>
  <c r="CS18" i="14"/>
  <c r="CS14" i="14"/>
  <c r="CS10" i="14"/>
  <c r="CS19" i="14"/>
  <c r="DE49" i="14"/>
  <c r="DE45" i="14"/>
  <c r="DE48" i="14"/>
  <c r="DE44" i="14"/>
  <c r="DE50" i="14"/>
  <c r="DE46" i="14"/>
  <c r="DE42" i="14"/>
  <c r="DE38" i="14"/>
  <c r="DE41" i="14"/>
  <c r="DE37" i="14"/>
  <c r="DE51" i="14"/>
  <c r="DE47" i="14"/>
  <c r="DE43" i="14"/>
  <c r="DE40" i="14"/>
  <c r="DE36" i="14"/>
  <c r="DE39" i="14"/>
  <c r="DE35" i="14"/>
  <c r="DE31" i="14"/>
  <c r="DE27" i="14"/>
  <c r="DE34" i="14"/>
  <c r="DE30" i="14"/>
  <c r="DE33" i="14"/>
  <c r="DE29" i="14"/>
  <c r="DE25" i="14"/>
  <c r="DE21" i="14"/>
  <c r="DE32" i="14"/>
  <c r="DE28" i="14"/>
  <c r="DE24" i="14"/>
  <c r="DE20" i="14"/>
  <c r="DE23" i="14"/>
  <c r="DE19" i="14"/>
  <c r="DE26" i="14"/>
  <c r="DE22" i="14"/>
  <c r="DE18" i="14"/>
  <c r="DE14" i="14"/>
  <c r="DE10" i="14"/>
  <c r="DE17" i="14"/>
  <c r="DE13" i="14"/>
  <c r="DE16" i="14"/>
  <c r="DE12" i="14"/>
  <c r="DQ51" i="14"/>
  <c r="DQ47" i="14"/>
  <c r="DQ43" i="14"/>
  <c r="DQ50" i="14"/>
  <c r="DQ46" i="14"/>
  <c r="DQ48" i="14"/>
  <c r="DQ44" i="14"/>
  <c r="DQ49" i="14"/>
  <c r="DQ45" i="14"/>
  <c r="DQ40" i="14"/>
  <c r="DQ36" i="14"/>
  <c r="DQ39" i="14"/>
  <c r="DQ35" i="14"/>
  <c r="DQ42" i="14"/>
  <c r="DQ38" i="14"/>
  <c r="DQ41" i="14"/>
  <c r="DQ37" i="14"/>
  <c r="DQ33" i="14"/>
  <c r="DQ29" i="14"/>
  <c r="DQ32" i="14"/>
  <c r="DQ28" i="14"/>
  <c r="DQ31" i="14"/>
  <c r="DQ27" i="14"/>
  <c r="DQ23" i="14"/>
  <c r="DQ26" i="14"/>
  <c r="DQ22" i="14"/>
  <c r="DQ25" i="14"/>
  <c r="DQ21" i="14"/>
  <c r="DQ34" i="14"/>
  <c r="DQ30" i="14"/>
  <c r="DQ24" i="14"/>
  <c r="DQ20" i="14"/>
  <c r="DQ16" i="14"/>
  <c r="DQ12" i="14"/>
  <c r="DQ19" i="14"/>
  <c r="DQ15" i="14"/>
  <c r="DQ11" i="14"/>
  <c r="DQ18" i="14"/>
  <c r="DQ14" i="14"/>
  <c r="DQ10" i="14"/>
  <c r="EC49" i="14"/>
  <c r="EC45" i="14"/>
  <c r="EC48" i="14"/>
  <c r="EC44" i="14"/>
  <c r="EC50" i="14"/>
  <c r="EC46" i="14"/>
  <c r="EC42" i="14"/>
  <c r="EC38" i="14"/>
  <c r="EC41" i="14"/>
  <c r="EC37" i="14"/>
  <c r="EC51" i="14"/>
  <c r="EC47" i="14"/>
  <c r="EC43" i="14"/>
  <c r="EC40" i="14"/>
  <c r="EC36" i="14"/>
  <c r="EC39" i="14"/>
  <c r="EC35" i="14"/>
  <c r="EC31" i="14"/>
  <c r="EC27" i="14"/>
  <c r="EC34" i="14"/>
  <c r="EC30" i="14"/>
  <c r="EC33" i="14"/>
  <c r="EC29" i="14"/>
  <c r="EC25" i="14"/>
  <c r="EC21" i="14"/>
  <c r="EC32" i="14"/>
  <c r="EC28" i="14"/>
  <c r="EC24" i="14"/>
  <c r="EC20" i="14"/>
  <c r="EC23" i="14"/>
  <c r="EC19" i="14"/>
  <c r="EC26" i="14"/>
  <c r="EC22" i="14"/>
  <c r="EC18" i="14"/>
  <c r="EC14" i="14"/>
  <c r="EC10" i="14"/>
  <c r="EC17" i="14"/>
  <c r="EC13" i="14"/>
  <c r="EC16" i="14"/>
  <c r="EC12" i="14"/>
  <c r="EO51" i="14"/>
  <c r="EO47" i="14"/>
  <c r="EO43" i="14"/>
  <c r="EO50" i="14"/>
  <c r="EO46" i="14"/>
  <c r="EO48" i="14"/>
  <c r="EO44" i="14"/>
  <c r="EO40" i="14"/>
  <c r="EO36" i="14"/>
  <c r="EO39" i="14"/>
  <c r="EO35" i="14"/>
  <c r="EO42" i="14"/>
  <c r="EO38" i="14"/>
  <c r="EO41" i="14"/>
  <c r="EO37" i="14"/>
  <c r="EO33" i="14"/>
  <c r="EO29" i="14"/>
  <c r="EO32" i="14"/>
  <c r="EO28" i="14"/>
  <c r="EO49" i="14"/>
  <c r="EO45" i="14"/>
  <c r="EO31" i="14"/>
  <c r="EO27" i="14"/>
  <c r="EO23" i="14"/>
  <c r="EO26" i="14"/>
  <c r="EO22" i="14"/>
  <c r="EO25" i="14"/>
  <c r="EO21" i="14"/>
  <c r="EO34" i="14"/>
  <c r="EO30" i="14"/>
  <c r="EO24" i="14"/>
  <c r="EO20" i="14"/>
  <c r="EO16" i="14"/>
  <c r="EO12" i="14"/>
  <c r="EO15" i="14"/>
  <c r="EO11" i="14"/>
  <c r="EO18" i="14"/>
  <c r="EO14" i="14"/>
  <c r="EO10" i="14"/>
  <c r="EO19" i="14"/>
  <c r="FA49" i="14"/>
  <c r="FA45" i="14"/>
  <c r="FA48" i="14"/>
  <c r="FA44" i="14"/>
  <c r="FA50" i="14"/>
  <c r="FA46" i="14"/>
  <c r="FA42" i="14"/>
  <c r="FA38" i="14"/>
  <c r="FA51" i="14"/>
  <c r="FA47" i="14"/>
  <c r="FA43" i="14"/>
  <c r="FA41" i="14"/>
  <c r="FA37" i="14"/>
  <c r="FA40" i="14"/>
  <c r="FA36" i="14"/>
  <c r="FA39" i="14"/>
  <c r="FA35" i="14"/>
  <c r="FA31" i="14"/>
  <c r="FA27" i="14"/>
  <c r="FA34" i="14"/>
  <c r="FA30" i="14"/>
  <c r="FA33" i="14"/>
  <c r="FA29" i="14"/>
  <c r="FA32" i="14"/>
  <c r="FA28" i="14"/>
  <c r="FA25" i="14"/>
  <c r="FA21" i="14"/>
  <c r="FA24" i="14"/>
  <c r="FA20" i="14"/>
  <c r="FA23" i="14"/>
  <c r="FA19" i="14"/>
  <c r="FA26" i="14"/>
  <c r="FA22" i="14"/>
  <c r="FA18" i="14"/>
  <c r="FA14" i="14"/>
  <c r="FA10" i="14"/>
  <c r="FA17" i="14"/>
  <c r="FA13" i="14"/>
  <c r="FA16" i="14"/>
  <c r="FA12" i="14"/>
  <c r="FM51" i="14"/>
  <c r="FM47" i="14"/>
  <c r="FM43" i="14"/>
  <c r="FM50" i="14"/>
  <c r="FM46" i="14"/>
  <c r="FM48" i="14"/>
  <c r="FM44" i="14"/>
  <c r="FM40" i="14"/>
  <c r="FM36" i="14"/>
  <c r="FM39" i="14"/>
  <c r="FM35" i="14"/>
  <c r="FM42" i="14"/>
  <c r="FM38" i="14"/>
  <c r="FM49" i="14"/>
  <c r="FM45" i="14"/>
  <c r="FM41" i="14"/>
  <c r="FM37" i="14"/>
  <c r="FM33" i="14"/>
  <c r="FM29" i="14"/>
  <c r="FM32" i="14"/>
  <c r="FM28" i="14"/>
  <c r="FM31" i="14"/>
  <c r="FM27" i="14"/>
  <c r="FM23" i="14"/>
  <c r="FM26" i="14"/>
  <c r="FM22" i="14"/>
  <c r="FM18" i="14"/>
  <c r="FM34" i="14"/>
  <c r="FM30" i="14"/>
  <c r="FM25" i="14"/>
  <c r="FM21" i="14"/>
  <c r="FM24" i="14"/>
  <c r="FM16" i="14"/>
  <c r="FM12" i="14"/>
  <c r="FM19" i="14"/>
  <c r="FM15" i="14"/>
  <c r="FM11" i="14"/>
  <c r="FM14" i="14"/>
  <c r="FM10" i="14"/>
  <c r="FY49" i="14"/>
  <c r="FY45" i="14"/>
  <c r="FY48" i="14"/>
  <c r="FY44" i="14"/>
  <c r="FY50" i="14"/>
  <c r="FY46" i="14"/>
  <c r="FY42" i="14"/>
  <c r="FY38" i="14"/>
  <c r="FY51" i="14"/>
  <c r="FY47" i="14"/>
  <c r="FY43" i="14"/>
  <c r="FY41" i="14"/>
  <c r="FY37" i="14"/>
  <c r="FY40" i="14"/>
  <c r="FY36" i="14"/>
  <c r="FY39" i="14"/>
  <c r="FY35" i="14"/>
  <c r="FY31" i="14"/>
  <c r="FY27" i="14"/>
  <c r="FY34" i="14"/>
  <c r="FY30" i="14"/>
  <c r="FY33" i="14"/>
  <c r="FY29" i="14"/>
  <c r="FY32" i="14"/>
  <c r="FY28" i="14"/>
  <c r="FY25" i="14"/>
  <c r="FY21" i="14"/>
  <c r="FY24" i="14"/>
  <c r="FY20" i="14"/>
  <c r="FY23" i="14"/>
  <c r="FY19" i="14"/>
  <c r="FY26" i="14"/>
  <c r="FY22" i="14"/>
  <c r="FY14" i="14"/>
  <c r="FY10" i="14"/>
  <c r="FY18" i="14"/>
  <c r="FY17" i="14"/>
  <c r="FY13" i="14"/>
  <c r="FY16" i="14"/>
  <c r="FY12" i="14"/>
  <c r="GK51" i="14"/>
  <c r="GK47" i="14"/>
  <c r="GK43" i="14"/>
  <c r="GK50" i="14"/>
  <c r="GK46" i="14"/>
  <c r="GK42" i="14"/>
  <c r="GK48" i="14"/>
  <c r="GK44" i="14"/>
  <c r="GK40" i="14"/>
  <c r="GK36" i="14"/>
  <c r="GK39" i="14"/>
  <c r="GK35" i="14"/>
  <c r="GK38" i="14"/>
  <c r="GK49" i="14"/>
  <c r="GK45" i="14"/>
  <c r="GK41" i="14"/>
  <c r="GK37" i="14"/>
  <c r="GK33" i="14"/>
  <c r="GK29" i="14"/>
  <c r="GK32" i="14"/>
  <c r="GK28" i="14"/>
  <c r="GK31" i="14"/>
  <c r="GK27" i="14"/>
  <c r="GK23" i="14"/>
  <c r="GK26" i="14"/>
  <c r="GK22" i="14"/>
  <c r="GK18" i="14"/>
  <c r="GK34" i="14"/>
  <c r="GK30" i="14"/>
  <c r="GK25" i="14"/>
  <c r="GK21" i="14"/>
  <c r="GK24" i="14"/>
  <c r="GK20" i="14"/>
  <c r="GK16" i="14"/>
  <c r="GK12" i="14"/>
  <c r="GK15" i="14"/>
  <c r="GK11" i="14"/>
  <c r="GK14" i="14"/>
  <c r="GK10" i="14"/>
  <c r="GW49" i="14"/>
  <c r="GW45" i="14"/>
  <c r="GW48" i="14"/>
  <c r="GW44" i="14"/>
  <c r="GW50" i="14"/>
  <c r="GW46" i="14"/>
  <c r="GW42" i="14"/>
  <c r="GW51" i="14"/>
  <c r="GW47" i="14"/>
  <c r="GW43" i="14"/>
  <c r="GW38" i="14"/>
  <c r="GW34" i="14"/>
  <c r="GW41" i="14"/>
  <c r="GW37" i="14"/>
  <c r="GW40" i="14"/>
  <c r="GW36" i="14"/>
  <c r="GW39" i="14"/>
  <c r="GW35" i="14"/>
  <c r="GW31" i="14"/>
  <c r="GW27" i="14"/>
  <c r="GW30" i="14"/>
  <c r="GW33" i="14"/>
  <c r="GW29" i="14"/>
  <c r="GW25" i="14"/>
  <c r="GW21" i="14"/>
  <c r="GW24" i="14"/>
  <c r="GW20" i="14"/>
  <c r="GW23" i="14"/>
  <c r="GW19" i="14"/>
  <c r="GW32" i="14"/>
  <c r="GW28" i="14"/>
  <c r="GW26" i="14"/>
  <c r="GW22" i="14"/>
  <c r="GW14" i="14"/>
  <c r="GW10" i="14"/>
  <c r="GW17" i="14"/>
  <c r="GW13" i="14"/>
  <c r="GW18" i="14"/>
  <c r="GW16" i="14"/>
  <c r="GW12" i="14"/>
  <c r="HI51" i="14"/>
  <c r="HI47" i="14"/>
  <c r="HI43" i="14"/>
  <c r="HI50" i="14"/>
  <c r="HI46" i="14"/>
  <c r="HI42" i="14"/>
  <c r="HI48" i="14"/>
  <c r="HI44" i="14"/>
  <c r="HI40" i="14"/>
  <c r="HI36" i="14"/>
  <c r="HI39" i="14"/>
  <c r="HI35" i="14"/>
  <c r="HI49" i="14"/>
  <c r="HI45" i="14"/>
  <c r="HI38" i="14"/>
  <c r="HI34" i="14"/>
  <c r="HI41" i="14"/>
  <c r="HI37" i="14"/>
  <c r="HI33" i="14"/>
  <c r="HI29" i="14"/>
  <c r="HI32" i="14"/>
  <c r="HI28" i="14"/>
  <c r="HI31" i="14"/>
  <c r="HI27" i="14"/>
  <c r="HI23" i="14"/>
  <c r="HI30" i="14"/>
  <c r="HI22" i="14"/>
  <c r="HI18" i="14"/>
  <c r="HI26" i="14"/>
  <c r="HI25" i="14"/>
  <c r="HI21" i="14"/>
  <c r="HI24" i="14"/>
  <c r="HI20" i="14"/>
  <c r="HI16" i="14"/>
  <c r="HI12" i="14"/>
  <c r="HI15" i="14"/>
  <c r="HI11" i="14"/>
  <c r="HI19" i="14"/>
  <c r="HI14" i="14"/>
  <c r="HI10" i="14"/>
  <c r="AE3" i="14"/>
  <c r="BC3" i="14"/>
  <c r="CA3" i="14"/>
  <c r="CY3" i="14"/>
  <c r="DW3" i="14"/>
  <c r="EU3" i="14"/>
  <c r="FS3" i="14"/>
  <c r="GQ3" i="14"/>
  <c r="M4" i="14"/>
  <c r="AK4" i="14"/>
  <c r="BI4" i="14"/>
  <c r="CG4" i="14"/>
  <c r="DE4" i="14"/>
  <c r="EC4" i="14"/>
  <c r="FA4" i="14"/>
  <c r="FY4" i="14"/>
  <c r="GW4" i="14"/>
  <c r="AQ5" i="14"/>
  <c r="BO5" i="14"/>
  <c r="CM5" i="14"/>
  <c r="DK5" i="14"/>
  <c r="EI5" i="14"/>
  <c r="FG5" i="14"/>
  <c r="GE5" i="14"/>
  <c r="HC5" i="14"/>
  <c r="Y6" i="14"/>
  <c r="AW6" i="14"/>
  <c r="BU6" i="14"/>
  <c r="CS6" i="14"/>
  <c r="DQ6" i="14"/>
  <c r="EO6" i="14"/>
  <c r="FM6" i="14"/>
  <c r="GK6" i="14"/>
  <c r="HI6" i="14"/>
  <c r="AE7" i="14"/>
  <c r="BC7" i="14"/>
  <c r="CA7" i="14"/>
  <c r="CY7" i="14"/>
  <c r="DW7" i="14"/>
  <c r="EU7" i="14"/>
  <c r="FS7" i="14"/>
  <c r="GQ7" i="14"/>
  <c r="M8" i="14"/>
  <c r="AK8" i="14"/>
  <c r="BI8" i="14"/>
  <c r="CG8" i="14"/>
  <c r="DE8" i="14"/>
  <c r="EC8" i="14"/>
  <c r="FA8" i="14"/>
  <c r="FY8" i="14"/>
  <c r="GW8" i="14"/>
  <c r="AQ9" i="14"/>
  <c r="BO9" i="14"/>
  <c r="CM9" i="14"/>
  <c r="DK9" i="14"/>
  <c r="EI9" i="14"/>
  <c r="FG9" i="14"/>
  <c r="GE9" i="14"/>
  <c r="HC9" i="14"/>
  <c r="Y10" i="14"/>
  <c r="AW10" i="14"/>
  <c r="DB10" i="14"/>
  <c r="EU10" i="14"/>
  <c r="M11" i="14"/>
  <c r="GW11" i="14"/>
  <c r="BO12" i="14"/>
  <c r="DQ13" i="14"/>
  <c r="EU14" i="14"/>
  <c r="M15" i="14"/>
  <c r="GW15" i="14"/>
  <c r="BO16" i="14"/>
  <c r="DQ17" i="14"/>
  <c r="EU18" i="14"/>
  <c r="P3" i="14"/>
  <c r="AN3" i="14"/>
  <c r="BL3" i="14"/>
  <c r="CJ3" i="14"/>
  <c r="DH3" i="14"/>
  <c r="EF3" i="14"/>
  <c r="FD3" i="14"/>
  <c r="GB3" i="14"/>
  <c r="GZ3" i="14"/>
  <c r="AT4" i="14"/>
  <c r="BR4" i="14"/>
  <c r="CP4" i="14"/>
  <c r="DN4" i="14"/>
  <c r="EL4" i="14"/>
  <c r="FJ4" i="14"/>
  <c r="GH4" i="14"/>
  <c r="HF4" i="14"/>
  <c r="AB5" i="14"/>
  <c r="AZ5" i="14"/>
  <c r="BX5" i="14"/>
  <c r="CV5" i="14"/>
  <c r="DT5" i="14"/>
  <c r="ER5" i="14"/>
  <c r="FP5" i="14"/>
  <c r="GN5" i="14"/>
  <c r="AH6" i="14"/>
  <c r="BF6" i="14"/>
  <c r="CD6" i="14"/>
  <c r="DB6" i="14"/>
  <c r="DZ6" i="14"/>
  <c r="EX6" i="14"/>
  <c r="FV6" i="14"/>
  <c r="GT6" i="14"/>
  <c r="AT8" i="14"/>
  <c r="BR8" i="14"/>
  <c r="CP8" i="14"/>
  <c r="DN8" i="14"/>
  <c r="EL8" i="14"/>
  <c r="FJ8" i="14"/>
  <c r="GH8" i="14"/>
  <c r="HF8" i="14"/>
  <c r="AB9" i="14"/>
  <c r="AH10" i="14"/>
  <c r="BF10" i="14"/>
  <c r="FS10" i="14"/>
  <c r="AK11" i="14"/>
  <c r="CM12" i="14"/>
  <c r="EO13" i="14"/>
  <c r="FS14" i="14"/>
  <c r="AK15" i="14"/>
  <c r="CM16" i="14"/>
  <c r="EO17" i="14"/>
  <c r="HC18" i="14"/>
  <c r="P48" i="14"/>
  <c r="P44" i="14"/>
  <c r="P51" i="14"/>
  <c r="P47" i="14"/>
  <c r="P43" i="14"/>
  <c r="P50" i="14"/>
  <c r="P46" i="14"/>
  <c r="P49" i="14"/>
  <c r="P45" i="14"/>
  <c r="P40" i="14"/>
  <c r="P36" i="14"/>
  <c r="P39" i="14"/>
  <c r="P35" i="14"/>
  <c r="P42" i="14"/>
  <c r="P38" i="14"/>
  <c r="P41" i="14"/>
  <c r="P34" i="14"/>
  <c r="P30" i="14"/>
  <c r="P37" i="14"/>
  <c r="P33" i="14"/>
  <c r="P29" i="14"/>
  <c r="P32" i="14"/>
  <c r="P28" i="14"/>
  <c r="P31" i="14"/>
  <c r="P27" i="14"/>
  <c r="P24" i="14"/>
  <c r="P20" i="14"/>
  <c r="P23" i="14"/>
  <c r="P26" i="14"/>
  <c r="P22" i="14"/>
  <c r="P25" i="14"/>
  <c r="P21" i="14"/>
  <c r="P17" i="14"/>
  <c r="P13" i="14"/>
  <c r="P16" i="14"/>
  <c r="P12" i="14"/>
  <c r="P19" i="14"/>
  <c r="P15" i="14"/>
  <c r="P11" i="14"/>
  <c r="P18" i="14"/>
  <c r="P14" i="14"/>
  <c r="AB50" i="14"/>
  <c r="AB46" i="14"/>
  <c r="AB49" i="14"/>
  <c r="AB45" i="14"/>
  <c r="AB48" i="14"/>
  <c r="AB44" i="14"/>
  <c r="AB51" i="14"/>
  <c r="AB47" i="14"/>
  <c r="AB43" i="14"/>
  <c r="AB42" i="14"/>
  <c r="AB38" i="14"/>
  <c r="AB41" i="14"/>
  <c r="AB37" i="14"/>
  <c r="AB40" i="14"/>
  <c r="AB36" i="14"/>
  <c r="AB32" i="14"/>
  <c r="AB28" i="14"/>
  <c r="AB31" i="14"/>
  <c r="AB27" i="14"/>
  <c r="AB39" i="14"/>
  <c r="AB34" i="14"/>
  <c r="AB30" i="14"/>
  <c r="AB35" i="14"/>
  <c r="AB33" i="14"/>
  <c r="AB29" i="14"/>
  <c r="AB26" i="14"/>
  <c r="AB22" i="14"/>
  <c r="AB25" i="14"/>
  <c r="AB21" i="14"/>
  <c r="AB24" i="14"/>
  <c r="AB20" i="14"/>
  <c r="AB23" i="14"/>
  <c r="AB15" i="14"/>
  <c r="AB11" i="14"/>
  <c r="AB18" i="14"/>
  <c r="AB14" i="14"/>
  <c r="AB17" i="14"/>
  <c r="AB13" i="14"/>
  <c r="AB16" i="14"/>
  <c r="AB12" i="14"/>
  <c r="AN48" i="14"/>
  <c r="AN44" i="14"/>
  <c r="AN51" i="14"/>
  <c r="AN47" i="14"/>
  <c r="AN43" i="14"/>
  <c r="AN50" i="14"/>
  <c r="AN46" i="14"/>
  <c r="AN49" i="14"/>
  <c r="AN45" i="14"/>
  <c r="AN40" i="14"/>
  <c r="AN36" i="14"/>
  <c r="AN39" i="14"/>
  <c r="AN35" i="14"/>
  <c r="AN42" i="14"/>
  <c r="AN38" i="14"/>
  <c r="AN37" i="14"/>
  <c r="AN34" i="14"/>
  <c r="AN30" i="14"/>
  <c r="AN33" i="14"/>
  <c r="AN29" i="14"/>
  <c r="AN32" i="14"/>
  <c r="AN28" i="14"/>
  <c r="AN31" i="14"/>
  <c r="AN27" i="14"/>
  <c r="AN24" i="14"/>
  <c r="AN20" i="14"/>
  <c r="AN41" i="14"/>
  <c r="AN23" i="14"/>
  <c r="AN19" i="14"/>
  <c r="AN26" i="14"/>
  <c r="AN22" i="14"/>
  <c r="AN25" i="14"/>
  <c r="AN21" i="14"/>
  <c r="AN17" i="14"/>
  <c r="AN13" i="14"/>
  <c r="AN16" i="14"/>
  <c r="AN12" i="14"/>
  <c r="AN15" i="14"/>
  <c r="AN11" i="14"/>
  <c r="AN18" i="14"/>
  <c r="AN14" i="14"/>
  <c r="AZ50" i="14"/>
  <c r="AZ46" i="14"/>
  <c r="AZ49" i="14"/>
  <c r="AZ45" i="14"/>
  <c r="AZ48" i="14"/>
  <c r="AZ44" i="14"/>
  <c r="AZ51" i="14"/>
  <c r="AZ47" i="14"/>
  <c r="AZ43" i="14"/>
  <c r="AZ42" i="14"/>
  <c r="AZ38" i="14"/>
  <c r="AZ41" i="14"/>
  <c r="AZ37" i="14"/>
  <c r="AZ40" i="14"/>
  <c r="AZ36" i="14"/>
  <c r="AZ32" i="14"/>
  <c r="AZ28" i="14"/>
  <c r="AZ31" i="14"/>
  <c r="AZ27" i="14"/>
  <c r="AZ39" i="14"/>
  <c r="AZ35" i="14"/>
  <c r="AZ34" i="14"/>
  <c r="AZ30" i="14"/>
  <c r="AZ33" i="14"/>
  <c r="AZ29" i="14"/>
  <c r="AZ26" i="14"/>
  <c r="AZ22" i="14"/>
  <c r="AZ25" i="14"/>
  <c r="AZ21" i="14"/>
  <c r="AZ24" i="14"/>
  <c r="AZ20" i="14"/>
  <c r="AZ23" i="14"/>
  <c r="AZ15" i="14"/>
  <c r="AZ11" i="14"/>
  <c r="AZ18" i="14"/>
  <c r="AZ14" i="14"/>
  <c r="AZ19" i="14"/>
  <c r="AZ17" i="14"/>
  <c r="AZ13" i="14"/>
  <c r="AZ16" i="14"/>
  <c r="AZ12" i="14"/>
  <c r="BL48" i="14"/>
  <c r="BL44" i="14"/>
  <c r="BL51" i="14"/>
  <c r="BL47" i="14"/>
  <c r="BL43" i="14"/>
  <c r="BL50" i="14"/>
  <c r="BL46" i="14"/>
  <c r="BL49" i="14"/>
  <c r="BL45" i="14"/>
  <c r="BL40" i="14"/>
  <c r="BL36" i="14"/>
  <c r="BL39" i="14"/>
  <c r="BL35" i="14"/>
  <c r="BL42" i="14"/>
  <c r="BL38" i="14"/>
  <c r="BL34" i="14"/>
  <c r="BL30" i="14"/>
  <c r="BL33" i="14"/>
  <c r="BL29" i="14"/>
  <c r="BL32" i="14"/>
  <c r="BL28" i="14"/>
  <c r="BL41" i="14"/>
  <c r="BL31" i="14"/>
  <c r="BL27" i="14"/>
  <c r="BL24" i="14"/>
  <c r="BL20" i="14"/>
  <c r="BL37" i="14"/>
  <c r="BL23" i="14"/>
  <c r="BL19" i="14"/>
  <c r="BL26" i="14"/>
  <c r="BL22" i="14"/>
  <c r="BL25" i="14"/>
  <c r="BL21" i="14"/>
  <c r="BL17" i="14"/>
  <c r="BL13" i="14"/>
  <c r="BL16" i="14"/>
  <c r="BL12" i="14"/>
  <c r="BL15" i="14"/>
  <c r="BL11" i="14"/>
  <c r="BL18" i="14"/>
  <c r="BL14" i="14"/>
  <c r="BX50" i="14"/>
  <c r="BX46" i="14"/>
  <c r="BX49" i="14"/>
  <c r="BX45" i="14"/>
  <c r="BX48" i="14"/>
  <c r="BX44" i="14"/>
  <c r="BX51" i="14"/>
  <c r="BX47" i="14"/>
  <c r="BX43" i="14"/>
  <c r="BX42" i="14"/>
  <c r="BX38" i="14"/>
  <c r="BX41" i="14"/>
  <c r="BX37" i="14"/>
  <c r="BX40" i="14"/>
  <c r="BX36" i="14"/>
  <c r="BX32" i="14"/>
  <c r="BX28" i="14"/>
  <c r="BX39" i="14"/>
  <c r="BX31" i="14"/>
  <c r="BX27" i="14"/>
  <c r="BX35" i="14"/>
  <c r="BX34" i="14"/>
  <c r="BX30" i="14"/>
  <c r="BX33" i="14"/>
  <c r="BX29" i="14"/>
  <c r="BX26" i="14"/>
  <c r="BX22" i="14"/>
  <c r="BX25" i="14"/>
  <c r="BX21" i="14"/>
  <c r="BX24" i="14"/>
  <c r="BX20" i="14"/>
  <c r="BX23" i="14"/>
  <c r="BX15" i="14"/>
  <c r="BX11" i="14"/>
  <c r="BX18" i="14"/>
  <c r="BX14" i="14"/>
  <c r="BX10" i="14"/>
  <c r="BX17" i="14"/>
  <c r="BX13" i="14"/>
  <c r="BX16" i="14"/>
  <c r="BX12" i="14"/>
  <c r="CJ48" i="14"/>
  <c r="CJ44" i="14"/>
  <c r="CJ51" i="14"/>
  <c r="CJ47" i="14"/>
  <c r="CJ43" i="14"/>
  <c r="CJ50" i="14"/>
  <c r="CJ46" i="14"/>
  <c r="CJ49" i="14"/>
  <c r="CJ45" i="14"/>
  <c r="CJ40" i="14"/>
  <c r="CJ36" i="14"/>
  <c r="CJ39" i="14"/>
  <c r="CJ35" i="14"/>
  <c r="CJ42" i="14"/>
  <c r="CJ38" i="14"/>
  <c r="CJ34" i="14"/>
  <c r="CJ30" i="14"/>
  <c r="CJ33" i="14"/>
  <c r="CJ29" i="14"/>
  <c r="CJ32" i="14"/>
  <c r="CJ28" i="14"/>
  <c r="CJ41" i="14"/>
  <c r="CJ37" i="14"/>
  <c r="CJ31" i="14"/>
  <c r="CJ27" i="14"/>
  <c r="CJ24" i="14"/>
  <c r="CJ20" i="14"/>
  <c r="CJ23" i="14"/>
  <c r="CJ19" i="14"/>
  <c r="CJ26" i="14"/>
  <c r="CJ22" i="14"/>
  <c r="CJ25" i="14"/>
  <c r="CJ21" i="14"/>
  <c r="CJ17" i="14"/>
  <c r="CJ13" i="14"/>
  <c r="CJ16" i="14"/>
  <c r="CJ12" i="14"/>
  <c r="CJ15" i="14"/>
  <c r="CJ11" i="14"/>
  <c r="CJ18" i="14"/>
  <c r="CJ14" i="14"/>
  <c r="CJ10" i="14"/>
  <c r="CV50" i="14"/>
  <c r="CV46" i="14"/>
  <c r="CV49" i="14"/>
  <c r="CV45" i="14"/>
  <c r="CV48" i="14"/>
  <c r="CV44" i="14"/>
  <c r="CV51" i="14"/>
  <c r="CV47" i="14"/>
  <c r="CV43" i="14"/>
  <c r="CV42" i="14"/>
  <c r="CV38" i="14"/>
  <c r="CV41" i="14"/>
  <c r="CV37" i="14"/>
  <c r="CV40" i="14"/>
  <c r="CV36" i="14"/>
  <c r="CV32" i="14"/>
  <c r="CV28" i="14"/>
  <c r="CV39" i="14"/>
  <c r="CV35" i="14"/>
  <c r="CV31" i="14"/>
  <c r="CV27" i="14"/>
  <c r="CV34" i="14"/>
  <c r="CV30" i="14"/>
  <c r="CV33" i="14"/>
  <c r="CV29" i="14"/>
  <c r="CV26" i="14"/>
  <c r="CV22" i="14"/>
  <c r="CV25" i="14"/>
  <c r="CV21" i="14"/>
  <c r="CV24" i="14"/>
  <c r="CV20" i="14"/>
  <c r="CV23" i="14"/>
  <c r="CV15" i="14"/>
  <c r="CV11" i="14"/>
  <c r="CV18" i="14"/>
  <c r="CV14" i="14"/>
  <c r="CV10" i="14"/>
  <c r="CV19" i="14"/>
  <c r="CV17" i="14"/>
  <c r="CV13" i="14"/>
  <c r="CV16" i="14"/>
  <c r="CV12" i="14"/>
  <c r="DH48" i="14"/>
  <c r="DH44" i="14"/>
  <c r="DH51" i="14"/>
  <c r="DH47" i="14"/>
  <c r="DH43" i="14"/>
  <c r="DH50" i="14"/>
  <c r="DH46" i="14"/>
  <c r="DH49" i="14"/>
  <c r="DH45" i="14"/>
  <c r="DH40" i="14"/>
  <c r="DH36" i="14"/>
  <c r="DH39" i="14"/>
  <c r="DH35" i="14"/>
  <c r="DH42" i="14"/>
  <c r="DH38" i="14"/>
  <c r="DH34" i="14"/>
  <c r="DH30" i="14"/>
  <c r="DH33" i="14"/>
  <c r="DH29" i="14"/>
  <c r="DH41" i="14"/>
  <c r="DH32" i="14"/>
  <c r="DH28" i="14"/>
  <c r="DH37" i="14"/>
  <c r="DH31" i="14"/>
  <c r="DH27" i="14"/>
  <c r="DH24" i="14"/>
  <c r="DH20" i="14"/>
  <c r="DH23" i="14"/>
  <c r="DH19" i="14"/>
  <c r="DH26" i="14"/>
  <c r="DH22" i="14"/>
  <c r="DH25" i="14"/>
  <c r="DH21" i="14"/>
  <c r="DH17" i="14"/>
  <c r="DH13" i="14"/>
  <c r="DH16" i="14"/>
  <c r="DH12" i="14"/>
  <c r="DH15" i="14"/>
  <c r="DH11" i="14"/>
  <c r="DH18" i="14"/>
  <c r="DH14" i="14"/>
  <c r="DH10" i="14"/>
  <c r="DT50" i="14"/>
  <c r="DT46" i="14"/>
  <c r="DT49" i="14"/>
  <c r="DT45" i="14"/>
  <c r="DT48" i="14"/>
  <c r="DT44" i="14"/>
  <c r="DT51" i="14"/>
  <c r="DT47" i="14"/>
  <c r="DT43" i="14"/>
  <c r="DT42" i="14"/>
  <c r="DT38" i="14"/>
  <c r="DT41" i="14"/>
  <c r="DT37" i="14"/>
  <c r="DT40" i="14"/>
  <c r="DT36" i="14"/>
  <c r="DT39" i="14"/>
  <c r="DT32" i="14"/>
  <c r="DT28" i="14"/>
  <c r="DT35" i="14"/>
  <c r="DT31" i="14"/>
  <c r="DT27" i="14"/>
  <c r="DT34" i="14"/>
  <c r="DT30" i="14"/>
  <c r="DT33" i="14"/>
  <c r="DT29" i="14"/>
  <c r="DT26" i="14"/>
  <c r="DT22" i="14"/>
  <c r="DT25" i="14"/>
  <c r="DT21" i="14"/>
  <c r="DT24" i="14"/>
  <c r="DT20" i="14"/>
  <c r="DT23" i="14"/>
  <c r="DT15" i="14"/>
  <c r="DT11" i="14"/>
  <c r="DT18" i="14"/>
  <c r="DT14" i="14"/>
  <c r="DT10" i="14"/>
  <c r="DT17" i="14"/>
  <c r="DT13" i="14"/>
  <c r="DT16" i="14"/>
  <c r="DT12" i="14"/>
  <c r="EF48" i="14"/>
  <c r="EF44" i="14"/>
  <c r="EF51" i="14"/>
  <c r="EF47" i="14"/>
  <c r="EF43" i="14"/>
  <c r="EF50" i="14"/>
  <c r="EF46" i="14"/>
  <c r="EF49" i="14"/>
  <c r="EF45" i="14"/>
  <c r="EF40" i="14"/>
  <c r="EF36" i="14"/>
  <c r="EF39" i="14"/>
  <c r="EF35" i="14"/>
  <c r="EF42" i="14"/>
  <c r="EF38" i="14"/>
  <c r="EF34" i="14"/>
  <c r="EF30" i="14"/>
  <c r="EF33" i="14"/>
  <c r="EF29" i="14"/>
  <c r="EF41" i="14"/>
  <c r="EF37" i="14"/>
  <c r="EF32" i="14"/>
  <c r="EF28" i="14"/>
  <c r="EF31" i="14"/>
  <c r="EF27" i="14"/>
  <c r="EF24" i="14"/>
  <c r="EF20" i="14"/>
  <c r="EF23" i="14"/>
  <c r="EF19" i="14"/>
  <c r="EF26" i="14"/>
  <c r="EF22" i="14"/>
  <c r="EF25" i="14"/>
  <c r="EF21" i="14"/>
  <c r="EF17" i="14"/>
  <c r="EF13" i="14"/>
  <c r="EF16" i="14"/>
  <c r="EF12" i="14"/>
  <c r="EF15" i="14"/>
  <c r="EF11" i="14"/>
  <c r="EF18" i="14"/>
  <c r="EF14" i="14"/>
  <c r="EF10" i="14"/>
  <c r="ER50" i="14"/>
  <c r="ER46" i="14"/>
  <c r="ER49" i="14"/>
  <c r="ER45" i="14"/>
  <c r="ER48" i="14"/>
  <c r="ER44" i="14"/>
  <c r="ER51" i="14"/>
  <c r="ER47" i="14"/>
  <c r="ER43" i="14"/>
  <c r="ER42" i="14"/>
  <c r="ER38" i="14"/>
  <c r="ER41" i="14"/>
  <c r="ER37" i="14"/>
  <c r="ER40" i="14"/>
  <c r="ER36" i="14"/>
  <c r="ER35" i="14"/>
  <c r="ER32" i="14"/>
  <c r="ER28" i="14"/>
  <c r="ER31" i="14"/>
  <c r="ER27" i="14"/>
  <c r="ER34" i="14"/>
  <c r="ER30" i="14"/>
  <c r="ER33" i="14"/>
  <c r="ER29" i="14"/>
  <c r="ER26" i="14"/>
  <c r="ER22" i="14"/>
  <c r="ER25" i="14"/>
  <c r="ER21" i="14"/>
  <c r="ER24" i="14"/>
  <c r="ER20" i="14"/>
  <c r="ER39" i="14"/>
  <c r="ER23" i="14"/>
  <c r="ER15" i="14"/>
  <c r="ER11" i="14"/>
  <c r="ER18" i="14"/>
  <c r="ER14" i="14"/>
  <c r="ER10" i="14"/>
  <c r="ER19" i="14"/>
  <c r="ER17" i="14"/>
  <c r="ER13" i="14"/>
  <c r="ER16" i="14"/>
  <c r="ER12" i="14"/>
  <c r="FD48" i="14"/>
  <c r="FD44" i="14"/>
  <c r="FD51" i="14"/>
  <c r="FD47" i="14"/>
  <c r="FD43" i="14"/>
  <c r="FD50" i="14"/>
  <c r="FD46" i="14"/>
  <c r="FD49" i="14"/>
  <c r="FD45" i="14"/>
  <c r="FD40" i="14"/>
  <c r="FD36" i="14"/>
  <c r="FD39" i="14"/>
  <c r="FD35" i="14"/>
  <c r="FD42" i="14"/>
  <c r="FD38" i="14"/>
  <c r="FD34" i="14"/>
  <c r="FD30" i="14"/>
  <c r="FD41" i="14"/>
  <c r="FD33" i="14"/>
  <c r="FD29" i="14"/>
  <c r="FD37" i="14"/>
  <c r="FD32" i="14"/>
  <c r="FD28" i="14"/>
  <c r="FD31" i="14"/>
  <c r="FD27" i="14"/>
  <c r="FD24" i="14"/>
  <c r="FD20" i="14"/>
  <c r="FD23" i="14"/>
  <c r="FD19" i="14"/>
  <c r="FD26" i="14"/>
  <c r="FD22" i="14"/>
  <c r="FD25" i="14"/>
  <c r="FD21" i="14"/>
  <c r="FD17" i="14"/>
  <c r="FD13" i="14"/>
  <c r="FD16" i="14"/>
  <c r="FD12" i="14"/>
  <c r="FD15" i="14"/>
  <c r="FD11" i="14"/>
  <c r="FD18" i="14"/>
  <c r="FD14" i="14"/>
  <c r="FD10" i="14"/>
  <c r="FP50" i="14"/>
  <c r="FP46" i="14"/>
  <c r="FP49" i="14"/>
  <c r="FP45" i="14"/>
  <c r="FP48" i="14"/>
  <c r="FP44" i="14"/>
  <c r="FP51" i="14"/>
  <c r="FP47" i="14"/>
  <c r="FP43" i="14"/>
  <c r="FP42" i="14"/>
  <c r="FP38" i="14"/>
  <c r="FP41" i="14"/>
  <c r="FP37" i="14"/>
  <c r="FP40" i="14"/>
  <c r="FP36" i="14"/>
  <c r="FP32" i="14"/>
  <c r="FP28" i="14"/>
  <c r="FP31" i="14"/>
  <c r="FP27" i="14"/>
  <c r="FP34" i="14"/>
  <c r="FP30" i="14"/>
  <c r="FP39" i="14"/>
  <c r="FP33" i="14"/>
  <c r="FP29" i="14"/>
  <c r="FP26" i="14"/>
  <c r="FP22" i="14"/>
  <c r="FP25" i="14"/>
  <c r="FP21" i="14"/>
  <c r="FP24" i="14"/>
  <c r="FP20" i="14"/>
  <c r="FP35" i="14"/>
  <c r="FP23" i="14"/>
  <c r="FP15" i="14"/>
  <c r="FP11" i="14"/>
  <c r="FP14" i="14"/>
  <c r="FP10" i="14"/>
  <c r="FP18" i="14"/>
  <c r="FP17" i="14"/>
  <c r="FP13" i="14"/>
  <c r="FP16" i="14"/>
  <c r="FP12" i="14"/>
  <c r="GB48" i="14"/>
  <c r="GB44" i="14"/>
  <c r="GB51" i="14"/>
  <c r="GB47" i="14"/>
  <c r="GB43" i="14"/>
  <c r="GB50" i="14"/>
  <c r="GB46" i="14"/>
  <c r="GB49" i="14"/>
  <c r="GB45" i="14"/>
  <c r="GB40" i="14"/>
  <c r="GB36" i="14"/>
  <c r="GB39" i="14"/>
  <c r="GB35" i="14"/>
  <c r="GB42" i="14"/>
  <c r="GB38" i="14"/>
  <c r="GB34" i="14"/>
  <c r="GB30" i="14"/>
  <c r="GB41" i="14"/>
  <c r="GB37" i="14"/>
  <c r="GB33" i="14"/>
  <c r="GB29" i="14"/>
  <c r="GB32" i="14"/>
  <c r="GB28" i="14"/>
  <c r="GB31" i="14"/>
  <c r="GB27" i="14"/>
  <c r="GB24" i="14"/>
  <c r="GB20" i="14"/>
  <c r="GB23" i="14"/>
  <c r="GB19" i="14"/>
  <c r="GB26" i="14"/>
  <c r="GB22" i="14"/>
  <c r="GB25" i="14"/>
  <c r="GB21" i="14"/>
  <c r="GB18" i="14"/>
  <c r="GB17" i="14"/>
  <c r="GB13" i="14"/>
  <c r="GB16" i="14"/>
  <c r="GB12" i="14"/>
  <c r="GB15" i="14"/>
  <c r="GB11" i="14"/>
  <c r="GB14" i="14"/>
  <c r="GB10" i="14"/>
  <c r="GN50" i="14"/>
  <c r="GN46" i="14"/>
  <c r="GN49" i="14"/>
  <c r="GN45" i="14"/>
  <c r="GN48" i="14"/>
  <c r="GN44" i="14"/>
  <c r="GN51" i="14"/>
  <c r="GN47" i="14"/>
  <c r="GN43" i="14"/>
  <c r="GN38" i="14"/>
  <c r="GN42" i="14"/>
  <c r="GN41" i="14"/>
  <c r="GN37" i="14"/>
  <c r="GN40" i="14"/>
  <c r="GN36" i="14"/>
  <c r="GN32" i="14"/>
  <c r="GN28" i="14"/>
  <c r="GN31" i="14"/>
  <c r="GN27" i="14"/>
  <c r="GN34" i="14"/>
  <c r="GN30" i="14"/>
  <c r="GN39" i="14"/>
  <c r="GN35" i="14"/>
  <c r="GN33" i="14"/>
  <c r="GN29" i="14"/>
  <c r="GN26" i="14"/>
  <c r="GN22" i="14"/>
  <c r="GN25" i="14"/>
  <c r="GN21" i="14"/>
  <c r="GN24" i="14"/>
  <c r="GN20" i="14"/>
  <c r="GN23" i="14"/>
  <c r="GN15" i="14"/>
  <c r="GN11" i="14"/>
  <c r="GN14" i="14"/>
  <c r="GN10" i="14"/>
  <c r="GN19" i="14"/>
  <c r="GN17" i="14"/>
  <c r="GN13" i="14"/>
  <c r="GN18" i="14"/>
  <c r="GN16" i="14"/>
  <c r="GN12" i="14"/>
  <c r="GZ48" i="14"/>
  <c r="GZ44" i="14"/>
  <c r="GZ51" i="14"/>
  <c r="GZ47" i="14"/>
  <c r="GZ43" i="14"/>
  <c r="GZ50" i="14"/>
  <c r="GZ46" i="14"/>
  <c r="GZ42" i="14"/>
  <c r="GZ49" i="14"/>
  <c r="GZ45" i="14"/>
  <c r="GZ40" i="14"/>
  <c r="GZ36" i="14"/>
  <c r="GZ39" i="14"/>
  <c r="GZ35" i="14"/>
  <c r="GZ38" i="14"/>
  <c r="GZ34" i="14"/>
  <c r="GZ41" i="14"/>
  <c r="GZ30" i="14"/>
  <c r="GZ37" i="14"/>
  <c r="GZ33" i="14"/>
  <c r="GZ29" i="14"/>
  <c r="GZ32" i="14"/>
  <c r="GZ28" i="14"/>
  <c r="GZ31" i="14"/>
  <c r="GZ27" i="14"/>
  <c r="GZ24" i="14"/>
  <c r="GZ20" i="14"/>
  <c r="GZ23" i="14"/>
  <c r="GZ19" i="14"/>
  <c r="GZ26" i="14"/>
  <c r="GZ22" i="14"/>
  <c r="GZ25" i="14"/>
  <c r="GZ21" i="14"/>
  <c r="GZ17" i="14"/>
  <c r="GZ13" i="14"/>
  <c r="GZ18" i="14"/>
  <c r="GZ16" i="14"/>
  <c r="GZ12" i="14"/>
  <c r="GZ15" i="14"/>
  <c r="GZ11" i="14"/>
  <c r="GZ14" i="14"/>
  <c r="GZ10" i="14"/>
  <c r="Y3" i="14"/>
  <c r="AW3" i="14"/>
  <c r="BU3" i="14"/>
  <c r="CS3" i="14"/>
  <c r="DQ3" i="14"/>
  <c r="EO3" i="14"/>
  <c r="FM3" i="14"/>
  <c r="GK3" i="14"/>
  <c r="HI3" i="14"/>
  <c r="AE4" i="14"/>
  <c r="BC4" i="14"/>
  <c r="CA4" i="14"/>
  <c r="CY4" i="14"/>
  <c r="DW4" i="14"/>
  <c r="EU4" i="14"/>
  <c r="FS4" i="14"/>
  <c r="GQ4" i="14"/>
  <c r="M5" i="14"/>
  <c r="AK5" i="14"/>
  <c r="BI5" i="14"/>
  <c r="CG5" i="14"/>
  <c r="DE5" i="14"/>
  <c r="EC5" i="14"/>
  <c r="FA5" i="14"/>
  <c r="FY5" i="14"/>
  <c r="GW5" i="14"/>
  <c r="AQ6" i="14"/>
  <c r="BO6" i="14"/>
  <c r="DK6" i="14"/>
  <c r="EI6" i="14"/>
  <c r="Y7" i="14"/>
  <c r="AW7" i="14"/>
  <c r="BU7" i="14"/>
  <c r="CS7" i="14"/>
  <c r="DQ7" i="14"/>
  <c r="EO7" i="14"/>
  <c r="FM7" i="14"/>
  <c r="GK7" i="14"/>
  <c r="HI7" i="14"/>
  <c r="AE8" i="14"/>
  <c r="CA8" i="14"/>
  <c r="GQ8" i="14"/>
  <c r="M9" i="14"/>
  <c r="AK9" i="14"/>
  <c r="BI9" i="14"/>
  <c r="CG9" i="14"/>
  <c r="DE9" i="14"/>
  <c r="EC9" i="14"/>
  <c r="FA9" i="14"/>
  <c r="FY9" i="14"/>
  <c r="GW9" i="14"/>
  <c r="GQ10" i="14"/>
  <c r="BI11" i="14"/>
  <c r="DK12" i="14"/>
  <c r="FM13" i="14"/>
  <c r="BI15" i="14"/>
  <c r="FM17" i="14"/>
  <c r="BX19" i="14"/>
  <c r="AH3" i="14"/>
  <c r="BF3" i="14"/>
  <c r="CD3" i="14"/>
  <c r="DB3" i="14"/>
  <c r="DZ3" i="14"/>
  <c r="EX3" i="14"/>
  <c r="FV3" i="14"/>
  <c r="GT3" i="14"/>
  <c r="P4" i="14"/>
  <c r="AN4" i="14"/>
  <c r="BL4" i="14"/>
  <c r="CJ4" i="14"/>
  <c r="DH4" i="14"/>
  <c r="EF4" i="14"/>
  <c r="FD4" i="14"/>
  <c r="GB4" i="14"/>
  <c r="GZ4" i="14"/>
  <c r="AT5" i="14"/>
  <c r="BR5" i="14"/>
  <c r="CP5" i="14"/>
  <c r="DN5" i="14"/>
  <c r="EL5" i="14"/>
  <c r="FJ5" i="14"/>
  <c r="GH5" i="14"/>
  <c r="HF5" i="14"/>
  <c r="AB6" i="14"/>
  <c r="AZ6" i="14"/>
  <c r="BX6" i="14"/>
  <c r="CV6" i="14"/>
  <c r="DT6" i="14"/>
  <c r="ER6" i="14"/>
  <c r="FP6" i="14"/>
  <c r="GN6" i="14"/>
  <c r="AH7" i="14"/>
  <c r="BF7" i="14"/>
  <c r="CD7" i="14"/>
  <c r="DB7" i="14"/>
  <c r="DZ7" i="14"/>
  <c r="EX7" i="14"/>
  <c r="FV7" i="14"/>
  <c r="GT7" i="14"/>
  <c r="P8" i="14"/>
  <c r="AN8" i="14"/>
  <c r="BL8" i="14"/>
  <c r="CJ8" i="14"/>
  <c r="DH8" i="14"/>
  <c r="EF8" i="14"/>
  <c r="FD8" i="14"/>
  <c r="GB8" i="14"/>
  <c r="GZ8" i="14"/>
  <c r="AT9" i="14"/>
  <c r="BR9" i="14"/>
  <c r="CP9" i="14"/>
  <c r="DN9" i="14"/>
  <c r="EL9" i="14"/>
  <c r="FJ9" i="14"/>
  <c r="GH9" i="14"/>
  <c r="HF9" i="14"/>
  <c r="AB10" i="14"/>
  <c r="AZ10" i="14"/>
  <c r="CG11" i="14"/>
  <c r="EI12" i="14"/>
  <c r="GK13" i="14"/>
  <c r="AE14" i="14"/>
  <c r="CG15" i="14"/>
  <c r="GK17" i="14"/>
  <c r="DT19" i="14"/>
  <c r="GK19" i="14"/>
  <c r="AE48" i="14"/>
  <c r="AE44" i="14"/>
  <c r="AE51" i="14"/>
  <c r="AE47" i="14"/>
  <c r="AE43" i="14"/>
  <c r="AE49" i="14"/>
  <c r="AE45" i="14"/>
  <c r="AE41" i="14"/>
  <c r="AE37" i="14"/>
  <c r="AE40" i="14"/>
  <c r="AE36" i="14"/>
  <c r="AE39" i="14"/>
  <c r="AE35" i="14"/>
  <c r="AE50" i="14"/>
  <c r="AE46" i="14"/>
  <c r="AE42" i="14"/>
  <c r="AE38" i="14"/>
  <c r="AE34" i="14"/>
  <c r="AE30" i="14"/>
  <c r="AE33" i="14"/>
  <c r="AE29" i="14"/>
  <c r="AE32" i="14"/>
  <c r="AE28" i="14"/>
  <c r="AE24" i="14"/>
  <c r="AE23" i="14"/>
  <c r="AE19" i="14"/>
  <c r="AE31" i="14"/>
  <c r="AE27" i="14"/>
  <c r="AE26" i="14"/>
  <c r="AE22" i="14"/>
  <c r="AE25" i="14"/>
  <c r="AE21" i="14"/>
  <c r="AE17" i="14"/>
  <c r="AE13" i="14"/>
  <c r="AE20" i="14"/>
  <c r="AE16" i="14"/>
  <c r="AE12" i="14"/>
  <c r="AE15" i="14"/>
  <c r="AE11" i="14"/>
  <c r="AQ50" i="14"/>
  <c r="AQ46" i="14"/>
  <c r="AQ49" i="14"/>
  <c r="AQ45" i="14"/>
  <c r="AQ51" i="14"/>
  <c r="AQ47" i="14"/>
  <c r="AQ43" i="14"/>
  <c r="AQ39" i="14"/>
  <c r="AQ35" i="14"/>
  <c r="AQ48" i="14"/>
  <c r="AQ44" i="14"/>
  <c r="AQ42" i="14"/>
  <c r="AQ38" i="14"/>
  <c r="AQ41" i="14"/>
  <c r="AQ37" i="14"/>
  <c r="AQ40" i="14"/>
  <c r="AQ36" i="14"/>
  <c r="AQ32" i="14"/>
  <c r="AQ28" i="14"/>
  <c r="AQ31" i="14"/>
  <c r="AQ27" i="14"/>
  <c r="AQ34" i="14"/>
  <c r="AQ30" i="14"/>
  <c r="AQ33" i="14"/>
  <c r="AQ29" i="14"/>
  <c r="AQ26" i="14"/>
  <c r="AQ22" i="14"/>
  <c r="AQ25" i="14"/>
  <c r="AQ21" i="14"/>
  <c r="AQ24" i="14"/>
  <c r="AQ20" i="14"/>
  <c r="AQ23" i="14"/>
  <c r="AQ15" i="14"/>
  <c r="AQ11" i="14"/>
  <c r="AQ18" i="14"/>
  <c r="AQ14" i="14"/>
  <c r="AQ19" i="14"/>
  <c r="AQ17" i="14"/>
  <c r="AQ13" i="14"/>
  <c r="BC48" i="14"/>
  <c r="BC44" i="14"/>
  <c r="BC51" i="14"/>
  <c r="BC47" i="14"/>
  <c r="BC43" i="14"/>
  <c r="BC49" i="14"/>
  <c r="BC45" i="14"/>
  <c r="BC41" i="14"/>
  <c r="BC37" i="14"/>
  <c r="BC40" i="14"/>
  <c r="BC36" i="14"/>
  <c r="BC50" i="14"/>
  <c r="BC46" i="14"/>
  <c r="BC39" i="14"/>
  <c r="BC35" i="14"/>
  <c r="BC42" i="14"/>
  <c r="BC38" i="14"/>
  <c r="BC34" i="14"/>
  <c r="BC30" i="14"/>
  <c r="BC33" i="14"/>
  <c r="BC29" i="14"/>
  <c r="BC32" i="14"/>
  <c r="BC28" i="14"/>
  <c r="BC24" i="14"/>
  <c r="BC20" i="14"/>
  <c r="BC31" i="14"/>
  <c r="BC27" i="14"/>
  <c r="BC23" i="14"/>
  <c r="BC19" i="14"/>
  <c r="BC26" i="14"/>
  <c r="BC22" i="14"/>
  <c r="BC25" i="14"/>
  <c r="BC21" i="14"/>
  <c r="BC17" i="14"/>
  <c r="BC13" i="14"/>
  <c r="BC16" i="14"/>
  <c r="BC12" i="14"/>
  <c r="BC15" i="14"/>
  <c r="BC11" i="14"/>
  <c r="BO50" i="14"/>
  <c r="BO46" i="14"/>
  <c r="BO49" i="14"/>
  <c r="BO45" i="14"/>
  <c r="BO51" i="14"/>
  <c r="BO47" i="14"/>
  <c r="BO43" i="14"/>
  <c r="BO48" i="14"/>
  <c r="BO44" i="14"/>
  <c r="BO39" i="14"/>
  <c r="BO35" i="14"/>
  <c r="BO42" i="14"/>
  <c r="BO38" i="14"/>
  <c r="BO41" i="14"/>
  <c r="BO37" i="14"/>
  <c r="BO40" i="14"/>
  <c r="BO36" i="14"/>
  <c r="BO32" i="14"/>
  <c r="BO28" i="14"/>
  <c r="BO31" i="14"/>
  <c r="BO27" i="14"/>
  <c r="BO34" i="14"/>
  <c r="BO30" i="14"/>
  <c r="BO26" i="14"/>
  <c r="BO22" i="14"/>
  <c r="BO25" i="14"/>
  <c r="BO21" i="14"/>
  <c r="BO24" i="14"/>
  <c r="BO20" i="14"/>
  <c r="BO33" i="14"/>
  <c r="BO29" i="14"/>
  <c r="BO23" i="14"/>
  <c r="BO19" i="14"/>
  <c r="BO15" i="14"/>
  <c r="BO11" i="14"/>
  <c r="BO18" i="14"/>
  <c r="BO14" i="14"/>
  <c r="BO17" i="14"/>
  <c r="BO13" i="14"/>
  <c r="CA48" i="14"/>
  <c r="CA44" i="14"/>
  <c r="CA51" i="14"/>
  <c r="CA47" i="14"/>
  <c r="CA43" i="14"/>
  <c r="CA49" i="14"/>
  <c r="CA45" i="14"/>
  <c r="CA41" i="14"/>
  <c r="CA37" i="14"/>
  <c r="CA40" i="14"/>
  <c r="CA36" i="14"/>
  <c r="CA50" i="14"/>
  <c r="CA46" i="14"/>
  <c r="CA39" i="14"/>
  <c r="CA35" i="14"/>
  <c r="CA42" i="14"/>
  <c r="CA38" i="14"/>
  <c r="CA34" i="14"/>
  <c r="CA30" i="14"/>
  <c r="CA33" i="14"/>
  <c r="CA29" i="14"/>
  <c r="CA32" i="14"/>
  <c r="CA28" i="14"/>
  <c r="CA24" i="14"/>
  <c r="CA20" i="14"/>
  <c r="CA31" i="14"/>
  <c r="CA27" i="14"/>
  <c r="CA23" i="14"/>
  <c r="CA19" i="14"/>
  <c r="CA26" i="14"/>
  <c r="CA22" i="14"/>
  <c r="CA25" i="14"/>
  <c r="CA21" i="14"/>
  <c r="CA17" i="14"/>
  <c r="CA13" i="14"/>
  <c r="CA16" i="14"/>
  <c r="CA12" i="14"/>
  <c r="CA15" i="14"/>
  <c r="CA11" i="14"/>
  <c r="CM50" i="14"/>
  <c r="CM46" i="14"/>
  <c r="CM49" i="14"/>
  <c r="CM45" i="14"/>
  <c r="CM51" i="14"/>
  <c r="CM47" i="14"/>
  <c r="CM43" i="14"/>
  <c r="CM39" i="14"/>
  <c r="CM35" i="14"/>
  <c r="CM42" i="14"/>
  <c r="CM38" i="14"/>
  <c r="CM41" i="14"/>
  <c r="CM37" i="14"/>
  <c r="CM40" i="14"/>
  <c r="CM36" i="14"/>
  <c r="CM32" i="14"/>
  <c r="CM28" i="14"/>
  <c r="CM48" i="14"/>
  <c r="CM44" i="14"/>
  <c r="CM31" i="14"/>
  <c r="CM27" i="14"/>
  <c r="CM34" i="14"/>
  <c r="CM30" i="14"/>
  <c r="CM26" i="14"/>
  <c r="CM22" i="14"/>
  <c r="CM25" i="14"/>
  <c r="CM21" i="14"/>
  <c r="CM24" i="14"/>
  <c r="CM20" i="14"/>
  <c r="CM33" i="14"/>
  <c r="CM29" i="14"/>
  <c r="CM23" i="14"/>
  <c r="CM15" i="14"/>
  <c r="CM11" i="14"/>
  <c r="CM18" i="14"/>
  <c r="CM14" i="14"/>
  <c r="CM10" i="14"/>
  <c r="CM19" i="14"/>
  <c r="CM17" i="14"/>
  <c r="CM13" i="14"/>
  <c r="CY48" i="14"/>
  <c r="CY44" i="14"/>
  <c r="CY51" i="14"/>
  <c r="CY47" i="14"/>
  <c r="CY43" i="14"/>
  <c r="CY49" i="14"/>
  <c r="CY45" i="14"/>
  <c r="CY41" i="14"/>
  <c r="CY37" i="14"/>
  <c r="CY50" i="14"/>
  <c r="CY46" i="14"/>
  <c r="CY40" i="14"/>
  <c r="CY36" i="14"/>
  <c r="CY39" i="14"/>
  <c r="CY35" i="14"/>
  <c r="CY42" i="14"/>
  <c r="CY38" i="14"/>
  <c r="CY34" i="14"/>
  <c r="CY30" i="14"/>
  <c r="CY33" i="14"/>
  <c r="CY29" i="14"/>
  <c r="CY32" i="14"/>
  <c r="CY28" i="14"/>
  <c r="CY31" i="14"/>
  <c r="CY27" i="14"/>
  <c r="CY24" i="14"/>
  <c r="CY20" i="14"/>
  <c r="CY23" i="14"/>
  <c r="CY19" i="14"/>
  <c r="CY26" i="14"/>
  <c r="CY22" i="14"/>
  <c r="CY25" i="14"/>
  <c r="CY21" i="14"/>
  <c r="CY17" i="14"/>
  <c r="CY13" i="14"/>
  <c r="CY16" i="14"/>
  <c r="CY12" i="14"/>
  <c r="CY15" i="14"/>
  <c r="CY11" i="14"/>
  <c r="DK50" i="14"/>
  <c r="DK46" i="14"/>
  <c r="DK49" i="14"/>
  <c r="DK45" i="14"/>
  <c r="DK51" i="14"/>
  <c r="DK47" i="14"/>
  <c r="DK43" i="14"/>
  <c r="DK39" i="14"/>
  <c r="DK35" i="14"/>
  <c r="DK42" i="14"/>
  <c r="DK38" i="14"/>
  <c r="DK41" i="14"/>
  <c r="DK37" i="14"/>
  <c r="DK48" i="14"/>
  <c r="DK44" i="14"/>
  <c r="DK40" i="14"/>
  <c r="DK36" i="14"/>
  <c r="DK32" i="14"/>
  <c r="DK28" i="14"/>
  <c r="DK31" i="14"/>
  <c r="DK27" i="14"/>
  <c r="DK34" i="14"/>
  <c r="DK30" i="14"/>
  <c r="DK26" i="14"/>
  <c r="DK22" i="14"/>
  <c r="DK25" i="14"/>
  <c r="DK21" i="14"/>
  <c r="DK33" i="14"/>
  <c r="DK29" i="14"/>
  <c r="DK24" i="14"/>
  <c r="DK20" i="14"/>
  <c r="DK23" i="14"/>
  <c r="DK19" i="14"/>
  <c r="DK15" i="14"/>
  <c r="DK11" i="14"/>
  <c r="DK18" i="14"/>
  <c r="DK14" i="14"/>
  <c r="DK10" i="14"/>
  <c r="DK17" i="14"/>
  <c r="DK13" i="14"/>
  <c r="DW48" i="14"/>
  <c r="DW44" i="14"/>
  <c r="DW51" i="14"/>
  <c r="DW47" i="14"/>
  <c r="DW43" i="14"/>
  <c r="DW49" i="14"/>
  <c r="DW45" i="14"/>
  <c r="DW41" i="14"/>
  <c r="DW37" i="14"/>
  <c r="DW50" i="14"/>
  <c r="DW46" i="14"/>
  <c r="DW40" i="14"/>
  <c r="DW36" i="14"/>
  <c r="DW39" i="14"/>
  <c r="DW35" i="14"/>
  <c r="DW42" i="14"/>
  <c r="DW38" i="14"/>
  <c r="DW34" i="14"/>
  <c r="DW30" i="14"/>
  <c r="DW33" i="14"/>
  <c r="DW29" i="14"/>
  <c r="DW32" i="14"/>
  <c r="DW28" i="14"/>
  <c r="DW31" i="14"/>
  <c r="DW27" i="14"/>
  <c r="DW24" i="14"/>
  <c r="DW20" i="14"/>
  <c r="DW23" i="14"/>
  <c r="DW19" i="14"/>
  <c r="DW26" i="14"/>
  <c r="DW22" i="14"/>
  <c r="DW25" i="14"/>
  <c r="DW21" i="14"/>
  <c r="DW17" i="14"/>
  <c r="DW13" i="14"/>
  <c r="DW16" i="14"/>
  <c r="DW12" i="14"/>
  <c r="DW15" i="14"/>
  <c r="DW11" i="14"/>
  <c r="EI50" i="14"/>
  <c r="EI46" i="14"/>
  <c r="EI49" i="14"/>
  <c r="EI45" i="14"/>
  <c r="EI51" i="14"/>
  <c r="EI47" i="14"/>
  <c r="EI43" i="14"/>
  <c r="EI39" i="14"/>
  <c r="EI35" i="14"/>
  <c r="EI42" i="14"/>
  <c r="EI38" i="14"/>
  <c r="EI41" i="14"/>
  <c r="EI37" i="14"/>
  <c r="EI48" i="14"/>
  <c r="EI44" i="14"/>
  <c r="EI40" i="14"/>
  <c r="EI36" i="14"/>
  <c r="EI32" i="14"/>
  <c r="EI28" i="14"/>
  <c r="EI31" i="14"/>
  <c r="EI27" i="14"/>
  <c r="EI34" i="14"/>
  <c r="EI30" i="14"/>
  <c r="EI26" i="14"/>
  <c r="EI22" i="14"/>
  <c r="EI25" i="14"/>
  <c r="EI21" i="14"/>
  <c r="EI33" i="14"/>
  <c r="EI29" i="14"/>
  <c r="EI24" i="14"/>
  <c r="EI20" i="14"/>
  <c r="EI23" i="14"/>
  <c r="EI15" i="14"/>
  <c r="EI11" i="14"/>
  <c r="EI18" i="14"/>
  <c r="EI14" i="14"/>
  <c r="EI10" i="14"/>
  <c r="EI19" i="14"/>
  <c r="EI17" i="14"/>
  <c r="EI13" i="14"/>
  <c r="EU48" i="14"/>
  <c r="EU44" i="14"/>
  <c r="EU51" i="14"/>
  <c r="EU47" i="14"/>
  <c r="EU43" i="14"/>
  <c r="EU49" i="14"/>
  <c r="EU45" i="14"/>
  <c r="EU50" i="14"/>
  <c r="EU46" i="14"/>
  <c r="EU41" i="14"/>
  <c r="EU37" i="14"/>
  <c r="EU40" i="14"/>
  <c r="EU36" i="14"/>
  <c r="EU39" i="14"/>
  <c r="EU35" i="14"/>
  <c r="EU42" i="14"/>
  <c r="EU38" i="14"/>
  <c r="EU34" i="14"/>
  <c r="EU30" i="14"/>
  <c r="EU33" i="14"/>
  <c r="EU29" i="14"/>
  <c r="EU32" i="14"/>
  <c r="EU28" i="14"/>
  <c r="EU24" i="14"/>
  <c r="EU20" i="14"/>
  <c r="EU23" i="14"/>
  <c r="EU19" i="14"/>
  <c r="EU26" i="14"/>
  <c r="EU22" i="14"/>
  <c r="EU31" i="14"/>
  <c r="EU27" i="14"/>
  <c r="EU25" i="14"/>
  <c r="EU21" i="14"/>
  <c r="EU17" i="14"/>
  <c r="EU13" i="14"/>
  <c r="EU16" i="14"/>
  <c r="EU12" i="14"/>
  <c r="EU15" i="14"/>
  <c r="EU11" i="14"/>
  <c r="FG50" i="14"/>
  <c r="FG46" i="14"/>
  <c r="FG49" i="14"/>
  <c r="FG45" i="14"/>
  <c r="FG51" i="14"/>
  <c r="FG47" i="14"/>
  <c r="FG43" i="14"/>
  <c r="FG39" i="14"/>
  <c r="FG35" i="14"/>
  <c r="FG42" i="14"/>
  <c r="FG38" i="14"/>
  <c r="FG48" i="14"/>
  <c r="FG44" i="14"/>
  <c r="FG41" i="14"/>
  <c r="FG37" i="14"/>
  <c r="FG40" i="14"/>
  <c r="FG36" i="14"/>
  <c r="FG32" i="14"/>
  <c r="FG28" i="14"/>
  <c r="FG31" i="14"/>
  <c r="FG27" i="14"/>
  <c r="FG34" i="14"/>
  <c r="FG30" i="14"/>
  <c r="FG26" i="14"/>
  <c r="FG22" i="14"/>
  <c r="FG33" i="14"/>
  <c r="FG29" i="14"/>
  <c r="FG25" i="14"/>
  <c r="FG21" i="14"/>
  <c r="FG24" i="14"/>
  <c r="FG20" i="14"/>
  <c r="FG23" i="14"/>
  <c r="FG19" i="14"/>
  <c r="FG15" i="14"/>
  <c r="FG11" i="14"/>
  <c r="FG18" i="14"/>
  <c r="FG14" i="14"/>
  <c r="FG10" i="14"/>
  <c r="FG17" i="14"/>
  <c r="FG13" i="14"/>
  <c r="FS48" i="14"/>
  <c r="FS44" i="14"/>
  <c r="FS51" i="14"/>
  <c r="FS47" i="14"/>
  <c r="FS43" i="14"/>
  <c r="FS49" i="14"/>
  <c r="FS45" i="14"/>
  <c r="FS41" i="14"/>
  <c r="FS37" i="14"/>
  <c r="FS40" i="14"/>
  <c r="FS36" i="14"/>
  <c r="FS39" i="14"/>
  <c r="FS35" i="14"/>
  <c r="FS42" i="14"/>
  <c r="FS38" i="14"/>
  <c r="FS34" i="14"/>
  <c r="FS30" i="14"/>
  <c r="FS33" i="14"/>
  <c r="FS29" i="14"/>
  <c r="FS32" i="14"/>
  <c r="FS28" i="14"/>
  <c r="FS50" i="14"/>
  <c r="FS46" i="14"/>
  <c r="FS24" i="14"/>
  <c r="FS20" i="14"/>
  <c r="FS23" i="14"/>
  <c r="FS19" i="14"/>
  <c r="FS26" i="14"/>
  <c r="FS22" i="14"/>
  <c r="FS18" i="14"/>
  <c r="FS31" i="14"/>
  <c r="FS27" i="14"/>
  <c r="FS25" i="14"/>
  <c r="FS21" i="14"/>
  <c r="FS17" i="14"/>
  <c r="FS13" i="14"/>
  <c r="FS16" i="14"/>
  <c r="FS12" i="14"/>
  <c r="FS15" i="14"/>
  <c r="FS11" i="14"/>
  <c r="GE50" i="14"/>
  <c r="GE46" i="14"/>
  <c r="GE49" i="14"/>
  <c r="GE45" i="14"/>
  <c r="GE51" i="14"/>
  <c r="GE47" i="14"/>
  <c r="GE43" i="14"/>
  <c r="GE39" i="14"/>
  <c r="GE35" i="14"/>
  <c r="GE42" i="14"/>
  <c r="GE38" i="14"/>
  <c r="GE48" i="14"/>
  <c r="GE44" i="14"/>
  <c r="GE41" i="14"/>
  <c r="GE37" i="14"/>
  <c r="GE40" i="14"/>
  <c r="GE36" i="14"/>
  <c r="GE32" i="14"/>
  <c r="GE28" i="14"/>
  <c r="GE31" i="14"/>
  <c r="GE27" i="14"/>
  <c r="GE34" i="14"/>
  <c r="GE30" i="14"/>
  <c r="GE26" i="14"/>
  <c r="GE22" i="14"/>
  <c r="GE33" i="14"/>
  <c r="GE29" i="14"/>
  <c r="GE25" i="14"/>
  <c r="GE21" i="14"/>
  <c r="GE24" i="14"/>
  <c r="GE20" i="14"/>
  <c r="GE23" i="14"/>
  <c r="GE15" i="14"/>
  <c r="GE11" i="14"/>
  <c r="GE14" i="14"/>
  <c r="GE10" i="14"/>
  <c r="GE19" i="14"/>
  <c r="GE18" i="14"/>
  <c r="GE17" i="14"/>
  <c r="GE13" i="14"/>
  <c r="GQ48" i="14"/>
  <c r="GQ44" i="14"/>
  <c r="GQ51" i="14"/>
  <c r="GQ47" i="14"/>
  <c r="GQ43" i="14"/>
  <c r="GQ49" i="14"/>
  <c r="GQ45" i="14"/>
  <c r="GQ42" i="14"/>
  <c r="GQ41" i="14"/>
  <c r="GQ37" i="14"/>
  <c r="GQ40" i="14"/>
  <c r="GQ36" i="14"/>
  <c r="GQ39" i="14"/>
  <c r="GQ35" i="14"/>
  <c r="GQ50" i="14"/>
  <c r="GQ46" i="14"/>
  <c r="GQ38" i="14"/>
  <c r="GQ34" i="14"/>
  <c r="GQ30" i="14"/>
  <c r="GQ33" i="14"/>
  <c r="GQ29" i="14"/>
  <c r="GQ32" i="14"/>
  <c r="GQ28" i="14"/>
  <c r="GQ24" i="14"/>
  <c r="GQ20" i="14"/>
  <c r="GQ23" i="14"/>
  <c r="GQ19" i="14"/>
  <c r="GQ31" i="14"/>
  <c r="GQ27" i="14"/>
  <c r="GQ26" i="14"/>
  <c r="GQ22" i="14"/>
  <c r="GQ18" i="14"/>
  <c r="GQ25" i="14"/>
  <c r="GQ21" i="14"/>
  <c r="GQ17" i="14"/>
  <c r="GQ13" i="14"/>
  <c r="GQ16" i="14"/>
  <c r="GQ12" i="14"/>
  <c r="GQ15" i="14"/>
  <c r="GQ11" i="14"/>
  <c r="HC50" i="14"/>
  <c r="HC46" i="14"/>
  <c r="HC49" i="14"/>
  <c r="HC45" i="14"/>
  <c r="HC51" i="14"/>
  <c r="HC47" i="14"/>
  <c r="HC43" i="14"/>
  <c r="HC39" i="14"/>
  <c r="HC35" i="14"/>
  <c r="HC48" i="14"/>
  <c r="HC44" i="14"/>
  <c r="HC38" i="14"/>
  <c r="HC41" i="14"/>
  <c r="HC37" i="14"/>
  <c r="HC42" i="14"/>
  <c r="HC40" i="14"/>
  <c r="HC36" i="14"/>
  <c r="HC34" i="14"/>
  <c r="HC32" i="14"/>
  <c r="HC28" i="14"/>
  <c r="HC31" i="14"/>
  <c r="HC27" i="14"/>
  <c r="HC30" i="14"/>
  <c r="HC33" i="14"/>
  <c r="HC29" i="14"/>
  <c r="HC26" i="14"/>
  <c r="HC22" i="14"/>
  <c r="HC25" i="14"/>
  <c r="HC21" i="14"/>
  <c r="HC24" i="14"/>
  <c r="HC20" i="14"/>
  <c r="HC23" i="14"/>
  <c r="HC19" i="14"/>
  <c r="HC15" i="14"/>
  <c r="HC11" i="14"/>
  <c r="HC14" i="14"/>
  <c r="HC10" i="14"/>
  <c r="HC17" i="14"/>
  <c r="HC13" i="14"/>
  <c r="AQ3" i="14"/>
  <c r="BO3" i="14"/>
  <c r="CM3" i="14"/>
  <c r="DK3" i="14"/>
  <c r="EI3" i="14"/>
  <c r="FG3" i="14"/>
  <c r="GE3" i="14"/>
  <c r="HC3" i="14"/>
  <c r="Y4" i="14"/>
  <c r="AW4" i="14"/>
  <c r="BU4" i="14"/>
  <c r="CS4" i="14"/>
  <c r="DQ4" i="14"/>
  <c r="EO4" i="14"/>
  <c r="FM4" i="14"/>
  <c r="GK4" i="14"/>
  <c r="HI4" i="14"/>
  <c r="AE5" i="14"/>
  <c r="BC5" i="14"/>
  <c r="CA5" i="14"/>
  <c r="CY5" i="14"/>
  <c r="DW5" i="14"/>
  <c r="EU5" i="14"/>
  <c r="FS5" i="14"/>
  <c r="GQ5" i="14"/>
  <c r="M6" i="14"/>
  <c r="AK6" i="14"/>
  <c r="BI6" i="14"/>
  <c r="CG6" i="14"/>
  <c r="DE6" i="14"/>
  <c r="EC6" i="14"/>
  <c r="FA6" i="14"/>
  <c r="FY6" i="14"/>
  <c r="GW6" i="14"/>
  <c r="AQ7" i="14"/>
  <c r="BO7" i="14"/>
  <c r="CM7" i="14"/>
  <c r="DK7" i="14"/>
  <c r="EI7" i="14"/>
  <c r="FG7" i="14"/>
  <c r="GE7" i="14"/>
  <c r="HC7" i="14"/>
  <c r="Y8" i="14"/>
  <c r="AW8" i="14"/>
  <c r="BU8" i="14"/>
  <c r="CS8" i="14"/>
  <c r="DQ8" i="14"/>
  <c r="EO8" i="14"/>
  <c r="FM8" i="14"/>
  <c r="GK8" i="14"/>
  <c r="HI8" i="14"/>
  <c r="AE9" i="14"/>
  <c r="BC9" i="14"/>
  <c r="CA9" i="14"/>
  <c r="CY9" i="14"/>
  <c r="DW9" i="14"/>
  <c r="EU9" i="14"/>
  <c r="FS9" i="14"/>
  <c r="GQ9" i="14"/>
  <c r="M10" i="14"/>
  <c r="AK10" i="14"/>
  <c r="BI10" i="14"/>
  <c r="DE11" i="14"/>
  <c r="FG12" i="14"/>
  <c r="Y13" i="14"/>
  <c r="HI13" i="14"/>
  <c r="BC14" i="14"/>
  <c r="DE15" i="14"/>
  <c r="FG16" i="14"/>
  <c r="Y17" i="14"/>
  <c r="HI17" i="14"/>
  <c r="BC18" i="14"/>
  <c r="FP19" i="14"/>
  <c r="S14" i="8" l="1"/>
  <c r="O44" i="7"/>
  <c r="N103" i="5"/>
  <c r="S24" i="8"/>
  <c r="M103" i="5"/>
  <c r="S36" i="8"/>
  <c r="N14" i="7"/>
  <c r="S44" i="8"/>
  <c r="S4" i="8"/>
  <c r="O12" i="7"/>
  <c r="S11" i="8"/>
  <c r="N101" i="5"/>
  <c r="N42" i="7"/>
  <c r="O34" i="7"/>
  <c r="N22" i="7"/>
  <c r="M105" i="5"/>
  <c r="G104" i="5"/>
  <c r="M4" i="7"/>
  <c r="N4" i="7" s="1"/>
  <c r="O47" i="7"/>
  <c r="M3" i="7"/>
  <c r="O3" i="7" s="1"/>
  <c r="M2" i="7"/>
  <c r="M5" i="7"/>
  <c r="N5" i="7" s="1"/>
  <c r="S20" i="8"/>
  <c r="S42" i="8"/>
  <c r="N36" i="7"/>
  <c r="O36" i="7"/>
  <c r="S12" i="8"/>
  <c r="N38" i="7"/>
  <c r="S48" i="8"/>
  <c r="HJ19" i="14"/>
  <c r="HJ6" i="14"/>
  <c r="HJ18" i="14"/>
  <c r="HJ25" i="14"/>
  <c r="HJ27" i="14"/>
  <c r="HJ38" i="14"/>
  <c r="HJ49" i="14"/>
  <c r="O45" i="7"/>
  <c r="N45" i="7"/>
  <c r="O11" i="7"/>
  <c r="N11" i="7"/>
  <c r="O46" i="7"/>
  <c r="N46" i="7"/>
  <c r="O40" i="7"/>
  <c r="N40" i="7"/>
  <c r="O25" i="7"/>
  <c r="N25" i="7"/>
  <c r="O33" i="7"/>
  <c r="N33" i="7"/>
  <c r="HJ3" i="14"/>
  <c r="HJ10" i="14"/>
  <c r="HJ11" i="14"/>
  <c r="HJ22" i="14"/>
  <c r="HJ31" i="14"/>
  <c r="HJ42" i="14"/>
  <c r="HJ46" i="14"/>
  <c r="O37" i="7"/>
  <c r="N37" i="7"/>
  <c r="O17" i="7"/>
  <c r="N17" i="7"/>
  <c r="M100" i="5"/>
  <c r="N26" i="7"/>
  <c r="O26" i="7"/>
  <c r="O24" i="7"/>
  <c r="N24" i="7"/>
  <c r="O32" i="7"/>
  <c r="N32" i="7"/>
  <c r="HJ15" i="14"/>
  <c r="HJ16" i="14"/>
  <c r="HJ35" i="14"/>
  <c r="HJ29" i="14"/>
  <c r="HJ32" i="14"/>
  <c r="HJ47" i="14"/>
  <c r="O21" i="7"/>
  <c r="N21" i="7"/>
  <c r="O9" i="7"/>
  <c r="N9" i="7"/>
  <c r="O23" i="7"/>
  <c r="N23" i="7"/>
  <c r="O31" i="7"/>
  <c r="N31" i="7"/>
  <c r="O6" i="7"/>
  <c r="N6" i="7"/>
  <c r="O15" i="7"/>
  <c r="N15" i="7"/>
  <c r="O8" i="7"/>
  <c r="N8" i="7"/>
  <c r="S2" i="8"/>
  <c r="O29" i="7"/>
  <c r="N29" i="7"/>
  <c r="O16" i="7"/>
  <c r="N16" i="7"/>
  <c r="HJ8" i="14"/>
  <c r="HJ13" i="14"/>
  <c r="HJ20" i="14"/>
  <c r="HJ39" i="14"/>
  <c r="HJ40" i="14"/>
  <c r="HJ44" i="14"/>
  <c r="S18" i="8"/>
  <c r="S26" i="8"/>
  <c r="HJ26" i="14"/>
  <c r="HJ43" i="14"/>
  <c r="N39" i="7"/>
  <c r="O39" i="7"/>
  <c r="HJ5" i="14"/>
  <c r="HJ17" i="14"/>
  <c r="HJ24" i="14"/>
  <c r="HJ30" i="14"/>
  <c r="HJ37" i="14"/>
  <c r="HJ48" i="14"/>
  <c r="O48" i="7"/>
  <c r="N48" i="7"/>
  <c r="O19" i="7"/>
  <c r="N19" i="7"/>
  <c r="S10" i="8"/>
  <c r="N28" i="7"/>
  <c r="O28" i="7"/>
  <c r="N10" i="7"/>
  <c r="O10" i="7"/>
  <c r="O7" i="7"/>
  <c r="N7" i="7"/>
  <c r="HJ7" i="14"/>
  <c r="HJ12" i="14"/>
  <c r="HJ28" i="14"/>
  <c r="HJ50" i="14"/>
  <c r="O35" i="7"/>
  <c r="N35" i="7"/>
  <c r="HJ4" i="14"/>
  <c r="HJ23" i="14"/>
  <c r="HJ33" i="14"/>
  <c r="HJ36" i="14"/>
  <c r="HJ51" i="14"/>
  <c r="N50" i="3" s="1"/>
  <c r="O50" i="3" s="1"/>
  <c r="O13" i="7"/>
  <c r="N13" i="7"/>
  <c r="O27" i="7"/>
  <c r="N27" i="7"/>
  <c r="HJ9" i="14"/>
  <c r="HJ14" i="14"/>
  <c r="HJ21" i="14"/>
  <c r="HJ34" i="14"/>
  <c r="HJ41" i="14"/>
  <c r="HJ45" i="14"/>
  <c r="O43" i="7"/>
  <c r="N43" i="7"/>
  <c r="O49" i="7"/>
  <c r="N49" i="7"/>
  <c r="N20" i="7"/>
  <c r="O20" i="7"/>
  <c r="O41" i="7"/>
  <c r="N41" i="7"/>
  <c r="N105" i="5"/>
  <c r="H104" i="5"/>
  <c r="N13" i="3" l="1"/>
  <c r="O13" i="3" s="1"/>
  <c r="H15" i="6"/>
  <c r="N32" i="3"/>
  <c r="O32" i="3" s="1"/>
  <c r="H34" i="6"/>
  <c r="N6" i="3"/>
  <c r="O6" i="3" s="1"/>
  <c r="H8" i="6"/>
  <c r="N16" i="3"/>
  <c r="O16" i="3" s="1"/>
  <c r="H18" i="6"/>
  <c r="N43" i="3"/>
  <c r="O43" i="3" s="1"/>
  <c r="H45" i="6"/>
  <c r="N2" i="3"/>
  <c r="O2" i="3" s="1"/>
  <c r="H4" i="6"/>
  <c r="N24" i="3"/>
  <c r="O24" i="3" s="1"/>
  <c r="H26" i="6"/>
  <c r="N28" i="3"/>
  <c r="O28" i="3" s="1"/>
  <c r="H30" i="6"/>
  <c r="N44" i="3"/>
  <c r="O44" i="3" s="1"/>
  <c r="H46" i="6"/>
  <c r="N12" i="3"/>
  <c r="O12" i="3" s="1"/>
  <c r="H14" i="6"/>
  <c r="N49" i="3"/>
  <c r="O49" i="3" s="1"/>
  <c r="H51" i="6"/>
  <c r="N7" i="3"/>
  <c r="O7" i="3" s="1"/>
  <c r="H9" i="6"/>
  <c r="N20" i="3"/>
  <c r="O20" i="3" s="1"/>
  <c r="H22" i="6"/>
  <c r="N11" i="3"/>
  <c r="O11" i="3" s="1"/>
  <c r="H13" i="6"/>
  <c r="N9" i="3"/>
  <c r="O9" i="3" s="1"/>
  <c r="H11" i="6"/>
  <c r="N8" i="3"/>
  <c r="O8" i="3" s="1"/>
  <c r="H10" i="6"/>
  <c r="N22" i="3"/>
  <c r="O22" i="3" s="1"/>
  <c r="H24" i="6"/>
  <c r="N4" i="3"/>
  <c r="O4" i="3" s="1"/>
  <c r="H6" i="6"/>
  <c r="N39" i="3"/>
  <c r="O39" i="3" s="1"/>
  <c r="H41" i="6"/>
  <c r="N46" i="3"/>
  <c r="O46" i="3" s="1"/>
  <c r="H48" i="6"/>
  <c r="N17" i="3"/>
  <c r="O17" i="3" s="1"/>
  <c r="H19" i="6"/>
  <c r="N18" i="3"/>
  <c r="O18" i="3" s="1"/>
  <c r="H20" i="6"/>
  <c r="N47" i="3"/>
  <c r="O47" i="3" s="1"/>
  <c r="H49" i="6"/>
  <c r="N34" i="3"/>
  <c r="O34" i="3" s="1"/>
  <c r="H36" i="6"/>
  <c r="N40" i="3"/>
  <c r="O40" i="3" s="1"/>
  <c r="H42" i="6"/>
  <c r="N36" i="3"/>
  <c r="O36" i="3" s="1"/>
  <c r="H38" i="6"/>
  <c r="N15" i="3"/>
  <c r="O15" i="3" s="1"/>
  <c r="H17" i="6"/>
  <c r="N35" i="3"/>
  <c r="O35" i="3" s="1"/>
  <c r="H37" i="6"/>
  <c r="N23" i="3"/>
  <c r="O23" i="3" s="1"/>
  <c r="H25" i="6"/>
  <c r="N26" i="3"/>
  <c r="O26" i="3" s="1"/>
  <c r="H28" i="6"/>
  <c r="N3" i="3"/>
  <c r="O3" i="3" s="1"/>
  <c r="H5" i="6"/>
  <c r="N38" i="3"/>
  <c r="O38" i="3" s="1"/>
  <c r="H40" i="6"/>
  <c r="N31" i="3"/>
  <c r="O31" i="3" s="1"/>
  <c r="H33" i="6"/>
  <c r="N45" i="3"/>
  <c r="O45" i="3" s="1"/>
  <c r="H47" i="6"/>
  <c r="N5" i="3"/>
  <c r="O5" i="3" s="1"/>
  <c r="H7" i="6"/>
  <c r="B5" i="9"/>
  <c r="N19" i="3"/>
  <c r="O19" i="3" s="1"/>
  <c r="H21" i="6"/>
  <c r="N41" i="3"/>
  <c r="O41" i="3" s="1"/>
  <c r="H43" i="6"/>
  <c r="N42" i="3"/>
  <c r="O42" i="3" s="1"/>
  <c r="H44" i="6"/>
  <c r="N30" i="3"/>
  <c r="O30" i="3" s="1"/>
  <c r="H32" i="6"/>
  <c r="N25" i="3"/>
  <c r="O25" i="3" s="1"/>
  <c r="H27" i="6"/>
  <c r="N21" i="3"/>
  <c r="O21" i="3" s="1"/>
  <c r="H23" i="6"/>
  <c r="N48" i="3"/>
  <c r="O48" i="3" s="1"/>
  <c r="H50" i="6"/>
  <c r="N33" i="3"/>
  <c r="O33" i="3" s="1"/>
  <c r="H35" i="6"/>
  <c r="N27" i="3"/>
  <c r="O27" i="3" s="1"/>
  <c r="H29" i="6"/>
  <c r="N29" i="3"/>
  <c r="O29" i="3" s="1"/>
  <c r="H31" i="6"/>
  <c r="N14" i="3"/>
  <c r="O14" i="3" s="1"/>
  <c r="H16" i="6"/>
  <c r="N10" i="3"/>
  <c r="O10" i="3" s="1"/>
  <c r="H12" i="6"/>
  <c r="N37" i="3"/>
  <c r="O37" i="3" s="1"/>
  <c r="H39" i="6"/>
  <c r="O5" i="7"/>
  <c r="B10" i="9"/>
  <c r="O2" i="7"/>
  <c r="B2" i="9"/>
  <c r="B11" i="9"/>
  <c r="O4" i="7"/>
  <c r="N3" i="7"/>
  <c r="B6" i="9"/>
  <c r="G6" i="9" s="1"/>
  <c r="N2" i="7"/>
  <c r="B13" i="9"/>
  <c r="B7" i="9"/>
  <c r="B3" i="9"/>
  <c r="B8" i="9"/>
  <c r="B12" i="9"/>
  <c r="B4" i="9"/>
  <c r="F4" i="9" s="1"/>
  <c r="B9" i="9"/>
  <c r="G9" i="9" s="1"/>
  <c r="T13" i="8"/>
  <c r="T36" i="8"/>
  <c r="T20" i="8"/>
  <c r="M89" i="5"/>
  <c r="G88" i="5"/>
  <c r="N84" i="5"/>
  <c r="M81" i="5"/>
  <c r="G80" i="5"/>
  <c r="N76" i="5"/>
  <c r="N87" i="5"/>
  <c r="M84" i="5"/>
  <c r="G83" i="5"/>
  <c r="N79" i="5"/>
  <c r="M76" i="5"/>
  <c r="G75" i="5"/>
  <c r="H89" i="5"/>
  <c r="M87" i="5"/>
  <c r="G86" i="5"/>
  <c r="M79" i="5"/>
  <c r="G78" i="5"/>
  <c r="N74" i="5"/>
  <c r="G89" i="5"/>
  <c r="N85" i="5"/>
  <c r="M82" i="5"/>
  <c r="G81" i="5"/>
  <c r="N77" i="5"/>
  <c r="M74" i="5"/>
  <c r="H84" i="5"/>
  <c r="H76" i="5"/>
  <c r="H87" i="5"/>
  <c r="M85" i="5"/>
  <c r="G84" i="5"/>
  <c r="H79" i="5"/>
  <c r="M77" i="5"/>
  <c r="G76" i="5"/>
  <c r="N91" i="5" s="1"/>
  <c r="H85" i="5"/>
  <c r="M83" i="5"/>
  <c r="G82" i="5"/>
  <c r="H77" i="5"/>
  <c r="M75" i="5"/>
  <c r="G74" i="5"/>
  <c r="M86" i="5"/>
  <c r="M78" i="5"/>
  <c r="H74" i="5"/>
  <c r="N89" i="5"/>
  <c r="G85" i="5"/>
  <c r="M88" i="5"/>
  <c r="M80" i="5"/>
  <c r="G77" i="5"/>
  <c r="G87" i="5"/>
  <c r="M96" i="5" s="1"/>
  <c r="G79" i="5"/>
  <c r="G7" i="9"/>
  <c r="F7" i="9"/>
  <c r="E7" i="9"/>
  <c r="D7" i="9"/>
  <c r="C7" i="9"/>
  <c r="T5" i="8"/>
  <c r="C6" i="9"/>
  <c r="G8" i="9"/>
  <c r="F8" i="9"/>
  <c r="E8" i="9"/>
  <c r="D8" i="9"/>
  <c r="C8" i="9"/>
  <c r="G12" i="9"/>
  <c r="F12" i="9"/>
  <c r="E12" i="9"/>
  <c r="D12" i="9"/>
  <c r="C12" i="9"/>
  <c r="T37" i="8"/>
  <c r="C9" i="9"/>
  <c r="G5" i="9"/>
  <c r="F5" i="9"/>
  <c r="E5" i="9"/>
  <c r="D5" i="9"/>
  <c r="C5" i="9"/>
  <c r="P33" i="3"/>
  <c r="P40" i="3"/>
  <c r="P23" i="3"/>
  <c r="P13" i="3"/>
  <c r="P20" i="3"/>
  <c r="P35" i="3"/>
  <c r="T28" i="8"/>
  <c r="G2" i="9"/>
  <c r="F2" i="9"/>
  <c r="E2" i="9"/>
  <c r="D2" i="9"/>
  <c r="C2" i="9"/>
  <c r="G13" i="9"/>
  <c r="F13" i="9"/>
  <c r="E13" i="9"/>
  <c r="D13" i="9"/>
  <c r="C13" i="9"/>
  <c r="T12" i="8"/>
  <c r="G10" i="9"/>
  <c r="F10" i="9"/>
  <c r="E10" i="9"/>
  <c r="D10" i="9"/>
  <c r="C10" i="9"/>
  <c r="G11" i="9"/>
  <c r="F11" i="9"/>
  <c r="E11" i="9"/>
  <c r="D11" i="9"/>
  <c r="C11" i="9"/>
  <c r="T49" i="8"/>
  <c r="T41" i="8"/>
  <c r="T33" i="8"/>
  <c r="T25" i="8"/>
  <c r="T17" i="8"/>
  <c r="T48" i="8"/>
  <c r="T40" i="8"/>
  <c r="T32" i="8"/>
  <c r="T24" i="8"/>
  <c r="T16" i="8"/>
  <c r="T8" i="8"/>
  <c r="T18" i="8"/>
  <c r="T26" i="8"/>
  <c r="T34" i="8"/>
  <c r="T42" i="8"/>
  <c r="T10" i="8"/>
  <c r="T9" i="8"/>
  <c r="T14" i="8"/>
  <c r="T6" i="8"/>
  <c r="T35" i="8"/>
  <c r="T11" i="8"/>
  <c r="T7" i="8"/>
  <c r="T46" i="8"/>
  <c r="T39" i="8"/>
  <c r="T2" i="8"/>
  <c r="T44" i="8"/>
  <c r="T15" i="8"/>
  <c r="T19" i="8"/>
  <c r="T22" i="8"/>
  <c r="T21" i="8"/>
  <c r="T30" i="8"/>
  <c r="T43" i="8"/>
  <c r="T27" i="8"/>
  <c r="T23" i="8"/>
  <c r="T38" i="8"/>
  <c r="T47" i="8"/>
  <c r="T31" i="8"/>
  <c r="T3" i="8"/>
  <c r="T29" i="8"/>
  <c r="G3" i="9"/>
  <c r="F3" i="9"/>
  <c r="E3" i="9"/>
  <c r="D3" i="9"/>
  <c r="C3" i="9"/>
  <c r="T4" i="8"/>
  <c r="T45" i="8"/>
  <c r="P37" i="3" l="1"/>
  <c r="P27" i="3"/>
  <c r="P25" i="3"/>
  <c r="P24" i="3"/>
  <c r="P22" i="3"/>
  <c r="P42" i="3"/>
  <c r="P21" i="3"/>
  <c r="P31" i="3"/>
  <c r="P46" i="3"/>
  <c r="P41" i="3"/>
  <c r="D9" i="9"/>
  <c r="D6" i="9"/>
  <c r="P36" i="3"/>
  <c r="P34" i="3"/>
  <c r="P50" i="3"/>
  <c r="P29" i="3"/>
  <c r="P39" i="3"/>
  <c r="P11" i="3"/>
  <c r="P49" i="3"/>
  <c r="E9" i="9"/>
  <c r="E6" i="9"/>
  <c r="P4" i="3"/>
  <c r="P6" i="3"/>
  <c r="P9" i="3"/>
  <c r="P47" i="3"/>
  <c r="P16" i="3"/>
  <c r="F9" i="9"/>
  <c r="F6" i="9"/>
  <c r="P2" i="3"/>
  <c r="P18" i="3"/>
  <c r="P14" i="3"/>
  <c r="P45" i="3"/>
  <c r="P30" i="3"/>
  <c r="P32" i="3"/>
  <c r="P28" i="3"/>
  <c r="P12" i="3"/>
  <c r="P26" i="3"/>
  <c r="P7" i="3"/>
  <c r="P38" i="3"/>
  <c r="P48" i="3"/>
  <c r="P3" i="3"/>
  <c r="A21" i="3" s="1"/>
  <c r="P43" i="3"/>
  <c r="P10" i="3"/>
  <c r="P8" i="3"/>
  <c r="P17" i="3"/>
  <c r="G4" i="9"/>
  <c r="M92" i="5"/>
  <c r="P19" i="3"/>
  <c r="P44" i="3"/>
  <c r="P5" i="3"/>
  <c r="A40" i="3" s="1"/>
  <c r="P15" i="3"/>
  <c r="M94" i="5"/>
  <c r="N94" i="5"/>
  <c r="M91" i="5"/>
  <c r="N96" i="5"/>
  <c r="C4" i="9"/>
  <c r="D4" i="9"/>
  <c r="H5" i="9" s="1"/>
  <c r="I5" i="9" s="1"/>
  <c r="E4" i="9"/>
  <c r="N92" i="5"/>
  <c r="C22" i="3"/>
  <c r="C21" i="3"/>
  <c r="A46" i="3"/>
  <c r="A34" i="3"/>
  <c r="C42" i="3"/>
  <c r="C34" i="3"/>
  <c r="A3" i="3"/>
  <c r="D33" i="3"/>
  <c r="D17" i="3"/>
  <c r="C49" i="8"/>
  <c r="C41" i="8"/>
  <c r="C33" i="8"/>
  <c r="C25" i="8"/>
  <c r="C17" i="8"/>
  <c r="C48" i="8"/>
  <c r="C40" i="8"/>
  <c r="C32" i="8"/>
  <c r="C24" i="8"/>
  <c r="C47" i="8"/>
  <c r="C39" i="8"/>
  <c r="C31" i="8"/>
  <c r="C23" i="8"/>
  <c r="C15" i="8"/>
  <c r="C7" i="8"/>
  <c r="C46" i="8"/>
  <c r="C38" i="8"/>
  <c r="C30" i="8"/>
  <c r="C22" i="8"/>
  <c r="C14" i="8"/>
  <c r="C6" i="8"/>
  <c r="C45" i="8"/>
  <c r="C37" i="8"/>
  <c r="C29" i="8"/>
  <c r="C21" i="8"/>
  <c r="C13" i="8"/>
  <c r="C5" i="8"/>
  <c r="C44" i="8"/>
  <c r="C36" i="8"/>
  <c r="C28" i="8"/>
  <c r="C20" i="8"/>
  <c r="C12" i="8"/>
  <c r="C4" i="8"/>
  <c r="C43" i="8"/>
  <c r="C35" i="8"/>
  <c r="C27" i="8"/>
  <c r="C19" i="8"/>
  <c r="C11" i="8"/>
  <c r="C3" i="8"/>
  <c r="C26" i="8"/>
  <c r="C34" i="8"/>
  <c r="C42" i="8"/>
  <c r="C16" i="8"/>
  <c r="C2" i="8"/>
  <c r="C10" i="8"/>
  <c r="C18" i="8"/>
  <c r="C9" i="8"/>
  <c r="C8" i="8"/>
  <c r="A35" i="3" l="1"/>
  <c r="D44" i="3"/>
  <c r="A8" i="3"/>
  <c r="H9" i="9"/>
  <c r="I9" i="9" s="1"/>
  <c r="A20" i="3"/>
  <c r="H13" i="9"/>
  <c r="I13" i="9" s="1"/>
  <c r="C43" i="3"/>
  <c r="D38" i="3"/>
  <c r="H10" i="9"/>
  <c r="I10" i="9" s="1"/>
  <c r="A42" i="3"/>
  <c r="D26" i="3"/>
  <c r="C46" i="3"/>
  <c r="D15" i="3"/>
  <c r="A27" i="3"/>
  <c r="A36" i="3"/>
  <c r="C8" i="3"/>
  <c r="C16" i="3"/>
  <c r="C49" i="3"/>
  <c r="D3" i="3"/>
  <c r="A6" i="3"/>
  <c r="C3" i="3"/>
  <c r="C27" i="3"/>
  <c r="D50" i="3"/>
  <c r="C5" i="3"/>
  <c r="D28" i="3"/>
  <c r="A47" i="3"/>
  <c r="C38" i="3"/>
  <c r="D13" i="3"/>
  <c r="D6" i="3"/>
  <c r="C23" i="3"/>
  <c r="D46" i="3"/>
  <c r="H12" i="9"/>
  <c r="I12" i="9" s="1"/>
  <c r="C33" i="3"/>
  <c r="D2" i="3"/>
  <c r="D10" i="3"/>
  <c r="D24" i="3"/>
  <c r="D39" i="3"/>
  <c r="C50" i="3"/>
  <c r="C18" i="3"/>
  <c r="C20" i="3"/>
  <c r="C2" i="3"/>
  <c r="C9" i="3"/>
  <c r="D9" i="3"/>
  <c r="A5" i="3"/>
  <c r="A29" i="3"/>
  <c r="C28" i="3"/>
  <c r="A7" i="3"/>
  <c r="C29" i="3"/>
  <c r="D43" i="3"/>
  <c r="D45" i="3"/>
  <c r="D21" i="3"/>
  <c r="C7" i="3"/>
  <c r="A25" i="3"/>
  <c r="C47" i="3"/>
  <c r="H2" i="9"/>
  <c r="I2" i="9" s="1"/>
  <c r="C39" i="3"/>
  <c r="D47" i="3"/>
  <c r="D4" i="3"/>
  <c r="D22" i="3"/>
  <c r="A50" i="3"/>
  <c r="A44" i="3"/>
  <c r="C4" i="3"/>
  <c r="C41" i="3"/>
  <c r="C26" i="3"/>
  <c r="C25" i="3"/>
  <c r="C11" i="3"/>
  <c r="D11" i="3"/>
  <c r="A10" i="3"/>
  <c r="D34" i="3"/>
  <c r="D35" i="3"/>
  <c r="C10" i="3"/>
  <c r="A31" i="3"/>
  <c r="C6" i="3"/>
  <c r="A48" i="3"/>
  <c r="A24" i="3"/>
  <c r="A9" i="3"/>
  <c r="D30" i="3"/>
  <c r="A49" i="3"/>
  <c r="H11" i="9"/>
  <c r="I11" i="9" s="1"/>
  <c r="D7" i="3"/>
  <c r="A45" i="3"/>
  <c r="C30" i="3"/>
  <c r="C24" i="3"/>
  <c r="A26" i="3"/>
  <c r="C12" i="3"/>
  <c r="C48" i="3"/>
  <c r="D40" i="3"/>
  <c r="C32" i="3"/>
  <c r="A18" i="3"/>
  <c r="A22" i="3"/>
  <c r="A13" i="3"/>
  <c r="C35" i="3"/>
  <c r="C44" i="3"/>
  <c r="C13" i="3"/>
  <c r="D36" i="3"/>
  <c r="A11" i="3"/>
  <c r="A30" i="3"/>
  <c r="D29" i="3"/>
  <c r="A12" i="3"/>
  <c r="C31" i="3"/>
  <c r="H8" i="9"/>
  <c r="I8" i="9" s="1"/>
  <c r="H7" i="9"/>
  <c r="I7" i="9" s="1"/>
  <c r="C40" i="3"/>
  <c r="A2" i="3"/>
  <c r="C45" i="3"/>
  <c r="D41" i="3"/>
  <c r="A43" i="3"/>
  <c r="A19" i="3"/>
  <c r="C17" i="3"/>
  <c r="D12" i="3"/>
  <c r="D49" i="3"/>
  <c r="D19" i="3"/>
  <c r="D25" i="3"/>
  <c r="D18" i="3"/>
  <c r="A37" i="3"/>
  <c r="D27" i="3"/>
  <c r="A15" i="3"/>
  <c r="C37" i="3"/>
  <c r="C14" i="3"/>
  <c r="A38" i="3"/>
  <c r="A32" i="3"/>
  <c r="D14" i="3"/>
  <c r="A33" i="3"/>
  <c r="H3" i="9"/>
  <c r="I3" i="9" s="1"/>
  <c r="H6" i="9"/>
  <c r="I6" i="9" s="1"/>
  <c r="A17" i="3"/>
  <c r="D48" i="3"/>
  <c r="A23" i="3"/>
  <c r="A41" i="3"/>
  <c r="H4" i="9"/>
  <c r="I4" i="9" s="1"/>
  <c r="A14" i="3"/>
  <c r="A4" i="3"/>
  <c r="D23" i="3"/>
  <c r="D31" i="3"/>
  <c r="D16" i="3"/>
  <c r="D8" i="3"/>
  <c r="A28" i="3"/>
  <c r="D32" i="3"/>
  <c r="C19" i="3"/>
  <c r="D42" i="3"/>
  <c r="C36" i="3"/>
  <c r="D20" i="3"/>
  <c r="A39" i="3"/>
  <c r="A16" i="3"/>
  <c r="D5" i="3"/>
  <c r="D37" i="3"/>
  <c r="C15" i="3"/>
  <c r="B3" i="3"/>
  <c r="K25" i="8"/>
  <c r="J25" i="8"/>
  <c r="I25" i="8"/>
  <c r="H25" i="8"/>
  <c r="G25" i="8"/>
  <c r="F25" i="8"/>
  <c r="E25" i="8"/>
  <c r="L25" i="8"/>
  <c r="D25" i="8"/>
  <c r="J16" i="8"/>
  <c r="I16" i="8"/>
  <c r="H16" i="8"/>
  <c r="G16" i="8"/>
  <c r="F16" i="8"/>
  <c r="E16" i="8"/>
  <c r="D16" i="8"/>
  <c r="L16" i="8"/>
  <c r="K16" i="8"/>
  <c r="I35" i="8"/>
  <c r="H35" i="8"/>
  <c r="G35" i="8"/>
  <c r="F35" i="8"/>
  <c r="E35" i="8"/>
  <c r="L35" i="8"/>
  <c r="D35" i="8"/>
  <c r="K35" i="8"/>
  <c r="J35" i="8"/>
  <c r="K5" i="8"/>
  <c r="J5" i="8"/>
  <c r="I5" i="8"/>
  <c r="L5" i="8"/>
  <c r="H5" i="8"/>
  <c r="G5" i="8"/>
  <c r="F5" i="8"/>
  <c r="E5" i="8"/>
  <c r="D5" i="8"/>
  <c r="F22" i="8"/>
  <c r="E22" i="8"/>
  <c r="L22" i="8"/>
  <c r="D22" i="8"/>
  <c r="K22" i="8"/>
  <c r="J22" i="8"/>
  <c r="I22" i="8"/>
  <c r="H22" i="8"/>
  <c r="G22" i="8"/>
  <c r="E39" i="8"/>
  <c r="L39" i="8"/>
  <c r="D39" i="8"/>
  <c r="K39" i="8"/>
  <c r="J39" i="8"/>
  <c r="I39" i="8"/>
  <c r="H39" i="8"/>
  <c r="G39" i="8"/>
  <c r="F39" i="8"/>
  <c r="K33" i="8"/>
  <c r="J33" i="8"/>
  <c r="I33" i="8"/>
  <c r="H33" i="8"/>
  <c r="G33" i="8"/>
  <c r="F33" i="8"/>
  <c r="E33" i="8"/>
  <c r="L33" i="8"/>
  <c r="D33" i="8"/>
  <c r="L14" i="8"/>
  <c r="D14" i="8"/>
  <c r="K14" i="8"/>
  <c r="J14" i="8"/>
  <c r="I14" i="8"/>
  <c r="H14" i="8"/>
  <c r="G14" i="8"/>
  <c r="F14" i="8"/>
  <c r="E14" i="8"/>
  <c r="J42" i="8"/>
  <c r="I42" i="8"/>
  <c r="H42" i="8"/>
  <c r="G42" i="8"/>
  <c r="F42" i="8"/>
  <c r="E42" i="8"/>
  <c r="L42" i="8"/>
  <c r="D42" i="8"/>
  <c r="K42" i="8"/>
  <c r="I43" i="8"/>
  <c r="H43" i="8"/>
  <c r="G43" i="8"/>
  <c r="F43" i="8"/>
  <c r="E43" i="8"/>
  <c r="L43" i="8"/>
  <c r="D43" i="8"/>
  <c r="K43" i="8"/>
  <c r="J43" i="8"/>
  <c r="E13" i="8"/>
  <c r="L13" i="8"/>
  <c r="D13" i="8"/>
  <c r="K13" i="8"/>
  <c r="J13" i="8"/>
  <c r="I13" i="8"/>
  <c r="H13" i="8"/>
  <c r="G13" i="8"/>
  <c r="F13" i="8"/>
  <c r="F30" i="8"/>
  <c r="E30" i="8"/>
  <c r="L30" i="8"/>
  <c r="D30" i="8"/>
  <c r="K30" i="8"/>
  <c r="J30" i="8"/>
  <c r="I30" i="8"/>
  <c r="H30" i="8"/>
  <c r="G30" i="8"/>
  <c r="E47" i="8"/>
  <c r="L47" i="8"/>
  <c r="D47" i="8"/>
  <c r="K47" i="8"/>
  <c r="J47" i="8"/>
  <c r="I47" i="8"/>
  <c r="H47" i="8"/>
  <c r="G47" i="8"/>
  <c r="F47" i="8"/>
  <c r="K41" i="8"/>
  <c r="J41" i="8"/>
  <c r="I41" i="8"/>
  <c r="H41" i="8"/>
  <c r="G41" i="8"/>
  <c r="F41" i="8"/>
  <c r="E41" i="8"/>
  <c r="L41" i="8"/>
  <c r="D41" i="8"/>
  <c r="J34" i="8"/>
  <c r="I34" i="8"/>
  <c r="H34" i="8"/>
  <c r="G34" i="8"/>
  <c r="F34" i="8"/>
  <c r="E34" i="8"/>
  <c r="L34" i="8"/>
  <c r="D34" i="8"/>
  <c r="K34" i="8"/>
  <c r="K4" i="8"/>
  <c r="J4" i="8"/>
  <c r="G4" i="8"/>
  <c r="F4" i="8"/>
  <c r="E4" i="8"/>
  <c r="D4" i="8"/>
  <c r="L4" i="8"/>
  <c r="I4" i="8"/>
  <c r="H4" i="8"/>
  <c r="G21" i="8"/>
  <c r="F21" i="8"/>
  <c r="E21" i="8"/>
  <c r="L21" i="8"/>
  <c r="D21" i="8"/>
  <c r="K21" i="8"/>
  <c r="J21" i="8"/>
  <c r="I21" i="8"/>
  <c r="H21" i="8"/>
  <c r="F38" i="8"/>
  <c r="E38" i="8"/>
  <c r="L38" i="8"/>
  <c r="D38" i="8"/>
  <c r="K38" i="8"/>
  <c r="J38" i="8"/>
  <c r="I38" i="8"/>
  <c r="H38" i="8"/>
  <c r="G38" i="8"/>
  <c r="L24" i="8"/>
  <c r="D24" i="8"/>
  <c r="K24" i="8"/>
  <c r="J24" i="8"/>
  <c r="I24" i="8"/>
  <c r="H24" i="8"/>
  <c r="G24" i="8"/>
  <c r="F24" i="8"/>
  <c r="E24" i="8"/>
  <c r="K49" i="8"/>
  <c r="J49" i="8"/>
  <c r="I49" i="8"/>
  <c r="H49" i="8"/>
  <c r="G49" i="8"/>
  <c r="F49" i="8"/>
  <c r="E49" i="8"/>
  <c r="L49" i="8"/>
  <c r="D49" i="8"/>
  <c r="H44" i="8"/>
  <c r="G44" i="8"/>
  <c r="F44" i="8"/>
  <c r="E44" i="8"/>
  <c r="L44" i="8"/>
  <c r="D44" i="8"/>
  <c r="K44" i="8"/>
  <c r="J44" i="8"/>
  <c r="I44" i="8"/>
  <c r="J8" i="8"/>
  <c r="I8" i="8"/>
  <c r="H8" i="8"/>
  <c r="G8" i="8"/>
  <c r="F8" i="8"/>
  <c r="L8" i="8"/>
  <c r="K8" i="8"/>
  <c r="E8" i="8"/>
  <c r="D8" i="8"/>
  <c r="J26" i="8"/>
  <c r="I26" i="8"/>
  <c r="H26" i="8"/>
  <c r="G26" i="8"/>
  <c r="F26" i="8"/>
  <c r="E26" i="8"/>
  <c r="L26" i="8"/>
  <c r="D26" i="8"/>
  <c r="K26" i="8"/>
  <c r="F12" i="8"/>
  <c r="E12" i="8"/>
  <c r="L12" i="8"/>
  <c r="D12" i="8"/>
  <c r="K12" i="8"/>
  <c r="J12" i="8"/>
  <c r="I12" i="8"/>
  <c r="H12" i="8"/>
  <c r="G12" i="8"/>
  <c r="G29" i="8"/>
  <c r="F29" i="8"/>
  <c r="E29" i="8"/>
  <c r="L29" i="8"/>
  <c r="D29" i="8"/>
  <c r="K29" i="8"/>
  <c r="J29" i="8"/>
  <c r="I29" i="8"/>
  <c r="H29" i="8"/>
  <c r="F46" i="8"/>
  <c r="E46" i="8"/>
  <c r="L46" i="8"/>
  <c r="D46" i="8"/>
  <c r="K46" i="8"/>
  <c r="J46" i="8"/>
  <c r="I46" i="8"/>
  <c r="H46" i="8"/>
  <c r="G46" i="8"/>
  <c r="L32" i="8"/>
  <c r="D32" i="8"/>
  <c r="K32" i="8"/>
  <c r="J32" i="8"/>
  <c r="I32" i="8"/>
  <c r="H32" i="8"/>
  <c r="G32" i="8"/>
  <c r="F32" i="8"/>
  <c r="E32" i="8"/>
  <c r="E2" i="8"/>
  <c r="L2" i="8"/>
  <c r="D2" i="8"/>
  <c r="K2" i="8"/>
  <c r="J2" i="8"/>
  <c r="I2" i="8"/>
  <c r="H2" i="8"/>
  <c r="G2" i="8"/>
  <c r="F2" i="8"/>
  <c r="I9" i="8"/>
  <c r="H9" i="8"/>
  <c r="G9" i="8"/>
  <c r="F9" i="8"/>
  <c r="E9" i="8"/>
  <c r="L9" i="8"/>
  <c r="K9" i="8"/>
  <c r="J9" i="8"/>
  <c r="D9" i="8"/>
  <c r="K3" i="8"/>
  <c r="E3" i="8"/>
  <c r="D3" i="8"/>
  <c r="L3" i="8"/>
  <c r="J3" i="8"/>
  <c r="I3" i="8"/>
  <c r="H3" i="8"/>
  <c r="G3" i="8"/>
  <c r="F3" i="8"/>
  <c r="H20" i="8"/>
  <c r="G20" i="8"/>
  <c r="F20" i="8"/>
  <c r="E20" i="8"/>
  <c r="L20" i="8"/>
  <c r="D20" i="8"/>
  <c r="K20" i="8"/>
  <c r="J20" i="8"/>
  <c r="I20" i="8"/>
  <c r="G37" i="8"/>
  <c r="F37" i="8"/>
  <c r="E37" i="8"/>
  <c r="L37" i="8"/>
  <c r="D37" i="8"/>
  <c r="K37" i="8"/>
  <c r="J37" i="8"/>
  <c r="I37" i="8"/>
  <c r="H37" i="8"/>
  <c r="K7" i="8"/>
  <c r="J7" i="8"/>
  <c r="I7" i="8"/>
  <c r="H7" i="8"/>
  <c r="G7" i="8"/>
  <c r="L7" i="8"/>
  <c r="F7" i="8"/>
  <c r="E7" i="8"/>
  <c r="D7" i="8"/>
  <c r="L40" i="8"/>
  <c r="D40" i="8"/>
  <c r="K40" i="8"/>
  <c r="J40" i="8"/>
  <c r="I40" i="8"/>
  <c r="H40" i="8"/>
  <c r="G40" i="8"/>
  <c r="F40" i="8"/>
  <c r="E40" i="8"/>
  <c r="B4" i="3"/>
  <c r="E31" i="8"/>
  <c r="L31" i="8"/>
  <c r="D31" i="8"/>
  <c r="K31" i="8"/>
  <c r="J31" i="8"/>
  <c r="I31" i="8"/>
  <c r="H31" i="8"/>
  <c r="G31" i="8"/>
  <c r="F31" i="8"/>
  <c r="J18" i="8"/>
  <c r="I18" i="8"/>
  <c r="H18" i="8"/>
  <c r="G18" i="8"/>
  <c r="F18" i="8"/>
  <c r="E18" i="8"/>
  <c r="L18" i="8"/>
  <c r="D18" i="8"/>
  <c r="K18" i="8"/>
  <c r="G11" i="8"/>
  <c r="F11" i="8"/>
  <c r="E11" i="8"/>
  <c r="L11" i="8"/>
  <c r="D11" i="8"/>
  <c r="K11" i="8"/>
  <c r="J11" i="8"/>
  <c r="I11" i="8"/>
  <c r="H11" i="8"/>
  <c r="H28" i="8"/>
  <c r="G28" i="8"/>
  <c r="F28" i="8"/>
  <c r="E28" i="8"/>
  <c r="L28" i="8"/>
  <c r="D28" i="8"/>
  <c r="K28" i="8"/>
  <c r="J28" i="8"/>
  <c r="I28" i="8"/>
  <c r="G45" i="8"/>
  <c r="F45" i="8"/>
  <c r="E45" i="8"/>
  <c r="L45" i="8"/>
  <c r="D45" i="8"/>
  <c r="K45" i="8"/>
  <c r="J45" i="8"/>
  <c r="I45" i="8"/>
  <c r="H45" i="8"/>
  <c r="K15" i="8"/>
  <c r="J15" i="8"/>
  <c r="I15" i="8"/>
  <c r="H15" i="8"/>
  <c r="G15" i="8"/>
  <c r="D15" i="8"/>
  <c r="L15" i="8"/>
  <c r="F15" i="8"/>
  <c r="E15" i="8"/>
  <c r="L48" i="8"/>
  <c r="D48" i="8"/>
  <c r="K48" i="8"/>
  <c r="J48" i="8"/>
  <c r="I48" i="8"/>
  <c r="H48" i="8"/>
  <c r="G48" i="8"/>
  <c r="F48" i="8"/>
  <c r="E48" i="8"/>
  <c r="I27" i="8"/>
  <c r="H27" i="8"/>
  <c r="G27" i="8"/>
  <c r="F27" i="8"/>
  <c r="E27" i="8"/>
  <c r="L27" i="8"/>
  <c r="D27" i="8"/>
  <c r="K27" i="8"/>
  <c r="J27" i="8"/>
  <c r="H10" i="8"/>
  <c r="G10" i="8"/>
  <c r="F10" i="8"/>
  <c r="E10" i="8"/>
  <c r="L10" i="8"/>
  <c r="D10" i="8"/>
  <c r="K10" i="8"/>
  <c r="J10" i="8"/>
  <c r="I10" i="8"/>
  <c r="I19" i="8"/>
  <c r="H19" i="8"/>
  <c r="G19" i="8"/>
  <c r="F19" i="8"/>
  <c r="E19" i="8"/>
  <c r="L19" i="8"/>
  <c r="D19" i="8"/>
  <c r="K19" i="8"/>
  <c r="J19" i="8"/>
  <c r="H36" i="8"/>
  <c r="G36" i="8"/>
  <c r="F36" i="8"/>
  <c r="E36" i="8"/>
  <c r="L36" i="8"/>
  <c r="D36" i="8"/>
  <c r="K36" i="8"/>
  <c r="J36" i="8"/>
  <c r="I36" i="8"/>
  <c r="K6" i="8"/>
  <c r="J6" i="8"/>
  <c r="I6" i="8"/>
  <c r="H6" i="8"/>
  <c r="L6" i="8"/>
  <c r="G6" i="8"/>
  <c r="F6" i="8"/>
  <c r="E6" i="8"/>
  <c r="D6" i="8"/>
  <c r="E23" i="8"/>
  <c r="L23" i="8"/>
  <c r="D23" i="8"/>
  <c r="K23" i="8"/>
  <c r="J23" i="8"/>
  <c r="I23" i="8"/>
  <c r="H23" i="8"/>
  <c r="G23" i="8"/>
  <c r="F23" i="8"/>
  <c r="K17" i="8"/>
  <c r="J17" i="8"/>
  <c r="I17" i="8"/>
  <c r="H17" i="8"/>
  <c r="G17" i="8"/>
  <c r="F17" i="8"/>
  <c r="E17" i="8"/>
  <c r="L17" i="8"/>
  <c r="D17" i="8"/>
  <c r="H2" i="12" l="1"/>
  <c r="E2" i="12" s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G2" i="12" l="1"/>
  <c r="N75" i="5" s="1"/>
  <c r="F2" i="12"/>
  <c r="H75" i="5" s="1"/>
  <c r="M90" i="5" s="1"/>
  <c r="W2" i="12"/>
  <c r="H8" i="12"/>
  <c r="E8" i="12"/>
  <c r="F8" i="12" s="1"/>
  <c r="H86" i="5" s="1"/>
  <c r="M97" i="5" s="1"/>
  <c r="E6" i="12"/>
  <c r="G6" i="12" s="1"/>
  <c r="N82" i="5" s="1"/>
  <c r="H3" i="12"/>
  <c r="E4" i="12"/>
  <c r="G4" i="12" s="1"/>
  <c r="N80" i="5" s="1"/>
  <c r="E7" i="12"/>
  <c r="H9" i="12"/>
  <c r="E5" i="12"/>
  <c r="F5" i="12" s="1"/>
  <c r="H81" i="5" s="1"/>
  <c r="N93" i="5" s="1"/>
  <c r="H7" i="12"/>
  <c r="H6" i="12"/>
  <c r="H4" i="12"/>
  <c r="H5" i="12"/>
  <c r="E3" i="12"/>
  <c r="G3" i="12" s="1"/>
  <c r="N78" i="5" s="1"/>
  <c r="E9" i="12"/>
  <c r="G9" i="12" s="1"/>
  <c r="N88" i="5" s="1"/>
  <c r="F7" i="12" l="1"/>
  <c r="H83" i="5" s="1"/>
  <c r="N95" i="5" s="1"/>
  <c r="G7" i="12"/>
  <c r="N83" i="5" s="1"/>
  <c r="G5" i="12"/>
  <c r="N81" i="5" s="1"/>
  <c r="F4" i="12"/>
  <c r="H80" i="5" s="1"/>
  <c r="M93" i="5" s="1"/>
  <c r="G8" i="12"/>
  <c r="N86" i="5" s="1"/>
  <c r="F9" i="12"/>
  <c r="H88" i="5" s="1"/>
  <c r="N97" i="5" s="1"/>
  <c r="F6" i="12"/>
  <c r="H82" i="5" s="1"/>
  <c r="M95" i="5" s="1"/>
  <c r="F3" i="12"/>
  <c r="H78" i="5" s="1"/>
  <c r="N90" i="5" s="1"/>
</calcChain>
</file>

<file path=xl/sharedStrings.xml><?xml version="1.0" encoding="utf-8"?>
<sst xmlns="http://schemas.openxmlformats.org/spreadsheetml/2006/main" count="6542" uniqueCount="921">
  <si>
    <t>Mundial FIFA 2026 - Calendario y clasificación</t>
  </si>
  <si>
    <t>Uso</t>
  </si>
  <si>
    <t>1</t>
  </si>
  <si>
    <t>Escribe los goles en la hoja Partidos, columnas H e I. Las tablas se recalculan automáticamente.</t>
  </si>
  <si>
    <t>2</t>
  </si>
  <si>
    <t>Las posiciones de grupo están identificadas como A1, A2, A3, A4, etc.</t>
  </si>
  <si>
    <t>3</t>
  </si>
  <si>
    <t>Los cruces de eliminatoria usan placeholders oficiales: 1A, 2B, 3C/D/E, W74, etc.</t>
  </si>
  <si>
    <t>4</t>
  </si>
  <si>
    <t>La hoja Clasificacion calcula puntos, goles y posición básica; al inicio conserva el orden A1-A4 por grupo.</t>
  </si>
  <si>
    <t>5</t>
  </si>
  <si>
    <t>La columna Desempate manual permite resolver empates complejos de FIFA: mayor número = mejor desempate.</t>
  </si>
  <si>
    <t>6</t>
  </si>
  <si>
    <t>Horarios en Eastern Time (ET), como en el calendario de FIFA/CBS.</t>
  </si>
  <si>
    <t>Contenido</t>
  </si>
  <si>
    <t>Equipos_Grupos</t>
  </si>
  <si>
    <t>Listado de grupos, posiciones y códigos.</t>
  </si>
  <si>
    <t>Partidos</t>
  </si>
  <si>
    <t>Los 104 partidos, con columnas para ingresar resultados.</t>
  </si>
  <si>
    <t>Clasificacion</t>
  </si>
  <si>
    <t>Tabla automática por grupo.</t>
  </si>
  <si>
    <t>Mejores_Terceros</t>
  </si>
  <si>
    <t>Ranking automático de los terceros lugares.</t>
  </si>
  <si>
    <t>Llaves</t>
  </si>
  <si>
    <t>Resumen del cuadro eliminatorio con placeholders.</t>
  </si>
  <si>
    <t>Fuentes</t>
  </si>
  <si>
    <t>URLs usadas para armar el archivo.</t>
  </si>
  <si>
    <t>Notas</t>
  </si>
  <si>
    <t>El calendario está sujeto a cambios por FIFA.</t>
  </si>
  <si>
    <t>Grupo</t>
  </si>
  <si>
    <t>Posición</t>
  </si>
  <si>
    <t>Código</t>
  </si>
  <si>
    <t>Equipo</t>
  </si>
  <si>
    <t>A</t>
  </si>
  <si>
    <t>A1</t>
  </si>
  <si>
    <t>MEX</t>
  </si>
  <si>
    <t>México</t>
  </si>
  <si>
    <t>A2</t>
  </si>
  <si>
    <t>RSA</t>
  </si>
  <si>
    <t>Sudáfrica</t>
  </si>
  <si>
    <t>A3</t>
  </si>
  <si>
    <t>KOR</t>
  </si>
  <si>
    <t>Corea República</t>
  </si>
  <si>
    <t>A4</t>
  </si>
  <si>
    <t>CZE</t>
  </si>
  <si>
    <t>Chequia</t>
  </si>
  <si>
    <t>B</t>
  </si>
  <si>
    <t>B1</t>
  </si>
  <si>
    <t>CAN</t>
  </si>
  <si>
    <t>Canadá</t>
  </si>
  <si>
    <t>B2</t>
  </si>
  <si>
    <t>BIH</t>
  </si>
  <si>
    <t>Bosnia y Herzegovina</t>
  </si>
  <si>
    <t>B3</t>
  </si>
  <si>
    <t>QAT</t>
  </si>
  <si>
    <t>Qatar</t>
  </si>
  <si>
    <t>B4</t>
  </si>
  <si>
    <t>SUI</t>
  </si>
  <si>
    <t>Suiza</t>
  </si>
  <si>
    <t>C</t>
  </si>
  <si>
    <t>C1</t>
  </si>
  <si>
    <t>BRA</t>
  </si>
  <si>
    <t>Brasil</t>
  </si>
  <si>
    <t>C2</t>
  </si>
  <si>
    <t>MAR</t>
  </si>
  <si>
    <t>Marruecos</t>
  </si>
  <si>
    <t>C3</t>
  </si>
  <si>
    <t>HAI</t>
  </si>
  <si>
    <t>Haití</t>
  </si>
  <si>
    <t>C4</t>
  </si>
  <si>
    <t>SCO</t>
  </si>
  <si>
    <t>Escocia</t>
  </si>
  <si>
    <t>D</t>
  </si>
  <si>
    <t>D1</t>
  </si>
  <si>
    <t>USA</t>
  </si>
  <si>
    <t>Estados Unidos</t>
  </si>
  <si>
    <t>D2</t>
  </si>
  <si>
    <t>PAR</t>
  </si>
  <si>
    <t>Paraguay</t>
  </si>
  <si>
    <t>D3</t>
  </si>
  <si>
    <t>AUS</t>
  </si>
  <si>
    <t>Australia</t>
  </si>
  <si>
    <t>D4</t>
  </si>
  <si>
    <t>TUR</t>
  </si>
  <si>
    <t>Türkiye</t>
  </si>
  <si>
    <t>E</t>
  </si>
  <si>
    <t>E1</t>
  </si>
  <si>
    <t>GER</t>
  </si>
  <si>
    <t>Alemania</t>
  </si>
  <si>
    <t>E2</t>
  </si>
  <si>
    <t>CUW</t>
  </si>
  <si>
    <t>Curazao</t>
  </si>
  <si>
    <t>E3</t>
  </si>
  <si>
    <t>CIV</t>
  </si>
  <si>
    <t>Costa de Marfil</t>
  </si>
  <si>
    <t>E4</t>
  </si>
  <si>
    <t>ECU</t>
  </si>
  <si>
    <t>Ecuador</t>
  </si>
  <si>
    <t>F</t>
  </si>
  <si>
    <t>F1</t>
  </si>
  <si>
    <t>NED</t>
  </si>
  <si>
    <t>Países Bajos</t>
  </si>
  <si>
    <t>F2</t>
  </si>
  <si>
    <t>JPN</t>
  </si>
  <si>
    <t>Japón</t>
  </si>
  <si>
    <t>F3</t>
  </si>
  <si>
    <t>SWE</t>
  </si>
  <si>
    <t>Suecia</t>
  </si>
  <si>
    <t>F4</t>
  </si>
  <si>
    <t>TUN</t>
  </si>
  <si>
    <t>Túnez</t>
  </si>
  <si>
    <t>G</t>
  </si>
  <si>
    <t>G1</t>
  </si>
  <si>
    <t>BEL</t>
  </si>
  <si>
    <t>Bélgica</t>
  </si>
  <si>
    <t>G2</t>
  </si>
  <si>
    <t>EGY</t>
  </si>
  <si>
    <t>Egipto</t>
  </si>
  <si>
    <t>G3</t>
  </si>
  <si>
    <t>IRN</t>
  </si>
  <si>
    <t>Irán</t>
  </si>
  <si>
    <t>G4</t>
  </si>
  <si>
    <t>NZL</t>
  </si>
  <si>
    <t>Nueva Zelanda</t>
  </si>
  <si>
    <t>H</t>
  </si>
  <si>
    <t>H1</t>
  </si>
  <si>
    <t>ESP</t>
  </si>
  <si>
    <t>España</t>
  </si>
  <si>
    <t>H2</t>
  </si>
  <si>
    <t>CPV</t>
  </si>
  <si>
    <t>Cabo Verde</t>
  </si>
  <si>
    <t>H3</t>
  </si>
  <si>
    <t>KSA</t>
  </si>
  <si>
    <t>Arabia Saudita</t>
  </si>
  <si>
    <t>H4</t>
  </si>
  <si>
    <t>URU</t>
  </si>
  <si>
    <t>Uruguay</t>
  </si>
  <si>
    <t>I</t>
  </si>
  <si>
    <t>I1</t>
  </si>
  <si>
    <t>FRA</t>
  </si>
  <si>
    <t>Francia</t>
  </si>
  <si>
    <t>I2</t>
  </si>
  <si>
    <t>SEN</t>
  </si>
  <si>
    <t>Senegal</t>
  </si>
  <si>
    <t>I3</t>
  </si>
  <si>
    <t>IRQ</t>
  </si>
  <si>
    <t>Irak</t>
  </si>
  <si>
    <t>I4</t>
  </si>
  <si>
    <t>NOR</t>
  </si>
  <si>
    <t>Noruega</t>
  </si>
  <si>
    <t>J</t>
  </si>
  <si>
    <t>J1</t>
  </si>
  <si>
    <t>ARG</t>
  </si>
  <si>
    <t>Argentina</t>
  </si>
  <si>
    <t>J2</t>
  </si>
  <si>
    <t>ALG</t>
  </si>
  <si>
    <t>Argelia</t>
  </si>
  <si>
    <t>J3</t>
  </si>
  <si>
    <t>AUT</t>
  </si>
  <si>
    <t>Austria</t>
  </si>
  <si>
    <t>J4</t>
  </si>
  <si>
    <t>JOR</t>
  </si>
  <si>
    <t>Jordania</t>
  </si>
  <si>
    <t>K</t>
  </si>
  <si>
    <t>K1</t>
  </si>
  <si>
    <t>POR</t>
  </si>
  <si>
    <t>Portugal</t>
  </si>
  <si>
    <t>K2</t>
  </si>
  <si>
    <t>COD</t>
  </si>
  <si>
    <t>RD Congo</t>
  </si>
  <si>
    <t>K3</t>
  </si>
  <si>
    <t>UZB</t>
  </si>
  <si>
    <t>Uzbekistán</t>
  </si>
  <si>
    <t>K4</t>
  </si>
  <si>
    <t>COL</t>
  </si>
  <si>
    <t>Colombia</t>
  </si>
  <si>
    <t>L</t>
  </si>
  <si>
    <t>L1</t>
  </si>
  <si>
    <t>ENG</t>
  </si>
  <si>
    <t>Inglaterra</t>
  </si>
  <si>
    <t>L2</t>
  </si>
  <si>
    <t>CRO</t>
  </si>
  <si>
    <t>Croacia</t>
  </si>
  <si>
    <t>L3</t>
  </si>
  <si>
    <t>GHA</t>
  </si>
  <si>
    <t>Ghana</t>
  </si>
  <si>
    <t>L4</t>
  </si>
  <si>
    <t>PAN</t>
  </si>
  <si>
    <t>Panamá</t>
  </si>
  <si>
    <t>Número</t>
  </si>
  <si>
    <t>Nombre</t>
  </si>
  <si>
    <t>Puntaje</t>
  </si>
  <si>
    <t>_Nombre</t>
  </si>
  <si>
    <t>_Numero</t>
  </si>
  <si>
    <t>_Puntaje</t>
  </si>
  <si>
    <t>_Key</t>
  </si>
  <si>
    <t>_Rank</t>
  </si>
  <si>
    <t>Corea</t>
  </si>
  <si>
    <t>Bosnia</t>
  </si>
  <si>
    <t>Alberto</t>
  </si>
  <si>
    <t>Alexander</t>
  </si>
  <si>
    <t>Alfredo 1</t>
  </si>
  <si>
    <t>Alfredo 2</t>
  </si>
  <si>
    <t>Aneth</t>
  </si>
  <si>
    <t>Antonio</t>
  </si>
  <si>
    <t>Carlos</t>
  </si>
  <si>
    <t>Castillo L.</t>
  </si>
  <si>
    <t>Christofer</t>
  </si>
  <si>
    <t>Cynthia</t>
  </si>
  <si>
    <t>Edward</t>
  </si>
  <si>
    <t>Espinosa L.</t>
  </si>
  <si>
    <t>Freddy</t>
  </si>
  <si>
    <t>Isabel 1</t>
  </si>
  <si>
    <t>Isabel 2</t>
  </si>
  <si>
    <t>Javier</t>
  </si>
  <si>
    <t>Jose C 1</t>
  </si>
  <si>
    <t>Jose C 2</t>
  </si>
  <si>
    <t>Jose C Ahiza</t>
  </si>
  <si>
    <t>Jose C Ana</t>
  </si>
  <si>
    <t>Jose C Judith</t>
  </si>
  <si>
    <t>José de León</t>
  </si>
  <si>
    <t>Jovanna</t>
  </si>
  <si>
    <t>Karina</t>
  </si>
  <si>
    <t>Kattia 1</t>
  </si>
  <si>
    <t>Kattia 2</t>
  </si>
  <si>
    <t>Kevin</t>
  </si>
  <si>
    <t>Lizka</t>
  </si>
  <si>
    <t>Luis Peña</t>
  </si>
  <si>
    <t>Marco R.</t>
  </si>
  <si>
    <t>Maricela</t>
  </si>
  <si>
    <t>Marilyn</t>
  </si>
  <si>
    <t>Medica</t>
  </si>
  <si>
    <t>Milagros</t>
  </si>
  <si>
    <t>Mily CF 1</t>
  </si>
  <si>
    <t>Mily CF 2</t>
  </si>
  <si>
    <t>Mily Frida</t>
  </si>
  <si>
    <t>Mily Oliver</t>
  </si>
  <si>
    <t>Mily Zeynneth</t>
  </si>
  <si>
    <t>Nefreteri</t>
  </si>
  <si>
    <t>Ninoshka</t>
  </si>
  <si>
    <t>Osvaldo</t>
  </si>
  <si>
    <t>Peter</t>
  </si>
  <si>
    <t>Quinnie</t>
  </si>
  <si>
    <t>Radames</t>
  </si>
  <si>
    <t>Saul</t>
  </si>
  <si>
    <t>Silvia</t>
  </si>
  <si>
    <t>Walder</t>
  </si>
  <si>
    <t>Waldo</t>
  </si>
  <si>
    <t>N°</t>
  </si>
  <si>
    <t>Fecha</t>
  </si>
  <si>
    <t>Hora ET</t>
  </si>
  <si>
    <t>Fase</t>
  </si>
  <si>
    <t>Local</t>
  </si>
  <si>
    <t>Visitante</t>
  </si>
  <si>
    <t>Goles Local</t>
  </si>
  <si>
    <t>Goles Visitante</t>
  </si>
  <si>
    <t>Ganador/Clasifica</t>
  </si>
  <si>
    <t>Sede</t>
  </si>
  <si>
    <t>Local código</t>
  </si>
  <si>
    <t>Visitante código</t>
  </si>
  <si>
    <t>Local posición</t>
  </si>
  <si>
    <t>Visitante posición</t>
  </si>
  <si>
    <t>Fuente/Nota</t>
  </si>
  <si>
    <t>Nota</t>
  </si>
  <si>
    <t>15:00</t>
  </si>
  <si>
    <t>Mexico City</t>
  </si>
  <si>
    <t>FIFA/CBS</t>
  </si>
  <si>
    <t>Eliminatorias: si una posición aún no está definida, F/G muestran la llave (1A, 2B, 3A/B/C..., W74, L101). Un grupo solo clasifica cuando sus 4 equipos tienen al menos 1 partido con marcador.</t>
  </si>
  <si>
    <t>Guadalajara</t>
  </si>
  <si>
    <t>Toronto</t>
  </si>
  <si>
    <t>21:00</t>
  </si>
  <si>
    <t>Los Angeles</t>
  </si>
  <si>
    <t>Boston</t>
  </si>
  <si>
    <t>Vancouver</t>
  </si>
  <si>
    <t>18:00</t>
  </si>
  <si>
    <t>New York New Jersey</t>
  </si>
  <si>
    <t>San Francisco Bay Area</t>
  </si>
  <si>
    <t>19:00</t>
  </si>
  <si>
    <t>Philadelphia</t>
  </si>
  <si>
    <t>13:00</t>
  </si>
  <si>
    <t>Houston</t>
  </si>
  <si>
    <t>16:00</t>
  </si>
  <si>
    <t>Dallas</t>
  </si>
  <si>
    <t>Monterrey</t>
  </si>
  <si>
    <t>Miami</t>
  </si>
  <si>
    <t>12:00</t>
  </si>
  <si>
    <t>Atlanta</t>
  </si>
  <si>
    <t>Seattle</t>
  </si>
  <si>
    <t>Kansas City</t>
  </si>
  <si>
    <t>23:00</t>
  </si>
  <si>
    <t>20:00</t>
  </si>
  <si>
    <t>17:00</t>
  </si>
  <si>
    <t>Ronda de 32</t>
  </si>
  <si>
    <t>2A</t>
  </si>
  <si>
    <t>2B</t>
  </si>
  <si>
    <t>16:30</t>
  </si>
  <si>
    <t>1E</t>
  </si>
  <si>
    <t>3A/B/C/D/F</t>
  </si>
  <si>
    <t>1F</t>
  </si>
  <si>
    <t>2C</t>
  </si>
  <si>
    <t>1C</t>
  </si>
  <si>
    <t>2F</t>
  </si>
  <si>
    <t>1I</t>
  </si>
  <si>
    <t>3C/D/F/G/H</t>
  </si>
  <si>
    <t>2E</t>
  </si>
  <si>
    <t>2I</t>
  </si>
  <si>
    <t>1A</t>
  </si>
  <si>
    <t>3C/E/F/H/I</t>
  </si>
  <si>
    <t>1L</t>
  </si>
  <si>
    <t>3E/H/I/J/K</t>
  </si>
  <si>
    <t>1D</t>
  </si>
  <si>
    <t>3B/E/F/I/J</t>
  </si>
  <si>
    <t>1G</t>
  </si>
  <si>
    <t>3A/E/H/I/J</t>
  </si>
  <si>
    <t>2K</t>
  </si>
  <si>
    <t>2L</t>
  </si>
  <si>
    <t>1H</t>
  </si>
  <si>
    <t>2J</t>
  </si>
  <si>
    <t>1B</t>
  </si>
  <si>
    <t>3E/F/G/I/J</t>
  </si>
  <si>
    <t>1J</t>
  </si>
  <si>
    <t>2H</t>
  </si>
  <si>
    <t>21:30</t>
  </si>
  <si>
    <t>1K</t>
  </si>
  <si>
    <t>3D/E/I/J/L</t>
  </si>
  <si>
    <t>14:00</t>
  </si>
  <si>
    <t>2D</t>
  </si>
  <si>
    <t>2G</t>
  </si>
  <si>
    <t>Octavos</t>
  </si>
  <si>
    <t>W74</t>
  </si>
  <si>
    <t>W77</t>
  </si>
  <si>
    <t>W73</t>
  </si>
  <si>
    <t>W75</t>
  </si>
  <si>
    <t>W76</t>
  </si>
  <si>
    <t>W78</t>
  </si>
  <si>
    <t>W79</t>
  </si>
  <si>
    <t>W80</t>
  </si>
  <si>
    <t>W83</t>
  </si>
  <si>
    <t>W84</t>
  </si>
  <si>
    <t>W81</t>
  </si>
  <si>
    <t>W82</t>
  </si>
  <si>
    <t>W86</t>
  </si>
  <si>
    <t>W88</t>
  </si>
  <si>
    <t>W85</t>
  </si>
  <si>
    <t>W87</t>
  </si>
  <si>
    <t>Cuartos</t>
  </si>
  <si>
    <t>W89</t>
  </si>
  <si>
    <t>W90</t>
  </si>
  <si>
    <t>W93</t>
  </si>
  <si>
    <t>W94</t>
  </si>
  <si>
    <t>W91</t>
  </si>
  <si>
    <t>W92</t>
  </si>
  <si>
    <t>W95</t>
  </si>
  <si>
    <t>W96</t>
  </si>
  <si>
    <t>Semifinal</t>
  </si>
  <si>
    <t>W97</t>
  </si>
  <si>
    <t>W98</t>
  </si>
  <si>
    <t>W99</t>
  </si>
  <si>
    <t>W100</t>
  </si>
  <si>
    <t>Tercer lugar</t>
  </si>
  <si>
    <t>L101</t>
  </si>
  <si>
    <t>L102</t>
  </si>
  <si>
    <t>Final</t>
  </si>
  <si>
    <t>W101</t>
  </si>
  <si>
    <t>W102</t>
  </si>
  <si>
    <t>Puntaje1</t>
  </si>
  <si>
    <t>Puntaje2</t>
  </si>
  <si>
    <t>Total</t>
  </si>
  <si>
    <t>Columna1</t>
  </si>
  <si>
    <t>Puntaje3</t>
  </si>
  <si>
    <t>Participante</t>
  </si>
  <si>
    <t>PJ</t>
  </si>
  <si>
    <t>PG</t>
  </si>
  <si>
    <t>PE</t>
  </si>
  <si>
    <t>PP</t>
  </si>
  <si>
    <t>GF</t>
  </si>
  <si>
    <t>GC</t>
  </si>
  <si>
    <t>DG</t>
  </si>
  <si>
    <t>PTS</t>
  </si>
  <si>
    <t>Desempate manual</t>
  </si>
  <si>
    <t>Posición calculada</t>
  </si>
  <si>
    <t>Clasifica</t>
  </si>
  <si>
    <t>LlavePos</t>
  </si>
  <si>
    <t>Equipo_lookup</t>
  </si>
  <si>
    <t>Código_lookup</t>
  </si>
  <si>
    <t>Pos</t>
  </si>
  <si>
    <t>_Codigo</t>
  </si>
  <si>
    <t>_Grupo</t>
  </si>
  <si>
    <t>_PTS</t>
  </si>
  <si>
    <t>_DG</t>
  </si>
  <si>
    <t>_GF</t>
  </si>
  <si>
    <t>Ranking tercero</t>
  </si>
  <si>
    <t>Clasifica entre mejores 8</t>
  </si>
  <si>
    <t>Equipo/Slot 1</t>
  </si>
  <si>
    <t>Equipo/Slot 2</t>
  </si>
  <si>
    <t>Ganador</t>
  </si>
  <si>
    <t>Fuente</t>
  </si>
  <si>
    <t>URL</t>
  </si>
  <si>
    <t>FIFA PDF calendario oficial</t>
  </si>
  <si>
    <t>https://digitalhub.fifa.com/asset/4b5d4417-3343-4732-9cdf-14b6662af407/FWC26-Match-Schedule_English.pdf</t>
  </si>
  <si>
    <t>Calendario oficial de FIFA, 10 abril 2026, horarios ET.</t>
  </si>
  <si>
    <t>CBS Sports calendario textual</t>
  </si>
  <si>
    <t>https://www.cbssports.com/soccer/news/2026-world-cup-schedule-time-location-groups-bracket-usmnt/</t>
  </si>
  <si>
    <t>Fechas, horarios, grupos, sedes y estructura de eliminatorias.</t>
  </si>
  <si>
    <t>El calendario puede cambiar; revisar fuente FIFA antes de usar oficialmente.</t>
  </si>
  <si>
    <t>Key</t>
  </si>
  <si>
    <t>Partido</t>
  </si>
  <si>
    <t>Lado</t>
  </si>
  <si>
    <t>Slot 3°</t>
  </si>
  <si>
    <t>Grupo asignado</t>
  </si>
  <si>
    <t>Clave mejores 8</t>
  </si>
  <si>
    <t>TestNested</t>
  </si>
  <si>
    <t>74V</t>
  </si>
  <si>
    <t>V</t>
  </si>
  <si>
    <t>77V</t>
  </si>
  <si>
    <t>79V</t>
  </si>
  <si>
    <t>80V</t>
  </si>
  <si>
    <t>81V</t>
  </si>
  <si>
    <t>82V</t>
  </si>
  <si>
    <t>85V</t>
  </si>
  <si>
    <t>87V</t>
  </si>
  <si>
    <t>Clave</t>
  </si>
  <si>
    <t>ABCDEFGH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</si>
  <si>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</si>
  <si>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</si>
  <si>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</si>
  <si>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</si>
  <si>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</si>
  <si>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</si>
  <si>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</si>
  <si>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</si>
  <si>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</si>
  <si>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ABCDEFIK</t>
  </si>
  <si>
    <t>ABCDEFIL</t>
  </si>
  <si>
    <t>ABCDEFJK</t>
  </si>
  <si>
    <t>ABCDEFJL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</si>
  <si>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</si>
  <si>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</si>
  <si>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</si>
  <si>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</si>
  <si>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</si>
  <si>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</si>
  <si>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</si>
  <si>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</si>
  <si>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</si>
  <si>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</si>
  <si>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</si>
  <si>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</si>
  <si>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</si>
  <si>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</si>
  <si>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</si>
  <si>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</si>
  <si>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</si>
  <si>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</si>
  <si>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</si>
  <si>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</si>
  <si>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</si>
  <si>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</si>
  <si>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</si>
  <si>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</si>
  <si>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</si>
  <si>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</si>
  <si>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</si>
  <si>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</si>
  <si>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</si>
  <si>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</si>
  <si>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</si>
  <si>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</si>
  <si>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</si>
  <si>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</si>
  <si>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</si>
  <si>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</si>
  <si>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</si>
  <si>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</si>
  <si>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</si>
  <si>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</si>
  <si>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</si>
  <si>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</si>
  <si>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</si>
  <si>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</si>
  <si>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</si>
  <si>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</si>
  <si>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</si>
  <si>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</si>
  <si>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</si>
  <si>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</si>
  <si>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</si>
  <si>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</si>
  <si>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</si>
  <si>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</si>
  <si>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</si>
  <si>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</si>
  <si>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</si>
  <si>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</si>
  <si>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</si>
  <si>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</si>
  <si>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</si>
  <si>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</si>
  <si>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</si>
  <si>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</si>
  <si>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</si>
  <si>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</si>
  <si>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</si>
  <si>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</si>
  <si>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</si>
  <si>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</si>
  <si>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</si>
  <si>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</si>
  <si>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</si>
  <si>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</si>
  <si>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</si>
  <si>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</si>
  <si>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</si>
  <si>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</si>
  <si>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</si>
  <si>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</si>
  <si>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</si>
  <si>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</si>
  <si>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</si>
  <si>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</si>
  <si>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</si>
  <si>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</si>
  <si>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</si>
  <si>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</si>
  <si>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</si>
  <si>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</si>
  <si>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</si>
  <si>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</si>
  <si>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</si>
  <si>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</si>
  <si>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</si>
  <si>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</si>
  <si>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</si>
  <si>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</si>
  <si>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</si>
  <si>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</si>
  <si>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</si>
  <si>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</si>
  <si>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</si>
  <si>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</si>
  <si>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</si>
  <si>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</si>
  <si>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</si>
  <si>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</si>
  <si>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</si>
  <si>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</si>
  <si>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</si>
  <si>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</si>
  <si>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</si>
  <si>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</si>
  <si>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</si>
  <si>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</si>
  <si>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</si>
  <si>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</si>
  <si>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</si>
  <si>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</si>
  <si>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</si>
  <si>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</si>
  <si>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</si>
  <si>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</si>
  <si>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</si>
  <si>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</si>
  <si>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</si>
  <si>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</si>
  <si>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</si>
  <si>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</si>
  <si>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</si>
  <si>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</si>
  <si>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</si>
  <si>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</si>
  <si>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</si>
  <si>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</si>
  <si>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</si>
  <si>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</si>
  <si>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</si>
  <si>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</si>
  <si>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</si>
  <si>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</si>
  <si>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</si>
  <si>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</si>
  <si>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</si>
  <si>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</si>
  <si>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</si>
  <si>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</si>
  <si>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</si>
  <si>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</si>
  <si>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</si>
  <si>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</si>
  <si>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</si>
  <si>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</si>
  <si>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</si>
  <si>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</si>
  <si>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</si>
  <si>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</si>
  <si>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</si>
  <si>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</si>
  <si>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</si>
  <si>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</si>
  <si>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</si>
  <si>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</si>
  <si>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</si>
  <si>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</si>
  <si>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</si>
  <si>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</si>
  <si>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</si>
  <si>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</si>
  <si>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</si>
  <si>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</si>
  <si>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</si>
  <si>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</si>
  <si>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</si>
  <si>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</si>
  <si>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</si>
  <si>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</si>
  <si>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</si>
  <si>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</si>
  <si>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</si>
  <si>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</si>
  <si>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</si>
  <si>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</si>
  <si>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</si>
  <si>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</si>
  <si>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</si>
  <si>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</si>
  <si>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</si>
  <si>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</si>
  <si>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</si>
  <si>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</si>
  <si>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</si>
  <si>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</si>
  <si>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</si>
  <si>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</si>
  <si>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</si>
  <si>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</si>
  <si>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</si>
  <si>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</si>
  <si>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</si>
  <si>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</si>
  <si>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</si>
  <si>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</si>
  <si>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</si>
  <si>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</si>
  <si>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</si>
  <si>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</si>
  <si>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</si>
  <si>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</si>
  <si>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</si>
  <si>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</si>
  <si>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</si>
  <si>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</si>
  <si>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</si>
  <si>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</si>
  <si>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</si>
  <si>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</si>
  <si>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</si>
  <si>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</si>
  <si>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</si>
  <si>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</si>
  <si>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</si>
  <si>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</si>
  <si>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</si>
  <si>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</si>
  <si>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</si>
  <si>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</si>
  <si>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</si>
  <si>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</si>
  <si>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</si>
  <si>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</si>
  <si>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</si>
  <si>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</si>
  <si>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</si>
  <si>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</si>
  <si>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</si>
  <si>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</si>
  <si>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</si>
  <si>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</si>
  <si>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</si>
  <si>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</si>
  <si>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</si>
  <si>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</si>
  <si>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</si>
  <si>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</si>
  <si>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</si>
  <si>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</si>
  <si>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</si>
  <si>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</si>
  <si>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</si>
  <si>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</si>
  <si>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</si>
  <si>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</si>
  <si>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</si>
  <si>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</si>
  <si>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</si>
  <si>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</si>
  <si>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</si>
  <si>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</si>
  <si>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</si>
  <si>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</si>
  <si>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</si>
  <si>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</si>
  <si>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</si>
  <si>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</si>
  <si>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</si>
  <si>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</si>
  <si>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</si>
  <si>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</si>
  <si>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</si>
  <si>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</si>
  <si>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</si>
  <si>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</si>
  <si>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</si>
  <si>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</si>
  <si>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</si>
  <si>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</si>
  <si>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</si>
  <si>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</si>
  <si>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</si>
  <si>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</si>
  <si>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</si>
  <si>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</si>
  <si>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</si>
  <si>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</si>
  <si>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</si>
  <si>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</si>
  <si>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</si>
  <si>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</si>
  <si>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</si>
  <si>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</si>
  <si>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</si>
  <si>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</si>
  <si>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</si>
  <si>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</si>
  <si>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</si>
  <si>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</si>
  <si>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</si>
  <si>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</si>
  <si>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</si>
  <si>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</si>
  <si>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</si>
  <si>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</si>
  <si>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</si>
  <si>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</si>
  <si>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</si>
  <si>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</si>
  <si>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</si>
  <si>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</si>
  <si>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</si>
  <si>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</si>
  <si>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</si>
  <si>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</si>
  <si>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</si>
  <si>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</si>
  <si>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</si>
  <si>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</si>
  <si>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</si>
  <si>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</si>
  <si>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</si>
  <si>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</si>
  <si>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</si>
  <si>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</si>
  <si>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</si>
  <si>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</si>
  <si>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</si>
  <si>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</si>
  <si>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</si>
  <si>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</si>
  <si>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</si>
  <si>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</si>
  <si>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</si>
  <si>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</si>
  <si>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</si>
  <si>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</si>
  <si>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</si>
  <si>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</si>
  <si>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</si>
  <si>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</si>
  <si>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</si>
  <si>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</si>
  <si>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</si>
  <si>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</si>
  <si>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</si>
  <si>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</si>
  <si>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</si>
  <si>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</si>
  <si>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</si>
  <si>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</si>
  <si>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</si>
  <si>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</si>
  <si>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</si>
  <si>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</si>
  <si>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</si>
  <si>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</si>
  <si>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</si>
  <si>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</si>
  <si>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</si>
  <si>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</si>
  <si>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</si>
  <si>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</si>
  <si>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</si>
  <si>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</si>
  <si>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</si>
  <si>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</si>
  <si>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</si>
  <si>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</si>
  <si>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</si>
  <si>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</si>
  <si>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</si>
  <si>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</si>
  <si>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</si>
  <si>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</si>
  <si>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</si>
  <si>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</si>
  <si>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</si>
  <si>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</si>
  <si>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</si>
  <si>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</si>
  <si>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</si>
  <si>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</si>
  <si>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</si>
  <si>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</si>
  <si>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</si>
  <si>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</si>
  <si>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</si>
  <si>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</si>
  <si>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</si>
  <si>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</si>
  <si>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</si>
  <si>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</si>
  <si>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</si>
  <si>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</si>
  <si>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</si>
  <si>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</si>
  <si>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</si>
  <si>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</si>
  <si>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</si>
  <si>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</si>
  <si>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</si>
  <si>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</si>
  <si>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</si>
  <si>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</si>
  <si>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</si>
  <si>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</si>
  <si>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</si>
  <si>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</si>
  <si>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</si>
  <si>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</si>
  <si>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</si>
  <si>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</si>
  <si>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</si>
  <si>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</si>
  <si>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</si>
  <si>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</si>
  <si>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</si>
  <si>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</si>
  <si>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</si>
  <si>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</si>
  <si>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</si>
  <si>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</si>
  <si>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</si>
  <si>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</si>
  <si>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</si>
  <si>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</si>
  <si>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</si>
  <si>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</si>
  <si>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</si>
  <si>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</si>
  <si>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</si>
  <si>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</si>
  <si>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</si>
  <si>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</si>
  <si>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</si>
  <si>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</si>
  <si>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</si>
  <si>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</si>
  <si>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</si>
  <si>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</si>
  <si>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</si>
  <si>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</si>
  <si>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</si>
  <si>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</si>
  <si>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</si>
  <si>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</si>
  <si>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</si>
  <si>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</si>
  <si>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</si>
  <si>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</si>
  <si>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</si>
  <si>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</si>
  <si>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</si>
  <si>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</si>
  <si>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</si>
  <si>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</si>
  <si>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</si>
  <si>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</si>
  <si>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</si>
  <si>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</si>
  <si>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</si>
  <si>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</si>
  <si>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</si>
  <si>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</si>
  <si>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</si>
  <si>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</si>
  <si>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</si>
  <si>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</si>
  <si>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</si>
  <si>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</si>
  <si>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</si>
  <si>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</si>
  <si>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</si>
  <si>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</si>
  <si>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</si>
  <si>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</si>
  <si>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</si>
  <si>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</si>
  <si>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</si>
  <si>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</si>
  <si>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</si>
  <si>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Pts</t>
  </si>
  <si>
    <t>TOTAL</t>
  </si>
  <si>
    <t>Marcador real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</si>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</sst>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yy\ h:mm"/>
    <numFmt numFmtId="165" formatCode="yyyy\-mm\-dd"/>
  </numFmts>
  <fonts count="16" x14ac:knownFonts="1">
    <font>
      <sz val="11"/>
      <name val="Calibri"/>
      <charset val="1"/>
    </font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b/>
      <sz val="11"/>
      <name val="Calibri"/>
      <charset val="1"/>
    </font>
    <font>
      <b/>
      <sz val="11"/>
      <color rgb="FFFFFFFF"/>
      <name val="Calibri"/>
      <charset val="1"/>
    </font>
    <font>
      <b/>
      <sz val="11"/>
      <color rgb="FFFFFFFF"/>
      <name val="Cambria"/>
      <charset val="1"/>
    </font>
    <font>
      <i/>
      <sz val="9"/>
      <color rgb="FF808080"/>
      <name val="Cambria"/>
      <charset val="1"/>
    </font>
    <font>
      <sz val="9"/>
      <color rgb="FF808080"/>
      <name val="Cambria"/>
      <charset val="1"/>
    </font>
    <font>
      <b/>
      <sz val="14"/>
      <color theme="0"/>
      <name val="Calibri"/>
      <family val="2"/>
      <charset val="1"/>
    </font>
    <font>
      <b/>
      <sz val="14"/>
      <color rgb="FFC00000"/>
      <name val="Calibri"/>
      <family val="2"/>
      <charset val="1"/>
    </font>
    <font>
      <b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1"/>
      <name val="Cambria"/>
      <charset val="1"/>
    </font>
    <font>
      <b/>
      <sz val="10"/>
      <color rgb="FFFFFFFF"/>
      <name val="Cambria"/>
      <charset val="1"/>
    </font>
    <font>
      <b/>
      <i/>
      <sz val="11"/>
      <name val="Cambria"/>
      <charset val="1"/>
    </font>
    <font>
      <b/>
      <sz val="10"/>
      <color rgb="FF000000"/>
      <name val="Cambria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AEEFB"/>
      </patternFill>
    </fill>
    <fill>
      <patternFill patternType="solid">
        <fgColor theme="9" tint="0.79989013336588644"/>
        <bgColor rgb="FFE2EFDA"/>
      </patternFill>
    </fill>
    <fill>
      <patternFill patternType="solid">
        <fgColor rgb="FF00B0F0"/>
        <bgColor rgb="FF33CCCC"/>
      </patternFill>
    </fill>
    <fill>
      <patternFill patternType="solid">
        <fgColor theme="8"/>
        <bgColor rgb="FF993366"/>
      </patternFill>
    </fill>
    <fill>
      <patternFill patternType="solid">
        <fgColor rgb="FFFFC000"/>
        <bgColor rgb="FFFF9900"/>
      </patternFill>
    </fill>
    <fill>
      <patternFill patternType="solid">
        <fgColor theme="9" tint="-0.499984740745262"/>
        <bgColor rgb="FF333333"/>
      </patternFill>
    </fill>
    <fill>
      <patternFill patternType="solid">
        <fgColor theme="5" tint="0.79989013336588644"/>
        <bgColor rgb="FFE2EFDA"/>
      </patternFill>
    </fill>
    <fill>
      <patternFill patternType="solid">
        <fgColor rgb="FFC6E0B4"/>
        <bgColor rgb="FFD9F2D0"/>
      </patternFill>
    </fill>
    <fill>
      <patternFill patternType="solid">
        <fgColor rgb="FFE2EFDA"/>
        <bgColor rgb="FFD9F2D0"/>
      </patternFill>
    </fill>
    <fill>
      <patternFill patternType="solid">
        <fgColor rgb="FF548235"/>
        <bgColor rgb="FF339966"/>
      </patternFill>
    </fill>
    <fill>
      <patternFill patternType="solid">
        <fgColor rgb="FFFFE699"/>
        <bgColor rgb="FFFBE3D6"/>
      </patternFill>
    </fill>
    <fill>
      <patternFill patternType="solid">
        <fgColor rgb="FFFFC000"/>
        <bgColor rgb="FF33CCCC"/>
      </patternFill>
    </fill>
    <fill>
      <patternFill patternType="solid">
        <fgColor theme="3" tint="0.89999084444715716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0" fillId="0" borderId="0" xfId="0" applyAlignment="1"/>
    <xf numFmtId="0" fontId="3" fillId="3" borderId="0" xfId="0" applyFont="1" applyFill="1" applyAlignment="1"/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4" fontId="0" fillId="4" borderId="0" xfId="0" applyNumberFormat="1" applyFill="1" applyAlignment="1"/>
    <xf numFmtId="0" fontId="6" fillId="0" borderId="0" xfId="0" applyFont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8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0" fillId="0" borderId="14" xfId="0" applyBorder="1" applyAlignment="1">
      <alignment horizontal="center"/>
    </xf>
    <xf numFmtId="165" fontId="4" fillId="2" borderId="0" xfId="0" applyNumberFormat="1" applyFont="1" applyFill="1" applyAlignment="1">
      <alignment horizontal="center" vertical="center" wrapText="1"/>
    </xf>
    <xf numFmtId="0" fontId="0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0" fillId="0" borderId="0" xfId="0" applyFont="1" applyAlignment="1"/>
    <xf numFmtId="0" fontId="5" fillId="2" borderId="1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12" fillId="11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4" fillId="2" borderId="0" xfId="0" applyFont="1" applyFill="1" applyAlignment="1"/>
    <xf numFmtId="0" fontId="13" fillId="2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4" fillId="13" borderId="0" xfId="0" applyFont="1" applyFill="1" applyAlignment="1"/>
    <xf numFmtId="0" fontId="15" fillId="13" borderId="0" xfId="0" applyFont="1" applyFill="1" applyAlignment="1">
      <alignment horizontal="center" vertical="center"/>
    </xf>
    <xf numFmtId="0" fontId="12" fillId="0" borderId="0" xfId="0" applyFont="1" applyAlignment="1"/>
    <xf numFmtId="0" fontId="0" fillId="0" borderId="0" xfId="0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0" fillId="15" borderId="8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0" fillId="14" borderId="8" xfId="0" applyFont="1" applyFill="1" applyBorder="1" applyAlignment="1">
      <alignment horizontal="center"/>
    </xf>
    <xf numFmtId="0" fontId="8" fillId="5" borderId="18" xfId="0" applyFont="1" applyFill="1" applyBorder="1" applyAlignment="1">
      <alignment horizontal="center"/>
    </xf>
    <xf numFmtId="0" fontId="8" fillId="15" borderId="20" xfId="0" applyFont="1" applyFill="1" applyBorder="1" applyAlignment="1">
      <alignment horizontal="center"/>
    </xf>
    <xf numFmtId="0" fontId="8" fillId="6" borderId="19" xfId="0" applyFont="1" applyFill="1" applyBorder="1" applyAlignment="1"/>
    <xf numFmtId="0" fontId="8" fillId="6" borderId="18" xfId="0" applyFont="1" applyFill="1" applyBorder="1" applyAlignment="1">
      <alignment horizontal="center"/>
    </xf>
    <xf numFmtId="0" fontId="9" fillId="5" borderId="22" xfId="0" applyFont="1" applyFill="1" applyBorder="1" applyAlignment="1">
      <alignment horizontal="center"/>
    </xf>
    <xf numFmtId="0" fontId="8" fillId="15" borderId="2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/>
    </xf>
    <xf numFmtId="0" fontId="9" fillId="7" borderId="22" xfId="0" applyFont="1" applyFill="1" applyBorder="1" applyAlignment="1">
      <alignment horizontal="center"/>
    </xf>
    <xf numFmtId="0" fontId="9" fillId="5" borderId="24" xfId="0" applyFont="1" applyFill="1" applyBorder="1" applyAlignment="1">
      <alignment horizontal="center"/>
    </xf>
    <xf numFmtId="0" fontId="8" fillId="5" borderId="0" xfId="0" applyFont="1" applyFill="1" applyBorder="1" applyAlignment="1">
      <alignment horizontal="center"/>
    </xf>
    <xf numFmtId="0" fontId="10" fillId="5" borderId="25" xfId="0" applyFont="1" applyFill="1" applyBorder="1" applyAlignment="1">
      <alignment horizontal="center"/>
    </xf>
    <xf numFmtId="0" fontId="8" fillId="6" borderId="17" xfId="0" applyFont="1" applyFill="1" applyBorder="1" applyAlignment="1"/>
    <xf numFmtId="0" fontId="8" fillId="6" borderId="26" xfId="0" applyFont="1" applyFill="1" applyBorder="1" applyAlignment="1"/>
    <xf numFmtId="0" fontId="10" fillId="9" borderId="27" xfId="0" applyFont="1" applyFill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0" fillId="5" borderId="29" xfId="0" applyFont="1" applyFill="1" applyBorder="1" applyAlignment="1">
      <alignment horizontal="center"/>
    </xf>
    <xf numFmtId="0" fontId="10" fillId="15" borderId="29" xfId="0" applyFont="1" applyFill="1" applyBorder="1" applyAlignment="1">
      <alignment horizontal="center"/>
    </xf>
    <xf numFmtId="0" fontId="10" fillId="14" borderId="29" xfId="0" applyFont="1" applyFill="1" applyBorder="1" applyAlignment="1">
      <alignment horizontal="center"/>
    </xf>
    <xf numFmtId="0" fontId="8" fillId="6" borderId="22" xfId="0" applyFont="1" applyFill="1" applyBorder="1" applyAlignment="1">
      <alignment horizontal="center"/>
    </xf>
    <xf numFmtId="0" fontId="10" fillId="7" borderId="15" xfId="0" applyFont="1" applyFill="1" applyBorder="1" applyAlignment="1">
      <alignment horizontal="center"/>
    </xf>
    <xf numFmtId="0" fontId="10" fillId="7" borderId="30" xfId="0" applyFont="1" applyFill="1" applyBorder="1" applyAlignment="1">
      <alignment horizontal="center"/>
    </xf>
    <xf numFmtId="0" fontId="8" fillId="8" borderId="17" xfId="0" applyFont="1" applyFill="1" applyBorder="1" applyAlignment="1">
      <alignment horizontal="center"/>
    </xf>
    <xf numFmtId="0" fontId="10" fillId="0" borderId="26" xfId="0" applyFont="1" applyBorder="1" applyAlignment="1"/>
    <xf numFmtId="0" fontId="10" fillId="4" borderId="31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20" fontId="0" fillId="0" borderId="0" xfId="0" applyNumberFormat="1" applyAlignment="1"/>
    <xf numFmtId="20" fontId="0" fillId="0" borderId="0" xfId="0" applyNumberFormat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2" fillId="2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7">
    <dxf>
      <numFmt numFmtId="0" formatCode="General"/>
      <alignment horizontal="general" vertical="bottom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fill>
        <patternFill>
          <bgColor theme="7" tint="0.79989013336588644"/>
        </patternFill>
      </fill>
    </dxf>
    <dxf>
      <fill>
        <patternFill>
          <bgColor theme="7" tint="0.79989013336588644"/>
        </patternFill>
      </fill>
    </dxf>
    <dxf>
      <fill>
        <patternFill>
          <bgColor theme="7" tint="0.79989013336588644"/>
        </patternFill>
      </fill>
    </dxf>
    <dxf>
      <fill>
        <patternFill>
          <bgColor theme="7" tint="0.79989013336588644"/>
        </patternFill>
      </fill>
    </dxf>
    <dxf>
      <fill>
        <patternFill>
          <bgColor theme="7" tint="0.7998901333658864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6E0B4"/>
      <rgbColor rgb="FF808080"/>
      <rgbColor rgb="FF9999FF"/>
      <rgbColor rgb="FFA02B93"/>
      <rgbColor rgb="FFE2EFDA"/>
      <rgbColor rgb="FFCA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9EAF7"/>
      <rgbColor rgb="FFD9F2D0"/>
      <rgbColor rgb="FFFFE699"/>
      <rgbColor rgb="FF99CCFF"/>
      <rgbColor rgb="FFFF99CC"/>
      <rgbColor rgb="FFCC99FF"/>
      <rgbColor rgb="FFFBE3D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275317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2" name="tblEquipos" displayName="tblEquipos" ref="A1:D49" totalsRowShown="0">
  <tableColumns count="4">
    <tableColumn id="1" name="Grupo"/>
    <tableColumn id="2" name="Posición"/>
    <tableColumn id="3" name="Código"/>
    <tableColumn id="4" name="Equip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4" name="tblPartidos" displayName="tblPartidos" ref="A1:Q105" totalsRowShown="0">
  <tableColumns count="17">
    <tableColumn id="1" name="N°"/>
    <tableColumn id="2" name="Fecha"/>
    <tableColumn id="3" name="Hora ET" dataDxfId="1"/>
    <tableColumn id="17" name="Columna1" dataDxfId="0">
      <calculatedColumnFormula>HOUR(tblPartidos[[#This Row],[Hora ET]])-1</calculatedColumnFormula>
    </tableColumn>
    <tableColumn id="4" name="Fase"/>
    <tableColumn id="5" name="Grupo"/>
    <tableColumn id="6" name="Local"/>
    <tableColumn id="7" name="Visitante"/>
    <tableColumn id="8" name="Goles Local"/>
    <tableColumn id="9" name="Goles Visitante"/>
    <tableColumn id="10" name="Ganador/Clasifica"/>
    <tableColumn id="11" name="Sede"/>
    <tableColumn id="12" name="Local código"/>
    <tableColumn id="13" name="Visitante código"/>
    <tableColumn id="14" name="Local posición"/>
    <tableColumn id="15" name="Visitante posición"/>
    <tableColumn id="16" name="Fuente/Nota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" name="tblClasificacion" displayName="tblClasificacion" ref="A1:N49" totalsRowShown="0">
  <tableColumns count="14">
    <tableColumn id="1" name="Grupo"/>
    <tableColumn id="2" name="Código"/>
    <tableColumn id="3" name="Equipo"/>
    <tableColumn id="4" name="PJ"/>
    <tableColumn id="5" name="PG"/>
    <tableColumn id="6" name="PE"/>
    <tableColumn id="7" name="PP"/>
    <tableColumn id="8" name="GF"/>
    <tableColumn id="9" name="GC"/>
    <tableColumn id="10" name="DG"/>
    <tableColumn id="11" name="PTS"/>
    <tableColumn id="12" name="Desempate manual"/>
    <tableColumn id="13" name="Posición calculada"/>
    <tableColumn id="14" name="Clasific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5" name="tblTerceros" displayName="tblTerceros" ref="A1:I13" totalsRowShown="0">
  <tableColumns count="9">
    <tableColumn id="1" name="Grupo"/>
    <tableColumn id="2" name="Código"/>
    <tableColumn id="3" name="Equipo"/>
    <tableColumn id="4" name="PTS"/>
    <tableColumn id="5" name="DG"/>
    <tableColumn id="6" name="GF"/>
    <tableColumn id="7" name="Desempate manual"/>
    <tableColumn id="8" name="Ranking tercero"/>
    <tableColumn id="9" name="Clasifica entre mejores 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3" name="tblLlaves" displayName="tblLlaves" ref="A1:H33" totalsRowShown="0">
  <tableColumns count="8">
    <tableColumn id="1" name="N°"/>
    <tableColumn id="2" name="Fecha"/>
    <tableColumn id="3" name="Hora ET"/>
    <tableColumn id="4" name="Fase"/>
    <tableColumn id="5" name="Equipo/Slot 1"/>
    <tableColumn id="6" name="Equipo/Slot 2"/>
    <tableColumn id="7" name="Sede"/>
    <tableColumn id="8" name="Ganad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zoomScaleNormal="100" workbookViewId="0"/>
  </sheetViews>
  <sheetFormatPr baseColWidth="10" defaultColWidth="9" defaultRowHeight="15" x14ac:dyDescent="0.25"/>
  <cols>
    <col min="1" max="1" width="14" style="1" customWidth="1"/>
    <col min="2" max="2" width="70" style="1" customWidth="1"/>
    <col min="3" max="8" width="12" style="1" customWidth="1"/>
  </cols>
  <sheetData>
    <row r="1" spans="1:8" ht="24" customHeight="1" x14ac:dyDescent="0.35">
      <c r="A1" s="92" t="s">
        <v>0</v>
      </c>
      <c r="B1" s="92"/>
      <c r="C1" s="92"/>
      <c r="D1" s="92"/>
      <c r="E1" s="92"/>
      <c r="F1" s="92"/>
      <c r="G1" s="92"/>
      <c r="H1" s="92"/>
    </row>
    <row r="3" spans="1:8" ht="15" customHeight="1" x14ac:dyDescent="0.25">
      <c r="A3" s="2" t="s">
        <v>1</v>
      </c>
    </row>
    <row r="4" spans="1:8" ht="14.25" customHeight="1" x14ac:dyDescent="0.25">
      <c r="A4" s="1" t="s">
        <v>2</v>
      </c>
      <c r="B4" s="1" t="s">
        <v>3</v>
      </c>
    </row>
    <row r="5" spans="1:8" ht="14.25" customHeight="1" x14ac:dyDescent="0.25">
      <c r="A5" s="1" t="s">
        <v>4</v>
      </c>
      <c r="B5" s="1" t="s">
        <v>5</v>
      </c>
    </row>
    <row r="6" spans="1:8" ht="14.25" customHeight="1" x14ac:dyDescent="0.25">
      <c r="A6" s="1" t="s">
        <v>6</v>
      </c>
      <c r="B6" s="1" t="s">
        <v>7</v>
      </c>
    </row>
    <row r="7" spans="1:8" ht="14.25" customHeight="1" x14ac:dyDescent="0.25">
      <c r="A7" s="1" t="s">
        <v>8</v>
      </c>
      <c r="B7" s="1" t="s">
        <v>9</v>
      </c>
    </row>
    <row r="8" spans="1:8" ht="14.25" customHeight="1" x14ac:dyDescent="0.25">
      <c r="A8" s="1" t="s">
        <v>10</v>
      </c>
      <c r="B8" s="1" t="s">
        <v>11</v>
      </c>
    </row>
    <row r="9" spans="1:8" ht="14.25" customHeight="1" x14ac:dyDescent="0.25">
      <c r="A9" s="1" t="s">
        <v>12</v>
      </c>
      <c r="B9" s="1" t="s">
        <v>13</v>
      </c>
    </row>
    <row r="11" spans="1:8" ht="15" customHeight="1" x14ac:dyDescent="0.25">
      <c r="A11" s="2" t="s">
        <v>14</v>
      </c>
    </row>
    <row r="12" spans="1:8" ht="14.25" customHeight="1" x14ac:dyDescent="0.25">
      <c r="A12" s="1" t="s">
        <v>15</v>
      </c>
      <c r="B12" s="1" t="s">
        <v>16</v>
      </c>
    </row>
    <row r="13" spans="1:8" ht="14.25" customHeight="1" x14ac:dyDescent="0.25">
      <c r="A13" s="1" t="s">
        <v>17</v>
      </c>
      <c r="B13" s="1" t="s">
        <v>18</v>
      </c>
    </row>
    <row r="14" spans="1:8" ht="14.25" customHeight="1" x14ac:dyDescent="0.25">
      <c r="A14" s="1" t="s">
        <v>19</v>
      </c>
      <c r="B14" s="1" t="s">
        <v>20</v>
      </c>
    </row>
    <row r="15" spans="1:8" ht="14.25" customHeight="1" x14ac:dyDescent="0.25">
      <c r="A15" s="1" t="s">
        <v>21</v>
      </c>
      <c r="B15" s="1" t="s">
        <v>22</v>
      </c>
    </row>
    <row r="16" spans="1:8" ht="14.25" customHeight="1" x14ac:dyDescent="0.25">
      <c r="A16" s="1" t="s">
        <v>23</v>
      </c>
      <c r="B16" s="1" t="s">
        <v>24</v>
      </c>
    </row>
    <row r="17" spans="1:2" ht="14.25" customHeight="1" x14ac:dyDescent="0.25">
      <c r="A17" s="1" t="s">
        <v>25</v>
      </c>
      <c r="B17" s="1" t="s">
        <v>26</v>
      </c>
    </row>
    <row r="18" spans="1:2" ht="14.25" customHeight="1" x14ac:dyDescent="0.25">
      <c r="A18" s="1" t="s">
        <v>27</v>
      </c>
      <c r="B18" s="1" t="s">
        <v>28</v>
      </c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zoomScaleNormal="100" workbookViewId="0"/>
  </sheetViews>
  <sheetFormatPr baseColWidth="10" defaultColWidth="9" defaultRowHeight="15" x14ac:dyDescent="0.25"/>
  <cols>
    <col min="1" max="1" width="10" style="1" customWidth="1"/>
    <col min="2" max="2" width="12" style="1" customWidth="1"/>
    <col min="3" max="3" width="10" style="1" customWidth="1"/>
    <col min="4" max="4" width="26" style="1" customWidth="1"/>
  </cols>
  <sheetData>
    <row r="1" spans="1:26" ht="24" customHeight="1" x14ac:dyDescent="0.25">
      <c r="A1" s="3" t="s">
        <v>29</v>
      </c>
      <c r="B1" s="3" t="s">
        <v>30</v>
      </c>
      <c r="C1" s="3" t="s">
        <v>31</v>
      </c>
      <c r="D1" s="3" t="s">
        <v>32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1" t="s">
        <v>33</v>
      </c>
      <c r="B2" s="1" t="s">
        <v>34</v>
      </c>
      <c r="C2" s="1" t="s">
        <v>35</v>
      </c>
      <c r="D2" s="1" t="s">
        <v>36</v>
      </c>
    </row>
    <row r="3" spans="1:26" ht="14.25" customHeight="1" x14ac:dyDescent="0.25">
      <c r="A3" s="1" t="s">
        <v>33</v>
      </c>
      <c r="B3" s="1" t="s">
        <v>37</v>
      </c>
      <c r="C3" s="1" t="s">
        <v>38</v>
      </c>
      <c r="D3" s="1" t="s">
        <v>39</v>
      </c>
    </row>
    <row r="4" spans="1:26" ht="14.25" customHeight="1" x14ac:dyDescent="0.25">
      <c r="A4" s="1" t="s">
        <v>33</v>
      </c>
      <c r="B4" s="1" t="s">
        <v>40</v>
      </c>
      <c r="C4" s="1" t="s">
        <v>41</v>
      </c>
      <c r="D4" s="1" t="s">
        <v>42</v>
      </c>
    </row>
    <row r="5" spans="1:26" ht="14.25" customHeight="1" x14ac:dyDescent="0.25">
      <c r="A5" s="1" t="s">
        <v>33</v>
      </c>
      <c r="B5" s="1" t="s">
        <v>43</v>
      </c>
      <c r="C5" s="1" t="s">
        <v>44</v>
      </c>
      <c r="D5" s="1" t="s">
        <v>45</v>
      </c>
    </row>
    <row r="6" spans="1:26" ht="14.25" customHeight="1" x14ac:dyDescent="0.25">
      <c r="A6" s="1" t="s">
        <v>46</v>
      </c>
      <c r="B6" s="1" t="s">
        <v>47</v>
      </c>
      <c r="C6" s="1" t="s">
        <v>48</v>
      </c>
      <c r="D6" s="1" t="s">
        <v>49</v>
      </c>
    </row>
    <row r="7" spans="1:26" ht="14.25" customHeight="1" x14ac:dyDescent="0.25">
      <c r="A7" s="1" t="s">
        <v>46</v>
      </c>
      <c r="B7" s="1" t="s">
        <v>50</v>
      </c>
      <c r="C7" s="1" t="s">
        <v>51</v>
      </c>
      <c r="D7" s="1" t="s">
        <v>52</v>
      </c>
    </row>
    <row r="8" spans="1:26" ht="14.25" customHeight="1" x14ac:dyDescent="0.25">
      <c r="A8" s="1" t="s">
        <v>46</v>
      </c>
      <c r="B8" s="1" t="s">
        <v>53</v>
      </c>
      <c r="C8" s="1" t="s">
        <v>54</v>
      </c>
      <c r="D8" s="1" t="s">
        <v>55</v>
      </c>
    </row>
    <row r="9" spans="1:26" ht="14.25" customHeight="1" x14ac:dyDescent="0.25">
      <c r="A9" s="1" t="s">
        <v>46</v>
      </c>
      <c r="B9" s="1" t="s">
        <v>56</v>
      </c>
      <c r="C9" s="1" t="s">
        <v>57</v>
      </c>
      <c r="D9" s="1" t="s">
        <v>58</v>
      </c>
    </row>
    <row r="10" spans="1:26" ht="14.25" customHeight="1" x14ac:dyDescent="0.25">
      <c r="A10" s="1" t="s">
        <v>59</v>
      </c>
      <c r="B10" s="1" t="s">
        <v>60</v>
      </c>
      <c r="C10" s="1" t="s">
        <v>61</v>
      </c>
      <c r="D10" s="1" t="s">
        <v>62</v>
      </c>
    </row>
    <row r="11" spans="1:26" ht="14.25" customHeight="1" x14ac:dyDescent="0.25">
      <c r="A11" s="1" t="s">
        <v>59</v>
      </c>
      <c r="B11" s="1" t="s">
        <v>63</v>
      </c>
      <c r="C11" s="1" t="s">
        <v>64</v>
      </c>
      <c r="D11" s="1" t="s">
        <v>65</v>
      </c>
    </row>
    <row r="12" spans="1:26" ht="14.25" customHeight="1" x14ac:dyDescent="0.25">
      <c r="A12" s="1" t="s">
        <v>59</v>
      </c>
      <c r="B12" s="1" t="s">
        <v>66</v>
      </c>
      <c r="C12" s="1" t="s">
        <v>67</v>
      </c>
      <c r="D12" s="1" t="s">
        <v>68</v>
      </c>
    </row>
    <row r="13" spans="1:26" ht="14.25" customHeight="1" x14ac:dyDescent="0.25">
      <c r="A13" s="1" t="s">
        <v>59</v>
      </c>
      <c r="B13" s="1" t="s">
        <v>69</v>
      </c>
      <c r="C13" s="1" t="s">
        <v>70</v>
      </c>
      <c r="D13" s="1" t="s">
        <v>71</v>
      </c>
    </row>
    <row r="14" spans="1:26" ht="14.25" customHeight="1" x14ac:dyDescent="0.25">
      <c r="A14" s="1" t="s">
        <v>72</v>
      </c>
      <c r="B14" s="1" t="s">
        <v>73</v>
      </c>
      <c r="C14" s="1" t="s">
        <v>74</v>
      </c>
      <c r="D14" s="1" t="s">
        <v>75</v>
      </c>
    </row>
    <row r="15" spans="1:26" ht="14.25" customHeight="1" x14ac:dyDescent="0.25">
      <c r="A15" s="1" t="s">
        <v>72</v>
      </c>
      <c r="B15" s="1" t="s">
        <v>76</v>
      </c>
      <c r="C15" s="1" t="s">
        <v>77</v>
      </c>
      <c r="D15" s="1" t="s">
        <v>78</v>
      </c>
    </row>
    <row r="16" spans="1:26" ht="14.25" customHeight="1" x14ac:dyDescent="0.25">
      <c r="A16" s="1" t="s">
        <v>72</v>
      </c>
      <c r="B16" s="1" t="s">
        <v>79</v>
      </c>
      <c r="C16" s="1" t="s">
        <v>80</v>
      </c>
      <c r="D16" s="1" t="s">
        <v>81</v>
      </c>
    </row>
    <row r="17" spans="1:4" ht="14.25" customHeight="1" x14ac:dyDescent="0.25">
      <c r="A17" s="1" t="s">
        <v>72</v>
      </c>
      <c r="B17" s="1" t="s">
        <v>82</v>
      </c>
      <c r="C17" s="1" t="s">
        <v>83</v>
      </c>
      <c r="D17" s="1" t="s">
        <v>84</v>
      </c>
    </row>
    <row r="18" spans="1:4" ht="14.25" customHeight="1" x14ac:dyDescent="0.25">
      <c r="A18" s="1" t="s">
        <v>85</v>
      </c>
      <c r="B18" s="1" t="s">
        <v>86</v>
      </c>
      <c r="C18" s="1" t="s">
        <v>87</v>
      </c>
      <c r="D18" s="1" t="s">
        <v>88</v>
      </c>
    </row>
    <row r="19" spans="1:4" ht="14.25" customHeight="1" x14ac:dyDescent="0.25">
      <c r="A19" s="1" t="s">
        <v>85</v>
      </c>
      <c r="B19" s="1" t="s">
        <v>89</v>
      </c>
      <c r="C19" s="1" t="s">
        <v>90</v>
      </c>
      <c r="D19" s="1" t="s">
        <v>91</v>
      </c>
    </row>
    <row r="20" spans="1:4" ht="14.25" customHeight="1" x14ac:dyDescent="0.25">
      <c r="A20" s="1" t="s">
        <v>85</v>
      </c>
      <c r="B20" s="1" t="s">
        <v>92</v>
      </c>
      <c r="C20" s="1" t="s">
        <v>93</v>
      </c>
      <c r="D20" s="1" t="s">
        <v>94</v>
      </c>
    </row>
    <row r="21" spans="1:4" ht="14.25" customHeight="1" x14ac:dyDescent="0.25">
      <c r="A21" s="1" t="s">
        <v>85</v>
      </c>
      <c r="B21" s="1" t="s">
        <v>95</v>
      </c>
      <c r="C21" s="1" t="s">
        <v>96</v>
      </c>
      <c r="D21" s="1" t="s">
        <v>97</v>
      </c>
    </row>
    <row r="22" spans="1:4" ht="14.25" customHeight="1" x14ac:dyDescent="0.25">
      <c r="A22" s="1" t="s">
        <v>98</v>
      </c>
      <c r="B22" s="1" t="s">
        <v>99</v>
      </c>
      <c r="C22" s="1" t="s">
        <v>100</v>
      </c>
      <c r="D22" s="1" t="s">
        <v>101</v>
      </c>
    </row>
    <row r="23" spans="1:4" ht="14.25" customHeight="1" x14ac:dyDescent="0.25">
      <c r="A23" s="1" t="s">
        <v>98</v>
      </c>
      <c r="B23" s="1" t="s">
        <v>102</v>
      </c>
      <c r="C23" s="1" t="s">
        <v>103</v>
      </c>
      <c r="D23" s="1" t="s">
        <v>104</v>
      </c>
    </row>
    <row r="24" spans="1:4" ht="14.25" customHeight="1" x14ac:dyDescent="0.25">
      <c r="A24" s="1" t="s">
        <v>98</v>
      </c>
      <c r="B24" s="1" t="s">
        <v>105</v>
      </c>
      <c r="C24" s="1" t="s">
        <v>106</v>
      </c>
      <c r="D24" s="1" t="s">
        <v>107</v>
      </c>
    </row>
    <row r="25" spans="1:4" ht="14.25" customHeight="1" x14ac:dyDescent="0.25">
      <c r="A25" s="1" t="s">
        <v>98</v>
      </c>
      <c r="B25" s="1" t="s">
        <v>108</v>
      </c>
      <c r="C25" s="1" t="s">
        <v>109</v>
      </c>
      <c r="D25" s="1" t="s">
        <v>110</v>
      </c>
    </row>
    <row r="26" spans="1:4" ht="14.25" customHeight="1" x14ac:dyDescent="0.25">
      <c r="A26" s="1" t="s">
        <v>111</v>
      </c>
      <c r="B26" s="1" t="s">
        <v>112</v>
      </c>
      <c r="C26" s="1" t="s">
        <v>113</v>
      </c>
      <c r="D26" s="1" t="s">
        <v>114</v>
      </c>
    </row>
    <row r="27" spans="1:4" ht="14.25" customHeight="1" x14ac:dyDescent="0.25">
      <c r="A27" s="1" t="s">
        <v>111</v>
      </c>
      <c r="B27" s="1" t="s">
        <v>115</v>
      </c>
      <c r="C27" s="1" t="s">
        <v>116</v>
      </c>
      <c r="D27" s="1" t="s">
        <v>117</v>
      </c>
    </row>
    <row r="28" spans="1:4" ht="14.25" customHeight="1" x14ac:dyDescent="0.25">
      <c r="A28" s="1" t="s">
        <v>111</v>
      </c>
      <c r="B28" s="1" t="s">
        <v>118</v>
      </c>
      <c r="C28" s="1" t="s">
        <v>119</v>
      </c>
      <c r="D28" s="1" t="s">
        <v>120</v>
      </c>
    </row>
    <row r="29" spans="1:4" ht="14.25" customHeight="1" x14ac:dyDescent="0.25">
      <c r="A29" s="1" t="s">
        <v>111</v>
      </c>
      <c r="B29" s="1" t="s">
        <v>121</v>
      </c>
      <c r="C29" s="1" t="s">
        <v>122</v>
      </c>
      <c r="D29" s="1" t="s">
        <v>123</v>
      </c>
    </row>
    <row r="30" spans="1:4" ht="14.25" customHeight="1" x14ac:dyDescent="0.25">
      <c r="A30" s="1" t="s">
        <v>124</v>
      </c>
      <c r="B30" s="1" t="s">
        <v>125</v>
      </c>
      <c r="C30" s="1" t="s">
        <v>126</v>
      </c>
      <c r="D30" s="1" t="s">
        <v>127</v>
      </c>
    </row>
    <row r="31" spans="1:4" ht="14.25" customHeight="1" x14ac:dyDescent="0.25">
      <c r="A31" s="1" t="s">
        <v>124</v>
      </c>
      <c r="B31" s="1" t="s">
        <v>128</v>
      </c>
      <c r="C31" s="1" t="s">
        <v>129</v>
      </c>
      <c r="D31" s="1" t="s">
        <v>130</v>
      </c>
    </row>
    <row r="32" spans="1:4" ht="14.25" customHeight="1" x14ac:dyDescent="0.25">
      <c r="A32" s="1" t="s">
        <v>124</v>
      </c>
      <c r="B32" s="1" t="s">
        <v>131</v>
      </c>
      <c r="C32" s="1" t="s">
        <v>132</v>
      </c>
      <c r="D32" s="1" t="s">
        <v>133</v>
      </c>
    </row>
    <row r="33" spans="1:4" ht="14.25" customHeight="1" x14ac:dyDescent="0.25">
      <c r="A33" s="1" t="s">
        <v>124</v>
      </c>
      <c r="B33" s="1" t="s">
        <v>134</v>
      </c>
      <c r="C33" s="1" t="s">
        <v>135</v>
      </c>
      <c r="D33" s="1" t="s">
        <v>136</v>
      </c>
    </row>
    <row r="34" spans="1:4" ht="14.25" customHeight="1" x14ac:dyDescent="0.25">
      <c r="A34" s="1" t="s">
        <v>137</v>
      </c>
      <c r="B34" s="1" t="s">
        <v>138</v>
      </c>
      <c r="C34" s="1" t="s">
        <v>139</v>
      </c>
      <c r="D34" s="1" t="s">
        <v>140</v>
      </c>
    </row>
    <row r="35" spans="1:4" ht="14.25" customHeight="1" x14ac:dyDescent="0.25">
      <c r="A35" s="1" t="s">
        <v>137</v>
      </c>
      <c r="B35" s="1" t="s">
        <v>141</v>
      </c>
      <c r="C35" s="1" t="s">
        <v>142</v>
      </c>
      <c r="D35" s="1" t="s">
        <v>143</v>
      </c>
    </row>
    <row r="36" spans="1:4" ht="14.25" customHeight="1" x14ac:dyDescent="0.25">
      <c r="A36" s="1" t="s">
        <v>137</v>
      </c>
      <c r="B36" s="1" t="s">
        <v>144</v>
      </c>
      <c r="C36" s="1" t="s">
        <v>145</v>
      </c>
      <c r="D36" s="1" t="s">
        <v>146</v>
      </c>
    </row>
    <row r="37" spans="1:4" ht="14.25" customHeight="1" x14ac:dyDescent="0.25">
      <c r="A37" s="1" t="s">
        <v>137</v>
      </c>
      <c r="B37" s="1" t="s">
        <v>147</v>
      </c>
      <c r="C37" s="1" t="s">
        <v>148</v>
      </c>
      <c r="D37" s="1" t="s">
        <v>149</v>
      </c>
    </row>
    <row r="38" spans="1:4" ht="14.25" customHeight="1" x14ac:dyDescent="0.25">
      <c r="A38" s="1" t="s">
        <v>150</v>
      </c>
      <c r="B38" s="1" t="s">
        <v>151</v>
      </c>
      <c r="C38" s="1" t="s">
        <v>152</v>
      </c>
      <c r="D38" s="1" t="s">
        <v>153</v>
      </c>
    </row>
    <row r="39" spans="1:4" ht="14.25" customHeight="1" x14ac:dyDescent="0.25">
      <c r="A39" s="1" t="s">
        <v>150</v>
      </c>
      <c r="B39" s="1" t="s">
        <v>154</v>
      </c>
      <c r="C39" s="1" t="s">
        <v>155</v>
      </c>
      <c r="D39" s="1" t="s">
        <v>156</v>
      </c>
    </row>
    <row r="40" spans="1:4" ht="14.25" customHeight="1" x14ac:dyDescent="0.25">
      <c r="A40" s="1" t="s">
        <v>150</v>
      </c>
      <c r="B40" s="1" t="s">
        <v>157</v>
      </c>
      <c r="C40" s="1" t="s">
        <v>158</v>
      </c>
      <c r="D40" s="1" t="s">
        <v>159</v>
      </c>
    </row>
    <row r="41" spans="1:4" ht="14.25" customHeight="1" x14ac:dyDescent="0.25">
      <c r="A41" s="1" t="s">
        <v>150</v>
      </c>
      <c r="B41" s="1" t="s">
        <v>160</v>
      </c>
      <c r="C41" s="1" t="s">
        <v>161</v>
      </c>
      <c r="D41" s="1" t="s">
        <v>162</v>
      </c>
    </row>
    <row r="42" spans="1:4" ht="14.25" customHeight="1" x14ac:dyDescent="0.25">
      <c r="A42" s="1" t="s">
        <v>163</v>
      </c>
      <c r="B42" s="1" t="s">
        <v>164</v>
      </c>
      <c r="C42" s="1" t="s">
        <v>165</v>
      </c>
      <c r="D42" s="1" t="s">
        <v>166</v>
      </c>
    </row>
    <row r="43" spans="1:4" ht="14.25" customHeight="1" x14ac:dyDescent="0.25">
      <c r="A43" s="1" t="s">
        <v>163</v>
      </c>
      <c r="B43" s="1" t="s">
        <v>167</v>
      </c>
      <c r="C43" s="1" t="s">
        <v>168</v>
      </c>
      <c r="D43" s="1" t="s">
        <v>169</v>
      </c>
    </row>
    <row r="44" spans="1:4" ht="14.25" customHeight="1" x14ac:dyDescent="0.25">
      <c r="A44" s="1" t="s">
        <v>163</v>
      </c>
      <c r="B44" s="1" t="s">
        <v>170</v>
      </c>
      <c r="C44" s="1" t="s">
        <v>171</v>
      </c>
      <c r="D44" s="1" t="s">
        <v>172</v>
      </c>
    </row>
    <row r="45" spans="1:4" ht="14.25" customHeight="1" x14ac:dyDescent="0.25">
      <c r="A45" s="1" t="s">
        <v>163</v>
      </c>
      <c r="B45" s="1" t="s">
        <v>173</v>
      </c>
      <c r="C45" s="1" t="s">
        <v>174</v>
      </c>
      <c r="D45" s="1" t="s">
        <v>175</v>
      </c>
    </row>
    <row r="46" spans="1:4" ht="14.25" customHeight="1" x14ac:dyDescent="0.25">
      <c r="A46" s="1" t="s">
        <v>176</v>
      </c>
      <c r="B46" s="1" t="s">
        <v>177</v>
      </c>
      <c r="C46" s="1" t="s">
        <v>178</v>
      </c>
      <c r="D46" s="1" t="s">
        <v>179</v>
      </c>
    </row>
    <row r="47" spans="1:4" ht="14.25" customHeight="1" x14ac:dyDescent="0.25">
      <c r="A47" s="1" t="s">
        <v>176</v>
      </c>
      <c r="B47" s="1" t="s">
        <v>180</v>
      </c>
      <c r="C47" s="1" t="s">
        <v>181</v>
      </c>
      <c r="D47" s="1" t="s">
        <v>182</v>
      </c>
    </row>
    <row r="48" spans="1:4" ht="14.25" customHeight="1" x14ac:dyDescent="0.25">
      <c r="A48" s="1" t="s">
        <v>176</v>
      </c>
      <c r="B48" s="1" t="s">
        <v>183</v>
      </c>
      <c r="C48" s="1" t="s">
        <v>184</v>
      </c>
      <c r="D48" s="1" t="s">
        <v>185</v>
      </c>
    </row>
    <row r="49" spans="1:4" ht="14.25" customHeight="1" x14ac:dyDescent="0.25">
      <c r="A49" s="1" t="s">
        <v>176</v>
      </c>
      <c r="B49" s="1" t="s">
        <v>186</v>
      </c>
      <c r="C49" s="1" t="s">
        <v>187</v>
      </c>
      <c r="D49" s="1" t="s">
        <v>188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abSelected="1" zoomScaleNormal="100" workbookViewId="0">
      <pane ySplit="1" topLeftCell="A2" activePane="bottomLeft" state="frozen"/>
      <selection pane="bottomLeft" activeCell="H13" sqref="H13"/>
    </sheetView>
  </sheetViews>
  <sheetFormatPr baseColWidth="10" defaultColWidth="11" defaultRowHeight="15" x14ac:dyDescent="0.25"/>
  <cols>
    <col min="1" max="2" width="10" style="4" customWidth="1"/>
    <col min="3" max="3" width="22" style="5" customWidth="1"/>
    <col min="4" max="4" width="10" style="4" customWidth="1"/>
    <col min="6" max="6" width="15" style="1" customWidth="1"/>
    <col min="7" max="7" width="15.7109375" style="4" customWidth="1"/>
    <col min="8" max="8" width="11" style="4"/>
    <col min="12" max="16" width="13" hidden="1" customWidth="1"/>
  </cols>
  <sheetData>
    <row r="1" spans="1:16" ht="16.5" customHeight="1" x14ac:dyDescent="0.25">
      <c r="A1" s="6" t="s">
        <v>189</v>
      </c>
      <c r="B1" s="7" t="s">
        <v>30</v>
      </c>
      <c r="C1" s="7" t="s">
        <v>190</v>
      </c>
      <c r="D1" s="8" t="s">
        <v>191</v>
      </c>
      <c r="F1" s="9">
        <f ca="1">NOW()</f>
        <v>46185.263041435188</v>
      </c>
      <c r="L1" s="10" t="s">
        <v>192</v>
      </c>
      <c r="M1" s="10" t="s">
        <v>193</v>
      </c>
      <c r="N1" s="10" t="s">
        <v>194</v>
      </c>
      <c r="O1" s="10" t="s">
        <v>195</v>
      </c>
      <c r="P1" s="10" t="s">
        <v>196</v>
      </c>
    </row>
    <row r="2" spans="1:16" ht="14.25" customHeight="1" x14ac:dyDescent="0.25">
      <c r="A2" s="11">
        <f>INDEX($M$2:$M$50,SUMPRODUCT(($P$2:$P$50=1)*ROW($M$2:$M$50))-1)</f>
        <v>11</v>
      </c>
      <c r="B2" s="12">
        <v>1</v>
      </c>
      <c r="C2" s="13" t="str">
        <f>INDEX($L$2:$L$50,SUMPRODUCT(($P$2:$P$50=1)*ROW($L$2:$L$50))-1)</f>
        <v>Edward</v>
      </c>
      <c r="D2" s="14">
        <f>INDEX($N$2:$N$50,SUMPRODUCT(($P$2:$P$50=1)*ROW($N$2:$N$50))-1)</f>
        <v>6</v>
      </c>
      <c r="L2" s="15" t="str">
        <f>Grupo!A3</f>
        <v>Alberto</v>
      </c>
      <c r="M2" s="15">
        <f>Participantes!A2</f>
        <v>1</v>
      </c>
      <c r="N2" s="15">
        <f>Grupo!HJ3</f>
        <v>1</v>
      </c>
      <c r="O2" s="15">
        <f t="shared" ref="O2:O33" si="0">N2*100-ROW()</f>
        <v>98</v>
      </c>
      <c r="P2" s="15">
        <f t="shared" ref="P2:P33" si="1">SUMPRODUCT(($O$2:$O$50&gt;O2)*1)+1</f>
        <v>32</v>
      </c>
    </row>
    <row r="3" spans="1:16" ht="14.25" customHeight="1" x14ac:dyDescent="0.25">
      <c r="A3" s="16">
        <f>INDEX($M$2:$M$50,SUMPRODUCT(($P$2:$P$50=2)*ROW($M$2:$M$50))-1)</f>
        <v>30</v>
      </c>
      <c r="B3" s="17">
        <f t="shared" ref="B3:B50" si="2">IF(D3=D2,B2,B2+1)</f>
        <v>1</v>
      </c>
      <c r="C3" s="18" t="str">
        <f>INDEX($L$2:$L$50,SUMPRODUCT(($P$2:$P$50=2)*ROW($L$2:$L$50))-1)</f>
        <v>Luis Peña</v>
      </c>
      <c r="D3" s="19">
        <f>INDEX($N$2:$N$50,SUMPRODUCT(($P$2:$P$50=2)*ROW($N$2:$N$50))-1)</f>
        <v>6</v>
      </c>
      <c r="L3" s="15" t="str">
        <f>Grupo!A4</f>
        <v>Alexander</v>
      </c>
      <c r="M3" s="15">
        <f>Participantes!A3</f>
        <v>2</v>
      </c>
      <c r="N3" s="15">
        <f>Grupo!HJ4</f>
        <v>3</v>
      </c>
      <c r="O3" s="15">
        <f t="shared" si="0"/>
        <v>297</v>
      </c>
      <c r="P3" s="15">
        <f t="shared" si="1"/>
        <v>13</v>
      </c>
    </row>
    <row r="4" spans="1:16" ht="14.25" customHeight="1" x14ac:dyDescent="0.25">
      <c r="A4" s="16">
        <f>INDEX($M$2:$M$50,SUMPRODUCT(($P$2:$P$50=3)*ROW($M$2:$M$50))-1)</f>
        <v>33</v>
      </c>
      <c r="B4" s="17">
        <f t="shared" si="2"/>
        <v>1</v>
      </c>
      <c r="C4" s="18" t="str">
        <f>INDEX($L$2:$L$50,SUMPRODUCT(($P$2:$P$50=3)*ROW($L$2:$L$50))-1)</f>
        <v>Marilyn</v>
      </c>
      <c r="D4" s="19">
        <f>INDEX($N$2:$N$50,SUMPRODUCT(($P$2:$P$50=3)*ROW($N$2:$N$50))-1)</f>
        <v>6</v>
      </c>
      <c r="L4" s="15" t="str">
        <f>Grupo!A5</f>
        <v>Alfredo 1</v>
      </c>
      <c r="M4" s="15">
        <f>Participantes!A4</f>
        <v>3</v>
      </c>
      <c r="N4" s="15">
        <f>Grupo!HJ5</f>
        <v>1</v>
      </c>
      <c r="O4" s="15">
        <f t="shared" si="0"/>
        <v>96</v>
      </c>
      <c r="P4" s="15">
        <f t="shared" si="1"/>
        <v>33</v>
      </c>
    </row>
    <row r="5" spans="1:16" ht="14.25" customHeight="1" x14ac:dyDescent="0.25">
      <c r="A5" s="16">
        <f>INDEX($M$2:$M$50,SUMPRODUCT(($P$2:$P$50=4)*ROW($M$2:$M$50))-1)</f>
        <v>8</v>
      </c>
      <c r="B5" s="17">
        <f t="shared" si="2"/>
        <v>2</v>
      </c>
      <c r="C5" s="18" t="str">
        <f>INDEX($L$2:$L$50,SUMPRODUCT(($P$2:$P$50=4)*ROW($L$2:$L$50))-1)</f>
        <v>Castillo L.</v>
      </c>
      <c r="D5" s="19">
        <f>INDEX($N$2:$N$50,SUMPRODUCT(($P$2:$P$50=4)*ROW($N$2:$N$50))-1)</f>
        <v>4</v>
      </c>
      <c r="L5" s="15" t="str">
        <f>Grupo!A6</f>
        <v>Alfredo 2</v>
      </c>
      <c r="M5" s="15">
        <f>Participantes!A5</f>
        <v>4</v>
      </c>
      <c r="N5" s="15">
        <f>Grupo!HJ6</f>
        <v>3</v>
      </c>
      <c r="O5" s="15">
        <f t="shared" si="0"/>
        <v>295</v>
      </c>
      <c r="P5" s="15">
        <f t="shared" si="1"/>
        <v>14</v>
      </c>
    </row>
    <row r="6" spans="1:16" ht="14.25" customHeight="1" x14ac:dyDescent="0.25">
      <c r="A6" s="16">
        <f>INDEX($M$2:$M$50,SUMPRODUCT(($P$2:$P$50=5)*ROW($M$2:$M$50))-1)</f>
        <v>17</v>
      </c>
      <c r="B6" s="17">
        <f t="shared" si="2"/>
        <v>2</v>
      </c>
      <c r="C6" s="18" t="str">
        <f>INDEX($L$2:$L$50,SUMPRODUCT(($P$2:$P$50=5)*ROW($L$2:$L$50))-1)</f>
        <v>Javier</v>
      </c>
      <c r="D6" s="19">
        <f>INDEX($N$2:$N$50,SUMPRODUCT(($P$2:$P$50=5)*ROW($N$2:$N$50))-1)</f>
        <v>4</v>
      </c>
      <c r="L6" s="15" t="str">
        <f>Grupo!A7</f>
        <v>Aneth</v>
      </c>
      <c r="M6" s="15">
        <f>Participantes!A6</f>
        <v>5</v>
      </c>
      <c r="N6" s="15">
        <f>Grupo!HJ7</f>
        <v>3</v>
      </c>
      <c r="O6" s="15">
        <f t="shared" si="0"/>
        <v>294</v>
      </c>
      <c r="P6" s="15">
        <f t="shared" si="1"/>
        <v>15</v>
      </c>
    </row>
    <row r="7" spans="1:16" ht="14.25" customHeight="1" x14ac:dyDescent="0.25">
      <c r="A7" s="16">
        <f>INDEX($M$2:$M$50,SUMPRODUCT(($P$2:$P$50=6)*ROW($M$2:$M$50))-1)</f>
        <v>19</v>
      </c>
      <c r="B7" s="17">
        <f t="shared" si="2"/>
        <v>2</v>
      </c>
      <c r="C7" s="18" t="str">
        <f>INDEX($L$2:$L$50,SUMPRODUCT(($P$2:$P$50=6)*ROW($L$2:$L$50))-1)</f>
        <v>Jose C 2</v>
      </c>
      <c r="D7" s="19">
        <f>INDEX($N$2:$N$50,SUMPRODUCT(($P$2:$P$50=6)*ROW($N$2:$N$50))-1)</f>
        <v>4</v>
      </c>
      <c r="L7" s="15" t="str">
        <f>Grupo!A8</f>
        <v>Antonio</v>
      </c>
      <c r="M7" s="15">
        <f>Participantes!A7</f>
        <v>6</v>
      </c>
      <c r="N7" s="15">
        <f>Grupo!HJ8</f>
        <v>3</v>
      </c>
      <c r="O7" s="15">
        <f t="shared" si="0"/>
        <v>293</v>
      </c>
      <c r="P7" s="15">
        <f t="shared" si="1"/>
        <v>16</v>
      </c>
    </row>
    <row r="8" spans="1:16" ht="15" customHeight="1" x14ac:dyDescent="0.25">
      <c r="A8" s="16">
        <f>INDEX($M$2:$M$50,SUMPRODUCT(($P$2:$P$50=7)*ROW($M$2:$M$50))-1)</f>
        <v>20</v>
      </c>
      <c r="B8" s="17">
        <f t="shared" si="2"/>
        <v>2</v>
      </c>
      <c r="C8" s="18" t="str">
        <f>INDEX($L$2:$L$50,SUMPRODUCT(($P$2:$P$50=7)*ROW($L$2:$L$50))-1)</f>
        <v>Jose C Ahiza</v>
      </c>
      <c r="D8" s="19">
        <f>INDEX($N$2:$N$50,SUMPRODUCT(($P$2:$P$50=7)*ROW($N$2:$N$50))-1)</f>
        <v>4</v>
      </c>
      <c r="L8" s="15" t="str">
        <f>Grupo!A9</f>
        <v>Carlos</v>
      </c>
      <c r="M8" s="15">
        <f>Participantes!A8</f>
        <v>7</v>
      </c>
      <c r="N8" s="15">
        <f>Grupo!HJ9</f>
        <v>1</v>
      </c>
      <c r="O8" s="15">
        <f t="shared" si="0"/>
        <v>92</v>
      </c>
      <c r="P8" s="15">
        <f t="shared" si="1"/>
        <v>34</v>
      </c>
    </row>
    <row r="9" spans="1:16" ht="14.25" customHeight="1" x14ac:dyDescent="0.25">
      <c r="A9" s="16">
        <f>INDEX($M$2:$M$50,SUMPRODUCT(($P$2:$P$50=8)*ROW($M$2:$M$50))-1)</f>
        <v>23</v>
      </c>
      <c r="B9" s="17">
        <f t="shared" si="2"/>
        <v>2</v>
      </c>
      <c r="C9" s="18" t="str">
        <f>INDEX($L$2:$L$50,SUMPRODUCT(($P$2:$P$50=8)*ROW($L$2:$L$50))-1)</f>
        <v>José de León</v>
      </c>
      <c r="D9" s="19">
        <f>INDEX($N$2:$N$50,SUMPRODUCT(($P$2:$P$50=8)*ROW($N$2:$N$50))-1)</f>
        <v>4</v>
      </c>
      <c r="G9" s="89" t="str">
        <f>Partidos!G2</f>
        <v>México</v>
      </c>
      <c r="H9" s="87" t="str">
        <f>Partidos!H2</f>
        <v>Sudáfrica</v>
      </c>
      <c r="J9" s="84">
        <f>Partidos!C2</f>
        <v>0.58333333333333337</v>
      </c>
      <c r="L9" s="15" t="str">
        <f>Grupo!A10</f>
        <v>Castillo L.</v>
      </c>
      <c r="M9" s="15">
        <f>Participantes!A9</f>
        <v>8</v>
      </c>
      <c r="N9" s="15">
        <f>Grupo!HJ10</f>
        <v>4</v>
      </c>
      <c r="O9" s="15">
        <f t="shared" si="0"/>
        <v>391</v>
      </c>
      <c r="P9" s="15">
        <f t="shared" si="1"/>
        <v>4</v>
      </c>
    </row>
    <row r="10" spans="1:16" ht="15" customHeight="1" x14ac:dyDescent="0.25">
      <c r="A10" s="16">
        <f>INDEX($M$2:$M$50,SUMPRODUCT(($P$2:$P$50=9)*ROW($M$2:$M$50))-1)</f>
        <v>35</v>
      </c>
      <c r="B10" s="17">
        <f t="shared" si="2"/>
        <v>2</v>
      </c>
      <c r="C10" s="18" t="str">
        <f>INDEX($L$2:$L$50,SUMPRODUCT(($P$2:$P$50=9)*ROW($L$2:$L$50))-1)</f>
        <v>Milagros</v>
      </c>
      <c r="D10" s="19">
        <f>INDEX($N$2:$N$50,SUMPRODUCT(($P$2:$P$50=9)*ROW($N$2:$N$50))-1)</f>
        <v>4</v>
      </c>
      <c r="G10" s="90">
        <f>Partidos!I2</f>
        <v>2</v>
      </c>
      <c r="H10" s="88">
        <f>Partidos!J2</f>
        <v>0</v>
      </c>
      <c r="L10" s="15" t="str">
        <f>Grupo!A11</f>
        <v>Christofer</v>
      </c>
      <c r="M10" s="15">
        <f>Participantes!A10</f>
        <v>9</v>
      </c>
      <c r="N10" s="15">
        <f>Grupo!HJ11</f>
        <v>0</v>
      </c>
      <c r="O10" s="15">
        <f t="shared" si="0"/>
        <v>-10</v>
      </c>
      <c r="P10" s="15">
        <f t="shared" si="1"/>
        <v>48</v>
      </c>
    </row>
    <row r="11" spans="1:16" ht="15" customHeight="1" x14ac:dyDescent="0.25">
      <c r="A11" s="16">
        <f>INDEX($M$2:$M$50,SUMPRODUCT(($P$2:$P$50=10)*ROW($M$2:$M$50))-1)</f>
        <v>36</v>
      </c>
      <c r="B11" s="17">
        <f t="shared" si="2"/>
        <v>2</v>
      </c>
      <c r="C11" s="18" t="str">
        <f>INDEX($L$2:$L$50,SUMPRODUCT(($P$2:$P$50=10)*ROW($L$2:$L$50))-1)</f>
        <v>Mily CF 1</v>
      </c>
      <c r="D11" s="19">
        <f>INDEX($N$2:$N$50,SUMPRODUCT(($P$2:$P$50=10)*ROW($N$2:$N$50))-1)</f>
        <v>4</v>
      </c>
      <c r="L11" s="15" t="str">
        <f>Grupo!A12</f>
        <v>Cynthia</v>
      </c>
      <c r="M11" s="15">
        <f>Participantes!A11</f>
        <v>10</v>
      </c>
      <c r="N11" s="15">
        <f>Grupo!HJ12</f>
        <v>1</v>
      </c>
      <c r="O11" s="15">
        <f t="shared" si="0"/>
        <v>89</v>
      </c>
      <c r="P11" s="15">
        <f t="shared" si="1"/>
        <v>35</v>
      </c>
    </row>
    <row r="12" spans="1:16" ht="14.25" customHeight="1" x14ac:dyDescent="0.25">
      <c r="A12" s="16">
        <f>INDEX($M$2:$M$50,SUMPRODUCT(($P$2:$P$50=11)*ROW($M$2:$M$50))-1)</f>
        <v>42</v>
      </c>
      <c r="B12" s="17">
        <f t="shared" si="2"/>
        <v>2</v>
      </c>
      <c r="C12" s="18" t="str">
        <f>INDEX($L$2:$L$50,SUMPRODUCT(($P$2:$P$50=11)*ROW($L$2:$L$50))-1)</f>
        <v>Osvaldo</v>
      </c>
      <c r="D12" s="19">
        <f>INDEX($N$2:$N$50,SUMPRODUCT(($P$2:$P$50=11)*ROW($N$2:$N$50))-1)</f>
        <v>4</v>
      </c>
      <c r="G12" s="89" t="str">
        <f>Partidos!G3</f>
        <v>Corea República</v>
      </c>
      <c r="H12" s="87" t="str">
        <f>Partidos!H3</f>
        <v>Chequia</v>
      </c>
      <c r="J12" s="84">
        <f>Partidos!C3</f>
        <v>0.875</v>
      </c>
      <c r="L12" s="15" t="str">
        <f>Grupo!A13</f>
        <v>Edward</v>
      </c>
      <c r="M12" s="15">
        <f>Participantes!A12</f>
        <v>11</v>
      </c>
      <c r="N12" s="15">
        <f>Grupo!HJ13</f>
        <v>6</v>
      </c>
      <c r="O12" s="15">
        <f t="shared" si="0"/>
        <v>588</v>
      </c>
      <c r="P12" s="15">
        <f t="shared" si="1"/>
        <v>1</v>
      </c>
    </row>
    <row r="13" spans="1:16" ht="15" customHeight="1" x14ac:dyDescent="0.25">
      <c r="A13" s="16">
        <f>INDEX($M$2:$M$50,SUMPRODUCT(($P$2:$P$50=12)*ROW($M$2:$M$50))-1)</f>
        <v>43</v>
      </c>
      <c r="B13" s="17">
        <f t="shared" si="2"/>
        <v>2</v>
      </c>
      <c r="C13" s="18" t="str">
        <f>INDEX($L$2:$L$50,SUMPRODUCT(($P$2:$P$50=12)*ROW($L$2:$L$50))-1)</f>
        <v>Peter</v>
      </c>
      <c r="D13" s="19">
        <f>INDEX($N$2:$N$50,SUMPRODUCT(($P$2:$P$50=12)*ROW($N$2:$N$50))-1)</f>
        <v>4</v>
      </c>
      <c r="G13" s="86">
        <f>Partidos!I3</f>
        <v>2</v>
      </c>
      <c r="H13" s="91">
        <f>Partidos!J3</f>
        <v>1</v>
      </c>
      <c r="L13" s="15" t="str">
        <f>Grupo!A14</f>
        <v>Espinosa L.</v>
      </c>
      <c r="M13" s="15">
        <f>Participantes!A13</f>
        <v>12</v>
      </c>
      <c r="N13" s="15">
        <f>Grupo!HJ14</f>
        <v>2</v>
      </c>
      <c r="O13" s="15">
        <f t="shared" si="0"/>
        <v>187</v>
      </c>
      <c r="P13" s="15">
        <f t="shared" si="1"/>
        <v>27</v>
      </c>
    </row>
    <row r="14" spans="1:16" ht="14.25" customHeight="1" x14ac:dyDescent="0.25">
      <c r="A14" s="16">
        <f>INDEX($M$2:$M$50,SUMPRODUCT(($P$2:$P$50=13)*ROW($M$2:$M$50))-1)</f>
        <v>2</v>
      </c>
      <c r="B14" s="17">
        <f t="shared" si="2"/>
        <v>3</v>
      </c>
      <c r="C14" s="18" t="str">
        <f>INDEX($L$2:$L$50,SUMPRODUCT(($P$2:$P$50=13)*ROW($L$2:$L$50))-1)</f>
        <v>Alexander</v>
      </c>
      <c r="D14" s="19">
        <f>INDEX($N$2:$N$50,SUMPRODUCT(($P$2:$P$50=13)*ROW($N$2:$N$50))-1)</f>
        <v>3</v>
      </c>
      <c r="L14" s="15" t="str">
        <f>Grupo!A15</f>
        <v>Freddy</v>
      </c>
      <c r="M14" s="15">
        <f>Participantes!A14</f>
        <v>13</v>
      </c>
      <c r="N14" s="15">
        <f>Grupo!HJ15</f>
        <v>1</v>
      </c>
      <c r="O14" s="15">
        <f t="shared" si="0"/>
        <v>86</v>
      </c>
      <c r="P14" s="15">
        <f t="shared" si="1"/>
        <v>36</v>
      </c>
    </row>
    <row r="15" spans="1:16" ht="14.25" customHeight="1" x14ac:dyDescent="0.25">
      <c r="A15" s="16">
        <f>INDEX($M$2:$M$50,SUMPRODUCT(($P$2:$P$50=14)*ROW($M$2:$M$50))-1)</f>
        <v>4</v>
      </c>
      <c r="B15" s="17">
        <f t="shared" si="2"/>
        <v>3</v>
      </c>
      <c r="C15" s="18" t="str">
        <f>INDEX($L$2:$L$50,SUMPRODUCT(($P$2:$P$50=14)*ROW($L$2:$L$50))-1)</f>
        <v>Alfredo 2</v>
      </c>
      <c r="D15" s="19">
        <f>INDEX($N$2:$N$50,SUMPRODUCT(($P$2:$P$50=14)*ROW($N$2:$N$50))-1)</f>
        <v>3</v>
      </c>
      <c r="L15" s="15" t="str">
        <f>Grupo!A16</f>
        <v>Isabel 1</v>
      </c>
      <c r="M15" s="15">
        <f>Participantes!A15</f>
        <v>15</v>
      </c>
      <c r="N15" s="15">
        <f>Grupo!HJ16</f>
        <v>1</v>
      </c>
      <c r="O15" s="15">
        <f t="shared" si="0"/>
        <v>85</v>
      </c>
      <c r="P15" s="15">
        <f t="shared" si="1"/>
        <v>37</v>
      </c>
    </row>
    <row r="16" spans="1:16" ht="14.25" customHeight="1" x14ac:dyDescent="0.25">
      <c r="A16" s="16">
        <f>INDEX($M$2:$M$50,SUMPRODUCT(($P$2:$P$50=15)*ROW($M$2:$M$50))-1)</f>
        <v>5</v>
      </c>
      <c r="B16" s="17">
        <f t="shared" si="2"/>
        <v>3</v>
      </c>
      <c r="C16" s="18" t="str">
        <f>INDEX($L$2:$L$50,SUMPRODUCT(($P$2:$P$50=15)*ROW($L$2:$L$50))-1)</f>
        <v>Aneth</v>
      </c>
      <c r="D16" s="19">
        <f>INDEX($N$2:$N$50,SUMPRODUCT(($P$2:$P$50=15)*ROW($N$2:$N$50))-1)</f>
        <v>3</v>
      </c>
      <c r="L16" s="15" t="str">
        <f>Grupo!A17</f>
        <v>Isabel 2</v>
      </c>
      <c r="M16" s="15">
        <f>Participantes!A16</f>
        <v>16</v>
      </c>
      <c r="N16" s="15">
        <f>Grupo!HJ17</f>
        <v>2</v>
      </c>
      <c r="O16" s="15">
        <f t="shared" si="0"/>
        <v>184</v>
      </c>
      <c r="P16" s="15">
        <f t="shared" si="1"/>
        <v>28</v>
      </c>
    </row>
    <row r="17" spans="1:16" ht="14.25" customHeight="1" x14ac:dyDescent="0.25">
      <c r="A17" s="16">
        <f>INDEX($M$2:$M$50,SUMPRODUCT(($P$2:$P$50=16)*ROW($M$2:$M$50))-1)</f>
        <v>6</v>
      </c>
      <c r="B17" s="17">
        <f t="shared" si="2"/>
        <v>3</v>
      </c>
      <c r="C17" s="18" t="str">
        <f>INDEX($L$2:$L$50,SUMPRODUCT(($P$2:$P$50=16)*ROW($L$2:$L$50))-1)</f>
        <v>Antonio</v>
      </c>
      <c r="D17" s="19">
        <f>INDEX($N$2:$N$50,SUMPRODUCT(($P$2:$P$50=16)*ROW($N$2:$N$50))-1)</f>
        <v>3</v>
      </c>
      <c r="L17" s="15" t="str">
        <f>Grupo!A18</f>
        <v>Javier</v>
      </c>
      <c r="M17" s="15">
        <f>Participantes!A17</f>
        <v>17</v>
      </c>
      <c r="N17" s="15">
        <f>Grupo!HJ18</f>
        <v>4</v>
      </c>
      <c r="O17" s="15">
        <f t="shared" si="0"/>
        <v>383</v>
      </c>
      <c r="P17" s="15">
        <f t="shared" si="1"/>
        <v>5</v>
      </c>
    </row>
    <row r="18" spans="1:16" ht="14.25" customHeight="1" x14ac:dyDescent="0.25">
      <c r="A18" s="16">
        <f>INDEX($M$2:$M$50,SUMPRODUCT(($P$2:$P$50=17)*ROW($M$2:$M$50))-1)</f>
        <v>27</v>
      </c>
      <c r="B18" s="17">
        <f t="shared" si="2"/>
        <v>3</v>
      </c>
      <c r="C18" s="18" t="str">
        <f>INDEX($L$2:$L$50,SUMPRODUCT(($P$2:$P$50=17)*ROW($L$2:$L$50))-1)</f>
        <v>Kattia 2</v>
      </c>
      <c r="D18" s="19">
        <f>INDEX($N$2:$N$50,SUMPRODUCT(($P$2:$P$50=17)*ROW($N$2:$N$50))-1)</f>
        <v>3</v>
      </c>
      <c r="L18" s="15" t="str">
        <f>Grupo!A19</f>
        <v>Jose C 1</v>
      </c>
      <c r="M18" s="15">
        <f>Participantes!A18</f>
        <v>18</v>
      </c>
      <c r="N18" s="15">
        <f>Grupo!HJ19</f>
        <v>0</v>
      </c>
      <c r="O18" s="15">
        <f t="shared" si="0"/>
        <v>-18</v>
      </c>
      <c r="P18" s="15">
        <f t="shared" si="1"/>
        <v>49</v>
      </c>
    </row>
    <row r="19" spans="1:16" ht="14.25" customHeight="1" x14ac:dyDescent="0.25">
      <c r="A19" s="16">
        <f>INDEX($M$2:$M$50,SUMPRODUCT(($P$2:$P$50=18)*ROW($M$2:$M$50))-1)</f>
        <v>28</v>
      </c>
      <c r="B19" s="17">
        <f t="shared" si="2"/>
        <v>3</v>
      </c>
      <c r="C19" s="18" t="str">
        <f>INDEX($L$2:$L$50,SUMPRODUCT(($P$2:$P$50=18)*ROW($L$2:$L$50))-1)</f>
        <v>Kevin</v>
      </c>
      <c r="D19" s="19">
        <f>INDEX($N$2:$N$50,SUMPRODUCT(($P$2:$P$50=18)*ROW($N$2:$N$50))-1)</f>
        <v>3</v>
      </c>
      <c r="L19" s="15" t="str">
        <f>Grupo!A20</f>
        <v>Jose C 2</v>
      </c>
      <c r="M19" s="15">
        <f>Participantes!A19</f>
        <v>19</v>
      </c>
      <c r="N19" s="15">
        <f>Grupo!HJ20</f>
        <v>4</v>
      </c>
      <c r="O19" s="15">
        <f t="shared" si="0"/>
        <v>381</v>
      </c>
      <c r="P19" s="15">
        <f t="shared" si="1"/>
        <v>6</v>
      </c>
    </row>
    <row r="20" spans="1:16" ht="14.25" customHeight="1" x14ac:dyDescent="0.25">
      <c r="A20" s="16">
        <f>INDEX($M$2:$M$50,SUMPRODUCT(($P$2:$P$50=19)*ROW($M$2:$M$50))-1)</f>
        <v>29</v>
      </c>
      <c r="B20" s="17">
        <f t="shared" si="2"/>
        <v>3</v>
      </c>
      <c r="C20" s="18" t="str">
        <f>INDEX($L$2:$L$50,SUMPRODUCT(($P$2:$P$50=19)*ROW($L$2:$L$50))-1)</f>
        <v>Lizka</v>
      </c>
      <c r="D20" s="19">
        <f>INDEX($N$2:$N$50,SUMPRODUCT(($P$2:$P$50=19)*ROW($N$2:$N$50))-1)</f>
        <v>3</v>
      </c>
      <c r="L20" s="15" t="str">
        <f>Grupo!A21</f>
        <v>Jose C Ahiza</v>
      </c>
      <c r="M20" s="15">
        <f>Participantes!A20</f>
        <v>20</v>
      </c>
      <c r="N20" s="15">
        <f>Grupo!HJ21</f>
        <v>4</v>
      </c>
      <c r="O20" s="15">
        <f t="shared" si="0"/>
        <v>380</v>
      </c>
      <c r="P20" s="15">
        <f t="shared" si="1"/>
        <v>7</v>
      </c>
    </row>
    <row r="21" spans="1:16" ht="14.25" customHeight="1" x14ac:dyDescent="0.25">
      <c r="A21" s="16">
        <f>INDEX($M$2:$M$50,SUMPRODUCT(($P$2:$P$50=20)*ROW($M$2:$M$50))-1)</f>
        <v>14</v>
      </c>
      <c r="B21" s="17">
        <f t="shared" si="2"/>
        <v>3</v>
      </c>
      <c r="C21" s="18" t="str">
        <f>INDEX($L$2:$L$50,SUMPRODUCT(($P$2:$P$50=20)*ROW($L$2:$L$50))-1)</f>
        <v>Mily Frida</v>
      </c>
      <c r="D21" s="19">
        <f>INDEX($N$2:$N$50,SUMPRODUCT(($P$2:$P$50=20)*ROW($N$2:$N$50))-1)</f>
        <v>3</v>
      </c>
      <c r="L21" s="15" t="str">
        <f>Grupo!A22</f>
        <v>Jose C Ana</v>
      </c>
      <c r="M21" s="15">
        <f>Participantes!A21</f>
        <v>21</v>
      </c>
      <c r="N21" s="15">
        <f>Grupo!HJ22</f>
        <v>2</v>
      </c>
      <c r="O21" s="15">
        <f t="shared" si="0"/>
        <v>179</v>
      </c>
      <c r="P21" s="15">
        <f t="shared" si="1"/>
        <v>29</v>
      </c>
    </row>
    <row r="22" spans="1:16" ht="14.25" customHeight="1" x14ac:dyDescent="0.25">
      <c r="A22" s="16">
        <f>INDEX($M$2:$M$50,SUMPRODUCT(($P$2:$P$50=21)*ROW($M$2:$M$50))-1)</f>
        <v>38</v>
      </c>
      <c r="B22" s="17">
        <f t="shared" si="2"/>
        <v>3</v>
      </c>
      <c r="C22" s="18" t="str">
        <f>INDEX($L$2:$L$50,SUMPRODUCT(($P$2:$P$50=21)*ROW($L$2:$L$50))-1)</f>
        <v>Mily Oliver</v>
      </c>
      <c r="D22" s="19">
        <f>INDEX($N$2:$N$50,SUMPRODUCT(($P$2:$P$50=21)*ROW($N$2:$N$50))-1)</f>
        <v>3</v>
      </c>
      <c r="L22" s="15" t="str">
        <f>Grupo!A23</f>
        <v>Jose C Judith</v>
      </c>
      <c r="M22" s="15">
        <f>Participantes!A22</f>
        <v>22</v>
      </c>
      <c r="N22" s="15">
        <f>Grupo!HJ23</f>
        <v>1</v>
      </c>
      <c r="O22" s="15">
        <f t="shared" si="0"/>
        <v>78</v>
      </c>
      <c r="P22" s="15">
        <f t="shared" si="1"/>
        <v>38</v>
      </c>
    </row>
    <row r="23" spans="1:16" ht="14.25" customHeight="1" x14ac:dyDescent="0.25">
      <c r="A23" s="16">
        <f>INDEX($M$2:$M$50,SUMPRODUCT(($P$2:$P$50=22)*ROW($M$2:$M$50))-1)</f>
        <v>44</v>
      </c>
      <c r="B23" s="17">
        <f t="shared" si="2"/>
        <v>3</v>
      </c>
      <c r="C23" s="18" t="str">
        <f>INDEX($L$2:$L$50,SUMPRODUCT(($P$2:$P$50=22)*ROW($L$2:$L$50))-1)</f>
        <v>Quinnie</v>
      </c>
      <c r="D23" s="19">
        <f>INDEX($N$2:$N$50,SUMPRODUCT(($P$2:$P$50=22)*ROW($N$2:$N$50))-1)</f>
        <v>3</v>
      </c>
      <c r="L23" s="15" t="str">
        <f>Grupo!A24</f>
        <v>José de León</v>
      </c>
      <c r="M23" s="15">
        <f>Participantes!A23</f>
        <v>23</v>
      </c>
      <c r="N23" s="15">
        <f>Grupo!HJ24</f>
        <v>4</v>
      </c>
      <c r="O23" s="15">
        <f t="shared" si="0"/>
        <v>377</v>
      </c>
      <c r="P23" s="15">
        <f t="shared" si="1"/>
        <v>8</v>
      </c>
    </row>
    <row r="24" spans="1:16" ht="14.25" customHeight="1" x14ac:dyDescent="0.25">
      <c r="A24" s="16">
        <f>INDEX($M$2:$M$50,SUMPRODUCT(($P$2:$P$50=23)*ROW($M$2:$M$50))-1)</f>
        <v>45</v>
      </c>
      <c r="B24" s="17">
        <f t="shared" si="2"/>
        <v>3</v>
      </c>
      <c r="C24" s="18" t="str">
        <f>INDEX($L$2:$L$50,SUMPRODUCT(($P$2:$P$50=23)*ROW($L$2:$L$50))-1)</f>
        <v>Radames</v>
      </c>
      <c r="D24" s="19">
        <f>INDEX($N$2:$N$50,SUMPRODUCT(($P$2:$P$50=23)*ROW($N$2:$N$50))-1)</f>
        <v>3</v>
      </c>
      <c r="L24" s="15" t="str">
        <f>Grupo!A25</f>
        <v>Jovanna</v>
      </c>
      <c r="M24" s="15">
        <f>Participantes!A24</f>
        <v>24</v>
      </c>
      <c r="N24" s="15">
        <f>Grupo!HJ25</f>
        <v>1</v>
      </c>
      <c r="O24" s="15">
        <f t="shared" si="0"/>
        <v>76</v>
      </c>
      <c r="P24" s="15">
        <f t="shared" si="1"/>
        <v>39</v>
      </c>
    </row>
    <row r="25" spans="1:16" ht="14.25" customHeight="1" x14ac:dyDescent="0.25">
      <c r="A25" s="16">
        <f>INDEX($M$2:$M$50,SUMPRODUCT(($P$2:$P$50=24)*ROW($M$2:$M$50))-1)</f>
        <v>46</v>
      </c>
      <c r="B25" s="17">
        <f t="shared" si="2"/>
        <v>3</v>
      </c>
      <c r="C25" s="18" t="str">
        <f>INDEX($L$2:$L$50,SUMPRODUCT(($P$2:$P$50=24)*ROW($L$2:$L$50))-1)</f>
        <v>Saul</v>
      </c>
      <c r="D25" s="19">
        <f>INDEX($N$2:$N$50,SUMPRODUCT(($P$2:$P$50=24)*ROW($N$2:$N$50))-1)</f>
        <v>3</v>
      </c>
      <c r="L25" s="15" t="str">
        <f>Grupo!A26</f>
        <v>Karina</v>
      </c>
      <c r="M25" s="15">
        <f>Participantes!A25</f>
        <v>25</v>
      </c>
      <c r="N25" s="15">
        <f>Grupo!HJ26</f>
        <v>1</v>
      </c>
      <c r="O25" s="15">
        <f t="shared" si="0"/>
        <v>75</v>
      </c>
      <c r="P25" s="15">
        <f t="shared" si="1"/>
        <v>40</v>
      </c>
    </row>
    <row r="26" spans="1:16" ht="14.25" customHeight="1" x14ac:dyDescent="0.25">
      <c r="A26" s="16">
        <f>INDEX($M$2:$M$50,SUMPRODUCT(($P$2:$P$50=25)*ROW($M$2:$M$50))-1)</f>
        <v>47</v>
      </c>
      <c r="B26" s="17">
        <f t="shared" si="2"/>
        <v>3</v>
      </c>
      <c r="C26" s="18" t="str">
        <f>INDEX($L$2:$L$50,SUMPRODUCT(($P$2:$P$50=25)*ROW($L$2:$L$50))-1)</f>
        <v>Silvia</v>
      </c>
      <c r="D26" s="19">
        <f>INDEX($N$2:$N$50,SUMPRODUCT(($P$2:$P$50=25)*ROW($N$2:$N$50))-1)</f>
        <v>3</v>
      </c>
      <c r="L26" s="15" t="str">
        <f>Grupo!A27</f>
        <v>Kattia 1</v>
      </c>
      <c r="M26" s="15">
        <f>Participantes!A26</f>
        <v>26</v>
      </c>
      <c r="N26" s="15">
        <f>Grupo!HJ27</f>
        <v>2</v>
      </c>
      <c r="O26" s="15">
        <f t="shared" si="0"/>
        <v>174</v>
      </c>
      <c r="P26" s="15">
        <f t="shared" si="1"/>
        <v>30</v>
      </c>
    </row>
    <row r="27" spans="1:16" ht="14.25" customHeight="1" x14ac:dyDescent="0.25">
      <c r="A27" s="16">
        <f>INDEX($M$2:$M$50,SUMPRODUCT(($P$2:$P$50=26)*ROW($M$2:$M$50))-1)</f>
        <v>49</v>
      </c>
      <c r="B27" s="17">
        <f t="shared" si="2"/>
        <v>3</v>
      </c>
      <c r="C27" s="18" t="str">
        <f>INDEX($L$2:$L$50,SUMPRODUCT(($P$2:$P$50=26)*ROW($L$2:$L$50))-1)</f>
        <v>Waldo</v>
      </c>
      <c r="D27" s="19">
        <f>INDEX($N$2:$N$50,SUMPRODUCT(($P$2:$P$50=26)*ROW($N$2:$N$50))-1)</f>
        <v>3</v>
      </c>
      <c r="L27" s="15" t="str">
        <f>Grupo!A28</f>
        <v>Kattia 2</v>
      </c>
      <c r="M27" s="15">
        <f>Participantes!A27</f>
        <v>27</v>
      </c>
      <c r="N27" s="15">
        <f>Grupo!HJ28</f>
        <v>3</v>
      </c>
      <c r="O27" s="15">
        <f t="shared" si="0"/>
        <v>273</v>
      </c>
      <c r="P27" s="15">
        <f t="shared" si="1"/>
        <v>17</v>
      </c>
    </row>
    <row r="28" spans="1:16" ht="14.25" customHeight="1" x14ac:dyDescent="0.25">
      <c r="A28" s="16">
        <f>INDEX($M$2:$M$50,SUMPRODUCT(($P$2:$P$50=27)*ROW($M$2:$M$50))-1)</f>
        <v>12</v>
      </c>
      <c r="B28" s="17">
        <f t="shared" si="2"/>
        <v>4</v>
      </c>
      <c r="C28" s="18" t="str">
        <f>INDEX($L$2:$L$50,SUMPRODUCT(($P$2:$P$50=27)*ROW($L$2:$L$50))-1)</f>
        <v>Espinosa L.</v>
      </c>
      <c r="D28" s="19">
        <f>INDEX($N$2:$N$50,SUMPRODUCT(($P$2:$P$50=27)*ROW($N$2:$N$50))-1)</f>
        <v>2</v>
      </c>
      <c r="L28" s="15" t="str">
        <f>Grupo!A29</f>
        <v>Kevin</v>
      </c>
      <c r="M28" s="15">
        <f>Participantes!A28</f>
        <v>28</v>
      </c>
      <c r="N28" s="15">
        <f>Grupo!HJ29</f>
        <v>3</v>
      </c>
      <c r="O28" s="15">
        <f t="shared" si="0"/>
        <v>272</v>
      </c>
      <c r="P28" s="15">
        <f t="shared" si="1"/>
        <v>18</v>
      </c>
    </row>
    <row r="29" spans="1:16" ht="14.25" customHeight="1" x14ac:dyDescent="0.25">
      <c r="A29" s="16">
        <f>INDEX($M$2:$M$50,SUMPRODUCT(($P$2:$P$50=28)*ROW($M$2:$M$50))-1)</f>
        <v>16</v>
      </c>
      <c r="B29" s="17">
        <f t="shared" si="2"/>
        <v>4</v>
      </c>
      <c r="C29" s="18" t="str">
        <f>INDEX($L$2:$L$50,SUMPRODUCT(($P$2:$P$50=28)*ROW($L$2:$L$50))-1)</f>
        <v>Isabel 2</v>
      </c>
      <c r="D29" s="19">
        <f>INDEX($N$2:$N$50,SUMPRODUCT(($P$2:$P$50=28)*ROW($N$2:$N$50))-1)</f>
        <v>2</v>
      </c>
      <c r="L29" s="15" t="str">
        <f>Grupo!A30</f>
        <v>Lizka</v>
      </c>
      <c r="M29" s="15">
        <f>Participantes!A29</f>
        <v>29</v>
      </c>
      <c r="N29" s="15">
        <f>Grupo!HJ30</f>
        <v>3</v>
      </c>
      <c r="O29" s="15">
        <f t="shared" si="0"/>
        <v>271</v>
      </c>
      <c r="P29" s="15">
        <f t="shared" si="1"/>
        <v>19</v>
      </c>
    </row>
    <row r="30" spans="1:16" ht="14.25" customHeight="1" x14ac:dyDescent="0.25">
      <c r="A30" s="16">
        <f>INDEX($M$2:$M$50,SUMPRODUCT(($P$2:$P$50=29)*ROW($M$2:$M$50))-1)</f>
        <v>21</v>
      </c>
      <c r="B30" s="17">
        <f t="shared" si="2"/>
        <v>4</v>
      </c>
      <c r="C30" s="18" t="str">
        <f>INDEX($L$2:$L$50,SUMPRODUCT(($P$2:$P$50=29)*ROW($L$2:$L$50))-1)</f>
        <v>Jose C Ana</v>
      </c>
      <c r="D30" s="19">
        <f>INDEX($N$2:$N$50,SUMPRODUCT(($P$2:$P$50=29)*ROW($N$2:$N$50))-1)</f>
        <v>2</v>
      </c>
      <c r="L30" s="15" t="str">
        <f>Grupo!A31</f>
        <v>Luis Peña</v>
      </c>
      <c r="M30" s="15">
        <f>Participantes!A30</f>
        <v>30</v>
      </c>
      <c r="N30" s="15">
        <f>Grupo!HJ31</f>
        <v>6</v>
      </c>
      <c r="O30" s="15">
        <f t="shared" si="0"/>
        <v>570</v>
      </c>
      <c r="P30" s="15">
        <f t="shared" si="1"/>
        <v>2</v>
      </c>
    </row>
    <row r="31" spans="1:16" ht="14.25" customHeight="1" x14ac:dyDescent="0.25">
      <c r="A31" s="16">
        <f>INDEX($M$2:$M$50,SUMPRODUCT(($P$2:$P$50=30)*ROW($M$2:$M$50))-1)</f>
        <v>26</v>
      </c>
      <c r="B31" s="17">
        <f t="shared" si="2"/>
        <v>4</v>
      </c>
      <c r="C31" s="18" t="str">
        <f>INDEX($L$2:$L$50,SUMPRODUCT(($P$2:$P$50=30)*ROW($L$2:$L$50))-1)</f>
        <v>Kattia 1</v>
      </c>
      <c r="D31" s="19">
        <f>INDEX($N$2:$N$50,SUMPRODUCT(($P$2:$P$50=30)*ROW($N$2:$N$50))-1)</f>
        <v>2</v>
      </c>
      <c r="L31" s="15" t="str">
        <f>Grupo!A32</f>
        <v>Marco R.</v>
      </c>
      <c r="M31" s="15">
        <f>Participantes!A31</f>
        <v>31</v>
      </c>
      <c r="N31" s="15">
        <f>Grupo!HJ32</f>
        <v>1</v>
      </c>
      <c r="O31" s="15">
        <f t="shared" si="0"/>
        <v>69</v>
      </c>
      <c r="P31" s="15">
        <f t="shared" si="1"/>
        <v>41</v>
      </c>
    </row>
    <row r="32" spans="1:16" ht="14.25" customHeight="1" x14ac:dyDescent="0.25">
      <c r="A32" s="16">
        <f>INDEX($M$2:$M$50,SUMPRODUCT(($P$2:$P$50=31)*ROW($M$2:$M$50))-1)</f>
        <v>37</v>
      </c>
      <c r="B32" s="17">
        <f t="shared" si="2"/>
        <v>4</v>
      </c>
      <c r="C32" s="18" t="str">
        <f>INDEX($L$2:$L$50,SUMPRODUCT(($P$2:$P$50=31)*ROW($L$2:$L$50))-1)</f>
        <v>Mily CF 2</v>
      </c>
      <c r="D32" s="19">
        <f>INDEX($N$2:$N$50,SUMPRODUCT(($P$2:$P$50=31)*ROW($N$2:$N$50))-1)</f>
        <v>2</v>
      </c>
      <c r="L32" s="15" t="str">
        <f>Grupo!A33</f>
        <v>Maricela</v>
      </c>
      <c r="M32" s="15">
        <f>Participantes!A32</f>
        <v>32</v>
      </c>
      <c r="N32" s="15">
        <f>Grupo!HJ33</f>
        <v>1</v>
      </c>
      <c r="O32" s="15">
        <f t="shared" si="0"/>
        <v>68</v>
      </c>
      <c r="P32" s="15">
        <f t="shared" si="1"/>
        <v>42</v>
      </c>
    </row>
    <row r="33" spans="1:16" ht="14.25" customHeight="1" x14ac:dyDescent="0.25">
      <c r="A33" s="16">
        <f>INDEX($M$2:$M$50,SUMPRODUCT(($P$2:$P$50=32)*ROW($M$2:$M$50))-1)</f>
        <v>1</v>
      </c>
      <c r="B33" s="17">
        <f t="shared" si="2"/>
        <v>5</v>
      </c>
      <c r="C33" s="18" t="str">
        <f>INDEX($L$2:$L$50,SUMPRODUCT(($P$2:$P$50=32)*ROW($L$2:$L$50))-1)</f>
        <v>Alberto</v>
      </c>
      <c r="D33" s="19">
        <f>INDEX($N$2:$N$50,SUMPRODUCT(($P$2:$P$50=32)*ROW($N$2:$N$50))-1)</f>
        <v>1</v>
      </c>
      <c r="L33" s="15" t="str">
        <f>Grupo!A34</f>
        <v>Marilyn</v>
      </c>
      <c r="M33" s="15">
        <f>Participantes!A33</f>
        <v>33</v>
      </c>
      <c r="N33" s="15">
        <f>Grupo!HJ34</f>
        <v>6</v>
      </c>
      <c r="O33" s="15">
        <f t="shared" si="0"/>
        <v>567</v>
      </c>
      <c r="P33" s="15">
        <f t="shared" si="1"/>
        <v>3</v>
      </c>
    </row>
    <row r="34" spans="1:16" ht="14.25" customHeight="1" x14ac:dyDescent="0.25">
      <c r="A34" s="16">
        <f>INDEX($M$2:$M$50,SUMPRODUCT(($P$2:$P$50=33)*ROW($M$2:$M$50))-1)</f>
        <v>3</v>
      </c>
      <c r="B34" s="17">
        <f t="shared" si="2"/>
        <v>5</v>
      </c>
      <c r="C34" s="18" t="str">
        <f>INDEX($L$2:$L$50,SUMPRODUCT(($P$2:$P$50=33)*ROW($L$2:$L$50))-1)</f>
        <v>Alfredo 1</v>
      </c>
      <c r="D34" s="19">
        <f>INDEX($N$2:$N$50,SUMPRODUCT(($P$2:$P$50=33)*ROW($N$2:$N$50))-1)</f>
        <v>1</v>
      </c>
      <c r="L34" s="15" t="str">
        <f>Grupo!A35</f>
        <v>Medica</v>
      </c>
      <c r="M34" s="15">
        <f>Participantes!A34</f>
        <v>34</v>
      </c>
      <c r="N34" s="15">
        <f>Grupo!HJ35</f>
        <v>1</v>
      </c>
      <c r="O34" s="15">
        <f t="shared" ref="O34:O50" si="3">N34*100-ROW()</f>
        <v>66</v>
      </c>
      <c r="P34" s="15">
        <f t="shared" ref="P34:P50" si="4">SUMPRODUCT(($O$2:$O$50&gt;O34)*1)+1</f>
        <v>43</v>
      </c>
    </row>
    <row r="35" spans="1:16" ht="14.25" customHeight="1" x14ac:dyDescent="0.25">
      <c r="A35" s="16">
        <f>INDEX($M$2:$M$50,SUMPRODUCT(($P$2:$P$50=34)*ROW($M$2:$M$50))-1)</f>
        <v>7</v>
      </c>
      <c r="B35" s="17">
        <f t="shared" si="2"/>
        <v>5</v>
      </c>
      <c r="C35" s="18" t="str">
        <f>INDEX($L$2:$L$50,SUMPRODUCT(($P$2:$P$50=34)*ROW($L$2:$L$50))-1)</f>
        <v>Carlos</v>
      </c>
      <c r="D35" s="19">
        <f>INDEX($N$2:$N$50,SUMPRODUCT(($P$2:$P$50=34)*ROW($N$2:$N$50))-1)</f>
        <v>1</v>
      </c>
      <c r="L35" s="15" t="str">
        <f>Grupo!A36</f>
        <v>Milagros</v>
      </c>
      <c r="M35" s="15">
        <f>Participantes!A35</f>
        <v>35</v>
      </c>
      <c r="N35" s="15">
        <f>Grupo!HJ36</f>
        <v>4</v>
      </c>
      <c r="O35" s="15">
        <f t="shared" si="3"/>
        <v>365</v>
      </c>
      <c r="P35" s="15">
        <f t="shared" si="4"/>
        <v>9</v>
      </c>
    </row>
    <row r="36" spans="1:16" ht="14.25" customHeight="1" x14ac:dyDescent="0.25">
      <c r="A36" s="16">
        <f>INDEX($M$2:$M$50,SUMPRODUCT(($P$2:$P$50=35)*ROW($M$2:$M$50))-1)</f>
        <v>10</v>
      </c>
      <c r="B36" s="17">
        <f t="shared" si="2"/>
        <v>5</v>
      </c>
      <c r="C36" s="18" t="str">
        <f>INDEX($L$2:$L$50,SUMPRODUCT(($P$2:$P$50=35)*ROW($L$2:$L$50))-1)</f>
        <v>Cynthia</v>
      </c>
      <c r="D36" s="19">
        <f>INDEX($N$2:$N$50,SUMPRODUCT(($P$2:$P$50=35)*ROW($N$2:$N$50))-1)</f>
        <v>1</v>
      </c>
      <c r="L36" s="15" t="str">
        <f>Grupo!A37</f>
        <v>Mily CF 1</v>
      </c>
      <c r="M36" s="15">
        <f>Participantes!A36</f>
        <v>36</v>
      </c>
      <c r="N36" s="15">
        <f>Grupo!HJ37</f>
        <v>4</v>
      </c>
      <c r="O36" s="15">
        <f t="shared" si="3"/>
        <v>364</v>
      </c>
      <c r="P36" s="15">
        <f t="shared" si="4"/>
        <v>10</v>
      </c>
    </row>
    <row r="37" spans="1:16" ht="14.25" customHeight="1" x14ac:dyDescent="0.25">
      <c r="A37" s="16">
        <f>INDEX($M$2:$M$50,SUMPRODUCT(($P$2:$P$50=36)*ROW($M$2:$M$50))-1)</f>
        <v>13</v>
      </c>
      <c r="B37" s="17">
        <f t="shared" si="2"/>
        <v>5</v>
      </c>
      <c r="C37" s="18" t="str">
        <f>INDEX($L$2:$L$50,SUMPRODUCT(($P$2:$P$50=36)*ROW($L$2:$L$50))-1)</f>
        <v>Freddy</v>
      </c>
      <c r="D37" s="19">
        <f>INDEX($N$2:$N$50,SUMPRODUCT(($P$2:$P$50=36)*ROW($N$2:$N$50))-1)</f>
        <v>1</v>
      </c>
      <c r="L37" s="15" t="str">
        <f>Grupo!A38</f>
        <v>Mily CF 2</v>
      </c>
      <c r="M37" s="15">
        <f>Participantes!A37</f>
        <v>37</v>
      </c>
      <c r="N37" s="15">
        <f>Grupo!HJ38</f>
        <v>2</v>
      </c>
      <c r="O37" s="15">
        <f t="shared" si="3"/>
        <v>163</v>
      </c>
      <c r="P37" s="15">
        <f t="shared" si="4"/>
        <v>31</v>
      </c>
    </row>
    <row r="38" spans="1:16" ht="14.25" customHeight="1" x14ac:dyDescent="0.25">
      <c r="A38" s="16">
        <f>INDEX($M$2:$M$50,SUMPRODUCT(($P$2:$P$50=37)*ROW($M$2:$M$50))-1)</f>
        <v>15</v>
      </c>
      <c r="B38" s="17">
        <f t="shared" si="2"/>
        <v>5</v>
      </c>
      <c r="C38" s="18" t="str">
        <f>INDEX($L$2:$L$50,SUMPRODUCT(($P$2:$P$50=37)*ROW($L$2:$L$50))-1)</f>
        <v>Isabel 1</v>
      </c>
      <c r="D38" s="19">
        <f>INDEX($N$2:$N$50,SUMPRODUCT(($P$2:$P$50=37)*ROW($N$2:$N$50))-1)</f>
        <v>1</v>
      </c>
      <c r="L38" s="15" t="str">
        <f>Grupo!A39</f>
        <v>Mily Frida</v>
      </c>
      <c r="M38" s="15">
        <f>Participantes!A38</f>
        <v>14</v>
      </c>
      <c r="N38" s="15">
        <f>Grupo!HJ39</f>
        <v>3</v>
      </c>
      <c r="O38" s="15">
        <f t="shared" si="3"/>
        <v>262</v>
      </c>
      <c r="P38" s="15">
        <f t="shared" si="4"/>
        <v>20</v>
      </c>
    </row>
    <row r="39" spans="1:16" ht="14.25" customHeight="1" x14ac:dyDescent="0.25">
      <c r="A39" s="16">
        <f>INDEX($M$2:$M$50,SUMPRODUCT(($P$2:$P$50=38)*ROW($M$2:$M$50))-1)</f>
        <v>22</v>
      </c>
      <c r="B39" s="17">
        <f t="shared" si="2"/>
        <v>5</v>
      </c>
      <c r="C39" s="18" t="str">
        <f>INDEX($L$2:$L$50,SUMPRODUCT(($P$2:$P$50=38)*ROW($L$2:$L$50))-1)</f>
        <v>Jose C Judith</v>
      </c>
      <c r="D39" s="19">
        <f>INDEX($N$2:$N$50,SUMPRODUCT(($P$2:$P$50=38)*ROW($N$2:$N$50))-1)</f>
        <v>1</v>
      </c>
      <c r="L39" s="15" t="str">
        <f>Grupo!A40</f>
        <v>Mily Oliver</v>
      </c>
      <c r="M39" s="15">
        <f>Participantes!A39</f>
        <v>38</v>
      </c>
      <c r="N39" s="15">
        <f>Grupo!HJ40</f>
        <v>3</v>
      </c>
      <c r="O39" s="15">
        <f t="shared" si="3"/>
        <v>261</v>
      </c>
      <c r="P39" s="15">
        <f t="shared" si="4"/>
        <v>21</v>
      </c>
    </row>
    <row r="40" spans="1:16" ht="14.25" customHeight="1" x14ac:dyDescent="0.25">
      <c r="A40" s="16">
        <f>INDEX($M$2:$M$50,SUMPRODUCT(($P$2:$P$50=39)*ROW($M$2:$M$50))-1)</f>
        <v>24</v>
      </c>
      <c r="B40" s="17">
        <f t="shared" si="2"/>
        <v>5</v>
      </c>
      <c r="C40" s="18" t="str">
        <f>INDEX($L$2:$L$50,SUMPRODUCT(($P$2:$P$50=39)*ROW($L$2:$L$50))-1)</f>
        <v>Jovanna</v>
      </c>
      <c r="D40" s="19">
        <f>INDEX($N$2:$N$50,SUMPRODUCT(($P$2:$P$50=39)*ROW($N$2:$N$50))-1)</f>
        <v>1</v>
      </c>
      <c r="L40" s="15" t="str">
        <f>Grupo!A41</f>
        <v>Mily Zeynneth</v>
      </c>
      <c r="M40" s="15">
        <f>Participantes!A40</f>
        <v>39</v>
      </c>
      <c r="N40" s="15">
        <f>Grupo!HJ41</f>
        <v>1</v>
      </c>
      <c r="O40" s="15">
        <f t="shared" si="3"/>
        <v>60</v>
      </c>
      <c r="P40" s="15">
        <f t="shared" si="4"/>
        <v>44</v>
      </c>
    </row>
    <row r="41" spans="1:16" ht="14.25" customHeight="1" x14ac:dyDescent="0.25">
      <c r="A41" s="16">
        <f>INDEX($M$2:$M$50,SUMPRODUCT(($P$2:$P$50=40)*ROW($M$2:$M$50))-1)</f>
        <v>25</v>
      </c>
      <c r="B41" s="17">
        <f t="shared" si="2"/>
        <v>5</v>
      </c>
      <c r="C41" s="18" t="str">
        <f>INDEX($L$2:$L$50,SUMPRODUCT(($P$2:$P$50=40)*ROW($L$2:$L$50))-1)</f>
        <v>Karina</v>
      </c>
      <c r="D41" s="19">
        <f>INDEX($N$2:$N$50,SUMPRODUCT(($P$2:$P$50=40)*ROW($N$2:$N$50))-1)</f>
        <v>1</v>
      </c>
      <c r="L41" s="15" t="str">
        <f>Grupo!A42</f>
        <v>Nefreteri</v>
      </c>
      <c r="M41" s="15">
        <f>Participantes!A41</f>
        <v>40</v>
      </c>
      <c r="N41" s="15">
        <f>Grupo!HJ42</f>
        <v>1</v>
      </c>
      <c r="O41" s="15">
        <f t="shared" si="3"/>
        <v>59</v>
      </c>
      <c r="P41" s="15">
        <f t="shared" si="4"/>
        <v>45</v>
      </c>
    </row>
    <row r="42" spans="1:16" ht="14.25" customHeight="1" x14ac:dyDescent="0.25">
      <c r="A42" s="16">
        <f>INDEX($M$2:$M$50,SUMPRODUCT(($P$2:$P$50=41)*ROW($M$2:$M$50))-1)</f>
        <v>31</v>
      </c>
      <c r="B42" s="17">
        <f t="shared" si="2"/>
        <v>5</v>
      </c>
      <c r="C42" s="18" t="str">
        <f>INDEX($L$2:$L$50,SUMPRODUCT(($P$2:$P$50=41)*ROW($L$2:$L$50))-1)</f>
        <v>Marco R.</v>
      </c>
      <c r="D42" s="19">
        <f>INDEX($N$2:$N$50,SUMPRODUCT(($P$2:$P$50=41)*ROW($N$2:$N$50))-1)</f>
        <v>1</v>
      </c>
      <c r="L42" s="15" t="str">
        <f>Grupo!A43</f>
        <v>Ninoshka</v>
      </c>
      <c r="M42" s="15">
        <f>Participantes!A42</f>
        <v>41</v>
      </c>
      <c r="N42" s="15">
        <f>Grupo!HJ43</f>
        <v>1</v>
      </c>
      <c r="O42" s="15">
        <f t="shared" si="3"/>
        <v>58</v>
      </c>
      <c r="P42" s="15">
        <f t="shared" si="4"/>
        <v>46</v>
      </c>
    </row>
    <row r="43" spans="1:16" ht="14.25" customHeight="1" x14ac:dyDescent="0.25">
      <c r="A43" s="16">
        <f>INDEX($M$2:$M$50,SUMPRODUCT(($P$2:$P$50=42)*ROW($M$2:$M$50))-1)</f>
        <v>32</v>
      </c>
      <c r="B43" s="17">
        <f t="shared" si="2"/>
        <v>5</v>
      </c>
      <c r="C43" s="18" t="str">
        <f>INDEX($L$2:$L$50,SUMPRODUCT(($P$2:$P$50=42)*ROW($L$2:$L$50))-1)</f>
        <v>Maricela</v>
      </c>
      <c r="D43" s="19">
        <f>INDEX($N$2:$N$50,SUMPRODUCT(($P$2:$P$50=42)*ROW($N$2:$N$50))-1)</f>
        <v>1</v>
      </c>
      <c r="L43" s="15" t="str">
        <f>Grupo!A44</f>
        <v>Osvaldo</v>
      </c>
      <c r="M43" s="15">
        <f>Participantes!A43</f>
        <v>42</v>
      </c>
      <c r="N43" s="15">
        <f>Grupo!HJ44</f>
        <v>4</v>
      </c>
      <c r="O43" s="15">
        <f t="shared" si="3"/>
        <v>357</v>
      </c>
      <c r="P43" s="15">
        <f t="shared" si="4"/>
        <v>11</v>
      </c>
    </row>
    <row r="44" spans="1:16" ht="14.25" customHeight="1" x14ac:dyDescent="0.25">
      <c r="A44" s="16">
        <f>INDEX($M$2:$M$50,SUMPRODUCT(($P$2:$P$50=43)*ROW($M$2:$M$50))-1)</f>
        <v>34</v>
      </c>
      <c r="B44" s="17">
        <f t="shared" si="2"/>
        <v>5</v>
      </c>
      <c r="C44" s="18" t="str">
        <f>INDEX($L$2:$L$50,SUMPRODUCT(($P$2:$P$50=43)*ROW($L$2:$L$50))-1)</f>
        <v>Medica</v>
      </c>
      <c r="D44" s="19">
        <f>INDEX($N$2:$N$50,SUMPRODUCT(($P$2:$P$50=43)*ROW($N$2:$N$50))-1)</f>
        <v>1</v>
      </c>
      <c r="L44" s="15" t="str">
        <f>Grupo!A45</f>
        <v>Peter</v>
      </c>
      <c r="M44" s="15">
        <f>Participantes!A44</f>
        <v>43</v>
      </c>
      <c r="N44" s="15">
        <f>Grupo!HJ45</f>
        <v>4</v>
      </c>
      <c r="O44" s="15">
        <f t="shared" si="3"/>
        <v>356</v>
      </c>
      <c r="P44" s="15">
        <f t="shared" si="4"/>
        <v>12</v>
      </c>
    </row>
    <row r="45" spans="1:16" ht="14.25" customHeight="1" x14ac:dyDescent="0.25">
      <c r="A45" s="16">
        <f>INDEX($M$2:$M$50,SUMPRODUCT(($P$2:$P$50=44)*ROW($M$2:$M$50))-1)</f>
        <v>39</v>
      </c>
      <c r="B45" s="17">
        <f t="shared" si="2"/>
        <v>5</v>
      </c>
      <c r="C45" s="18" t="str">
        <f>INDEX($L$2:$L$50,SUMPRODUCT(($P$2:$P$50=44)*ROW($L$2:$L$50))-1)</f>
        <v>Mily Zeynneth</v>
      </c>
      <c r="D45" s="19">
        <f>INDEX($N$2:$N$50,SUMPRODUCT(($P$2:$P$50=44)*ROW($N$2:$N$50))-1)</f>
        <v>1</v>
      </c>
      <c r="L45" s="15" t="str">
        <f>Grupo!A46</f>
        <v>Quinnie</v>
      </c>
      <c r="M45" s="15">
        <f>Participantes!A45</f>
        <v>44</v>
      </c>
      <c r="N45" s="15">
        <f>Grupo!HJ46</f>
        <v>3</v>
      </c>
      <c r="O45" s="15">
        <f t="shared" si="3"/>
        <v>255</v>
      </c>
      <c r="P45" s="15">
        <f t="shared" si="4"/>
        <v>22</v>
      </c>
    </row>
    <row r="46" spans="1:16" ht="14.25" customHeight="1" x14ac:dyDescent="0.25">
      <c r="A46" s="16">
        <f>INDEX($M$2:$M$50,SUMPRODUCT(($P$2:$P$50=45)*ROW($M$2:$M$50))-1)</f>
        <v>40</v>
      </c>
      <c r="B46" s="17">
        <f t="shared" si="2"/>
        <v>5</v>
      </c>
      <c r="C46" s="18" t="str">
        <f>INDEX($L$2:$L$50,SUMPRODUCT(($P$2:$P$50=45)*ROW($L$2:$L$50))-1)</f>
        <v>Nefreteri</v>
      </c>
      <c r="D46" s="19">
        <f>INDEX($N$2:$N$50,SUMPRODUCT(($P$2:$P$50=45)*ROW($N$2:$N$50))-1)</f>
        <v>1</v>
      </c>
      <c r="L46" s="15" t="str">
        <f>Grupo!A47</f>
        <v>Radames</v>
      </c>
      <c r="M46" s="15">
        <f>Participantes!A46</f>
        <v>45</v>
      </c>
      <c r="N46" s="15">
        <f>Grupo!HJ47</f>
        <v>3</v>
      </c>
      <c r="O46" s="15">
        <f t="shared" si="3"/>
        <v>254</v>
      </c>
      <c r="P46" s="15">
        <f t="shared" si="4"/>
        <v>23</v>
      </c>
    </row>
    <row r="47" spans="1:16" ht="14.25" customHeight="1" x14ac:dyDescent="0.25">
      <c r="A47" s="16">
        <f>INDEX($M$2:$M$50,SUMPRODUCT(($P$2:$P$50=46)*ROW($M$2:$M$50))-1)</f>
        <v>41</v>
      </c>
      <c r="B47" s="17">
        <f t="shared" si="2"/>
        <v>5</v>
      </c>
      <c r="C47" s="18" t="str">
        <f>INDEX($L$2:$L$50,SUMPRODUCT(($P$2:$P$50=46)*ROW($L$2:$L$50))-1)</f>
        <v>Ninoshka</v>
      </c>
      <c r="D47" s="19">
        <f>INDEX($N$2:$N$50,SUMPRODUCT(($P$2:$P$50=46)*ROW($N$2:$N$50))-1)</f>
        <v>1</v>
      </c>
      <c r="L47" s="15" t="str">
        <f>Grupo!A48</f>
        <v>Saul</v>
      </c>
      <c r="M47" s="15">
        <f>Participantes!A47</f>
        <v>46</v>
      </c>
      <c r="N47" s="15">
        <f>Grupo!HJ48</f>
        <v>3</v>
      </c>
      <c r="O47" s="15">
        <f t="shared" si="3"/>
        <v>253</v>
      </c>
      <c r="P47" s="15">
        <f t="shared" si="4"/>
        <v>24</v>
      </c>
    </row>
    <row r="48" spans="1:16" ht="14.25" customHeight="1" x14ac:dyDescent="0.25">
      <c r="A48" s="16">
        <f>INDEX($M$2:$M$50,SUMPRODUCT(($P$2:$P$50=47)*ROW($M$2:$M$50))-1)</f>
        <v>48</v>
      </c>
      <c r="B48" s="17">
        <f t="shared" si="2"/>
        <v>5</v>
      </c>
      <c r="C48" s="18" t="str">
        <f>INDEX($L$2:$L$50,SUMPRODUCT(($P$2:$P$50=47)*ROW($L$2:$L$50))-1)</f>
        <v>Walder</v>
      </c>
      <c r="D48" s="19">
        <f>INDEX($N$2:$N$50,SUMPRODUCT(($P$2:$P$50=47)*ROW($N$2:$N$50))-1)</f>
        <v>1</v>
      </c>
      <c r="L48" s="15" t="str">
        <f>Grupo!A49</f>
        <v>Silvia</v>
      </c>
      <c r="M48" s="15">
        <f>Participantes!A48</f>
        <v>47</v>
      </c>
      <c r="N48" s="15">
        <f>Grupo!HJ49</f>
        <v>3</v>
      </c>
      <c r="O48" s="15">
        <f t="shared" si="3"/>
        <v>252</v>
      </c>
      <c r="P48" s="15">
        <f t="shared" si="4"/>
        <v>25</v>
      </c>
    </row>
    <row r="49" spans="1:16" ht="14.25" customHeight="1" x14ac:dyDescent="0.25">
      <c r="A49" s="16">
        <f>INDEX($M$2:$M$50,SUMPRODUCT(($P$2:$P$50=48)*ROW($M$2:$M$50))-1)</f>
        <v>9</v>
      </c>
      <c r="B49" s="17">
        <f t="shared" si="2"/>
        <v>6</v>
      </c>
      <c r="C49" s="18" t="str">
        <f>INDEX($L$2:$L$50,SUMPRODUCT(($P$2:$P$50=48)*ROW($L$2:$L$50))-1)</f>
        <v>Christofer</v>
      </c>
      <c r="D49" s="19">
        <f>INDEX($N$2:$N$50,SUMPRODUCT(($P$2:$P$50=48)*ROW($N$2:$N$50))-1)</f>
        <v>0</v>
      </c>
      <c r="L49" s="15" t="str">
        <f>Grupo!A50</f>
        <v>Walder</v>
      </c>
      <c r="M49" s="15">
        <f>Participantes!A49</f>
        <v>48</v>
      </c>
      <c r="N49" s="15">
        <f>Grupo!HJ50</f>
        <v>1</v>
      </c>
      <c r="O49" s="15">
        <f t="shared" si="3"/>
        <v>51</v>
      </c>
      <c r="P49" s="15">
        <f t="shared" si="4"/>
        <v>47</v>
      </c>
    </row>
    <row r="50" spans="1:16" ht="15" customHeight="1" x14ac:dyDescent="0.25">
      <c r="A50" s="20">
        <f>INDEX($M$2:$M$50,SUMPRODUCT(($P$2:$P$50=49)*ROW($M$2:$M$50))-1)</f>
        <v>18</v>
      </c>
      <c r="B50" s="21">
        <f t="shared" si="2"/>
        <v>6</v>
      </c>
      <c r="C50" s="22" t="str">
        <f>INDEX($L$2:$L$50,SUMPRODUCT(($P$2:$P$50=49)*ROW($L$2:$L$50))-1)</f>
        <v>Jose C 1</v>
      </c>
      <c r="D50" s="23">
        <f>INDEX($N$2:$N$50,SUMPRODUCT(($P$2:$P$50=49)*ROW($N$2:$N$50))-1)</f>
        <v>0</v>
      </c>
      <c r="L50" s="15" t="str">
        <f>Grupo!A51</f>
        <v>Waldo</v>
      </c>
      <c r="M50" s="15">
        <f>Participantes!A50</f>
        <v>49</v>
      </c>
      <c r="N50" s="15">
        <f>Grupo!HJ51</f>
        <v>3</v>
      </c>
      <c r="O50" s="15">
        <f t="shared" si="3"/>
        <v>250</v>
      </c>
      <c r="P50" s="15">
        <f t="shared" si="4"/>
        <v>26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50"/>
  <sheetViews>
    <sheetView topLeftCell="B1" zoomScale="70" zoomScaleNormal="70" workbookViewId="0">
      <pane xSplit="9840" topLeftCell="AE1"/>
      <selection activeCell="F44" sqref="F44"/>
      <selection pane="topRight" activeCell="AE21" sqref="AE21"/>
    </sheetView>
  </sheetViews>
  <sheetFormatPr baseColWidth="10" defaultColWidth="11" defaultRowHeight="15" x14ac:dyDescent="0.25"/>
  <cols>
    <col min="1" max="1" width="11" style="4"/>
    <col min="2" max="2" width="11" style="5"/>
    <col min="3" max="4" width="11" style="4"/>
    <col min="5" max="5" width="8.5703125" style="4" customWidth="1"/>
    <col min="6" max="146" width="11" style="4"/>
  </cols>
  <sheetData>
    <row r="1" spans="1:146" ht="15" customHeight="1" x14ac:dyDescent="0.25">
      <c r="A1" s="24"/>
      <c r="B1" s="25" t="s">
        <v>190</v>
      </c>
      <c r="C1" s="24" t="s">
        <v>36</v>
      </c>
      <c r="D1" s="24" t="s">
        <v>39</v>
      </c>
      <c r="E1" s="24" t="s">
        <v>197</v>
      </c>
      <c r="F1" s="24" t="s">
        <v>45</v>
      </c>
      <c r="G1" s="24" t="s">
        <v>49</v>
      </c>
      <c r="H1" s="24" t="s">
        <v>198</v>
      </c>
      <c r="I1" s="24" t="s">
        <v>75</v>
      </c>
      <c r="J1" s="24" t="s">
        <v>78</v>
      </c>
      <c r="K1" s="24" t="s">
        <v>68</v>
      </c>
      <c r="L1" s="24" t="s">
        <v>71</v>
      </c>
      <c r="M1" s="24" t="s">
        <v>81</v>
      </c>
      <c r="N1" s="24" t="s">
        <v>84</v>
      </c>
      <c r="O1" s="24" t="s">
        <v>62</v>
      </c>
      <c r="P1" s="24" t="s">
        <v>65</v>
      </c>
      <c r="Q1" s="24" t="s">
        <v>55</v>
      </c>
      <c r="R1" s="24" t="s">
        <v>58</v>
      </c>
      <c r="S1" s="24" t="s">
        <v>94</v>
      </c>
      <c r="T1" s="24" t="s">
        <v>97</v>
      </c>
      <c r="U1" s="24" t="s">
        <v>88</v>
      </c>
      <c r="V1" s="24" t="s">
        <v>91</v>
      </c>
      <c r="W1" s="24" t="s">
        <v>101</v>
      </c>
      <c r="X1" s="24" t="s">
        <v>104</v>
      </c>
      <c r="Y1" s="24" t="s">
        <v>107</v>
      </c>
      <c r="Z1" s="24" t="s">
        <v>110</v>
      </c>
      <c r="AA1" s="24" t="s">
        <v>133</v>
      </c>
      <c r="AB1" s="24" t="s">
        <v>136</v>
      </c>
      <c r="AC1" s="24" t="s">
        <v>127</v>
      </c>
      <c r="AD1" s="24" t="s">
        <v>130</v>
      </c>
      <c r="AE1" s="24" t="s">
        <v>120</v>
      </c>
      <c r="AF1" s="24" t="s">
        <v>123</v>
      </c>
      <c r="AG1" s="24" t="s">
        <v>114</v>
      </c>
      <c r="AH1" s="24" t="s">
        <v>117</v>
      </c>
      <c r="AI1" s="24" t="s">
        <v>140</v>
      </c>
      <c r="AJ1" s="24" t="s">
        <v>143</v>
      </c>
      <c r="AK1" s="24" t="s">
        <v>146</v>
      </c>
      <c r="AL1" s="24" t="s">
        <v>149</v>
      </c>
      <c r="AM1" s="24" t="s">
        <v>153</v>
      </c>
      <c r="AN1" s="24" t="s">
        <v>156</v>
      </c>
      <c r="AO1" s="24" t="s">
        <v>159</v>
      </c>
      <c r="AP1" s="24" t="s">
        <v>162</v>
      </c>
      <c r="AQ1" s="24" t="s">
        <v>185</v>
      </c>
      <c r="AR1" s="24" t="s">
        <v>188</v>
      </c>
      <c r="AS1" s="24" t="s">
        <v>179</v>
      </c>
      <c r="AT1" s="24" t="s">
        <v>182</v>
      </c>
      <c r="AU1" s="24" t="s">
        <v>166</v>
      </c>
      <c r="AV1" s="24" t="s">
        <v>169</v>
      </c>
      <c r="AW1" s="24" t="s">
        <v>172</v>
      </c>
      <c r="AX1" s="24" t="s">
        <v>175</v>
      </c>
      <c r="AY1" s="24" t="s">
        <v>45</v>
      </c>
      <c r="AZ1" s="24" t="s">
        <v>39</v>
      </c>
      <c r="BA1" s="24" t="s">
        <v>58</v>
      </c>
      <c r="BB1" s="24" t="s">
        <v>198</v>
      </c>
      <c r="BC1" s="24" t="s">
        <v>49</v>
      </c>
      <c r="BD1" s="24" t="s">
        <v>55</v>
      </c>
      <c r="BE1" s="24" t="s">
        <v>36</v>
      </c>
      <c r="BF1" s="24" t="s">
        <v>42</v>
      </c>
      <c r="BG1" s="24" t="s">
        <v>62</v>
      </c>
      <c r="BH1" s="24" t="s">
        <v>68</v>
      </c>
      <c r="BI1" s="24" t="s">
        <v>71</v>
      </c>
      <c r="BJ1" s="24" t="s">
        <v>65</v>
      </c>
      <c r="BK1" s="24" t="s">
        <v>84</v>
      </c>
      <c r="BL1" s="24" t="s">
        <v>78</v>
      </c>
      <c r="BM1" s="24" t="s">
        <v>75</v>
      </c>
      <c r="BN1" s="24" t="s">
        <v>81</v>
      </c>
      <c r="BO1" s="24" t="s">
        <v>88</v>
      </c>
      <c r="BP1" s="24" t="s">
        <v>94</v>
      </c>
      <c r="BQ1" s="24" t="s">
        <v>97</v>
      </c>
      <c r="BR1" s="24" t="s">
        <v>91</v>
      </c>
      <c r="BS1" s="24" t="s">
        <v>101</v>
      </c>
      <c r="BT1" s="24" t="s">
        <v>107</v>
      </c>
      <c r="BU1" s="24" t="s">
        <v>110</v>
      </c>
      <c r="BV1" s="24" t="s">
        <v>104</v>
      </c>
      <c r="BW1" s="24" t="s">
        <v>136</v>
      </c>
      <c r="BX1" s="24" t="s">
        <v>130</v>
      </c>
      <c r="BY1" s="24" t="s">
        <v>127</v>
      </c>
      <c r="BZ1" s="24" t="s">
        <v>133</v>
      </c>
      <c r="CA1" s="24" t="s">
        <v>114</v>
      </c>
      <c r="CB1" s="24" t="s">
        <v>120</v>
      </c>
      <c r="CC1" s="24" t="s">
        <v>123</v>
      </c>
      <c r="CD1" s="24" t="s">
        <v>117</v>
      </c>
      <c r="CE1" s="24" t="s">
        <v>149</v>
      </c>
      <c r="CF1" s="24" t="s">
        <v>143</v>
      </c>
      <c r="CG1" s="24" t="s">
        <v>140</v>
      </c>
      <c r="CH1" s="24" t="s">
        <v>146</v>
      </c>
      <c r="CI1" s="24" t="s">
        <v>153</v>
      </c>
      <c r="CJ1" s="24" t="s">
        <v>159</v>
      </c>
      <c r="CK1" s="24" t="s">
        <v>162</v>
      </c>
      <c r="CL1" s="24" t="s">
        <v>156</v>
      </c>
      <c r="CM1" s="24" t="s">
        <v>179</v>
      </c>
      <c r="CN1" s="24" t="s">
        <v>185</v>
      </c>
      <c r="CO1" s="24" t="s">
        <v>188</v>
      </c>
      <c r="CP1" s="24" t="s">
        <v>182</v>
      </c>
      <c r="CQ1" s="24" t="s">
        <v>166</v>
      </c>
      <c r="CR1" s="24" t="s">
        <v>172</v>
      </c>
      <c r="CS1" s="24" t="s">
        <v>175</v>
      </c>
      <c r="CT1" s="24" t="s">
        <v>169</v>
      </c>
      <c r="CU1" s="24" t="s">
        <v>71</v>
      </c>
      <c r="CV1" s="24" t="s">
        <v>62</v>
      </c>
      <c r="CW1" s="24" t="s">
        <v>65</v>
      </c>
      <c r="CX1" s="24" t="s">
        <v>68</v>
      </c>
      <c r="CY1" s="24" t="s">
        <v>58</v>
      </c>
      <c r="CZ1" s="24" t="s">
        <v>49</v>
      </c>
      <c r="DA1" s="24" t="s">
        <v>198</v>
      </c>
      <c r="DB1" s="24" t="s">
        <v>55</v>
      </c>
      <c r="DC1" s="24" t="s">
        <v>45</v>
      </c>
      <c r="DD1" s="24" t="s">
        <v>36</v>
      </c>
      <c r="DE1" s="24" t="s">
        <v>39</v>
      </c>
      <c r="DF1" s="24" t="s">
        <v>42</v>
      </c>
      <c r="DG1" s="24" t="s">
        <v>91</v>
      </c>
      <c r="DH1" s="24" t="s">
        <v>94</v>
      </c>
      <c r="DI1" s="24" t="s">
        <v>97</v>
      </c>
      <c r="DJ1" s="24" t="s">
        <v>88</v>
      </c>
      <c r="DK1" s="24" t="s">
        <v>104</v>
      </c>
      <c r="DL1" s="24" t="s">
        <v>107</v>
      </c>
      <c r="DM1" s="24" t="s">
        <v>110</v>
      </c>
      <c r="DN1" s="24" t="s">
        <v>101</v>
      </c>
      <c r="DO1" s="24" t="s">
        <v>84</v>
      </c>
      <c r="DP1" s="24" t="s">
        <v>75</v>
      </c>
      <c r="DQ1" s="24" t="s">
        <v>78</v>
      </c>
      <c r="DR1" s="24" t="s">
        <v>81</v>
      </c>
      <c r="DS1" s="24" t="s">
        <v>149</v>
      </c>
      <c r="DT1" s="24" t="s">
        <v>140</v>
      </c>
      <c r="DU1" s="24" t="s">
        <v>143</v>
      </c>
      <c r="DV1" s="24" t="s">
        <v>146</v>
      </c>
      <c r="DW1" s="24" t="s">
        <v>117</v>
      </c>
      <c r="DX1" s="24" t="s">
        <v>120</v>
      </c>
      <c r="DY1" s="24" t="s">
        <v>123</v>
      </c>
      <c r="DZ1" s="24" t="s">
        <v>114</v>
      </c>
      <c r="EA1" s="24" t="s">
        <v>130</v>
      </c>
      <c r="EB1" s="24" t="s">
        <v>133</v>
      </c>
      <c r="EC1" s="24" t="s">
        <v>136</v>
      </c>
      <c r="ED1" s="24" t="s">
        <v>127</v>
      </c>
      <c r="EE1" s="24" t="s">
        <v>188</v>
      </c>
      <c r="EF1" s="24" t="s">
        <v>179</v>
      </c>
      <c r="EG1" s="24" t="s">
        <v>182</v>
      </c>
      <c r="EH1" s="24" t="s">
        <v>185</v>
      </c>
      <c r="EI1" s="24" t="s">
        <v>156</v>
      </c>
      <c r="EJ1" s="24" t="s">
        <v>159</v>
      </c>
      <c r="EK1" s="24" t="s">
        <v>162</v>
      </c>
      <c r="EL1" s="24" t="s">
        <v>153</v>
      </c>
      <c r="EM1" s="24" t="s">
        <v>175</v>
      </c>
      <c r="EN1" s="24" t="s">
        <v>166</v>
      </c>
      <c r="EO1" s="24" t="s">
        <v>169</v>
      </c>
      <c r="EP1" s="24" t="s">
        <v>172</v>
      </c>
    </row>
    <row r="2" spans="1:146" ht="14.25" customHeight="1" x14ac:dyDescent="0.25">
      <c r="A2" s="26">
        <v>1</v>
      </c>
      <c r="B2" s="27" t="s">
        <v>199</v>
      </c>
      <c r="C2" s="26">
        <v>1</v>
      </c>
      <c r="D2" s="26">
        <v>1</v>
      </c>
      <c r="E2" s="26">
        <v>2</v>
      </c>
      <c r="F2" s="26">
        <v>0</v>
      </c>
      <c r="G2" s="26">
        <v>2</v>
      </c>
      <c r="H2" s="26">
        <v>1</v>
      </c>
      <c r="I2" s="26">
        <v>1</v>
      </c>
      <c r="J2" s="26">
        <v>3</v>
      </c>
      <c r="K2" s="26">
        <v>0</v>
      </c>
      <c r="L2" s="26">
        <v>2</v>
      </c>
      <c r="M2" s="26">
        <v>0</v>
      </c>
      <c r="N2" s="26">
        <v>1</v>
      </c>
      <c r="O2" s="26">
        <v>1</v>
      </c>
      <c r="P2" s="26">
        <v>2</v>
      </c>
      <c r="Q2" s="26">
        <v>0</v>
      </c>
      <c r="R2" s="26">
        <v>2</v>
      </c>
      <c r="S2" s="26">
        <v>1</v>
      </c>
      <c r="T2" s="26">
        <v>2</v>
      </c>
      <c r="U2" s="26">
        <v>5</v>
      </c>
      <c r="V2" s="26">
        <v>0</v>
      </c>
      <c r="W2" s="26">
        <v>3</v>
      </c>
      <c r="X2" s="26">
        <v>0</v>
      </c>
      <c r="Y2" s="26">
        <v>1</v>
      </c>
      <c r="Z2" s="26">
        <v>1</v>
      </c>
      <c r="AA2" s="26">
        <v>0</v>
      </c>
      <c r="AB2" s="26">
        <v>2</v>
      </c>
      <c r="AC2" s="26">
        <v>6</v>
      </c>
      <c r="AD2" s="26">
        <v>0</v>
      </c>
      <c r="AE2" s="26">
        <v>0</v>
      </c>
      <c r="AF2" s="26">
        <v>0</v>
      </c>
      <c r="AG2" s="26">
        <v>2</v>
      </c>
      <c r="AH2" s="26">
        <v>0</v>
      </c>
      <c r="AI2" s="26">
        <v>4</v>
      </c>
      <c r="AJ2" s="26">
        <v>0</v>
      </c>
      <c r="AK2" s="26">
        <v>0</v>
      </c>
      <c r="AL2" s="26">
        <v>4</v>
      </c>
      <c r="AM2" s="26">
        <v>4</v>
      </c>
      <c r="AN2" s="26">
        <v>0</v>
      </c>
      <c r="AO2" s="26">
        <v>1</v>
      </c>
      <c r="AP2" s="26">
        <v>0</v>
      </c>
      <c r="AQ2" s="26">
        <v>2</v>
      </c>
      <c r="AR2" s="26">
        <v>1</v>
      </c>
      <c r="AS2" s="26">
        <v>4</v>
      </c>
      <c r="AT2" s="26">
        <v>2</v>
      </c>
      <c r="AU2" s="26">
        <v>5</v>
      </c>
      <c r="AV2" s="26">
        <v>0</v>
      </c>
      <c r="AW2" s="26">
        <v>0</v>
      </c>
      <c r="AX2" s="26">
        <v>3</v>
      </c>
      <c r="AY2" s="26">
        <v>0</v>
      </c>
      <c r="AZ2" s="26">
        <v>1</v>
      </c>
      <c r="BA2" s="26">
        <v>1</v>
      </c>
      <c r="BB2" s="26">
        <v>0</v>
      </c>
      <c r="BC2" s="26">
        <v>3</v>
      </c>
      <c r="BD2" s="26">
        <v>1</v>
      </c>
      <c r="BE2" s="26">
        <v>1</v>
      </c>
      <c r="BF2" s="26">
        <v>0</v>
      </c>
      <c r="BG2" s="26">
        <v>5</v>
      </c>
      <c r="BH2" s="26">
        <v>0</v>
      </c>
      <c r="BI2" s="26">
        <v>0</v>
      </c>
      <c r="BJ2" s="26">
        <v>3</v>
      </c>
      <c r="BK2" s="26">
        <v>2</v>
      </c>
      <c r="BL2" s="26">
        <v>3</v>
      </c>
      <c r="BM2" s="26">
        <v>2</v>
      </c>
      <c r="BN2" s="26">
        <v>1</v>
      </c>
      <c r="BO2" s="26">
        <v>4</v>
      </c>
      <c r="BP2" s="26">
        <v>0</v>
      </c>
      <c r="BQ2" s="26">
        <v>4</v>
      </c>
      <c r="BR2" s="26">
        <v>0</v>
      </c>
      <c r="BS2" s="26">
        <v>3</v>
      </c>
      <c r="BT2" s="26">
        <v>1</v>
      </c>
      <c r="BU2" s="26">
        <v>0</v>
      </c>
      <c r="BV2" s="26">
        <v>2</v>
      </c>
      <c r="BW2" s="26">
        <v>4</v>
      </c>
      <c r="BX2" s="26">
        <v>0</v>
      </c>
      <c r="BY2" s="26">
        <v>5</v>
      </c>
      <c r="BZ2" s="26">
        <v>0</v>
      </c>
      <c r="CA2" s="26">
        <v>3</v>
      </c>
      <c r="CB2" s="26">
        <v>0</v>
      </c>
      <c r="CC2" s="26">
        <v>1</v>
      </c>
      <c r="CD2" s="26">
        <v>2</v>
      </c>
      <c r="CE2" s="26">
        <v>2</v>
      </c>
      <c r="CF2" s="26">
        <v>2</v>
      </c>
      <c r="CG2" s="26">
        <v>5</v>
      </c>
      <c r="CH2" s="26">
        <v>0</v>
      </c>
      <c r="CI2" s="26">
        <v>3</v>
      </c>
      <c r="CJ2" s="26">
        <v>0</v>
      </c>
      <c r="CK2" s="26">
        <v>0</v>
      </c>
      <c r="CL2" s="26">
        <v>0</v>
      </c>
      <c r="CM2" s="26">
        <v>5</v>
      </c>
      <c r="CN2" s="26">
        <v>0</v>
      </c>
      <c r="CO2" s="26">
        <v>0</v>
      </c>
      <c r="CP2" s="26">
        <v>4</v>
      </c>
      <c r="CQ2" s="26">
        <v>5</v>
      </c>
      <c r="CR2" s="26">
        <v>0</v>
      </c>
      <c r="CS2" s="26">
        <v>2</v>
      </c>
      <c r="CT2" s="26">
        <v>1</v>
      </c>
      <c r="CU2" s="26">
        <v>0</v>
      </c>
      <c r="CV2" s="26">
        <v>4</v>
      </c>
      <c r="CW2" s="26">
        <v>4</v>
      </c>
      <c r="CX2" s="26">
        <v>0</v>
      </c>
      <c r="CY2" s="26">
        <v>3</v>
      </c>
      <c r="CZ2" s="26">
        <v>2</v>
      </c>
      <c r="DA2" s="26">
        <v>1</v>
      </c>
      <c r="DB2" s="26">
        <v>1</v>
      </c>
      <c r="DC2" s="26">
        <v>1</v>
      </c>
      <c r="DD2" s="26">
        <v>3</v>
      </c>
      <c r="DE2" s="26">
        <v>0</v>
      </c>
      <c r="DF2" s="26">
        <v>1</v>
      </c>
      <c r="DG2" s="26">
        <v>0</v>
      </c>
      <c r="DH2" s="26">
        <v>2</v>
      </c>
      <c r="DI2" s="26">
        <v>2</v>
      </c>
      <c r="DJ2" s="26">
        <v>4</v>
      </c>
      <c r="DK2" s="26">
        <v>2</v>
      </c>
      <c r="DL2" s="26">
        <v>2</v>
      </c>
      <c r="DM2" s="26">
        <v>0</v>
      </c>
      <c r="DN2" s="26">
        <v>3</v>
      </c>
      <c r="DO2" s="26">
        <v>1</v>
      </c>
      <c r="DP2" s="26">
        <v>0</v>
      </c>
      <c r="DQ2" s="26">
        <v>1</v>
      </c>
      <c r="DR2" s="26">
        <v>0</v>
      </c>
      <c r="DS2" s="26">
        <v>1</v>
      </c>
      <c r="DT2" s="26">
        <v>3</v>
      </c>
      <c r="DU2" s="26">
        <v>2</v>
      </c>
      <c r="DV2" s="26">
        <v>0</v>
      </c>
      <c r="DW2" s="26">
        <v>2</v>
      </c>
      <c r="DX2" s="26">
        <v>1</v>
      </c>
      <c r="DY2" s="26">
        <v>0</v>
      </c>
      <c r="DZ2" s="26">
        <v>4</v>
      </c>
      <c r="EA2" s="26">
        <v>0</v>
      </c>
      <c r="EB2" s="26">
        <v>1</v>
      </c>
      <c r="EC2" s="26">
        <v>1</v>
      </c>
      <c r="ED2" s="26">
        <v>2</v>
      </c>
      <c r="EE2" s="26">
        <v>0</v>
      </c>
      <c r="EF2" s="26">
        <v>6</v>
      </c>
      <c r="EG2" s="26">
        <v>3</v>
      </c>
      <c r="EH2" s="26">
        <v>0</v>
      </c>
      <c r="EI2" s="26">
        <v>0</v>
      </c>
      <c r="EJ2" s="26">
        <v>0</v>
      </c>
      <c r="EK2" s="26">
        <v>0</v>
      </c>
      <c r="EL2" s="26">
        <v>4</v>
      </c>
      <c r="EM2" s="26">
        <v>0</v>
      </c>
      <c r="EN2" s="26">
        <v>2</v>
      </c>
      <c r="EO2" s="26">
        <v>1</v>
      </c>
      <c r="EP2" s="26">
        <v>1</v>
      </c>
    </row>
    <row r="3" spans="1:146" ht="14.25" customHeight="1" x14ac:dyDescent="0.25">
      <c r="A3" s="26">
        <v>2</v>
      </c>
      <c r="B3" s="27" t="s">
        <v>200</v>
      </c>
      <c r="C3" s="26">
        <v>2</v>
      </c>
      <c r="D3" s="26">
        <v>0</v>
      </c>
      <c r="E3" s="26">
        <v>1</v>
      </c>
      <c r="F3" s="26">
        <v>1</v>
      </c>
      <c r="G3" s="26">
        <v>1</v>
      </c>
      <c r="H3" s="26">
        <v>1</v>
      </c>
      <c r="I3" s="26">
        <v>2</v>
      </c>
      <c r="J3" s="26">
        <v>0</v>
      </c>
      <c r="K3" s="26">
        <v>0</v>
      </c>
      <c r="L3" s="26">
        <v>2</v>
      </c>
      <c r="M3" s="26">
        <v>1</v>
      </c>
      <c r="N3" s="26">
        <v>1</v>
      </c>
      <c r="O3" s="26">
        <v>2</v>
      </c>
      <c r="P3" s="26">
        <v>0</v>
      </c>
      <c r="Q3" s="26">
        <v>0</v>
      </c>
      <c r="R3" s="26">
        <v>1</v>
      </c>
      <c r="S3" s="26">
        <v>1</v>
      </c>
      <c r="T3" s="26">
        <v>1</v>
      </c>
      <c r="U3" s="26">
        <v>3</v>
      </c>
      <c r="V3" s="26">
        <v>0</v>
      </c>
      <c r="W3" s="26">
        <v>2</v>
      </c>
      <c r="X3" s="26">
        <v>1</v>
      </c>
      <c r="Y3" s="26">
        <v>1</v>
      </c>
      <c r="Z3" s="26">
        <v>0</v>
      </c>
      <c r="AA3" s="26">
        <v>1</v>
      </c>
      <c r="AB3" s="26">
        <v>2</v>
      </c>
      <c r="AC3" s="26">
        <v>3</v>
      </c>
      <c r="AD3" s="26">
        <v>0</v>
      </c>
      <c r="AE3" s="26">
        <v>0</v>
      </c>
      <c r="AF3" s="26">
        <v>0</v>
      </c>
      <c r="AG3" s="26">
        <v>2</v>
      </c>
      <c r="AH3" s="26">
        <v>0</v>
      </c>
      <c r="AI3" s="26">
        <v>2</v>
      </c>
      <c r="AJ3" s="26">
        <v>1</v>
      </c>
      <c r="AK3" s="26">
        <v>0</v>
      </c>
      <c r="AL3" s="26">
        <v>2</v>
      </c>
      <c r="AM3" s="26">
        <v>2</v>
      </c>
      <c r="AN3" s="26">
        <v>0</v>
      </c>
      <c r="AO3" s="26">
        <v>1</v>
      </c>
      <c r="AP3" s="26">
        <v>0</v>
      </c>
      <c r="AQ3" s="26">
        <v>1</v>
      </c>
      <c r="AR3" s="26">
        <v>2</v>
      </c>
      <c r="AS3" s="26">
        <v>1</v>
      </c>
      <c r="AT3" s="26">
        <v>0</v>
      </c>
      <c r="AU3" s="26">
        <v>2</v>
      </c>
      <c r="AV3" s="26">
        <v>0</v>
      </c>
      <c r="AW3" s="26">
        <v>1</v>
      </c>
      <c r="AX3" s="26">
        <v>1</v>
      </c>
      <c r="AY3" s="26">
        <v>1</v>
      </c>
      <c r="AZ3" s="26">
        <v>0</v>
      </c>
      <c r="BA3" s="26">
        <v>1</v>
      </c>
      <c r="BB3" s="26">
        <v>1</v>
      </c>
      <c r="BC3" s="26">
        <v>2</v>
      </c>
      <c r="BD3" s="26">
        <v>0</v>
      </c>
      <c r="BE3" s="26">
        <v>2</v>
      </c>
      <c r="BF3" s="26">
        <v>1</v>
      </c>
      <c r="BG3" s="26">
        <v>3</v>
      </c>
      <c r="BH3" s="26">
        <v>1</v>
      </c>
      <c r="BI3" s="26">
        <v>0</v>
      </c>
      <c r="BJ3" s="26">
        <v>1</v>
      </c>
      <c r="BK3" s="26">
        <v>0</v>
      </c>
      <c r="BL3" s="26">
        <v>1</v>
      </c>
      <c r="BM3" s="26">
        <v>2</v>
      </c>
      <c r="BN3" s="26">
        <v>1</v>
      </c>
      <c r="BO3" s="26">
        <v>2</v>
      </c>
      <c r="BP3" s="26">
        <v>1</v>
      </c>
      <c r="BQ3" s="26">
        <v>2</v>
      </c>
      <c r="BR3" s="26">
        <v>0</v>
      </c>
      <c r="BS3" s="26">
        <v>2</v>
      </c>
      <c r="BT3" s="26">
        <v>0</v>
      </c>
      <c r="BU3" s="26">
        <v>1</v>
      </c>
      <c r="BV3" s="26">
        <v>1</v>
      </c>
      <c r="BW3" s="26">
        <v>2</v>
      </c>
      <c r="BX3" s="26">
        <v>0</v>
      </c>
      <c r="BY3" s="26">
        <v>2</v>
      </c>
      <c r="BZ3" s="26">
        <v>0</v>
      </c>
      <c r="CA3" s="26">
        <v>3</v>
      </c>
      <c r="CB3" s="26">
        <v>1</v>
      </c>
      <c r="CC3" s="26">
        <v>0</v>
      </c>
      <c r="CD3" s="26">
        <v>2</v>
      </c>
      <c r="CE3" s="26">
        <v>1</v>
      </c>
      <c r="CF3" s="26">
        <v>2</v>
      </c>
      <c r="CG3" s="26">
        <v>3</v>
      </c>
      <c r="CH3" s="26">
        <v>0</v>
      </c>
      <c r="CI3" s="26">
        <v>3</v>
      </c>
      <c r="CJ3" s="26">
        <v>1</v>
      </c>
      <c r="CK3" s="26">
        <v>1</v>
      </c>
      <c r="CL3" s="26">
        <v>2</v>
      </c>
      <c r="CM3" s="26">
        <v>2</v>
      </c>
      <c r="CN3" s="26">
        <v>0</v>
      </c>
      <c r="CO3" s="26">
        <v>1</v>
      </c>
      <c r="CP3" s="26">
        <v>1</v>
      </c>
      <c r="CQ3" s="26">
        <v>3</v>
      </c>
      <c r="CR3" s="26">
        <v>0</v>
      </c>
      <c r="CS3" s="26">
        <v>2</v>
      </c>
      <c r="CT3" s="26">
        <v>1</v>
      </c>
      <c r="CU3" s="26">
        <v>1</v>
      </c>
      <c r="CV3" s="26">
        <v>2</v>
      </c>
      <c r="CW3" s="26">
        <v>2</v>
      </c>
      <c r="CX3" s="26">
        <v>0</v>
      </c>
      <c r="CY3" s="26">
        <v>0</v>
      </c>
      <c r="CZ3" s="26">
        <v>1</v>
      </c>
      <c r="DA3" s="26">
        <v>2</v>
      </c>
      <c r="DB3" s="26">
        <v>1</v>
      </c>
      <c r="DC3" s="26">
        <v>0</v>
      </c>
      <c r="DD3" s="26">
        <v>1</v>
      </c>
      <c r="DE3" s="26">
        <v>1</v>
      </c>
      <c r="DF3" s="26">
        <v>2</v>
      </c>
      <c r="DG3" s="26">
        <v>1</v>
      </c>
      <c r="DH3" s="26">
        <v>2</v>
      </c>
      <c r="DI3" s="26">
        <v>0</v>
      </c>
      <c r="DJ3" s="26">
        <v>2</v>
      </c>
      <c r="DK3" s="26">
        <v>2</v>
      </c>
      <c r="DL3" s="26">
        <v>1</v>
      </c>
      <c r="DM3" s="26">
        <v>1</v>
      </c>
      <c r="DN3" s="26">
        <v>3</v>
      </c>
      <c r="DO3" s="26">
        <v>1</v>
      </c>
      <c r="DP3" s="26">
        <v>1</v>
      </c>
      <c r="DQ3" s="26">
        <v>3</v>
      </c>
      <c r="DR3" s="26">
        <v>0</v>
      </c>
      <c r="DS3" s="26">
        <v>0</v>
      </c>
      <c r="DT3" s="26">
        <v>2</v>
      </c>
      <c r="DU3" s="26">
        <v>2</v>
      </c>
      <c r="DV3" s="26">
        <v>0</v>
      </c>
      <c r="DW3" s="26">
        <v>1</v>
      </c>
      <c r="DX3" s="26">
        <v>1</v>
      </c>
      <c r="DY3" s="26">
        <v>0</v>
      </c>
      <c r="DZ3" s="26">
        <v>2</v>
      </c>
      <c r="EA3" s="26">
        <v>0</v>
      </c>
      <c r="EB3" s="26">
        <v>2</v>
      </c>
      <c r="EC3" s="26">
        <v>1</v>
      </c>
      <c r="ED3" s="26">
        <v>2</v>
      </c>
      <c r="EE3" s="26">
        <v>1</v>
      </c>
      <c r="EF3" s="26">
        <v>2</v>
      </c>
      <c r="EG3" s="26">
        <v>2</v>
      </c>
      <c r="EH3" s="26">
        <v>0</v>
      </c>
      <c r="EI3" s="26">
        <v>1</v>
      </c>
      <c r="EJ3" s="26">
        <v>1</v>
      </c>
      <c r="EK3" s="26">
        <v>1</v>
      </c>
      <c r="EL3" s="26">
        <v>0</v>
      </c>
      <c r="EM3" s="26">
        <v>2</v>
      </c>
      <c r="EN3" s="26">
        <v>1</v>
      </c>
      <c r="EO3" s="26">
        <v>2</v>
      </c>
      <c r="EP3" s="26">
        <v>1</v>
      </c>
    </row>
    <row r="4" spans="1:146" ht="14.25" customHeight="1" x14ac:dyDescent="0.25">
      <c r="A4" s="26">
        <v>3</v>
      </c>
      <c r="B4" s="27" t="s">
        <v>201</v>
      </c>
      <c r="C4" s="26">
        <v>2</v>
      </c>
      <c r="D4" s="26">
        <v>1</v>
      </c>
      <c r="E4" s="26">
        <v>1</v>
      </c>
      <c r="F4" s="26">
        <v>1</v>
      </c>
      <c r="G4" s="26">
        <v>1</v>
      </c>
      <c r="H4" s="26">
        <v>0</v>
      </c>
      <c r="I4" s="26">
        <v>2</v>
      </c>
      <c r="J4" s="26">
        <v>1</v>
      </c>
      <c r="K4" s="26">
        <v>1</v>
      </c>
      <c r="L4" s="26">
        <v>1</v>
      </c>
      <c r="M4" s="26">
        <v>1</v>
      </c>
      <c r="N4" s="26">
        <v>2</v>
      </c>
      <c r="O4" s="26">
        <v>2</v>
      </c>
      <c r="P4" s="26">
        <v>0</v>
      </c>
      <c r="Q4" s="26">
        <v>0</v>
      </c>
      <c r="R4" s="26">
        <v>2</v>
      </c>
      <c r="S4" s="26">
        <v>1</v>
      </c>
      <c r="T4" s="26">
        <v>1</v>
      </c>
      <c r="U4" s="26">
        <v>4</v>
      </c>
      <c r="V4" s="26">
        <v>0</v>
      </c>
      <c r="W4" s="26">
        <v>2</v>
      </c>
      <c r="X4" s="26">
        <v>1</v>
      </c>
      <c r="Y4" s="26">
        <v>2</v>
      </c>
      <c r="Z4" s="26">
        <v>0</v>
      </c>
      <c r="AA4" s="26">
        <v>0</v>
      </c>
      <c r="AB4" s="26">
        <v>1</v>
      </c>
      <c r="AC4" s="26">
        <v>2</v>
      </c>
      <c r="AD4" s="26">
        <v>0</v>
      </c>
      <c r="AE4" s="26">
        <v>1</v>
      </c>
      <c r="AF4" s="26">
        <v>0</v>
      </c>
      <c r="AG4" s="26">
        <v>2</v>
      </c>
      <c r="AH4" s="26">
        <v>1</v>
      </c>
      <c r="AI4" s="26">
        <v>3</v>
      </c>
      <c r="AJ4" s="26">
        <v>1</v>
      </c>
      <c r="AK4" s="26">
        <v>0</v>
      </c>
      <c r="AL4" s="26">
        <v>3</v>
      </c>
      <c r="AM4" s="26">
        <v>2</v>
      </c>
      <c r="AN4" s="26">
        <v>0</v>
      </c>
      <c r="AO4" s="26">
        <v>2</v>
      </c>
      <c r="AP4" s="26">
        <v>0</v>
      </c>
      <c r="AQ4" s="26">
        <v>1</v>
      </c>
      <c r="AR4" s="26">
        <v>1</v>
      </c>
      <c r="AS4" s="26">
        <v>2</v>
      </c>
      <c r="AT4" s="26">
        <v>1</v>
      </c>
      <c r="AU4" s="26">
        <v>3</v>
      </c>
      <c r="AV4" s="26">
        <v>0</v>
      </c>
      <c r="AW4" s="26">
        <v>0</v>
      </c>
      <c r="AX4" s="26">
        <v>2</v>
      </c>
      <c r="AY4" s="26">
        <v>2</v>
      </c>
      <c r="AZ4" s="26">
        <v>0</v>
      </c>
      <c r="BA4" s="26">
        <v>2</v>
      </c>
      <c r="BB4" s="26">
        <v>1</v>
      </c>
      <c r="BC4" s="26">
        <v>1</v>
      </c>
      <c r="BD4" s="26">
        <v>0</v>
      </c>
      <c r="BE4" s="26">
        <v>2</v>
      </c>
      <c r="BF4" s="26">
        <v>1</v>
      </c>
      <c r="BG4" s="26">
        <v>3</v>
      </c>
      <c r="BH4" s="26">
        <v>0</v>
      </c>
      <c r="BI4" s="26">
        <v>1</v>
      </c>
      <c r="BJ4" s="26">
        <v>2</v>
      </c>
      <c r="BK4" s="26">
        <v>2</v>
      </c>
      <c r="BL4" s="26">
        <v>0</v>
      </c>
      <c r="BM4" s="26">
        <v>2</v>
      </c>
      <c r="BN4" s="26">
        <v>0</v>
      </c>
      <c r="BO4" s="26">
        <v>3</v>
      </c>
      <c r="BP4" s="26">
        <v>1</v>
      </c>
      <c r="BQ4" s="26">
        <v>3</v>
      </c>
      <c r="BR4" s="26">
        <v>0</v>
      </c>
      <c r="BS4" s="26">
        <v>2</v>
      </c>
      <c r="BT4" s="26">
        <v>1</v>
      </c>
      <c r="BU4" s="26">
        <v>0</v>
      </c>
      <c r="BV4" s="26">
        <v>2</v>
      </c>
      <c r="BW4" s="26">
        <v>2</v>
      </c>
      <c r="BX4" s="26">
        <v>1</v>
      </c>
      <c r="BY4" s="26">
        <v>3</v>
      </c>
      <c r="BZ4" s="26">
        <v>1</v>
      </c>
      <c r="CA4" s="26">
        <v>3</v>
      </c>
      <c r="CB4" s="26">
        <v>0</v>
      </c>
      <c r="CC4" s="26">
        <v>0</v>
      </c>
      <c r="CD4" s="26">
        <v>2</v>
      </c>
      <c r="CE4" s="26">
        <v>2</v>
      </c>
      <c r="CF4" s="26">
        <v>1</v>
      </c>
      <c r="CG4" s="26">
        <v>3</v>
      </c>
      <c r="CH4" s="26">
        <v>0</v>
      </c>
      <c r="CI4" s="26">
        <v>2</v>
      </c>
      <c r="CJ4" s="26">
        <v>1</v>
      </c>
      <c r="CK4" s="26">
        <v>0</v>
      </c>
      <c r="CL4" s="26">
        <v>1</v>
      </c>
      <c r="CM4" s="26">
        <v>3</v>
      </c>
      <c r="CN4" s="26">
        <v>1</v>
      </c>
      <c r="CO4" s="26">
        <v>1</v>
      </c>
      <c r="CP4" s="26">
        <v>2</v>
      </c>
      <c r="CQ4" s="26">
        <v>3</v>
      </c>
      <c r="CR4" s="26">
        <v>0</v>
      </c>
      <c r="CS4" s="26">
        <v>2</v>
      </c>
      <c r="CT4" s="26">
        <v>0</v>
      </c>
      <c r="CU4" s="26">
        <v>1</v>
      </c>
      <c r="CV4" s="26">
        <v>3</v>
      </c>
      <c r="CW4" s="26">
        <v>2</v>
      </c>
      <c r="CX4" s="26">
        <v>1</v>
      </c>
      <c r="CY4" s="26">
        <v>2</v>
      </c>
      <c r="CZ4" s="26">
        <v>1</v>
      </c>
      <c r="DA4" s="26">
        <v>2</v>
      </c>
      <c r="DB4" s="26">
        <v>0</v>
      </c>
      <c r="DC4" s="26">
        <v>0</v>
      </c>
      <c r="DD4" s="26">
        <v>2</v>
      </c>
      <c r="DE4" s="26">
        <v>1</v>
      </c>
      <c r="DF4" s="26">
        <v>1</v>
      </c>
      <c r="DG4" s="26">
        <v>0</v>
      </c>
      <c r="DH4" s="26">
        <v>2</v>
      </c>
      <c r="DI4" s="26">
        <v>1</v>
      </c>
      <c r="DJ4" s="26">
        <v>3</v>
      </c>
      <c r="DK4" s="26">
        <v>2</v>
      </c>
      <c r="DL4" s="26">
        <v>2</v>
      </c>
      <c r="DM4" s="26">
        <v>0</v>
      </c>
      <c r="DN4" s="26">
        <v>3</v>
      </c>
      <c r="DO4" s="26">
        <v>2</v>
      </c>
      <c r="DP4" s="26">
        <v>1</v>
      </c>
      <c r="DQ4" s="26">
        <v>1</v>
      </c>
      <c r="DR4" s="26">
        <v>1</v>
      </c>
      <c r="DS4" s="26">
        <v>2</v>
      </c>
      <c r="DT4" s="26">
        <v>2</v>
      </c>
      <c r="DU4" s="26">
        <v>1</v>
      </c>
      <c r="DV4" s="26">
        <v>1</v>
      </c>
      <c r="DW4" s="26">
        <v>3</v>
      </c>
      <c r="DX4" s="26">
        <v>0</v>
      </c>
      <c r="DY4" s="26">
        <v>0</v>
      </c>
      <c r="DZ4" s="26">
        <v>3</v>
      </c>
      <c r="EA4" s="26">
        <v>0</v>
      </c>
      <c r="EB4" s="26">
        <v>1</v>
      </c>
      <c r="EC4" s="26">
        <v>1</v>
      </c>
      <c r="ED4" s="26">
        <v>2</v>
      </c>
      <c r="EE4" s="26">
        <v>0</v>
      </c>
      <c r="EF4" s="26">
        <v>3</v>
      </c>
      <c r="EG4" s="26">
        <v>2</v>
      </c>
      <c r="EH4" s="26">
        <v>0</v>
      </c>
      <c r="EI4" s="26">
        <v>1</v>
      </c>
      <c r="EJ4" s="26">
        <v>2</v>
      </c>
      <c r="EK4" s="26">
        <v>0</v>
      </c>
      <c r="EL4" s="26">
        <v>2</v>
      </c>
      <c r="EM4" s="26">
        <v>1</v>
      </c>
      <c r="EN4" s="26">
        <v>1</v>
      </c>
      <c r="EO4" s="26">
        <v>1</v>
      </c>
      <c r="EP4" s="26">
        <v>1</v>
      </c>
    </row>
    <row r="5" spans="1:146" ht="14.25" customHeight="1" x14ac:dyDescent="0.25">
      <c r="A5" s="26">
        <v>4</v>
      </c>
      <c r="B5" s="27" t="s">
        <v>202</v>
      </c>
      <c r="C5" s="26">
        <v>2</v>
      </c>
      <c r="D5" s="26">
        <v>0</v>
      </c>
      <c r="E5" s="26">
        <v>0</v>
      </c>
      <c r="F5" s="26">
        <v>1</v>
      </c>
      <c r="G5" s="26">
        <v>2</v>
      </c>
      <c r="H5" s="26">
        <v>0</v>
      </c>
      <c r="I5" s="26">
        <v>2</v>
      </c>
      <c r="J5" s="26">
        <v>0</v>
      </c>
      <c r="K5" s="26">
        <v>0</v>
      </c>
      <c r="L5" s="26">
        <v>1</v>
      </c>
      <c r="M5" s="26">
        <v>0</v>
      </c>
      <c r="N5" s="26">
        <v>2</v>
      </c>
      <c r="O5" s="26">
        <v>2</v>
      </c>
      <c r="P5" s="26">
        <v>1</v>
      </c>
      <c r="Q5" s="26">
        <v>0</v>
      </c>
      <c r="R5" s="26">
        <v>2</v>
      </c>
      <c r="S5" s="26">
        <v>0</v>
      </c>
      <c r="T5" s="26">
        <v>1</v>
      </c>
      <c r="U5" s="26">
        <v>3</v>
      </c>
      <c r="V5" s="26">
        <v>0</v>
      </c>
      <c r="W5" s="26">
        <v>2</v>
      </c>
      <c r="X5" s="26">
        <v>2</v>
      </c>
      <c r="Y5" s="26">
        <v>2</v>
      </c>
      <c r="Z5" s="26">
        <v>1</v>
      </c>
      <c r="AA5" s="26">
        <v>1</v>
      </c>
      <c r="AB5" s="26">
        <v>1</v>
      </c>
      <c r="AC5" s="26">
        <v>3</v>
      </c>
      <c r="AD5" s="26">
        <v>0</v>
      </c>
      <c r="AE5" s="26">
        <v>0</v>
      </c>
      <c r="AF5" s="26">
        <v>0</v>
      </c>
      <c r="AG5" s="26">
        <v>3</v>
      </c>
      <c r="AH5" s="26">
        <v>1</v>
      </c>
      <c r="AI5" s="26">
        <v>3</v>
      </c>
      <c r="AJ5" s="26">
        <v>0</v>
      </c>
      <c r="AK5" s="26">
        <v>0</v>
      </c>
      <c r="AL5" s="26">
        <v>2</v>
      </c>
      <c r="AM5" s="26">
        <v>2</v>
      </c>
      <c r="AN5" s="26">
        <v>1</v>
      </c>
      <c r="AO5" s="26">
        <v>1</v>
      </c>
      <c r="AP5" s="26">
        <v>0</v>
      </c>
      <c r="AQ5" s="26">
        <v>1</v>
      </c>
      <c r="AR5" s="26">
        <v>2</v>
      </c>
      <c r="AS5" s="26">
        <v>1</v>
      </c>
      <c r="AT5" s="26">
        <v>1</v>
      </c>
      <c r="AU5" s="26">
        <v>2</v>
      </c>
      <c r="AV5" s="26">
        <v>0</v>
      </c>
      <c r="AW5" s="26">
        <v>0</v>
      </c>
      <c r="AX5" s="26">
        <v>3</v>
      </c>
      <c r="AY5" s="26">
        <v>2</v>
      </c>
      <c r="AZ5" s="26">
        <v>1</v>
      </c>
      <c r="BA5" s="26">
        <v>2</v>
      </c>
      <c r="BB5" s="26">
        <v>2</v>
      </c>
      <c r="BC5" s="26">
        <v>2</v>
      </c>
      <c r="BD5" s="26">
        <v>0</v>
      </c>
      <c r="BE5" s="26">
        <v>2</v>
      </c>
      <c r="BF5" s="26">
        <v>0</v>
      </c>
      <c r="BG5" s="26">
        <v>3</v>
      </c>
      <c r="BH5" s="26">
        <v>1</v>
      </c>
      <c r="BI5" s="26">
        <v>0</v>
      </c>
      <c r="BJ5" s="26">
        <v>2</v>
      </c>
      <c r="BK5" s="26">
        <v>2</v>
      </c>
      <c r="BL5" s="26">
        <v>1</v>
      </c>
      <c r="BM5" s="26">
        <v>3</v>
      </c>
      <c r="BN5" s="26">
        <v>0</v>
      </c>
      <c r="BO5" s="26">
        <v>4</v>
      </c>
      <c r="BP5" s="26">
        <v>1</v>
      </c>
      <c r="BQ5" s="26">
        <v>2</v>
      </c>
      <c r="BR5" s="26">
        <v>0</v>
      </c>
      <c r="BS5" s="26">
        <v>1</v>
      </c>
      <c r="BT5" s="26">
        <v>1</v>
      </c>
      <c r="BU5" s="26">
        <v>0</v>
      </c>
      <c r="BV5" s="26">
        <v>2</v>
      </c>
      <c r="BW5" s="26">
        <v>2</v>
      </c>
      <c r="BX5" s="26">
        <v>0</v>
      </c>
      <c r="BY5" s="26">
        <v>3</v>
      </c>
      <c r="BZ5" s="26">
        <v>1</v>
      </c>
      <c r="CA5" s="26">
        <v>3</v>
      </c>
      <c r="CB5" s="26">
        <v>0</v>
      </c>
      <c r="CC5" s="26">
        <v>0</v>
      </c>
      <c r="CD5" s="26">
        <v>3</v>
      </c>
      <c r="CE5" s="26">
        <v>4</v>
      </c>
      <c r="CF5" s="26">
        <v>1</v>
      </c>
      <c r="CG5" s="26">
        <v>3</v>
      </c>
      <c r="CH5" s="26">
        <v>0</v>
      </c>
      <c r="CI5" s="26">
        <v>2</v>
      </c>
      <c r="CJ5" s="26">
        <v>1</v>
      </c>
      <c r="CK5" s="26">
        <v>0</v>
      </c>
      <c r="CL5" s="26">
        <v>2</v>
      </c>
      <c r="CM5" s="26">
        <v>3</v>
      </c>
      <c r="CN5" s="26">
        <v>0</v>
      </c>
      <c r="CO5" s="26">
        <v>1</v>
      </c>
      <c r="CP5" s="26">
        <v>1</v>
      </c>
      <c r="CQ5" s="26">
        <v>3</v>
      </c>
      <c r="CR5" s="26">
        <v>0</v>
      </c>
      <c r="CS5" s="26">
        <v>3</v>
      </c>
      <c r="CT5" s="26">
        <v>0</v>
      </c>
      <c r="CU5" s="26">
        <v>0</v>
      </c>
      <c r="CV5" s="26">
        <v>3</v>
      </c>
      <c r="CW5" s="26">
        <v>2</v>
      </c>
      <c r="CX5" s="26">
        <v>0</v>
      </c>
      <c r="CY5" s="26">
        <v>1</v>
      </c>
      <c r="CZ5" s="26">
        <v>1</v>
      </c>
      <c r="DA5" s="26">
        <v>1</v>
      </c>
      <c r="DB5" s="26">
        <v>0</v>
      </c>
      <c r="DC5" s="26">
        <v>1</v>
      </c>
      <c r="DD5" s="26">
        <v>2</v>
      </c>
      <c r="DE5" s="26">
        <v>0</v>
      </c>
      <c r="DF5" s="26">
        <v>1</v>
      </c>
      <c r="DG5" s="26">
        <v>0</v>
      </c>
      <c r="DH5" s="26">
        <v>1</v>
      </c>
      <c r="DI5" s="26">
        <v>1</v>
      </c>
      <c r="DJ5" s="26">
        <v>2</v>
      </c>
      <c r="DK5" s="26">
        <v>2</v>
      </c>
      <c r="DL5" s="26">
        <v>2</v>
      </c>
      <c r="DM5" s="26">
        <v>0</v>
      </c>
      <c r="DN5" s="26">
        <v>2</v>
      </c>
      <c r="DO5" s="26">
        <v>1</v>
      </c>
      <c r="DP5" s="26">
        <v>1</v>
      </c>
      <c r="DQ5" s="26">
        <v>1</v>
      </c>
      <c r="DR5" s="26">
        <v>0</v>
      </c>
      <c r="DS5" s="26">
        <v>2</v>
      </c>
      <c r="DT5" s="26">
        <v>2</v>
      </c>
      <c r="DU5" s="26">
        <v>1</v>
      </c>
      <c r="DV5" s="26">
        <v>0</v>
      </c>
      <c r="DW5" s="26">
        <v>2</v>
      </c>
      <c r="DX5" s="26">
        <v>0</v>
      </c>
      <c r="DY5" s="26">
        <v>0</v>
      </c>
      <c r="DZ5" s="26">
        <v>4</v>
      </c>
      <c r="EA5" s="26">
        <v>0</v>
      </c>
      <c r="EB5" s="26">
        <v>2</v>
      </c>
      <c r="EC5" s="26">
        <v>1</v>
      </c>
      <c r="ED5" s="26">
        <v>3</v>
      </c>
      <c r="EE5" s="26">
        <v>1</v>
      </c>
      <c r="EF5" s="26">
        <v>4</v>
      </c>
      <c r="EG5" s="26">
        <v>2</v>
      </c>
      <c r="EH5" s="26">
        <v>1</v>
      </c>
      <c r="EI5" s="26">
        <v>1</v>
      </c>
      <c r="EJ5" s="26">
        <v>1</v>
      </c>
      <c r="EK5" s="26">
        <v>0</v>
      </c>
      <c r="EL5" s="26">
        <v>3</v>
      </c>
      <c r="EM5" s="26">
        <v>2</v>
      </c>
      <c r="EN5" s="26">
        <v>2</v>
      </c>
      <c r="EO5" s="26">
        <v>0</v>
      </c>
      <c r="EP5" s="26">
        <v>0</v>
      </c>
    </row>
    <row r="6" spans="1:146" ht="14.25" customHeight="1" x14ac:dyDescent="0.25">
      <c r="A6" s="26">
        <v>5</v>
      </c>
      <c r="B6" s="27" t="s">
        <v>203</v>
      </c>
      <c r="C6" s="26">
        <v>2</v>
      </c>
      <c r="D6" s="26">
        <v>0</v>
      </c>
      <c r="E6" s="26">
        <v>1</v>
      </c>
      <c r="F6" s="26">
        <v>1</v>
      </c>
      <c r="G6" s="26">
        <v>2</v>
      </c>
      <c r="H6" s="26">
        <v>1</v>
      </c>
      <c r="I6" s="26">
        <v>2</v>
      </c>
      <c r="J6" s="26">
        <v>1</v>
      </c>
      <c r="K6" s="26">
        <v>2</v>
      </c>
      <c r="L6" s="26">
        <v>0</v>
      </c>
      <c r="M6" s="26">
        <v>1</v>
      </c>
      <c r="N6" s="26">
        <v>1</v>
      </c>
      <c r="O6" s="26">
        <v>2</v>
      </c>
      <c r="P6" s="26">
        <v>1</v>
      </c>
      <c r="Q6" s="26">
        <v>2</v>
      </c>
      <c r="R6" s="26">
        <v>0</v>
      </c>
      <c r="S6" s="26">
        <v>1</v>
      </c>
      <c r="T6" s="26">
        <v>1</v>
      </c>
      <c r="U6" s="26">
        <v>4</v>
      </c>
      <c r="V6" s="26">
        <v>0</v>
      </c>
      <c r="W6" s="26">
        <v>2</v>
      </c>
      <c r="X6" s="26">
        <v>1</v>
      </c>
      <c r="Y6" s="26">
        <v>1</v>
      </c>
      <c r="Z6" s="26">
        <v>0</v>
      </c>
      <c r="AA6" s="26">
        <v>3</v>
      </c>
      <c r="AB6" s="26">
        <v>0</v>
      </c>
      <c r="AC6" s="26">
        <v>3</v>
      </c>
      <c r="AD6" s="26">
        <v>0</v>
      </c>
      <c r="AE6" s="26">
        <v>2</v>
      </c>
      <c r="AF6" s="26">
        <v>0</v>
      </c>
      <c r="AG6" s="26">
        <v>2</v>
      </c>
      <c r="AH6" s="26">
        <v>1</v>
      </c>
      <c r="AI6" s="26">
        <v>2</v>
      </c>
      <c r="AJ6" s="26">
        <v>1</v>
      </c>
      <c r="AK6" s="26">
        <v>2</v>
      </c>
      <c r="AL6" s="26">
        <v>0</v>
      </c>
      <c r="AM6" s="26">
        <v>3</v>
      </c>
      <c r="AN6" s="26">
        <v>0</v>
      </c>
      <c r="AO6" s="26">
        <v>2</v>
      </c>
      <c r="AP6" s="26">
        <v>0</v>
      </c>
      <c r="AQ6" s="26">
        <v>1</v>
      </c>
      <c r="AR6" s="26">
        <v>1</v>
      </c>
      <c r="AS6" s="26">
        <v>2</v>
      </c>
      <c r="AT6" s="26">
        <v>1</v>
      </c>
      <c r="AU6" s="26">
        <v>3</v>
      </c>
      <c r="AV6" s="26">
        <v>0</v>
      </c>
      <c r="AW6" s="26">
        <v>2</v>
      </c>
      <c r="AX6" s="26">
        <v>0</v>
      </c>
      <c r="AY6" s="26">
        <v>2</v>
      </c>
      <c r="AZ6" s="26">
        <v>1</v>
      </c>
      <c r="BA6" s="26">
        <v>2</v>
      </c>
      <c r="BB6" s="26">
        <v>0</v>
      </c>
      <c r="BC6" s="26">
        <v>1</v>
      </c>
      <c r="BD6" s="26">
        <v>1</v>
      </c>
      <c r="BE6" s="26">
        <v>2</v>
      </c>
      <c r="BF6" s="26">
        <v>1</v>
      </c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</row>
    <row r="7" spans="1:146" ht="14.25" customHeight="1" x14ac:dyDescent="0.25">
      <c r="A7" s="26">
        <v>6</v>
      </c>
      <c r="B7" s="27" t="s">
        <v>204</v>
      </c>
      <c r="C7" s="26">
        <v>2</v>
      </c>
      <c r="D7" s="26">
        <v>0</v>
      </c>
      <c r="E7" s="26">
        <v>1</v>
      </c>
      <c r="F7" s="26">
        <v>1</v>
      </c>
      <c r="G7" s="26">
        <v>3</v>
      </c>
      <c r="H7" s="26">
        <v>1</v>
      </c>
      <c r="I7" s="26">
        <v>2</v>
      </c>
      <c r="J7" s="26">
        <v>0</v>
      </c>
      <c r="K7" s="26">
        <v>0</v>
      </c>
      <c r="L7" s="26">
        <v>3</v>
      </c>
      <c r="M7" s="26">
        <v>1</v>
      </c>
      <c r="N7" s="26">
        <v>2</v>
      </c>
      <c r="O7" s="26">
        <v>2</v>
      </c>
      <c r="P7" s="26">
        <v>2</v>
      </c>
      <c r="Q7" s="26">
        <v>0</v>
      </c>
      <c r="R7" s="26">
        <v>2</v>
      </c>
      <c r="S7" s="26">
        <v>1</v>
      </c>
      <c r="T7" s="26">
        <v>1</v>
      </c>
      <c r="U7" s="26">
        <v>4</v>
      </c>
      <c r="V7" s="26">
        <v>0</v>
      </c>
      <c r="W7" s="26">
        <v>3</v>
      </c>
      <c r="X7" s="26">
        <v>0</v>
      </c>
      <c r="Y7" s="26">
        <v>2</v>
      </c>
      <c r="Z7" s="26">
        <v>1</v>
      </c>
      <c r="AA7" s="26">
        <v>0</v>
      </c>
      <c r="AB7" s="26">
        <v>1</v>
      </c>
      <c r="AC7" s="26">
        <v>3</v>
      </c>
      <c r="AD7" s="26">
        <v>0</v>
      </c>
      <c r="AE7" s="26">
        <v>0</v>
      </c>
      <c r="AF7" s="26">
        <v>2</v>
      </c>
      <c r="AG7" s="26">
        <v>3</v>
      </c>
      <c r="AH7" s="26">
        <v>1</v>
      </c>
      <c r="AI7" s="26">
        <v>4</v>
      </c>
      <c r="AJ7" s="26">
        <v>0</v>
      </c>
      <c r="AK7" s="26">
        <v>0</v>
      </c>
      <c r="AL7" s="26">
        <v>1</v>
      </c>
      <c r="AM7" s="26">
        <v>3</v>
      </c>
      <c r="AN7" s="26">
        <v>1</v>
      </c>
      <c r="AO7" s="26">
        <v>2</v>
      </c>
      <c r="AP7" s="26">
        <v>1</v>
      </c>
      <c r="AQ7" s="26">
        <v>0</v>
      </c>
      <c r="AR7" s="26">
        <v>1</v>
      </c>
      <c r="AS7" s="26">
        <v>3</v>
      </c>
      <c r="AT7" s="26">
        <v>2</v>
      </c>
      <c r="AU7" s="26">
        <v>4</v>
      </c>
      <c r="AV7" s="26">
        <v>0</v>
      </c>
      <c r="AW7" s="26">
        <v>0</v>
      </c>
      <c r="AX7" s="26">
        <v>4</v>
      </c>
      <c r="AY7" s="26">
        <v>0</v>
      </c>
      <c r="AZ7" s="26">
        <v>1</v>
      </c>
      <c r="BA7" s="26">
        <v>3</v>
      </c>
      <c r="BB7" s="26">
        <v>2</v>
      </c>
      <c r="BC7" s="26">
        <v>2</v>
      </c>
      <c r="BD7" s="26">
        <v>1</v>
      </c>
      <c r="BE7" s="26">
        <v>3</v>
      </c>
      <c r="BF7" s="26">
        <v>1</v>
      </c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</row>
    <row r="8" spans="1:146" ht="14.25" customHeight="1" x14ac:dyDescent="0.25">
      <c r="A8" s="26">
        <v>7</v>
      </c>
      <c r="B8" s="27" t="s">
        <v>205</v>
      </c>
      <c r="C8" s="26">
        <v>2</v>
      </c>
      <c r="D8" s="26">
        <v>1</v>
      </c>
      <c r="E8" s="26">
        <v>1</v>
      </c>
      <c r="F8" s="26">
        <v>1</v>
      </c>
      <c r="G8" s="26">
        <v>2</v>
      </c>
      <c r="H8" s="26">
        <v>1</v>
      </c>
      <c r="I8" s="26">
        <v>2</v>
      </c>
      <c r="J8" s="26">
        <v>0</v>
      </c>
      <c r="K8" s="26">
        <v>0</v>
      </c>
      <c r="L8" s="26">
        <v>2</v>
      </c>
      <c r="M8" s="26">
        <v>1</v>
      </c>
      <c r="N8" s="26">
        <v>2</v>
      </c>
      <c r="O8" s="26">
        <v>2</v>
      </c>
      <c r="P8" s="26">
        <v>1</v>
      </c>
      <c r="Q8" s="26">
        <v>0</v>
      </c>
      <c r="R8" s="26">
        <v>2</v>
      </c>
      <c r="S8" s="26">
        <v>1</v>
      </c>
      <c r="T8" s="26">
        <v>1</v>
      </c>
      <c r="U8" s="26">
        <v>5</v>
      </c>
      <c r="V8" s="26">
        <v>0</v>
      </c>
      <c r="W8" s="26">
        <v>2</v>
      </c>
      <c r="X8" s="26">
        <v>1</v>
      </c>
      <c r="Y8" s="26">
        <v>2</v>
      </c>
      <c r="Z8" s="26">
        <v>0</v>
      </c>
      <c r="AA8" s="26">
        <v>0</v>
      </c>
      <c r="AB8" s="26">
        <v>2</v>
      </c>
      <c r="AC8" s="26">
        <v>4</v>
      </c>
      <c r="AD8" s="26">
        <v>0</v>
      </c>
      <c r="AE8" s="26">
        <v>2</v>
      </c>
      <c r="AF8" s="26">
        <v>0</v>
      </c>
      <c r="AG8" s="26">
        <v>2</v>
      </c>
      <c r="AH8" s="26">
        <v>0</v>
      </c>
      <c r="AI8" s="26">
        <v>2</v>
      </c>
      <c r="AJ8" s="26">
        <v>1</v>
      </c>
      <c r="AK8" s="26">
        <v>0</v>
      </c>
      <c r="AL8" s="26">
        <v>3</v>
      </c>
      <c r="AM8" s="26">
        <v>3</v>
      </c>
      <c r="AN8" s="26">
        <v>0</v>
      </c>
      <c r="AO8" s="26">
        <v>2</v>
      </c>
      <c r="AP8" s="26">
        <v>0</v>
      </c>
      <c r="AQ8" s="26">
        <v>1</v>
      </c>
      <c r="AR8" s="26">
        <v>2</v>
      </c>
      <c r="AS8" s="26">
        <v>2</v>
      </c>
      <c r="AT8" s="26">
        <v>1</v>
      </c>
      <c r="AU8" s="26">
        <v>3</v>
      </c>
      <c r="AV8" s="26">
        <v>0</v>
      </c>
      <c r="AW8" s="26">
        <v>0</v>
      </c>
      <c r="AX8" s="26">
        <v>2</v>
      </c>
      <c r="AY8" s="26">
        <v>2</v>
      </c>
      <c r="AZ8" s="26">
        <v>1</v>
      </c>
      <c r="BA8" s="26">
        <v>1</v>
      </c>
      <c r="BB8" s="26">
        <v>1</v>
      </c>
      <c r="BC8" s="26">
        <v>3</v>
      </c>
      <c r="BD8" s="26">
        <v>1</v>
      </c>
      <c r="BE8" s="26">
        <v>2</v>
      </c>
      <c r="BF8" s="26">
        <v>1</v>
      </c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</row>
    <row r="9" spans="1:146" ht="14.25" customHeight="1" x14ac:dyDescent="0.25">
      <c r="A9" s="26">
        <v>8</v>
      </c>
      <c r="B9" s="27" t="s">
        <v>206</v>
      </c>
      <c r="C9" s="26">
        <v>2</v>
      </c>
      <c r="D9" s="26">
        <v>1</v>
      </c>
      <c r="E9" s="26">
        <v>2</v>
      </c>
      <c r="F9" s="26">
        <v>1</v>
      </c>
      <c r="G9" s="26">
        <v>1</v>
      </c>
      <c r="H9" s="26">
        <v>1</v>
      </c>
      <c r="I9" s="26">
        <v>2</v>
      </c>
      <c r="J9" s="26">
        <v>1</v>
      </c>
      <c r="K9" s="26">
        <v>0</v>
      </c>
      <c r="L9" s="26">
        <v>2</v>
      </c>
      <c r="M9" s="26">
        <v>1</v>
      </c>
      <c r="N9" s="26">
        <v>3</v>
      </c>
      <c r="O9" s="26">
        <v>2</v>
      </c>
      <c r="P9" s="26">
        <v>1</v>
      </c>
      <c r="Q9" s="26">
        <v>0</v>
      </c>
      <c r="R9" s="26">
        <v>3</v>
      </c>
      <c r="S9" s="26">
        <v>1</v>
      </c>
      <c r="T9" s="26">
        <v>1</v>
      </c>
      <c r="U9" s="26">
        <v>4</v>
      </c>
      <c r="V9" s="26">
        <v>0</v>
      </c>
      <c r="W9" s="26">
        <v>2</v>
      </c>
      <c r="X9" s="26">
        <v>2</v>
      </c>
      <c r="Y9" s="26">
        <v>2</v>
      </c>
      <c r="Z9" s="26">
        <v>11</v>
      </c>
      <c r="AA9" s="26">
        <v>0</v>
      </c>
      <c r="AB9" s="26">
        <v>2</v>
      </c>
      <c r="AC9" s="26">
        <v>4</v>
      </c>
      <c r="AD9" s="26">
        <v>0</v>
      </c>
      <c r="AE9" s="26">
        <v>2</v>
      </c>
      <c r="AF9" s="26">
        <v>0</v>
      </c>
      <c r="AG9" s="26">
        <v>3</v>
      </c>
      <c r="AH9" s="26">
        <v>1</v>
      </c>
      <c r="AI9" s="26">
        <v>2</v>
      </c>
      <c r="AJ9" s="26">
        <v>1</v>
      </c>
      <c r="AK9" s="26">
        <v>0</v>
      </c>
      <c r="AL9" s="26">
        <v>3</v>
      </c>
      <c r="AM9" s="26">
        <v>3</v>
      </c>
      <c r="AN9" s="26">
        <v>0</v>
      </c>
      <c r="AO9" s="26">
        <v>2</v>
      </c>
      <c r="AP9" s="26">
        <v>1</v>
      </c>
      <c r="AQ9" s="26">
        <v>2</v>
      </c>
      <c r="AR9" s="26">
        <v>1</v>
      </c>
      <c r="AS9" s="26">
        <v>2</v>
      </c>
      <c r="AT9" s="26">
        <v>2</v>
      </c>
      <c r="AU9" s="26">
        <v>3</v>
      </c>
      <c r="AV9" s="26">
        <v>0</v>
      </c>
      <c r="AW9" s="26">
        <v>1</v>
      </c>
      <c r="AX9" s="26">
        <v>1</v>
      </c>
      <c r="AY9" s="26">
        <v>3</v>
      </c>
      <c r="AZ9" s="26">
        <v>0</v>
      </c>
      <c r="BA9" s="26">
        <v>2</v>
      </c>
      <c r="BB9" s="26">
        <v>0</v>
      </c>
      <c r="BC9" s="26">
        <v>3</v>
      </c>
      <c r="BD9" s="26">
        <v>1</v>
      </c>
      <c r="BE9" s="26">
        <v>1</v>
      </c>
      <c r="BF9" s="26">
        <v>2</v>
      </c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</row>
    <row r="10" spans="1:146" ht="14.25" customHeight="1" x14ac:dyDescent="0.25">
      <c r="A10" s="26">
        <v>9</v>
      </c>
      <c r="B10" s="27" t="s">
        <v>207</v>
      </c>
      <c r="C10" s="26">
        <v>2</v>
      </c>
      <c r="D10" s="26">
        <v>3</v>
      </c>
      <c r="E10" s="26">
        <v>1</v>
      </c>
      <c r="F10" s="26">
        <v>1</v>
      </c>
      <c r="G10" s="26">
        <v>1</v>
      </c>
      <c r="H10" s="26">
        <v>2</v>
      </c>
      <c r="I10" s="26">
        <v>2</v>
      </c>
      <c r="J10" s="26">
        <v>4</v>
      </c>
      <c r="K10" s="26">
        <v>3</v>
      </c>
      <c r="L10" s="26">
        <v>4</v>
      </c>
      <c r="M10" s="26">
        <v>2</v>
      </c>
      <c r="N10" s="26">
        <v>1</v>
      </c>
      <c r="O10" s="26">
        <v>5</v>
      </c>
      <c r="P10" s="26">
        <v>1</v>
      </c>
      <c r="Q10" s="26">
        <v>2</v>
      </c>
      <c r="R10" s="26">
        <v>1</v>
      </c>
      <c r="S10" s="26">
        <v>0</v>
      </c>
      <c r="T10" s="26">
        <v>3</v>
      </c>
      <c r="U10" s="26">
        <v>2</v>
      </c>
      <c r="V10" s="26">
        <v>2</v>
      </c>
      <c r="W10" s="26">
        <v>2</v>
      </c>
      <c r="X10" s="26">
        <v>5</v>
      </c>
      <c r="Y10" s="26">
        <v>4</v>
      </c>
      <c r="Z10" s="26">
        <v>1</v>
      </c>
      <c r="AA10" s="26">
        <v>1</v>
      </c>
      <c r="AB10" s="26">
        <v>2</v>
      </c>
      <c r="AC10" s="26">
        <v>3</v>
      </c>
      <c r="AD10" s="26">
        <v>1</v>
      </c>
      <c r="AE10" s="26">
        <v>1</v>
      </c>
      <c r="AF10" s="26">
        <v>1</v>
      </c>
      <c r="AG10" s="26">
        <v>2</v>
      </c>
      <c r="AH10" s="26">
        <v>0</v>
      </c>
      <c r="AI10" s="26">
        <v>1</v>
      </c>
      <c r="AJ10" s="26">
        <v>3</v>
      </c>
      <c r="AK10" s="26">
        <v>1</v>
      </c>
      <c r="AL10" s="26">
        <v>4</v>
      </c>
      <c r="AM10" s="26">
        <v>3</v>
      </c>
      <c r="AN10" s="26">
        <v>2</v>
      </c>
      <c r="AO10" s="26">
        <v>1</v>
      </c>
      <c r="AP10" s="26">
        <v>1</v>
      </c>
      <c r="AQ10" s="26">
        <v>1</v>
      </c>
      <c r="AR10" s="26">
        <v>3</v>
      </c>
      <c r="AS10" s="26">
        <v>2</v>
      </c>
      <c r="AT10" s="26">
        <v>1</v>
      </c>
      <c r="AU10" s="26">
        <v>7</v>
      </c>
      <c r="AV10" s="26">
        <v>4</v>
      </c>
      <c r="AW10" s="26">
        <v>1</v>
      </c>
      <c r="AX10" s="26">
        <v>2</v>
      </c>
      <c r="AY10" s="26">
        <v>2</v>
      </c>
      <c r="AZ10" s="26">
        <v>2</v>
      </c>
      <c r="BA10" s="26">
        <v>3</v>
      </c>
      <c r="BB10" s="26">
        <v>4</v>
      </c>
      <c r="BC10" s="26">
        <v>2</v>
      </c>
      <c r="BD10" s="26">
        <v>3</v>
      </c>
      <c r="BE10" s="26">
        <v>1</v>
      </c>
      <c r="BF10" s="26">
        <v>2</v>
      </c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</row>
    <row r="11" spans="1:146" ht="14.25" customHeight="1" x14ac:dyDescent="0.25">
      <c r="A11" s="26">
        <v>10</v>
      </c>
      <c r="B11" s="27" t="s">
        <v>208</v>
      </c>
      <c r="C11" s="26">
        <v>1</v>
      </c>
      <c r="D11" s="26">
        <v>2</v>
      </c>
      <c r="E11" s="26">
        <v>1</v>
      </c>
      <c r="F11" s="26">
        <v>0</v>
      </c>
      <c r="G11" s="26">
        <v>2</v>
      </c>
      <c r="H11" s="26">
        <v>1</v>
      </c>
      <c r="I11" s="26">
        <v>0</v>
      </c>
      <c r="J11" s="26">
        <v>0</v>
      </c>
      <c r="K11" s="26">
        <v>1</v>
      </c>
      <c r="L11" s="26">
        <v>3</v>
      </c>
      <c r="M11" s="26">
        <v>1</v>
      </c>
      <c r="N11" s="26">
        <v>1</v>
      </c>
      <c r="O11" s="26">
        <v>2</v>
      </c>
      <c r="P11" s="26">
        <v>2</v>
      </c>
      <c r="Q11" s="26">
        <v>0</v>
      </c>
      <c r="R11" s="26">
        <v>1</v>
      </c>
      <c r="S11" s="26">
        <v>0</v>
      </c>
      <c r="T11" s="26">
        <v>1</v>
      </c>
      <c r="U11" s="26">
        <v>3</v>
      </c>
      <c r="V11" s="26">
        <v>1</v>
      </c>
      <c r="W11" s="26">
        <v>2</v>
      </c>
      <c r="X11" s="26">
        <v>2</v>
      </c>
      <c r="Y11" s="26">
        <v>3</v>
      </c>
      <c r="Z11" s="26">
        <v>1</v>
      </c>
      <c r="AA11" s="26">
        <v>2</v>
      </c>
      <c r="AB11" s="26">
        <v>2</v>
      </c>
      <c r="AC11" s="26">
        <v>3</v>
      </c>
      <c r="AD11" s="26">
        <v>1</v>
      </c>
      <c r="AE11" s="26">
        <v>1</v>
      </c>
      <c r="AF11" s="26">
        <v>1</v>
      </c>
      <c r="AG11" s="26">
        <v>0</v>
      </c>
      <c r="AH11" s="26">
        <v>0</v>
      </c>
      <c r="AI11" s="26">
        <v>2</v>
      </c>
      <c r="AJ11" s="26">
        <v>1</v>
      </c>
      <c r="AK11" s="26">
        <v>1</v>
      </c>
      <c r="AL11" s="26">
        <v>0</v>
      </c>
      <c r="AM11" s="26">
        <v>3</v>
      </c>
      <c r="AN11" s="26">
        <v>1</v>
      </c>
      <c r="AO11" s="26">
        <v>2</v>
      </c>
      <c r="AP11" s="26">
        <v>1</v>
      </c>
      <c r="AQ11" s="26">
        <v>0</v>
      </c>
      <c r="AR11" s="26">
        <v>1</v>
      </c>
      <c r="AS11" s="26">
        <v>3</v>
      </c>
      <c r="AT11" s="26">
        <v>1</v>
      </c>
      <c r="AU11" s="26">
        <v>2</v>
      </c>
      <c r="AV11" s="26">
        <v>1</v>
      </c>
      <c r="AW11" s="26">
        <v>1</v>
      </c>
      <c r="AX11" s="26">
        <v>3</v>
      </c>
      <c r="AY11" s="26">
        <v>1</v>
      </c>
      <c r="AZ11" s="26">
        <v>2</v>
      </c>
      <c r="BA11" s="26">
        <v>1</v>
      </c>
      <c r="BB11" s="26">
        <v>0</v>
      </c>
      <c r="BC11" s="26">
        <v>1</v>
      </c>
      <c r="BD11" s="26">
        <v>1</v>
      </c>
      <c r="BE11" s="26">
        <v>1</v>
      </c>
      <c r="BF11" s="26">
        <v>1</v>
      </c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</row>
    <row r="12" spans="1:146" ht="14.25" customHeight="1" x14ac:dyDescent="0.25">
      <c r="A12" s="26">
        <v>11</v>
      </c>
      <c r="B12" s="27" t="s">
        <v>209</v>
      </c>
      <c r="C12" s="26">
        <v>2</v>
      </c>
      <c r="D12" s="26">
        <v>0</v>
      </c>
      <c r="E12" s="26">
        <v>2</v>
      </c>
      <c r="F12" s="26">
        <v>1</v>
      </c>
      <c r="G12" s="26">
        <v>2</v>
      </c>
      <c r="H12" s="26">
        <v>1</v>
      </c>
      <c r="I12" s="26">
        <v>2</v>
      </c>
      <c r="J12" s="26">
        <v>1</v>
      </c>
      <c r="K12" s="26">
        <v>0</v>
      </c>
      <c r="L12" s="26">
        <v>2</v>
      </c>
      <c r="M12" s="26">
        <v>0</v>
      </c>
      <c r="N12" s="26">
        <v>1</v>
      </c>
      <c r="O12" s="26">
        <v>2</v>
      </c>
      <c r="P12" s="26">
        <v>1</v>
      </c>
      <c r="Q12" s="26">
        <v>0</v>
      </c>
      <c r="R12" s="26">
        <v>2</v>
      </c>
      <c r="S12" s="26">
        <v>1</v>
      </c>
      <c r="T12" s="26">
        <v>1</v>
      </c>
      <c r="U12" s="26">
        <v>3</v>
      </c>
      <c r="V12" s="26">
        <v>0</v>
      </c>
      <c r="W12" s="26">
        <v>2</v>
      </c>
      <c r="X12" s="26">
        <v>1</v>
      </c>
      <c r="Y12" s="26">
        <v>2</v>
      </c>
      <c r="Z12" s="26">
        <v>0</v>
      </c>
      <c r="AA12" s="26">
        <v>1</v>
      </c>
      <c r="AB12" s="26">
        <v>2</v>
      </c>
      <c r="AC12" s="26">
        <v>4</v>
      </c>
      <c r="AD12" s="26">
        <v>0</v>
      </c>
      <c r="AE12" s="26">
        <v>1</v>
      </c>
      <c r="AF12" s="26">
        <v>0</v>
      </c>
      <c r="AG12" s="26">
        <v>2</v>
      </c>
      <c r="AH12" s="26">
        <v>1</v>
      </c>
      <c r="AI12" s="26">
        <v>2</v>
      </c>
      <c r="AJ12" s="26">
        <v>1</v>
      </c>
      <c r="AK12" s="26">
        <v>0</v>
      </c>
      <c r="AL12" s="26">
        <v>2</v>
      </c>
      <c r="AM12" s="26">
        <v>2</v>
      </c>
      <c r="AN12" s="26">
        <v>0</v>
      </c>
      <c r="AO12" s="26">
        <v>2</v>
      </c>
      <c r="AP12" s="26">
        <v>0</v>
      </c>
      <c r="AQ12" s="26">
        <v>1</v>
      </c>
      <c r="AR12" s="26">
        <v>2</v>
      </c>
      <c r="AS12" s="26">
        <v>2</v>
      </c>
      <c r="AT12" s="26">
        <v>1</v>
      </c>
      <c r="AU12" s="26">
        <v>2</v>
      </c>
      <c r="AV12" s="26">
        <v>1</v>
      </c>
      <c r="AW12" s="26">
        <v>1</v>
      </c>
      <c r="AX12" s="26">
        <v>2</v>
      </c>
      <c r="AY12" s="26">
        <v>2</v>
      </c>
      <c r="AZ12" s="26">
        <v>0</v>
      </c>
      <c r="BA12" s="26">
        <v>2</v>
      </c>
      <c r="BB12" s="26">
        <v>1</v>
      </c>
      <c r="BC12" s="26">
        <v>2</v>
      </c>
      <c r="BD12" s="26">
        <v>0</v>
      </c>
      <c r="BE12" s="26">
        <v>1</v>
      </c>
      <c r="BF12" s="26">
        <v>1</v>
      </c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</row>
    <row r="13" spans="1:146" ht="14.25" customHeight="1" x14ac:dyDescent="0.25">
      <c r="A13" s="26">
        <v>12</v>
      </c>
      <c r="B13" s="27" t="s">
        <v>210</v>
      </c>
      <c r="C13" s="26">
        <v>2</v>
      </c>
      <c r="D13" s="26">
        <v>1</v>
      </c>
      <c r="E13" s="26">
        <v>1</v>
      </c>
      <c r="F13" s="26">
        <v>0</v>
      </c>
      <c r="G13" s="26">
        <v>3</v>
      </c>
      <c r="H13" s="26">
        <v>0</v>
      </c>
      <c r="I13" s="26">
        <v>2</v>
      </c>
      <c r="J13" s="26">
        <v>1</v>
      </c>
      <c r="K13" s="26">
        <v>3</v>
      </c>
      <c r="L13" s="26">
        <v>1</v>
      </c>
      <c r="M13" s="26">
        <v>1</v>
      </c>
      <c r="N13" s="26">
        <v>1</v>
      </c>
      <c r="O13" s="26">
        <v>2</v>
      </c>
      <c r="P13" s="26">
        <v>0</v>
      </c>
      <c r="Q13" s="26">
        <v>0</v>
      </c>
      <c r="R13" s="26">
        <v>0</v>
      </c>
      <c r="S13" s="26">
        <v>1</v>
      </c>
      <c r="T13" s="26">
        <v>2</v>
      </c>
      <c r="U13" s="26">
        <v>3</v>
      </c>
      <c r="V13" s="26">
        <v>0</v>
      </c>
      <c r="W13" s="26">
        <v>0</v>
      </c>
      <c r="X13" s="26">
        <v>2</v>
      </c>
      <c r="Y13" s="26">
        <v>1</v>
      </c>
      <c r="Z13" s="26">
        <v>1</v>
      </c>
      <c r="AA13" s="26">
        <v>0</v>
      </c>
      <c r="AB13" s="26">
        <v>1</v>
      </c>
      <c r="AC13" s="26">
        <v>2</v>
      </c>
      <c r="AD13" s="26">
        <v>0</v>
      </c>
      <c r="AE13" s="26">
        <v>2</v>
      </c>
      <c r="AF13" s="26">
        <v>0</v>
      </c>
      <c r="AG13" s="26">
        <v>1</v>
      </c>
      <c r="AH13" s="26">
        <v>0</v>
      </c>
      <c r="AI13" s="26">
        <v>3</v>
      </c>
      <c r="AJ13" s="26">
        <v>0</v>
      </c>
      <c r="AK13" s="26">
        <v>1</v>
      </c>
      <c r="AL13" s="26">
        <v>1</v>
      </c>
      <c r="AM13" s="26">
        <v>2</v>
      </c>
      <c r="AN13" s="26">
        <v>0</v>
      </c>
      <c r="AO13" s="26">
        <v>1</v>
      </c>
      <c r="AP13" s="26">
        <v>1</v>
      </c>
      <c r="AQ13" s="26">
        <v>0</v>
      </c>
      <c r="AR13" s="26">
        <v>1</v>
      </c>
      <c r="AS13" s="26">
        <v>1</v>
      </c>
      <c r="AT13" s="26">
        <v>0</v>
      </c>
      <c r="AU13" s="26">
        <v>2</v>
      </c>
      <c r="AV13" s="26">
        <v>0</v>
      </c>
      <c r="AW13" s="26">
        <v>1</v>
      </c>
      <c r="AX13" s="26">
        <v>2</v>
      </c>
      <c r="AY13" s="26">
        <v>1</v>
      </c>
      <c r="AZ13" s="26">
        <v>1</v>
      </c>
      <c r="BA13" s="26">
        <v>0</v>
      </c>
      <c r="BB13" s="26">
        <v>1</v>
      </c>
      <c r="BC13" s="26">
        <v>2</v>
      </c>
      <c r="BD13" s="26">
        <v>0</v>
      </c>
      <c r="BE13" s="26">
        <v>2</v>
      </c>
      <c r="BF13" s="26">
        <v>0</v>
      </c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</row>
    <row r="14" spans="1:146" ht="14.25" customHeight="1" x14ac:dyDescent="0.25">
      <c r="A14" s="26">
        <v>13</v>
      </c>
      <c r="B14" s="27" t="s">
        <v>211</v>
      </c>
      <c r="C14" s="26">
        <v>3</v>
      </c>
      <c r="D14" s="26">
        <v>1</v>
      </c>
      <c r="E14" s="26">
        <v>1</v>
      </c>
      <c r="F14" s="26">
        <v>1</v>
      </c>
      <c r="G14" s="26">
        <v>3</v>
      </c>
      <c r="H14" s="26">
        <v>1</v>
      </c>
      <c r="I14" s="26">
        <v>2</v>
      </c>
      <c r="J14" s="26">
        <v>0</v>
      </c>
      <c r="K14" s="26">
        <v>0</v>
      </c>
      <c r="L14" s="26">
        <v>1</v>
      </c>
      <c r="M14" s="26">
        <v>1</v>
      </c>
      <c r="N14" s="26">
        <v>2</v>
      </c>
      <c r="O14" s="26">
        <v>2</v>
      </c>
      <c r="P14" s="26">
        <v>2</v>
      </c>
      <c r="Q14" s="26">
        <v>1</v>
      </c>
      <c r="R14" s="26">
        <v>2</v>
      </c>
      <c r="S14" s="26">
        <v>0</v>
      </c>
      <c r="T14" s="26">
        <v>1</v>
      </c>
      <c r="U14" s="26">
        <v>6</v>
      </c>
      <c r="V14" s="26">
        <v>0</v>
      </c>
      <c r="W14" s="26">
        <v>1</v>
      </c>
      <c r="X14" s="26">
        <v>0</v>
      </c>
      <c r="Y14" s="26">
        <v>3</v>
      </c>
      <c r="Z14" s="26">
        <v>0</v>
      </c>
      <c r="AA14" s="26">
        <v>0</v>
      </c>
      <c r="AB14" s="26">
        <v>2</v>
      </c>
      <c r="AC14" s="26">
        <v>5</v>
      </c>
      <c r="AD14" s="26">
        <v>0</v>
      </c>
      <c r="AE14" s="26">
        <v>0</v>
      </c>
      <c r="AF14" s="26">
        <v>1</v>
      </c>
      <c r="AG14" s="26">
        <v>4</v>
      </c>
      <c r="AH14" s="26">
        <v>1</v>
      </c>
      <c r="AI14" s="26">
        <v>4</v>
      </c>
      <c r="AJ14" s="26">
        <v>0</v>
      </c>
      <c r="AK14" s="26">
        <v>0</v>
      </c>
      <c r="AL14" s="26">
        <v>3</v>
      </c>
      <c r="AM14" s="26">
        <v>4</v>
      </c>
      <c r="AN14" s="26">
        <v>1</v>
      </c>
      <c r="AO14" s="26">
        <v>3</v>
      </c>
      <c r="AP14" s="26">
        <v>0</v>
      </c>
      <c r="AQ14" s="26">
        <v>1</v>
      </c>
      <c r="AR14" s="26">
        <v>1</v>
      </c>
      <c r="AS14" s="26">
        <v>2</v>
      </c>
      <c r="AT14" s="26">
        <v>1</v>
      </c>
      <c r="AU14" s="26">
        <v>5</v>
      </c>
      <c r="AV14" s="26">
        <v>0</v>
      </c>
      <c r="AW14" s="26">
        <v>1</v>
      </c>
      <c r="AX14" s="26">
        <v>2</v>
      </c>
      <c r="AY14" s="26">
        <v>0</v>
      </c>
      <c r="AZ14" s="26">
        <v>0</v>
      </c>
      <c r="BA14" s="26">
        <v>1</v>
      </c>
      <c r="BB14" s="26">
        <v>0</v>
      </c>
      <c r="BC14" s="26">
        <v>2</v>
      </c>
      <c r="BD14" s="26">
        <v>0</v>
      </c>
      <c r="BE14" s="26">
        <v>1</v>
      </c>
      <c r="BF14" s="26">
        <v>1</v>
      </c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</row>
    <row r="15" spans="1:146" ht="14.25" customHeight="1" x14ac:dyDescent="0.25">
      <c r="A15" s="26">
        <v>15</v>
      </c>
      <c r="B15" s="27" t="s">
        <v>212</v>
      </c>
      <c r="C15" s="26">
        <v>3</v>
      </c>
      <c r="D15" s="26">
        <v>1</v>
      </c>
      <c r="E15" s="26">
        <v>1</v>
      </c>
      <c r="F15" s="26">
        <v>1</v>
      </c>
      <c r="G15" s="26">
        <v>2</v>
      </c>
      <c r="H15" s="26">
        <v>1</v>
      </c>
      <c r="I15" s="26">
        <v>2</v>
      </c>
      <c r="J15" s="26">
        <v>2</v>
      </c>
      <c r="K15" s="26">
        <v>1</v>
      </c>
      <c r="L15" s="26">
        <v>3</v>
      </c>
      <c r="M15" s="26">
        <v>1</v>
      </c>
      <c r="N15" s="26">
        <v>2</v>
      </c>
      <c r="O15" s="26">
        <v>3</v>
      </c>
      <c r="P15" s="26">
        <v>2</v>
      </c>
      <c r="Q15" s="26">
        <v>0</v>
      </c>
      <c r="R15" s="26">
        <v>2</v>
      </c>
      <c r="S15" s="26">
        <v>1</v>
      </c>
      <c r="T15" s="26">
        <v>2</v>
      </c>
      <c r="U15" s="26">
        <v>5</v>
      </c>
      <c r="V15" s="26">
        <v>1</v>
      </c>
      <c r="W15" s="26">
        <v>2</v>
      </c>
      <c r="X15" s="26">
        <v>2</v>
      </c>
      <c r="Y15" s="26">
        <v>1</v>
      </c>
      <c r="Z15" s="26">
        <v>1</v>
      </c>
      <c r="AA15" s="26">
        <v>1</v>
      </c>
      <c r="AB15" s="26">
        <v>2</v>
      </c>
      <c r="AC15" s="26">
        <v>4</v>
      </c>
      <c r="AD15" s="26">
        <v>0</v>
      </c>
      <c r="AE15" s="26">
        <v>2</v>
      </c>
      <c r="AF15" s="26">
        <v>0</v>
      </c>
      <c r="AG15" s="26">
        <v>2</v>
      </c>
      <c r="AH15" s="26">
        <v>2</v>
      </c>
      <c r="AI15" s="26">
        <v>3</v>
      </c>
      <c r="AJ15" s="26">
        <v>1</v>
      </c>
      <c r="AK15" s="26">
        <v>0</v>
      </c>
      <c r="AL15" s="26">
        <v>2</v>
      </c>
      <c r="AM15" s="26">
        <v>3</v>
      </c>
      <c r="AN15" s="26">
        <v>1</v>
      </c>
      <c r="AO15" s="26">
        <v>2</v>
      </c>
      <c r="AP15" s="26">
        <v>0</v>
      </c>
      <c r="AQ15" s="26">
        <v>1</v>
      </c>
      <c r="AR15" s="26">
        <v>1</v>
      </c>
      <c r="AS15" s="26">
        <v>1</v>
      </c>
      <c r="AT15" s="26">
        <v>2</v>
      </c>
      <c r="AU15" s="26">
        <v>3</v>
      </c>
      <c r="AV15" s="26">
        <v>1</v>
      </c>
      <c r="AW15" s="26">
        <v>1</v>
      </c>
      <c r="AX15" s="26">
        <v>2</v>
      </c>
      <c r="AY15" s="26">
        <v>1</v>
      </c>
      <c r="AZ15" s="26">
        <v>1</v>
      </c>
      <c r="BA15" s="26">
        <v>2</v>
      </c>
      <c r="BB15" s="26">
        <v>1</v>
      </c>
      <c r="BC15" s="26">
        <v>2</v>
      </c>
      <c r="BD15" s="26">
        <v>1</v>
      </c>
      <c r="BE15" s="26">
        <v>2</v>
      </c>
      <c r="BF15" s="26">
        <v>2</v>
      </c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</row>
    <row r="16" spans="1:146" ht="14.25" customHeight="1" x14ac:dyDescent="0.25">
      <c r="A16" s="26">
        <v>16</v>
      </c>
      <c r="B16" s="27" t="s">
        <v>213</v>
      </c>
      <c r="C16" s="26">
        <v>1</v>
      </c>
      <c r="D16" s="26">
        <v>0</v>
      </c>
      <c r="E16" s="26">
        <v>2</v>
      </c>
      <c r="F16" s="26">
        <v>0</v>
      </c>
      <c r="G16" s="26">
        <v>2</v>
      </c>
      <c r="H16" s="26">
        <v>1</v>
      </c>
      <c r="I16" s="26">
        <v>3</v>
      </c>
      <c r="J16" s="26">
        <v>1</v>
      </c>
      <c r="K16" s="26">
        <v>0</v>
      </c>
      <c r="L16" s="26">
        <v>2</v>
      </c>
      <c r="M16" s="26">
        <v>0</v>
      </c>
      <c r="N16" s="26">
        <v>3</v>
      </c>
      <c r="O16" s="26">
        <v>4</v>
      </c>
      <c r="P16" s="26">
        <v>1</v>
      </c>
      <c r="Q16" s="26">
        <v>0</v>
      </c>
      <c r="R16" s="26">
        <v>1</v>
      </c>
      <c r="S16" s="26">
        <v>1</v>
      </c>
      <c r="T16" s="26">
        <v>1</v>
      </c>
      <c r="U16" s="26">
        <v>4</v>
      </c>
      <c r="V16" s="26">
        <v>0</v>
      </c>
      <c r="W16" s="26">
        <v>2</v>
      </c>
      <c r="X16" s="26">
        <v>1</v>
      </c>
      <c r="Y16" s="26">
        <v>3</v>
      </c>
      <c r="Z16" s="26">
        <v>0</v>
      </c>
      <c r="AA16" s="26">
        <v>0</v>
      </c>
      <c r="AB16" s="26">
        <v>1</v>
      </c>
      <c r="AC16" s="26">
        <v>5</v>
      </c>
      <c r="AD16" s="26">
        <v>0</v>
      </c>
      <c r="AE16" s="26">
        <v>1</v>
      </c>
      <c r="AF16" s="26">
        <v>0</v>
      </c>
      <c r="AG16" s="26">
        <v>2</v>
      </c>
      <c r="AH16" s="26">
        <v>0</v>
      </c>
      <c r="AI16" s="26">
        <v>3</v>
      </c>
      <c r="AJ16" s="26">
        <v>1</v>
      </c>
      <c r="AK16" s="26">
        <v>0</v>
      </c>
      <c r="AL16" s="26">
        <v>2</v>
      </c>
      <c r="AM16" s="26">
        <v>2</v>
      </c>
      <c r="AN16" s="26">
        <v>0</v>
      </c>
      <c r="AO16" s="26">
        <v>1</v>
      </c>
      <c r="AP16" s="26">
        <v>0</v>
      </c>
      <c r="AQ16" s="26">
        <v>1</v>
      </c>
      <c r="AR16" s="26">
        <v>2</v>
      </c>
      <c r="AS16" s="26">
        <v>3</v>
      </c>
      <c r="AT16" s="26">
        <v>2</v>
      </c>
      <c r="AU16" s="26">
        <v>3</v>
      </c>
      <c r="AV16" s="26">
        <v>0</v>
      </c>
      <c r="AW16" s="26">
        <v>0</v>
      </c>
      <c r="AX16" s="26">
        <v>4</v>
      </c>
      <c r="AY16" s="26">
        <v>1</v>
      </c>
      <c r="AZ16" s="26">
        <v>1</v>
      </c>
      <c r="BA16" s="26">
        <v>2</v>
      </c>
      <c r="BB16" s="26">
        <v>1</v>
      </c>
      <c r="BC16" s="26">
        <v>2</v>
      </c>
      <c r="BD16" s="26">
        <v>1</v>
      </c>
      <c r="BE16" s="26">
        <v>1</v>
      </c>
      <c r="BF16" s="26">
        <v>1</v>
      </c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</row>
    <row r="17" spans="1:146" ht="14.25" customHeight="1" x14ac:dyDescent="0.25">
      <c r="A17" s="26">
        <v>17</v>
      </c>
      <c r="B17" s="27" t="s">
        <v>214</v>
      </c>
      <c r="C17" s="26">
        <v>2</v>
      </c>
      <c r="D17" s="26">
        <v>0</v>
      </c>
      <c r="E17" s="26">
        <v>3</v>
      </c>
      <c r="F17" s="26">
        <v>1</v>
      </c>
      <c r="G17" s="26">
        <v>2</v>
      </c>
      <c r="H17" s="26">
        <v>1</v>
      </c>
      <c r="I17" s="26">
        <v>2</v>
      </c>
      <c r="J17" s="26">
        <v>1</v>
      </c>
      <c r="K17" s="26">
        <v>1</v>
      </c>
      <c r="L17" s="26">
        <v>1</v>
      </c>
      <c r="M17" s="26">
        <v>1</v>
      </c>
      <c r="N17" s="26">
        <v>2</v>
      </c>
      <c r="O17" s="26">
        <v>2</v>
      </c>
      <c r="P17" s="26">
        <v>1</v>
      </c>
      <c r="Q17" s="26">
        <v>1</v>
      </c>
      <c r="R17" s="26">
        <v>1</v>
      </c>
      <c r="S17" s="26">
        <v>1</v>
      </c>
      <c r="T17" s="26">
        <v>1</v>
      </c>
      <c r="U17" s="26">
        <v>3</v>
      </c>
      <c r="V17" s="26">
        <v>1</v>
      </c>
      <c r="W17" s="26">
        <v>2</v>
      </c>
      <c r="X17" s="26">
        <v>1</v>
      </c>
      <c r="Y17" s="26">
        <v>1</v>
      </c>
      <c r="Z17" s="26">
        <v>1</v>
      </c>
      <c r="AA17" s="26">
        <v>5</v>
      </c>
      <c r="AB17" s="26">
        <v>2</v>
      </c>
      <c r="AC17" s="26">
        <v>3</v>
      </c>
      <c r="AD17" s="26">
        <v>0</v>
      </c>
      <c r="AE17" s="26">
        <v>1</v>
      </c>
      <c r="AF17" s="26">
        <v>2</v>
      </c>
      <c r="AG17" s="26">
        <v>2</v>
      </c>
      <c r="AH17" s="26">
        <v>1</v>
      </c>
      <c r="AI17" s="26">
        <v>2</v>
      </c>
      <c r="AJ17" s="26">
        <v>1</v>
      </c>
      <c r="AK17" s="26">
        <v>3</v>
      </c>
      <c r="AL17" s="26">
        <v>2</v>
      </c>
      <c r="AM17" s="26">
        <v>3</v>
      </c>
      <c r="AN17" s="26">
        <v>0</v>
      </c>
      <c r="AO17" s="26">
        <v>3</v>
      </c>
      <c r="AP17" s="26">
        <v>1</v>
      </c>
      <c r="AQ17" s="26">
        <v>1</v>
      </c>
      <c r="AR17" s="26">
        <v>2</v>
      </c>
      <c r="AS17" s="26">
        <v>3</v>
      </c>
      <c r="AT17" s="26">
        <v>2</v>
      </c>
      <c r="AU17" s="26">
        <v>4</v>
      </c>
      <c r="AV17" s="26">
        <v>0</v>
      </c>
      <c r="AW17" s="26">
        <v>5</v>
      </c>
      <c r="AX17" s="26">
        <v>2</v>
      </c>
      <c r="AY17" s="26">
        <v>1</v>
      </c>
      <c r="AZ17" s="26">
        <v>1</v>
      </c>
      <c r="BA17" s="26">
        <v>4</v>
      </c>
      <c r="BB17" s="26">
        <v>1</v>
      </c>
      <c r="BC17" s="26">
        <v>2</v>
      </c>
      <c r="BD17" s="26">
        <v>1</v>
      </c>
      <c r="BE17" s="26">
        <v>1</v>
      </c>
      <c r="BF17" s="26">
        <v>2</v>
      </c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</row>
    <row r="18" spans="1:146" ht="14.25" customHeight="1" x14ac:dyDescent="0.25">
      <c r="A18" s="26">
        <v>18</v>
      </c>
      <c r="B18" s="27" t="s">
        <v>215</v>
      </c>
      <c r="C18" s="26">
        <v>0</v>
      </c>
      <c r="D18" s="26">
        <v>1</v>
      </c>
      <c r="E18" s="26">
        <v>1</v>
      </c>
      <c r="F18" s="26">
        <v>1</v>
      </c>
      <c r="G18" s="26">
        <v>2</v>
      </c>
      <c r="H18" s="26">
        <v>1</v>
      </c>
      <c r="I18" s="26">
        <v>2</v>
      </c>
      <c r="J18" s="26">
        <v>2</v>
      </c>
      <c r="K18" s="26">
        <v>1</v>
      </c>
      <c r="L18" s="26">
        <v>0</v>
      </c>
      <c r="M18" s="26">
        <v>0</v>
      </c>
      <c r="N18" s="26">
        <v>2</v>
      </c>
      <c r="O18" s="26">
        <v>3</v>
      </c>
      <c r="P18" s="26">
        <v>2</v>
      </c>
      <c r="Q18" s="26">
        <v>0</v>
      </c>
      <c r="R18" s="26">
        <v>2</v>
      </c>
      <c r="S18" s="26">
        <v>1</v>
      </c>
      <c r="T18" s="26">
        <v>1</v>
      </c>
      <c r="U18" s="26">
        <v>3</v>
      </c>
      <c r="V18" s="26">
        <v>0</v>
      </c>
      <c r="W18" s="26">
        <v>2</v>
      </c>
      <c r="X18" s="26">
        <v>1</v>
      </c>
      <c r="Y18" s="26">
        <v>2</v>
      </c>
      <c r="Z18" s="26">
        <v>0</v>
      </c>
      <c r="AA18" s="26">
        <v>0</v>
      </c>
      <c r="AB18" s="26">
        <v>2</v>
      </c>
      <c r="AC18" s="26">
        <v>3</v>
      </c>
      <c r="AD18" s="26">
        <v>0</v>
      </c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</row>
    <row r="19" spans="1:146" ht="14.25" customHeight="1" x14ac:dyDescent="0.25">
      <c r="A19" s="26">
        <v>19</v>
      </c>
      <c r="B19" s="27" t="s">
        <v>216</v>
      </c>
      <c r="C19" s="26">
        <v>1</v>
      </c>
      <c r="D19" s="26">
        <v>0</v>
      </c>
      <c r="E19" s="26">
        <v>2</v>
      </c>
      <c r="F19" s="26">
        <v>1</v>
      </c>
      <c r="G19" s="26">
        <v>1</v>
      </c>
      <c r="H19" s="26">
        <v>1</v>
      </c>
      <c r="I19" s="26">
        <v>2</v>
      </c>
      <c r="J19" s="26">
        <v>2</v>
      </c>
      <c r="K19" s="26">
        <v>2</v>
      </c>
      <c r="L19" s="26">
        <v>0</v>
      </c>
      <c r="M19" s="26">
        <v>1</v>
      </c>
      <c r="N19" s="26">
        <v>2</v>
      </c>
      <c r="O19" s="26">
        <v>1</v>
      </c>
      <c r="P19" s="26">
        <v>2</v>
      </c>
      <c r="Q19" s="26">
        <v>1</v>
      </c>
      <c r="R19" s="26">
        <v>1</v>
      </c>
      <c r="S19" s="26">
        <v>2</v>
      </c>
      <c r="T19" s="26">
        <v>1</v>
      </c>
      <c r="U19" s="26">
        <v>4</v>
      </c>
      <c r="V19" s="26">
        <v>1</v>
      </c>
      <c r="W19" s="26"/>
      <c r="X19" s="26">
        <v>2</v>
      </c>
      <c r="Y19" s="26">
        <v>1</v>
      </c>
      <c r="Z19" s="26">
        <v>0</v>
      </c>
      <c r="AA19" s="26"/>
      <c r="AB19" s="26">
        <v>3</v>
      </c>
      <c r="AC19" s="26">
        <v>5</v>
      </c>
      <c r="AD19" s="26">
        <v>1</v>
      </c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</row>
    <row r="20" spans="1:146" ht="14.25" customHeight="1" x14ac:dyDescent="0.25">
      <c r="A20" s="26">
        <v>20</v>
      </c>
      <c r="B20" s="27" t="s">
        <v>217</v>
      </c>
      <c r="C20" s="26">
        <v>2</v>
      </c>
      <c r="D20" s="26">
        <v>1</v>
      </c>
      <c r="E20" s="26">
        <v>2</v>
      </c>
      <c r="F20" s="26">
        <v>1</v>
      </c>
      <c r="G20" s="26">
        <v>2</v>
      </c>
      <c r="H20" s="26">
        <v>0</v>
      </c>
      <c r="I20" s="26">
        <v>3</v>
      </c>
      <c r="J20" s="26">
        <v>1</v>
      </c>
      <c r="K20" s="26">
        <v>0</v>
      </c>
      <c r="L20" s="26">
        <v>2</v>
      </c>
      <c r="M20" s="26">
        <v>1</v>
      </c>
      <c r="N20" s="26">
        <v>2</v>
      </c>
      <c r="O20" s="26">
        <v>2</v>
      </c>
      <c r="P20" s="26">
        <v>0</v>
      </c>
      <c r="Q20" s="26">
        <v>1</v>
      </c>
      <c r="R20" s="26">
        <v>2</v>
      </c>
      <c r="S20" s="26">
        <v>1</v>
      </c>
      <c r="T20" s="26">
        <v>1</v>
      </c>
      <c r="U20" s="26">
        <v>3</v>
      </c>
      <c r="V20" s="26">
        <v>0</v>
      </c>
      <c r="W20" s="26">
        <v>2</v>
      </c>
      <c r="X20" s="26">
        <v>0</v>
      </c>
      <c r="Y20" s="26">
        <v>2</v>
      </c>
      <c r="Z20" s="26">
        <v>1</v>
      </c>
      <c r="AA20" s="26">
        <v>0</v>
      </c>
      <c r="AB20" s="26">
        <v>2</v>
      </c>
      <c r="AC20" s="26">
        <v>3</v>
      </c>
      <c r="AD20" s="26">
        <v>0</v>
      </c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</row>
    <row r="21" spans="1:146" ht="14.25" customHeight="1" x14ac:dyDescent="0.25">
      <c r="A21" s="26">
        <v>21</v>
      </c>
      <c r="B21" s="27" t="s">
        <v>218</v>
      </c>
      <c r="C21" s="26">
        <v>4</v>
      </c>
      <c r="D21" s="26">
        <v>2</v>
      </c>
      <c r="E21" s="26">
        <v>3</v>
      </c>
      <c r="F21" s="26">
        <v>1</v>
      </c>
      <c r="G21" s="26">
        <v>4</v>
      </c>
      <c r="H21" s="26">
        <v>0</v>
      </c>
      <c r="I21" s="26">
        <v>1</v>
      </c>
      <c r="J21" s="26">
        <v>2</v>
      </c>
      <c r="K21" s="26">
        <v>1</v>
      </c>
      <c r="L21" s="26">
        <v>1</v>
      </c>
      <c r="M21" s="26">
        <v>2</v>
      </c>
      <c r="N21" s="26">
        <v>1</v>
      </c>
      <c r="O21" s="26">
        <v>2</v>
      </c>
      <c r="P21" s="26">
        <v>0</v>
      </c>
      <c r="Q21" s="26">
        <v>0</v>
      </c>
      <c r="R21" s="26">
        <v>2</v>
      </c>
      <c r="S21" s="26">
        <v>2</v>
      </c>
      <c r="T21" s="26">
        <v>3</v>
      </c>
      <c r="U21" s="26">
        <v>6</v>
      </c>
      <c r="V21" s="26">
        <v>0</v>
      </c>
      <c r="W21" s="26">
        <v>3</v>
      </c>
      <c r="X21" s="26">
        <v>1</v>
      </c>
      <c r="Y21" s="26">
        <v>2</v>
      </c>
      <c r="Z21" s="26">
        <v>1</v>
      </c>
      <c r="AA21" s="26">
        <v>1</v>
      </c>
      <c r="AB21" s="26">
        <v>3</v>
      </c>
      <c r="AC21" s="26">
        <v>7</v>
      </c>
      <c r="AD21" s="26">
        <v>0</v>
      </c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</row>
    <row r="22" spans="1:146" ht="14.25" customHeight="1" x14ac:dyDescent="0.25">
      <c r="A22" s="26">
        <v>22</v>
      </c>
      <c r="B22" s="27" t="s">
        <v>219</v>
      </c>
      <c r="C22" s="26">
        <v>3</v>
      </c>
      <c r="D22" s="26">
        <v>2</v>
      </c>
      <c r="E22" s="26">
        <v>2</v>
      </c>
      <c r="F22" s="26">
        <v>2</v>
      </c>
      <c r="G22" s="26">
        <v>3</v>
      </c>
      <c r="H22" s="26">
        <v>1</v>
      </c>
      <c r="I22" s="26">
        <v>3</v>
      </c>
      <c r="J22" s="26">
        <v>2</v>
      </c>
      <c r="K22" s="26">
        <v>1</v>
      </c>
      <c r="L22" s="26">
        <v>1</v>
      </c>
      <c r="M22" s="26">
        <v>2</v>
      </c>
      <c r="N22" s="26">
        <v>1</v>
      </c>
      <c r="O22" s="26">
        <v>3</v>
      </c>
      <c r="P22" s="26">
        <v>0</v>
      </c>
      <c r="Q22" s="26">
        <v>1</v>
      </c>
      <c r="R22" s="26">
        <v>2</v>
      </c>
      <c r="S22" s="26">
        <v>2</v>
      </c>
      <c r="T22" s="26">
        <v>2</v>
      </c>
      <c r="U22" s="26">
        <v>4</v>
      </c>
      <c r="V22" s="26">
        <v>0</v>
      </c>
      <c r="W22" s="26">
        <v>2</v>
      </c>
      <c r="X22" s="26">
        <v>0</v>
      </c>
      <c r="Y22" s="26">
        <v>3</v>
      </c>
      <c r="Z22" s="26">
        <v>1</v>
      </c>
      <c r="AA22" s="26">
        <v>0</v>
      </c>
      <c r="AB22" s="26">
        <v>2</v>
      </c>
      <c r="AC22" s="26">
        <v>5</v>
      </c>
      <c r="AD22" s="26">
        <v>0</v>
      </c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</row>
    <row r="23" spans="1:146" ht="14.25" customHeight="1" x14ac:dyDescent="0.25">
      <c r="A23" s="26">
        <v>23</v>
      </c>
      <c r="B23" s="27" t="s">
        <v>220</v>
      </c>
      <c r="C23" s="26">
        <v>2</v>
      </c>
      <c r="D23" s="26">
        <v>1</v>
      </c>
      <c r="E23" s="26">
        <v>2</v>
      </c>
      <c r="F23" s="26">
        <v>1</v>
      </c>
      <c r="G23" s="26">
        <v>1</v>
      </c>
      <c r="H23" s="26">
        <v>0</v>
      </c>
      <c r="I23" s="26">
        <v>3</v>
      </c>
      <c r="J23" s="26">
        <v>0</v>
      </c>
      <c r="K23" s="26">
        <v>0</v>
      </c>
      <c r="L23" s="26">
        <v>3</v>
      </c>
      <c r="M23" s="26">
        <v>2</v>
      </c>
      <c r="N23" s="26">
        <v>2</v>
      </c>
      <c r="O23" s="26">
        <v>0</v>
      </c>
      <c r="P23" s="26">
        <v>2</v>
      </c>
      <c r="Q23" s="26">
        <v>1</v>
      </c>
      <c r="R23" s="26">
        <v>2</v>
      </c>
      <c r="S23" s="26">
        <v>4</v>
      </c>
      <c r="T23" s="26">
        <v>0</v>
      </c>
      <c r="U23" s="26">
        <v>1</v>
      </c>
      <c r="V23" s="26">
        <v>1</v>
      </c>
      <c r="W23" s="26">
        <v>1</v>
      </c>
      <c r="X23" s="26">
        <v>0</v>
      </c>
      <c r="Y23" s="26">
        <v>0</v>
      </c>
      <c r="Z23" s="26">
        <v>1</v>
      </c>
      <c r="AA23" s="26">
        <v>4</v>
      </c>
      <c r="AB23" s="26">
        <v>0</v>
      </c>
      <c r="AC23" s="26">
        <v>2</v>
      </c>
      <c r="AD23" s="26">
        <v>1</v>
      </c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</row>
    <row r="24" spans="1:146" ht="14.25" customHeight="1" x14ac:dyDescent="0.25">
      <c r="A24" s="26">
        <v>24</v>
      </c>
      <c r="B24" s="27" t="s">
        <v>221</v>
      </c>
      <c r="C24" s="26">
        <v>5</v>
      </c>
      <c r="D24" s="26">
        <v>2</v>
      </c>
      <c r="E24" s="26">
        <v>1</v>
      </c>
      <c r="F24" s="26">
        <v>3</v>
      </c>
      <c r="G24" s="26">
        <v>0</v>
      </c>
      <c r="H24" s="26">
        <v>2</v>
      </c>
      <c r="I24" s="26">
        <v>1</v>
      </c>
      <c r="J24" s="26">
        <v>1</v>
      </c>
      <c r="K24" s="26">
        <v>0</v>
      </c>
      <c r="L24" s="26">
        <v>3</v>
      </c>
      <c r="M24" s="26">
        <v>0</v>
      </c>
      <c r="N24" s="26">
        <v>1</v>
      </c>
      <c r="O24" s="26">
        <v>3</v>
      </c>
      <c r="P24" s="26">
        <v>2</v>
      </c>
      <c r="Q24" s="26">
        <v>0</v>
      </c>
      <c r="R24" s="26">
        <v>4</v>
      </c>
      <c r="S24" s="26">
        <v>2</v>
      </c>
      <c r="T24" s="26">
        <v>1</v>
      </c>
      <c r="U24" s="26">
        <v>6</v>
      </c>
      <c r="V24" s="26">
        <v>1</v>
      </c>
      <c r="W24" s="26">
        <v>0</v>
      </c>
      <c r="X24" s="26">
        <v>2</v>
      </c>
      <c r="Y24" s="26">
        <v>3</v>
      </c>
      <c r="Z24" s="26">
        <v>1</v>
      </c>
      <c r="AA24" s="26">
        <v>1</v>
      </c>
      <c r="AB24" s="26">
        <v>0</v>
      </c>
      <c r="AC24" s="26">
        <v>2</v>
      </c>
      <c r="AD24" s="26">
        <v>0</v>
      </c>
      <c r="AE24" s="26">
        <v>0</v>
      </c>
      <c r="AF24" s="26">
        <v>1</v>
      </c>
      <c r="AG24" s="26">
        <v>3</v>
      </c>
      <c r="AH24" s="26">
        <v>3</v>
      </c>
      <c r="AI24" s="26">
        <v>1</v>
      </c>
      <c r="AJ24" s="26">
        <v>1</v>
      </c>
      <c r="AK24" s="26">
        <v>0</v>
      </c>
      <c r="AL24" s="26">
        <v>3</v>
      </c>
      <c r="AM24" s="26">
        <v>1</v>
      </c>
      <c r="AN24" s="26">
        <v>2</v>
      </c>
      <c r="AO24" s="26">
        <v>4</v>
      </c>
      <c r="AP24" s="26">
        <v>1</v>
      </c>
      <c r="AQ24" s="26">
        <v>0</v>
      </c>
      <c r="AR24" s="26">
        <v>1</v>
      </c>
      <c r="AS24" s="26">
        <v>3</v>
      </c>
      <c r="AT24" s="26">
        <v>5</v>
      </c>
      <c r="AU24" s="26">
        <v>2</v>
      </c>
      <c r="AV24" s="26">
        <v>0</v>
      </c>
      <c r="AW24" s="26">
        <v>2</v>
      </c>
      <c r="AX24" s="26">
        <v>4</v>
      </c>
      <c r="AY24" s="26">
        <v>2</v>
      </c>
      <c r="AZ24" s="26">
        <v>1</v>
      </c>
      <c r="BA24" s="26">
        <v>2</v>
      </c>
      <c r="BB24" s="26">
        <v>0</v>
      </c>
      <c r="BC24" s="26">
        <v>3</v>
      </c>
      <c r="BD24" s="26">
        <v>0</v>
      </c>
      <c r="BE24" s="26">
        <v>1</v>
      </c>
      <c r="BF24" s="26">
        <v>1</v>
      </c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</row>
    <row r="25" spans="1:146" ht="14.25" customHeight="1" x14ac:dyDescent="0.25">
      <c r="A25" s="26">
        <v>25</v>
      </c>
      <c r="B25" s="27" t="s">
        <v>222</v>
      </c>
      <c r="C25" s="26">
        <v>3</v>
      </c>
      <c r="D25" s="26">
        <v>1</v>
      </c>
      <c r="E25" s="26">
        <v>1</v>
      </c>
      <c r="F25" s="26">
        <v>2</v>
      </c>
      <c r="G25" s="26">
        <v>2</v>
      </c>
      <c r="H25" s="26">
        <v>1</v>
      </c>
      <c r="I25" s="26">
        <v>2</v>
      </c>
      <c r="J25" s="26">
        <v>1</v>
      </c>
      <c r="K25" s="26">
        <v>1</v>
      </c>
      <c r="L25" s="26">
        <v>3</v>
      </c>
      <c r="M25" s="26">
        <v>1</v>
      </c>
      <c r="N25" s="26">
        <v>1</v>
      </c>
      <c r="O25" s="26">
        <v>3</v>
      </c>
      <c r="P25" s="26">
        <v>2</v>
      </c>
      <c r="Q25" s="26">
        <v>1</v>
      </c>
      <c r="R25" s="26">
        <v>2</v>
      </c>
      <c r="S25" s="26">
        <v>2</v>
      </c>
      <c r="T25" s="26">
        <v>2</v>
      </c>
      <c r="U25" s="26">
        <v>3</v>
      </c>
      <c r="V25" s="26">
        <v>1</v>
      </c>
      <c r="W25" s="26">
        <v>3</v>
      </c>
      <c r="X25" s="26">
        <v>1</v>
      </c>
      <c r="Y25" s="26">
        <v>2</v>
      </c>
      <c r="Z25" s="26">
        <v>1</v>
      </c>
      <c r="AA25" s="26">
        <v>1</v>
      </c>
      <c r="AB25" s="26">
        <v>3</v>
      </c>
      <c r="AC25" s="26">
        <v>5</v>
      </c>
      <c r="AD25" s="26">
        <v>1</v>
      </c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</row>
    <row r="26" spans="1:146" ht="14.25" customHeight="1" x14ac:dyDescent="0.25">
      <c r="A26" s="26">
        <v>26</v>
      </c>
      <c r="B26" s="27" t="s">
        <v>223</v>
      </c>
      <c r="C26" s="26">
        <v>2</v>
      </c>
      <c r="D26" s="26">
        <v>1</v>
      </c>
      <c r="E26" s="26">
        <v>2</v>
      </c>
      <c r="F26" s="26">
        <v>0</v>
      </c>
      <c r="G26" s="26">
        <v>3</v>
      </c>
      <c r="H26" s="26">
        <v>0</v>
      </c>
      <c r="I26" s="26">
        <v>2</v>
      </c>
      <c r="J26" s="26">
        <v>1</v>
      </c>
      <c r="K26" s="26">
        <v>0</v>
      </c>
      <c r="L26" s="26">
        <v>2</v>
      </c>
      <c r="M26" s="26">
        <v>2</v>
      </c>
      <c r="N26" s="26">
        <v>0</v>
      </c>
      <c r="O26" s="26">
        <v>2</v>
      </c>
      <c r="P26" s="26">
        <v>2</v>
      </c>
      <c r="Q26" s="26">
        <v>0</v>
      </c>
      <c r="R26" s="26">
        <v>2</v>
      </c>
      <c r="S26" s="26">
        <v>2</v>
      </c>
      <c r="T26" s="26">
        <v>1</v>
      </c>
      <c r="U26" s="26">
        <v>3</v>
      </c>
      <c r="V26" s="26">
        <v>1</v>
      </c>
      <c r="W26" s="26">
        <v>4</v>
      </c>
      <c r="X26" s="26">
        <v>0</v>
      </c>
      <c r="Y26" s="26">
        <v>2</v>
      </c>
      <c r="Z26" s="26">
        <v>0</v>
      </c>
      <c r="AA26" s="26">
        <v>1</v>
      </c>
      <c r="AB26" s="26">
        <v>3</v>
      </c>
      <c r="AC26" s="26">
        <v>3</v>
      </c>
      <c r="AD26" s="26">
        <v>1</v>
      </c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</row>
    <row r="27" spans="1:146" ht="14.25" customHeight="1" x14ac:dyDescent="0.25">
      <c r="A27" s="26">
        <v>27</v>
      </c>
      <c r="B27" s="27" t="s">
        <v>224</v>
      </c>
      <c r="C27" s="26">
        <v>2</v>
      </c>
      <c r="D27" s="26">
        <v>0</v>
      </c>
      <c r="E27" s="26">
        <v>1</v>
      </c>
      <c r="F27" s="26">
        <v>1</v>
      </c>
      <c r="G27" s="26">
        <v>2</v>
      </c>
      <c r="H27" s="26">
        <v>1</v>
      </c>
      <c r="I27" s="26">
        <v>2</v>
      </c>
      <c r="J27" s="26">
        <v>1</v>
      </c>
      <c r="K27" s="26">
        <v>0</v>
      </c>
      <c r="L27" s="26">
        <v>3</v>
      </c>
      <c r="M27" s="26">
        <v>1</v>
      </c>
      <c r="N27" s="26">
        <v>1</v>
      </c>
      <c r="O27" s="26">
        <v>3</v>
      </c>
      <c r="P27" s="26">
        <v>2</v>
      </c>
      <c r="Q27" s="26">
        <v>0</v>
      </c>
      <c r="R27" s="26">
        <v>2</v>
      </c>
      <c r="S27" s="26">
        <v>2</v>
      </c>
      <c r="T27" s="26">
        <v>2</v>
      </c>
      <c r="U27" s="26">
        <v>4</v>
      </c>
      <c r="V27" s="26">
        <v>0</v>
      </c>
      <c r="W27" s="26">
        <v>2</v>
      </c>
      <c r="X27" s="26">
        <v>2</v>
      </c>
      <c r="Y27" s="26">
        <v>2</v>
      </c>
      <c r="Z27" s="26">
        <v>0</v>
      </c>
      <c r="AA27" s="26">
        <v>0</v>
      </c>
      <c r="AB27" s="26">
        <v>2</v>
      </c>
      <c r="AC27" s="26">
        <v>3</v>
      </c>
      <c r="AD27" s="26">
        <v>0</v>
      </c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</row>
    <row r="28" spans="1:146" ht="14.25" customHeight="1" x14ac:dyDescent="0.25">
      <c r="A28" s="26">
        <v>28</v>
      </c>
      <c r="B28" s="27" t="s">
        <v>225</v>
      </c>
      <c r="C28" s="26">
        <v>2</v>
      </c>
      <c r="D28" s="26">
        <v>0</v>
      </c>
      <c r="E28" s="26">
        <v>1</v>
      </c>
      <c r="F28" s="26">
        <v>1</v>
      </c>
      <c r="G28" s="26">
        <v>1</v>
      </c>
      <c r="H28" s="26">
        <v>2</v>
      </c>
      <c r="I28" s="26">
        <v>2</v>
      </c>
      <c r="J28" s="26">
        <v>1</v>
      </c>
      <c r="K28" s="26">
        <v>0</v>
      </c>
      <c r="L28" s="26">
        <v>2</v>
      </c>
      <c r="M28" s="26">
        <v>1</v>
      </c>
      <c r="N28" s="26">
        <v>1</v>
      </c>
      <c r="O28" s="26">
        <v>3</v>
      </c>
      <c r="P28" s="26">
        <v>1</v>
      </c>
      <c r="Q28" s="26">
        <v>0</v>
      </c>
      <c r="R28" s="26">
        <v>2</v>
      </c>
      <c r="S28" s="26">
        <v>2</v>
      </c>
      <c r="T28" s="26">
        <v>2</v>
      </c>
      <c r="U28" s="26">
        <v>4</v>
      </c>
      <c r="V28" s="26">
        <v>0</v>
      </c>
      <c r="W28" s="26">
        <v>2</v>
      </c>
      <c r="X28" s="26">
        <v>1</v>
      </c>
      <c r="Y28" s="26">
        <v>1</v>
      </c>
      <c r="Z28" s="26">
        <v>0</v>
      </c>
      <c r="AA28" s="26">
        <v>0</v>
      </c>
      <c r="AB28" s="26">
        <v>2</v>
      </c>
      <c r="AC28" s="26">
        <v>3</v>
      </c>
      <c r="AD28" s="26">
        <v>0</v>
      </c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</row>
    <row r="29" spans="1:146" ht="14.25" customHeight="1" x14ac:dyDescent="0.25">
      <c r="A29" s="26">
        <v>29</v>
      </c>
      <c r="B29" s="27" t="s">
        <v>226</v>
      </c>
      <c r="C29" s="26">
        <v>2</v>
      </c>
      <c r="D29" s="26">
        <v>0</v>
      </c>
      <c r="E29" s="26">
        <v>1</v>
      </c>
      <c r="F29" s="26">
        <v>1</v>
      </c>
      <c r="G29" s="26">
        <v>2</v>
      </c>
      <c r="H29" s="26">
        <v>1</v>
      </c>
      <c r="I29" s="26">
        <v>2</v>
      </c>
      <c r="J29" s="26">
        <v>1</v>
      </c>
      <c r="K29" s="26">
        <v>1</v>
      </c>
      <c r="L29" s="26">
        <v>2</v>
      </c>
      <c r="M29" s="26">
        <v>1</v>
      </c>
      <c r="N29" s="26">
        <v>2</v>
      </c>
      <c r="O29" s="26">
        <v>2</v>
      </c>
      <c r="P29" s="26">
        <v>1</v>
      </c>
      <c r="Q29" s="26">
        <v>0</v>
      </c>
      <c r="R29" s="26">
        <v>2</v>
      </c>
      <c r="S29" s="26">
        <v>1</v>
      </c>
      <c r="T29" s="26">
        <v>1</v>
      </c>
      <c r="U29" s="26">
        <v>3</v>
      </c>
      <c r="V29" s="26">
        <v>1</v>
      </c>
      <c r="W29" s="26">
        <v>2</v>
      </c>
      <c r="X29" s="26">
        <v>1</v>
      </c>
      <c r="Y29" s="26">
        <v>2</v>
      </c>
      <c r="Z29" s="26">
        <v>1</v>
      </c>
      <c r="AA29" s="26">
        <v>0</v>
      </c>
      <c r="AB29" s="26">
        <v>3</v>
      </c>
      <c r="AC29" s="26">
        <v>4</v>
      </c>
      <c r="AD29" s="26">
        <v>0</v>
      </c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</row>
    <row r="30" spans="1:146" ht="14.25" customHeight="1" x14ac:dyDescent="0.25">
      <c r="A30" s="26">
        <v>30</v>
      </c>
      <c r="B30" s="27" t="s">
        <v>227</v>
      </c>
      <c r="C30" s="26">
        <v>2</v>
      </c>
      <c r="D30" s="26">
        <v>0</v>
      </c>
      <c r="E30" s="26">
        <v>2</v>
      </c>
      <c r="F30" s="26">
        <v>1</v>
      </c>
      <c r="G30" s="26">
        <v>1</v>
      </c>
      <c r="H30" s="26">
        <v>0</v>
      </c>
      <c r="I30" s="26">
        <v>2</v>
      </c>
      <c r="J30" s="26">
        <v>1</v>
      </c>
      <c r="K30" s="26">
        <v>1</v>
      </c>
      <c r="L30" s="26">
        <v>3</v>
      </c>
      <c r="M30" s="26">
        <v>0</v>
      </c>
      <c r="N30" s="26">
        <v>2</v>
      </c>
      <c r="O30" s="26">
        <v>2</v>
      </c>
      <c r="P30" s="26">
        <v>1</v>
      </c>
      <c r="Q30" s="26">
        <v>0</v>
      </c>
      <c r="R30" s="26">
        <v>4</v>
      </c>
      <c r="S30" s="26">
        <v>0</v>
      </c>
      <c r="T30" s="26">
        <v>2</v>
      </c>
      <c r="U30" s="26">
        <v>4</v>
      </c>
      <c r="V30" s="26">
        <v>0</v>
      </c>
      <c r="W30" s="26">
        <v>2</v>
      </c>
      <c r="X30" s="26">
        <v>2</v>
      </c>
      <c r="Y30" s="26">
        <v>2</v>
      </c>
      <c r="Z30" s="26">
        <v>0</v>
      </c>
      <c r="AA30" s="26">
        <v>0</v>
      </c>
      <c r="AB30" s="26">
        <v>2</v>
      </c>
      <c r="AC30" s="26">
        <v>7</v>
      </c>
      <c r="AD30" s="26">
        <v>0</v>
      </c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</row>
    <row r="31" spans="1:146" ht="14.25" customHeight="1" x14ac:dyDescent="0.25">
      <c r="A31" s="26">
        <v>31</v>
      </c>
      <c r="B31" s="27" t="s">
        <v>228</v>
      </c>
      <c r="C31" s="26">
        <v>2</v>
      </c>
      <c r="D31" s="26">
        <v>1</v>
      </c>
      <c r="E31" s="26">
        <v>1</v>
      </c>
      <c r="F31" s="26">
        <v>1</v>
      </c>
      <c r="G31" s="26">
        <v>1</v>
      </c>
      <c r="H31" s="26">
        <v>1</v>
      </c>
      <c r="I31" s="26">
        <v>2</v>
      </c>
      <c r="J31" s="26">
        <v>1</v>
      </c>
      <c r="K31" s="26">
        <v>1</v>
      </c>
      <c r="L31" s="26">
        <v>2</v>
      </c>
      <c r="M31" s="26">
        <v>0</v>
      </c>
      <c r="N31" s="26">
        <v>1</v>
      </c>
      <c r="O31" s="26">
        <v>2</v>
      </c>
      <c r="P31" s="26">
        <v>1</v>
      </c>
      <c r="Q31" s="26">
        <v>0</v>
      </c>
      <c r="R31" s="26">
        <v>2</v>
      </c>
      <c r="S31" s="26">
        <v>1</v>
      </c>
      <c r="T31" s="26">
        <v>1</v>
      </c>
      <c r="U31" s="26">
        <v>4</v>
      </c>
      <c r="V31" s="26">
        <v>0</v>
      </c>
      <c r="W31" s="26">
        <v>1</v>
      </c>
      <c r="X31" s="26">
        <v>1</v>
      </c>
      <c r="Y31" s="26">
        <v>1</v>
      </c>
      <c r="Z31" s="26">
        <v>1</v>
      </c>
      <c r="AA31" s="26">
        <v>0</v>
      </c>
      <c r="AB31" s="26">
        <v>2</v>
      </c>
      <c r="AC31" s="26">
        <v>4</v>
      </c>
      <c r="AD31" s="26">
        <v>0</v>
      </c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</row>
    <row r="32" spans="1:146" ht="14.25" customHeight="1" x14ac:dyDescent="0.25">
      <c r="A32" s="26">
        <v>32</v>
      </c>
      <c r="B32" s="27" t="s">
        <v>229</v>
      </c>
      <c r="C32" s="26">
        <v>3</v>
      </c>
      <c r="D32" s="26">
        <v>1</v>
      </c>
      <c r="E32" s="26">
        <v>2</v>
      </c>
      <c r="F32" s="26">
        <v>2</v>
      </c>
      <c r="G32" s="26">
        <v>3</v>
      </c>
      <c r="H32" s="26">
        <v>1</v>
      </c>
      <c r="I32" s="26">
        <v>2</v>
      </c>
      <c r="J32" s="26">
        <v>1</v>
      </c>
      <c r="K32" s="26">
        <v>0</v>
      </c>
      <c r="L32" s="26">
        <v>3</v>
      </c>
      <c r="M32" s="26">
        <v>1</v>
      </c>
      <c r="N32" s="26">
        <v>3</v>
      </c>
      <c r="O32" s="26">
        <v>4</v>
      </c>
      <c r="P32" s="26">
        <v>2</v>
      </c>
      <c r="Q32" s="26">
        <v>1</v>
      </c>
      <c r="R32" s="26">
        <v>2</v>
      </c>
      <c r="S32" s="26">
        <v>1</v>
      </c>
      <c r="T32" s="26">
        <v>3</v>
      </c>
      <c r="U32" s="26">
        <v>5</v>
      </c>
      <c r="V32" s="26">
        <v>0</v>
      </c>
      <c r="W32" s="26">
        <v>4</v>
      </c>
      <c r="X32" s="26">
        <v>1</v>
      </c>
      <c r="Y32" s="26">
        <v>2</v>
      </c>
      <c r="Z32" s="26">
        <v>2</v>
      </c>
      <c r="AA32" s="26">
        <v>1</v>
      </c>
      <c r="AB32" s="26">
        <v>3</v>
      </c>
      <c r="AC32" s="26">
        <v>5</v>
      </c>
      <c r="AD32" s="26">
        <v>0</v>
      </c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</row>
    <row r="33" spans="1:146" ht="14.25" customHeight="1" x14ac:dyDescent="0.25">
      <c r="A33" s="26">
        <v>33</v>
      </c>
      <c r="B33" s="27" t="s">
        <v>230</v>
      </c>
      <c r="C33" s="26">
        <v>2</v>
      </c>
      <c r="D33" s="26">
        <v>0</v>
      </c>
      <c r="E33" s="26">
        <v>2</v>
      </c>
      <c r="F33" s="26">
        <v>1</v>
      </c>
      <c r="G33" s="26">
        <v>3</v>
      </c>
      <c r="H33" s="26">
        <v>0</v>
      </c>
      <c r="I33" s="26">
        <v>2</v>
      </c>
      <c r="J33" s="26">
        <v>0</v>
      </c>
      <c r="K33" s="26">
        <v>0</v>
      </c>
      <c r="L33" s="26">
        <v>2</v>
      </c>
      <c r="M33" s="26">
        <v>1</v>
      </c>
      <c r="N33" s="26">
        <v>1</v>
      </c>
      <c r="O33" s="26">
        <v>1</v>
      </c>
      <c r="P33" s="26">
        <v>1</v>
      </c>
      <c r="Q33" s="26">
        <v>1</v>
      </c>
      <c r="R33" s="26">
        <v>2</v>
      </c>
      <c r="S33" s="26">
        <v>3</v>
      </c>
      <c r="T33" s="26">
        <v>0</v>
      </c>
      <c r="U33" s="26">
        <v>2</v>
      </c>
      <c r="V33" s="26">
        <v>1</v>
      </c>
      <c r="W33" s="26">
        <v>2</v>
      </c>
      <c r="X33" s="26">
        <v>2</v>
      </c>
      <c r="Y33" s="26">
        <v>3</v>
      </c>
      <c r="Z33" s="26">
        <v>1</v>
      </c>
      <c r="AA33" s="26">
        <v>1</v>
      </c>
      <c r="AB33" s="26">
        <v>2</v>
      </c>
      <c r="AC33" s="26">
        <v>3</v>
      </c>
      <c r="AD33" s="26">
        <v>0</v>
      </c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</row>
    <row r="34" spans="1:146" ht="14.25" customHeight="1" x14ac:dyDescent="0.25">
      <c r="A34" s="26">
        <v>34</v>
      </c>
      <c r="B34" s="27" t="s">
        <v>231</v>
      </c>
      <c r="C34" s="26">
        <v>2</v>
      </c>
      <c r="D34" s="26">
        <v>1</v>
      </c>
      <c r="E34" s="26">
        <v>1</v>
      </c>
      <c r="F34" s="26">
        <v>1</v>
      </c>
      <c r="G34" s="26">
        <v>1</v>
      </c>
      <c r="H34" s="26">
        <v>1</v>
      </c>
      <c r="I34" s="26">
        <v>1</v>
      </c>
      <c r="J34" s="26">
        <v>0</v>
      </c>
      <c r="K34" s="26">
        <v>0</v>
      </c>
      <c r="L34" s="26">
        <v>3</v>
      </c>
      <c r="M34" s="26">
        <v>0</v>
      </c>
      <c r="N34" s="26">
        <v>1</v>
      </c>
      <c r="O34" s="26">
        <v>2</v>
      </c>
      <c r="P34" s="26">
        <v>2</v>
      </c>
      <c r="Q34" s="26">
        <v>0</v>
      </c>
      <c r="R34" s="26">
        <v>2</v>
      </c>
      <c r="S34" s="26">
        <v>1</v>
      </c>
      <c r="T34" s="26">
        <v>1</v>
      </c>
      <c r="U34" s="26">
        <v>3</v>
      </c>
      <c r="V34" s="26">
        <v>1</v>
      </c>
      <c r="W34" s="26">
        <v>2</v>
      </c>
      <c r="X34" s="26">
        <v>2</v>
      </c>
      <c r="Y34" s="26">
        <v>2</v>
      </c>
      <c r="Z34" s="26">
        <v>0</v>
      </c>
      <c r="AA34" s="26">
        <v>0</v>
      </c>
      <c r="AB34" s="26">
        <v>1</v>
      </c>
      <c r="AC34" s="26">
        <v>4</v>
      </c>
      <c r="AD34" s="26">
        <v>0</v>
      </c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</row>
    <row r="35" spans="1:146" ht="14.25" customHeight="1" x14ac:dyDescent="0.25">
      <c r="A35" s="26">
        <v>35</v>
      </c>
      <c r="B35" s="27" t="s">
        <v>232</v>
      </c>
      <c r="C35" s="26">
        <v>2</v>
      </c>
      <c r="D35" s="26">
        <v>0</v>
      </c>
      <c r="E35" s="26">
        <v>3</v>
      </c>
      <c r="F35" s="26">
        <v>1</v>
      </c>
      <c r="G35" s="26">
        <v>2</v>
      </c>
      <c r="H35" s="26">
        <v>1</v>
      </c>
      <c r="I35" s="26">
        <v>2</v>
      </c>
      <c r="J35" s="26">
        <v>1</v>
      </c>
      <c r="K35" s="26">
        <v>1</v>
      </c>
      <c r="L35" s="26">
        <v>1</v>
      </c>
      <c r="M35" s="26">
        <v>1</v>
      </c>
      <c r="N35" s="26">
        <v>2</v>
      </c>
      <c r="O35" s="26">
        <v>2</v>
      </c>
      <c r="P35" s="26">
        <v>1</v>
      </c>
      <c r="Q35" s="26">
        <v>1</v>
      </c>
      <c r="R35" s="26">
        <v>1</v>
      </c>
      <c r="S35" s="26">
        <v>1</v>
      </c>
      <c r="T35" s="26">
        <v>1</v>
      </c>
      <c r="U35" s="26">
        <v>3</v>
      </c>
      <c r="V35" s="26">
        <v>1</v>
      </c>
      <c r="W35" s="26">
        <v>2</v>
      </c>
      <c r="X35" s="26">
        <v>1</v>
      </c>
      <c r="Y35" s="26">
        <v>1</v>
      </c>
      <c r="Z35" s="26">
        <v>1</v>
      </c>
      <c r="AA35" s="26">
        <v>1</v>
      </c>
      <c r="AB35" s="26">
        <v>2</v>
      </c>
      <c r="AC35" s="26">
        <v>3</v>
      </c>
      <c r="AD35" s="26">
        <v>0</v>
      </c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</row>
    <row r="36" spans="1:146" ht="14.25" customHeight="1" x14ac:dyDescent="0.25">
      <c r="A36" s="26">
        <v>36</v>
      </c>
      <c r="B36" s="27" t="s">
        <v>233</v>
      </c>
      <c r="C36" s="26">
        <v>3</v>
      </c>
      <c r="D36" s="26">
        <v>1</v>
      </c>
      <c r="E36" s="26">
        <v>2</v>
      </c>
      <c r="F36" s="26">
        <v>1</v>
      </c>
      <c r="G36" s="26">
        <v>2</v>
      </c>
      <c r="H36" s="26">
        <v>2</v>
      </c>
      <c r="I36" s="26">
        <v>3</v>
      </c>
      <c r="J36" s="26">
        <v>2</v>
      </c>
      <c r="K36" s="26">
        <v>2</v>
      </c>
      <c r="L36" s="26">
        <v>3</v>
      </c>
      <c r="M36" s="26">
        <v>3</v>
      </c>
      <c r="N36" s="26">
        <v>4</v>
      </c>
      <c r="O36" s="26">
        <v>4</v>
      </c>
      <c r="P36" s="26">
        <v>4</v>
      </c>
      <c r="Q36" s="26">
        <v>1</v>
      </c>
      <c r="R36" s="26">
        <v>2</v>
      </c>
      <c r="S36" s="26">
        <v>1</v>
      </c>
      <c r="T36" s="26">
        <v>3</v>
      </c>
      <c r="U36" s="26">
        <v>3</v>
      </c>
      <c r="V36" s="26">
        <v>1</v>
      </c>
      <c r="W36" s="26">
        <v>2</v>
      </c>
      <c r="X36" s="26">
        <v>2</v>
      </c>
      <c r="Y36" s="26">
        <v>2</v>
      </c>
      <c r="Z36" s="26">
        <v>1</v>
      </c>
      <c r="AA36" s="26">
        <v>2</v>
      </c>
      <c r="AB36" s="26">
        <v>2</v>
      </c>
      <c r="AC36" s="26">
        <v>3</v>
      </c>
      <c r="AD36" s="26">
        <v>1</v>
      </c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</row>
    <row r="37" spans="1:146" ht="14.25" customHeight="1" x14ac:dyDescent="0.25">
      <c r="A37" s="26">
        <v>37</v>
      </c>
      <c r="B37" s="27" t="s">
        <v>234</v>
      </c>
      <c r="C37" s="26">
        <v>2</v>
      </c>
      <c r="D37" s="26">
        <v>1</v>
      </c>
      <c r="E37" s="26">
        <v>2</v>
      </c>
      <c r="F37" s="26">
        <v>0</v>
      </c>
      <c r="G37" s="26">
        <v>1</v>
      </c>
      <c r="H37" s="26">
        <v>0</v>
      </c>
      <c r="I37" s="26">
        <v>2</v>
      </c>
      <c r="J37" s="26">
        <v>1</v>
      </c>
      <c r="K37" s="26"/>
      <c r="L37" s="26">
        <v>1</v>
      </c>
      <c r="M37" s="26">
        <v>1</v>
      </c>
      <c r="N37" s="26">
        <v>2</v>
      </c>
      <c r="O37" s="26">
        <v>2</v>
      </c>
      <c r="P37" s="26">
        <v>1</v>
      </c>
      <c r="Q37" s="26">
        <v>0</v>
      </c>
      <c r="R37" s="26">
        <v>1</v>
      </c>
      <c r="S37" s="26">
        <v>2</v>
      </c>
      <c r="T37" s="26">
        <v>3</v>
      </c>
      <c r="U37" s="26">
        <v>3</v>
      </c>
      <c r="V37" s="26">
        <v>1</v>
      </c>
      <c r="W37" s="26">
        <v>2</v>
      </c>
      <c r="X37" s="26">
        <v>1</v>
      </c>
      <c r="Y37" s="26">
        <v>1</v>
      </c>
      <c r="Z37" s="26">
        <v>1</v>
      </c>
      <c r="AA37" s="26">
        <v>1</v>
      </c>
      <c r="AB37" s="26">
        <v>2</v>
      </c>
      <c r="AC37" s="26">
        <v>3</v>
      </c>
      <c r="AD37" s="26">
        <v>0</v>
      </c>
      <c r="AE37" s="26">
        <v>1</v>
      </c>
      <c r="AF37" s="26">
        <v>0</v>
      </c>
      <c r="AG37" s="26">
        <v>2</v>
      </c>
      <c r="AH37" s="26">
        <v>0</v>
      </c>
      <c r="AI37" s="26">
        <v>2</v>
      </c>
      <c r="AJ37" s="26">
        <v>1</v>
      </c>
      <c r="AK37" s="26">
        <v>0</v>
      </c>
      <c r="AL37" s="26">
        <v>2</v>
      </c>
      <c r="AM37" s="26">
        <v>2</v>
      </c>
      <c r="AN37" s="26">
        <v>0</v>
      </c>
      <c r="AO37" s="26">
        <v>1</v>
      </c>
      <c r="AP37" s="26">
        <v>0</v>
      </c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</row>
    <row r="38" spans="1:146" ht="14.25" customHeight="1" x14ac:dyDescent="0.25">
      <c r="A38" s="26">
        <v>14</v>
      </c>
      <c r="B38" s="27" t="s">
        <v>235</v>
      </c>
      <c r="C38" s="26">
        <v>2</v>
      </c>
      <c r="D38" s="26">
        <v>0</v>
      </c>
      <c r="E38" s="26">
        <v>1</v>
      </c>
      <c r="F38" s="26">
        <v>1</v>
      </c>
      <c r="G38" s="26">
        <v>0</v>
      </c>
      <c r="H38" s="26">
        <v>1</v>
      </c>
      <c r="I38" s="26">
        <v>0</v>
      </c>
      <c r="J38" s="26">
        <v>1</v>
      </c>
      <c r="K38" s="26">
        <v>0</v>
      </c>
      <c r="L38" s="26"/>
      <c r="M38" s="26">
        <v>1</v>
      </c>
      <c r="N38" s="26">
        <v>0</v>
      </c>
      <c r="O38" s="26">
        <v>3</v>
      </c>
      <c r="P38" s="26">
        <v>1</v>
      </c>
      <c r="Q38" s="26">
        <v>0</v>
      </c>
      <c r="R38" s="26">
        <v>1</v>
      </c>
      <c r="S38" s="26">
        <v>1</v>
      </c>
      <c r="T38" s="26">
        <v>0</v>
      </c>
      <c r="U38" s="26">
        <v>2</v>
      </c>
      <c r="V38" s="26">
        <v>0</v>
      </c>
      <c r="W38" s="26">
        <v>2</v>
      </c>
      <c r="X38" s="26">
        <v>1</v>
      </c>
      <c r="Y38" s="26">
        <v>2</v>
      </c>
      <c r="Z38" s="26">
        <v>1</v>
      </c>
      <c r="AA38" s="26">
        <v>1</v>
      </c>
      <c r="AB38" s="26">
        <v>2</v>
      </c>
      <c r="AC38" s="26">
        <v>2</v>
      </c>
      <c r="AD38" s="26">
        <v>0</v>
      </c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</row>
    <row r="39" spans="1:146" ht="14.25" customHeight="1" x14ac:dyDescent="0.25">
      <c r="A39" s="26">
        <v>38</v>
      </c>
      <c r="B39" s="27" t="s">
        <v>236</v>
      </c>
      <c r="C39" s="26">
        <v>2</v>
      </c>
      <c r="D39" s="26">
        <v>0</v>
      </c>
      <c r="E39" s="26">
        <v>1</v>
      </c>
      <c r="F39" s="26">
        <v>1</v>
      </c>
      <c r="G39" s="26">
        <v>2</v>
      </c>
      <c r="H39" s="26">
        <v>1</v>
      </c>
      <c r="I39" s="26">
        <v>2</v>
      </c>
      <c r="J39" s="26">
        <v>0</v>
      </c>
      <c r="K39" s="26">
        <v>0</v>
      </c>
      <c r="L39" s="26">
        <v>0</v>
      </c>
      <c r="M39" s="26">
        <v>1</v>
      </c>
      <c r="N39" s="26">
        <v>2</v>
      </c>
      <c r="O39" s="26">
        <v>2</v>
      </c>
      <c r="P39" s="26">
        <v>1</v>
      </c>
      <c r="Q39" s="26">
        <v>0</v>
      </c>
      <c r="R39" s="26">
        <v>2</v>
      </c>
      <c r="S39" s="26">
        <v>1</v>
      </c>
      <c r="T39" s="26">
        <v>1</v>
      </c>
      <c r="U39" s="26">
        <v>3</v>
      </c>
      <c r="V39" s="26">
        <v>0</v>
      </c>
      <c r="W39" s="26">
        <v>2</v>
      </c>
      <c r="X39" s="26">
        <v>1</v>
      </c>
      <c r="Y39" s="26">
        <v>1</v>
      </c>
      <c r="Z39" s="26">
        <v>0</v>
      </c>
      <c r="AA39" s="26">
        <v>1</v>
      </c>
      <c r="AB39" s="26">
        <v>2</v>
      </c>
      <c r="AC39" s="26">
        <v>3</v>
      </c>
      <c r="AD39" s="26">
        <v>0</v>
      </c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</row>
    <row r="40" spans="1:146" ht="14.25" customHeight="1" x14ac:dyDescent="0.25">
      <c r="A40" s="26">
        <v>39</v>
      </c>
      <c r="B40" s="27" t="s">
        <v>237</v>
      </c>
      <c r="C40" s="26">
        <v>3</v>
      </c>
      <c r="D40" s="26">
        <v>1</v>
      </c>
      <c r="E40" s="26">
        <v>2</v>
      </c>
      <c r="F40" s="26">
        <v>2</v>
      </c>
      <c r="G40" s="26">
        <v>3</v>
      </c>
      <c r="H40" s="26">
        <v>1</v>
      </c>
      <c r="I40" s="26">
        <v>3</v>
      </c>
      <c r="J40" s="26">
        <v>0</v>
      </c>
      <c r="K40" s="26">
        <v>0</v>
      </c>
      <c r="L40" s="26">
        <v>1</v>
      </c>
      <c r="M40" s="26">
        <v>2</v>
      </c>
      <c r="N40" s="26">
        <v>3</v>
      </c>
      <c r="O40" s="26">
        <v>3</v>
      </c>
      <c r="P40" s="26">
        <v>1</v>
      </c>
      <c r="Q40" s="26">
        <v>0</v>
      </c>
      <c r="R40" s="26"/>
      <c r="S40" s="26">
        <v>1</v>
      </c>
      <c r="T40" s="26">
        <v>2</v>
      </c>
      <c r="U40" s="26">
        <v>4</v>
      </c>
      <c r="V40" s="26">
        <v>0</v>
      </c>
      <c r="W40" s="26">
        <v>3</v>
      </c>
      <c r="X40" s="26">
        <v>1</v>
      </c>
      <c r="Y40" s="26">
        <v>2</v>
      </c>
      <c r="Z40" s="26">
        <v>1</v>
      </c>
      <c r="AA40" s="26">
        <v>2</v>
      </c>
      <c r="AB40" s="26">
        <v>3</v>
      </c>
      <c r="AC40" s="26">
        <v>4</v>
      </c>
      <c r="AD40" s="26">
        <v>1</v>
      </c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</row>
    <row r="41" spans="1:146" ht="14.25" customHeight="1" x14ac:dyDescent="0.25">
      <c r="A41" s="26">
        <v>40</v>
      </c>
      <c r="B41" s="27" t="s">
        <v>238</v>
      </c>
      <c r="C41" s="26">
        <v>1</v>
      </c>
      <c r="D41" s="26">
        <v>2</v>
      </c>
      <c r="E41" s="26">
        <v>3</v>
      </c>
      <c r="F41" s="26">
        <v>0</v>
      </c>
      <c r="G41" s="26">
        <v>2</v>
      </c>
      <c r="H41" s="26">
        <v>0</v>
      </c>
      <c r="I41" s="26">
        <v>1</v>
      </c>
      <c r="J41" s="26">
        <v>2</v>
      </c>
      <c r="K41" s="26">
        <v>0</v>
      </c>
      <c r="L41" s="26">
        <v>1</v>
      </c>
      <c r="M41" s="26">
        <v>2</v>
      </c>
      <c r="N41" s="26">
        <v>2</v>
      </c>
      <c r="O41" s="26">
        <v>1</v>
      </c>
      <c r="P41" s="26">
        <v>1</v>
      </c>
      <c r="Q41" s="26">
        <v>0</v>
      </c>
      <c r="R41" s="26">
        <v>2</v>
      </c>
      <c r="S41" s="26">
        <v>2</v>
      </c>
      <c r="T41" s="26">
        <v>1</v>
      </c>
      <c r="U41" s="26">
        <v>3</v>
      </c>
      <c r="V41" s="26">
        <v>0</v>
      </c>
      <c r="W41" s="26">
        <v>2</v>
      </c>
      <c r="X41" s="26">
        <v>1</v>
      </c>
      <c r="Y41" s="26">
        <v>2</v>
      </c>
      <c r="Z41" s="26">
        <v>0</v>
      </c>
      <c r="AA41" s="26">
        <v>1</v>
      </c>
      <c r="AB41" s="26">
        <v>3</v>
      </c>
      <c r="AC41" s="26">
        <v>3</v>
      </c>
      <c r="AD41" s="26">
        <v>0</v>
      </c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</row>
    <row r="42" spans="1:146" ht="14.25" customHeight="1" x14ac:dyDescent="0.25">
      <c r="A42" s="26">
        <v>41</v>
      </c>
      <c r="B42" s="27" t="s">
        <v>239</v>
      </c>
      <c r="C42" s="26">
        <v>2</v>
      </c>
      <c r="D42" s="26">
        <v>1</v>
      </c>
      <c r="E42" s="26">
        <v>1</v>
      </c>
      <c r="F42" s="26">
        <v>1</v>
      </c>
      <c r="G42" s="26">
        <v>2</v>
      </c>
      <c r="H42" s="26">
        <v>0</v>
      </c>
      <c r="I42" s="26">
        <v>1</v>
      </c>
      <c r="J42" s="26">
        <v>2</v>
      </c>
      <c r="K42" s="26">
        <v>0</v>
      </c>
      <c r="L42" s="26">
        <v>2</v>
      </c>
      <c r="M42" s="26">
        <v>1</v>
      </c>
      <c r="N42" s="26">
        <v>2</v>
      </c>
      <c r="O42" s="26">
        <v>3</v>
      </c>
      <c r="P42" s="26">
        <v>1</v>
      </c>
      <c r="Q42" s="26">
        <v>0</v>
      </c>
      <c r="R42" s="26">
        <v>2</v>
      </c>
      <c r="S42" s="26">
        <v>1</v>
      </c>
      <c r="T42" s="26">
        <v>1</v>
      </c>
      <c r="U42" s="26">
        <v>4</v>
      </c>
      <c r="V42" s="26">
        <v>0</v>
      </c>
      <c r="W42" s="26">
        <v>2</v>
      </c>
      <c r="X42" s="26">
        <v>1</v>
      </c>
      <c r="Y42" s="26">
        <v>2</v>
      </c>
      <c r="Z42" s="26">
        <v>0</v>
      </c>
      <c r="AA42" s="26">
        <v>0</v>
      </c>
      <c r="AB42" s="26">
        <v>2</v>
      </c>
      <c r="AC42" s="26">
        <v>3</v>
      </c>
      <c r="AD42" s="26">
        <v>0</v>
      </c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</row>
    <row r="43" spans="1:146" ht="14.25" customHeight="1" x14ac:dyDescent="0.25">
      <c r="A43" s="26">
        <v>42</v>
      </c>
      <c r="B43" s="27" t="s">
        <v>240</v>
      </c>
      <c r="C43" s="26">
        <v>2</v>
      </c>
      <c r="D43" s="26">
        <v>1</v>
      </c>
      <c r="E43" s="26">
        <v>2</v>
      </c>
      <c r="F43" s="26">
        <v>1</v>
      </c>
      <c r="G43" s="26">
        <v>2</v>
      </c>
      <c r="H43" s="26">
        <v>1</v>
      </c>
      <c r="I43" s="26">
        <v>2</v>
      </c>
      <c r="J43" s="26">
        <v>1</v>
      </c>
      <c r="K43" s="26">
        <v>1</v>
      </c>
      <c r="L43" s="26">
        <v>1</v>
      </c>
      <c r="M43" s="26">
        <v>0</v>
      </c>
      <c r="N43" s="26">
        <v>2</v>
      </c>
      <c r="O43" s="26">
        <v>3</v>
      </c>
      <c r="P43" s="26">
        <v>2</v>
      </c>
      <c r="Q43" s="26">
        <v>1</v>
      </c>
      <c r="R43" s="26">
        <v>1</v>
      </c>
      <c r="S43" s="26">
        <v>1</v>
      </c>
      <c r="T43" s="26">
        <v>3</v>
      </c>
      <c r="U43" s="26">
        <v>3</v>
      </c>
      <c r="V43" s="26">
        <v>1</v>
      </c>
      <c r="W43" s="26">
        <v>2</v>
      </c>
      <c r="X43" s="26">
        <v>0</v>
      </c>
      <c r="Y43" s="26">
        <v>3</v>
      </c>
      <c r="Z43" s="26">
        <v>1</v>
      </c>
      <c r="AA43" s="26">
        <v>0</v>
      </c>
      <c r="AB43" s="26">
        <v>1</v>
      </c>
      <c r="AC43" s="26">
        <v>4</v>
      </c>
      <c r="AD43" s="26">
        <v>0</v>
      </c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</row>
    <row r="44" spans="1:146" ht="14.25" customHeight="1" x14ac:dyDescent="0.25">
      <c r="A44" s="26">
        <v>43</v>
      </c>
      <c r="B44" s="27" t="s">
        <v>241</v>
      </c>
      <c r="C44" s="26">
        <v>2</v>
      </c>
      <c r="D44" s="26">
        <v>0</v>
      </c>
      <c r="E44" s="26">
        <v>1</v>
      </c>
      <c r="F44" s="26">
        <v>0</v>
      </c>
      <c r="G44" s="26">
        <v>1</v>
      </c>
      <c r="H44" s="26">
        <v>1</v>
      </c>
      <c r="I44" s="26">
        <v>2</v>
      </c>
      <c r="J44" s="26">
        <v>2</v>
      </c>
      <c r="K44" s="26">
        <v>0</v>
      </c>
      <c r="L44" s="26">
        <v>3</v>
      </c>
      <c r="M44" s="26">
        <v>1</v>
      </c>
      <c r="N44" s="26">
        <v>2</v>
      </c>
      <c r="O44" s="26">
        <v>1</v>
      </c>
      <c r="P44" s="26">
        <v>2</v>
      </c>
      <c r="Q44" s="26"/>
      <c r="R44" s="26">
        <v>2</v>
      </c>
      <c r="S44" s="26">
        <v>0</v>
      </c>
      <c r="T44" s="26">
        <v>2</v>
      </c>
      <c r="U44" s="26">
        <v>4</v>
      </c>
      <c r="V44" s="26">
        <v>0</v>
      </c>
      <c r="W44" s="26">
        <v>2</v>
      </c>
      <c r="X44" s="26">
        <v>2</v>
      </c>
      <c r="Y44" s="26">
        <v>2</v>
      </c>
      <c r="Z44" s="26">
        <v>0</v>
      </c>
      <c r="AA44" s="26">
        <v>1</v>
      </c>
      <c r="AB44" s="26">
        <v>3</v>
      </c>
      <c r="AC44" s="26">
        <v>3</v>
      </c>
      <c r="AD44" s="26">
        <v>0</v>
      </c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</row>
    <row r="45" spans="1:146" ht="14.25" customHeight="1" x14ac:dyDescent="0.25">
      <c r="A45" s="26">
        <v>44</v>
      </c>
      <c r="B45" s="28" t="s">
        <v>242</v>
      </c>
      <c r="C45" s="29">
        <v>2</v>
      </c>
      <c r="D45" s="29">
        <v>0</v>
      </c>
      <c r="E45" s="29">
        <v>1</v>
      </c>
      <c r="F45" s="29">
        <v>1</v>
      </c>
      <c r="G45" s="29">
        <v>2</v>
      </c>
      <c r="H45" s="29">
        <v>1</v>
      </c>
      <c r="I45" s="29">
        <v>1</v>
      </c>
      <c r="J45" s="29">
        <v>1</v>
      </c>
      <c r="K45" s="29">
        <v>0</v>
      </c>
      <c r="L45" s="29">
        <v>2</v>
      </c>
      <c r="M45" s="29">
        <v>1</v>
      </c>
      <c r="N45" s="29">
        <v>2</v>
      </c>
      <c r="O45" s="29">
        <v>2</v>
      </c>
      <c r="P45" s="29">
        <v>1</v>
      </c>
      <c r="Q45" s="29">
        <v>0</v>
      </c>
      <c r="R45" s="29">
        <v>2</v>
      </c>
      <c r="S45" s="29">
        <v>1</v>
      </c>
      <c r="T45" s="29">
        <v>1</v>
      </c>
      <c r="U45" s="29">
        <v>5</v>
      </c>
      <c r="V45" s="29">
        <v>0</v>
      </c>
      <c r="W45" s="29">
        <v>2</v>
      </c>
      <c r="X45" s="29">
        <v>2</v>
      </c>
      <c r="Y45" s="29">
        <v>3</v>
      </c>
      <c r="Z45" s="29">
        <v>0</v>
      </c>
      <c r="AA45" s="29">
        <v>0</v>
      </c>
      <c r="AB45" s="29">
        <v>2</v>
      </c>
      <c r="AC45" s="29">
        <v>5</v>
      </c>
      <c r="AD45" s="29">
        <v>0</v>
      </c>
    </row>
    <row r="46" spans="1:146" ht="14.25" customHeight="1" x14ac:dyDescent="0.25">
      <c r="A46" s="26">
        <v>45</v>
      </c>
      <c r="B46" s="28" t="s">
        <v>243</v>
      </c>
      <c r="C46" s="29">
        <v>2</v>
      </c>
      <c r="D46" s="29">
        <v>0</v>
      </c>
      <c r="E46" s="29">
        <v>0</v>
      </c>
      <c r="F46" s="29">
        <v>1</v>
      </c>
      <c r="G46" s="29">
        <v>1</v>
      </c>
      <c r="H46" s="29">
        <v>0</v>
      </c>
      <c r="I46" s="29">
        <v>2</v>
      </c>
      <c r="J46" s="29">
        <v>0</v>
      </c>
      <c r="K46" s="29">
        <v>1</v>
      </c>
      <c r="L46" s="29">
        <v>3</v>
      </c>
      <c r="M46" s="29">
        <v>2</v>
      </c>
      <c r="N46" s="29">
        <v>2</v>
      </c>
      <c r="O46" s="29">
        <v>3</v>
      </c>
      <c r="P46" s="29">
        <v>0</v>
      </c>
      <c r="Q46" s="29">
        <v>1</v>
      </c>
      <c r="R46" s="29">
        <v>2</v>
      </c>
      <c r="S46" s="29">
        <v>1</v>
      </c>
      <c r="T46" s="29">
        <v>1</v>
      </c>
      <c r="U46" s="29">
        <v>4</v>
      </c>
      <c r="V46" s="29">
        <v>0</v>
      </c>
      <c r="W46" s="29">
        <v>3</v>
      </c>
      <c r="X46" s="29">
        <v>2</v>
      </c>
      <c r="Y46" s="29">
        <v>2</v>
      </c>
      <c r="Z46" s="29">
        <v>0</v>
      </c>
      <c r="AA46" s="29">
        <v>1</v>
      </c>
      <c r="AB46" s="29">
        <v>2</v>
      </c>
      <c r="AC46" s="29">
        <v>3</v>
      </c>
      <c r="AD46" s="29">
        <v>1</v>
      </c>
    </row>
    <row r="47" spans="1:146" ht="14.25" customHeight="1" x14ac:dyDescent="0.25">
      <c r="A47" s="26">
        <v>46</v>
      </c>
      <c r="B47" s="28" t="s">
        <v>244</v>
      </c>
      <c r="C47" s="29">
        <v>2</v>
      </c>
      <c r="D47" s="29">
        <v>0</v>
      </c>
      <c r="E47" s="29">
        <v>1</v>
      </c>
      <c r="F47" s="29">
        <v>1</v>
      </c>
      <c r="G47" s="29">
        <v>1</v>
      </c>
      <c r="H47" s="29">
        <v>0</v>
      </c>
      <c r="I47" s="29">
        <v>2</v>
      </c>
      <c r="J47" s="29">
        <v>1</v>
      </c>
      <c r="K47" s="29">
        <v>0</v>
      </c>
      <c r="L47" s="29">
        <v>1</v>
      </c>
      <c r="M47" s="29">
        <v>1</v>
      </c>
      <c r="N47" s="29">
        <v>2</v>
      </c>
      <c r="O47" s="29">
        <v>3</v>
      </c>
      <c r="P47" s="29">
        <v>1</v>
      </c>
      <c r="Q47" s="29">
        <v>0</v>
      </c>
      <c r="R47" s="29">
        <v>2</v>
      </c>
      <c r="S47" s="29">
        <v>1</v>
      </c>
      <c r="T47" s="29">
        <v>1</v>
      </c>
      <c r="U47" s="29">
        <v>2</v>
      </c>
      <c r="V47" s="29">
        <v>0</v>
      </c>
      <c r="W47" s="29">
        <v>2</v>
      </c>
      <c r="X47" s="29">
        <v>1</v>
      </c>
      <c r="Y47" s="29">
        <v>1</v>
      </c>
      <c r="Z47" s="29">
        <v>0</v>
      </c>
      <c r="AA47" s="29">
        <v>0</v>
      </c>
      <c r="AB47" s="29">
        <v>2</v>
      </c>
      <c r="AC47" s="29">
        <v>3</v>
      </c>
      <c r="AD47" s="29">
        <v>0</v>
      </c>
    </row>
    <row r="48" spans="1:146" ht="14.25" customHeight="1" x14ac:dyDescent="0.25">
      <c r="A48" s="26">
        <v>47</v>
      </c>
      <c r="B48" s="28" t="s">
        <v>245</v>
      </c>
      <c r="C48" s="29">
        <v>2</v>
      </c>
      <c r="D48" s="29">
        <v>0</v>
      </c>
      <c r="E48" s="29">
        <v>1</v>
      </c>
      <c r="F48" s="29">
        <v>1</v>
      </c>
      <c r="G48" s="29">
        <v>2</v>
      </c>
      <c r="H48" s="29">
        <v>0</v>
      </c>
      <c r="I48" s="29">
        <v>2</v>
      </c>
      <c r="J48" s="29">
        <v>1</v>
      </c>
      <c r="K48" s="29">
        <v>1</v>
      </c>
      <c r="L48" s="29">
        <v>2</v>
      </c>
      <c r="M48" s="29">
        <v>1</v>
      </c>
      <c r="N48" s="29">
        <v>1</v>
      </c>
      <c r="O48" s="29">
        <v>2</v>
      </c>
      <c r="P48" s="29">
        <v>1</v>
      </c>
      <c r="Q48" s="29">
        <v>1</v>
      </c>
      <c r="R48" s="29">
        <v>2</v>
      </c>
      <c r="S48" s="29">
        <v>1</v>
      </c>
      <c r="T48" s="29">
        <v>1</v>
      </c>
      <c r="U48" s="29">
        <v>3</v>
      </c>
      <c r="V48" s="29">
        <v>0</v>
      </c>
      <c r="W48" s="29">
        <v>2</v>
      </c>
      <c r="X48" s="29">
        <v>1</v>
      </c>
      <c r="Y48" s="29">
        <v>2</v>
      </c>
      <c r="Z48" s="29">
        <v>0</v>
      </c>
      <c r="AA48" s="29">
        <v>0</v>
      </c>
      <c r="AB48" s="29">
        <v>2</v>
      </c>
      <c r="AC48" s="29">
        <v>3</v>
      </c>
      <c r="AD48" s="29">
        <v>0</v>
      </c>
    </row>
    <row r="49" spans="1:30" ht="14.25" customHeight="1" x14ac:dyDescent="0.25">
      <c r="A49" s="26">
        <v>48</v>
      </c>
      <c r="B49" s="28" t="s">
        <v>246</v>
      </c>
      <c r="C49" s="29">
        <v>3</v>
      </c>
      <c r="D49" s="29">
        <v>1</v>
      </c>
      <c r="E49" s="29">
        <v>2</v>
      </c>
      <c r="F49" s="29">
        <v>2</v>
      </c>
      <c r="G49" s="29">
        <v>1</v>
      </c>
      <c r="H49" s="29">
        <v>2</v>
      </c>
      <c r="I49" s="29">
        <v>1</v>
      </c>
      <c r="J49" s="29">
        <v>0</v>
      </c>
      <c r="K49" s="29">
        <v>0</v>
      </c>
      <c r="L49" s="29">
        <v>1</v>
      </c>
      <c r="M49" s="29">
        <v>1</v>
      </c>
      <c r="N49" s="29">
        <v>2</v>
      </c>
      <c r="O49" s="29">
        <v>2</v>
      </c>
      <c r="P49" s="29">
        <v>2</v>
      </c>
      <c r="Q49" s="29">
        <v>0</v>
      </c>
      <c r="R49" s="29">
        <v>3</v>
      </c>
      <c r="S49" s="29">
        <v>1</v>
      </c>
      <c r="T49" s="29">
        <v>1</v>
      </c>
      <c r="U49" s="29">
        <v>4</v>
      </c>
      <c r="V49" s="29">
        <v>0</v>
      </c>
      <c r="W49" s="29">
        <v>2</v>
      </c>
      <c r="X49" s="29">
        <v>1</v>
      </c>
      <c r="Y49" s="29">
        <v>3</v>
      </c>
      <c r="Z49" s="29">
        <v>1</v>
      </c>
      <c r="AA49" s="29">
        <v>0</v>
      </c>
      <c r="AB49" s="29">
        <v>3</v>
      </c>
      <c r="AC49" s="29">
        <v>8</v>
      </c>
      <c r="AD49" s="29">
        <v>0</v>
      </c>
    </row>
    <row r="50" spans="1:30" ht="14.25" customHeight="1" x14ac:dyDescent="0.25">
      <c r="A50" s="26">
        <v>49</v>
      </c>
      <c r="B50" s="5" t="s">
        <v>247</v>
      </c>
      <c r="C50" s="4">
        <v>2</v>
      </c>
      <c r="D50" s="4">
        <v>0</v>
      </c>
      <c r="E50" s="4">
        <v>1</v>
      </c>
      <c r="F50" s="4">
        <v>1</v>
      </c>
      <c r="G50" s="4">
        <v>2</v>
      </c>
      <c r="H50" s="4">
        <v>1</v>
      </c>
      <c r="I50" s="4">
        <v>1</v>
      </c>
      <c r="J50" s="4">
        <v>1</v>
      </c>
      <c r="K50" s="4">
        <v>1</v>
      </c>
      <c r="L50" s="4">
        <v>2</v>
      </c>
      <c r="M50" s="4">
        <v>1</v>
      </c>
      <c r="N50" s="4">
        <v>2</v>
      </c>
      <c r="O50" s="4">
        <v>1</v>
      </c>
      <c r="P50" s="4">
        <v>2</v>
      </c>
      <c r="Q50" s="4">
        <v>0</v>
      </c>
      <c r="R50" s="4">
        <v>3</v>
      </c>
      <c r="S50" s="4">
        <v>2</v>
      </c>
      <c r="T50" s="4">
        <v>1</v>
      </c>
      <c r="U50" s="4">
        <v>4</v>
      </c>
      <c r="V50" s="4">
        <v>0</v>
      </c>
      <c r="W50" s="4">
        <v>2</v>
      </c>
      <c r="X50" s="4">
        <v>2</v>
      </c>
      <c r="Y50" s="4">
        <v>2</v>
      </c>
      <c r="Z50" s="4">
        <v>1</v>
      </c>
      <c r="AA50" s="4">
        <v>0</v>
      </c>
      <c r="AB50" s="4">
        <v>2</v>
      </c>
      <c r="AC50" s="4">
        <v>3</v>
      </c>
      <c r="AD50" s="4">
        <v>0</v>
      </c>
    </row>
  </sheetData>
  <conditionalFormatting sqref="AE6:BF13">
    <cfRule type="expression" dxfId="6" priority="2">
      <formula>MOD(ROW(),2)=1</formula>
    </cfRule>
  </conditionalFormatting>
  <conditionalFormatting sqref="AE3:EP5">
    <cfRule type="expression" dxfId="5" priority="3">
      <formula>MOD(ROW(),2)=1</formula>
    </cfRule>
  </conditionalFormatting>
  <conditionalFormatting sqref="AE2:EP2">
    <cfRule type="expression" dxfId="4" priority="4">
      <formula>MOD(ROW(),2)=1</formula>
    </cfRule>
  </conditionalFormatting>
  <conditionalFormatting sqref="B37:XFD44 B45:AD49">
    <cfRule type="expression" dxfId="3" priority="5">
      <formula>MOD(ROW(),2)=1</formula>
    </cfRule>
  </conditionalFormatting>
  <conditionalFormatting sqref="A2:AD4 A5:A50 B5:AD13 B14:XFD36 BG6:XFD13 EQ2:XFD5">
    <cfRule type="expression" dxfId="2" priority="6">
      <formula>MOD(ROW(),2)=1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5"/>
  <sheetViews>
    <sheetView zoomScaleNormal="100" workbookViewId="0">
      <selection activeCell="J4" sqref="J4"/>
    </sheetView>
  </sheetViews>
  <sheetFormatPr baseColWidth="10" defaultColWidth="9" defaultRowHeight="15" x14ac:dyDescent="0.25"/>
  <cols>
    <col min="1" max="1" width="7" style="1" customWidth="1"/>
    <col min="2" max="2" width="12" style="1" customWidth="1"/>
    <col min="3" max="3" width="10" style="50" customWidth="1"/>
    <col min="4" max="4" width="10" style="1" customWidth="1"/>
    <col min="5" max="5" width="14" style="1" customWidth="1"/>
    <col min="7" max="8" width="22" style="1" customWidth="1"/>
    <col min="9" max="9" width="12" style="1" customWidth="1"/>
    <col min="10" max="10" width="14" style="1" customWidth="1"/>
    <col min="11" max="12" width="24" style="1" customWidth="1"/>
    <col min="13" max="14" width="12" style="1" customWidth="1"/>
    <col min="15" max="15" width="14" style="1" customWidth="1"/>
    <col min="16" max="16" width="16" style="1" customWidth="1"/>
    <col min="17" max="17" width="18" style="1" customWidth="1"/>
    <col min="18" max="18" width="38" style="1" customWidth="1"/>
  </cols>
  <sheetData>
    <row r="1" spans="1:27" ht="24" customHeight="1" x14ac:dyDescent="0.25">
      <c r="A1" s="3" t="s">
        <v>248</v>
      </c>
      <c r="B1" s="30" t="s">
        <v>249</v>
      </c>
      <c r="C1" s="3" t="s">
        <v>250</v>
      </c>
      <c r="D1" s="3" t="s">
        <v>368</v>
      </c>
      <c r="E1" s="3" t="s">
        <v>251</v>
      </c>
      <c r="F1" s="3" t="s">
        <v>29</v>
      </c>
      <c r="G1" s="3" t="s">
        <v>252</v>
      </c>
      <c r="H1" s="3" t="s">
        <v>253</v>
      </c>
      <c r="I1" s="3" t="s">
        <v>254</v>
      </c>
      <c r="J1" s="3" t="s">
        <v>255</v>
      </c>
      <c r="K1" s="3" t="s">
        <v>256</v>
      </c>
      <c r="L1" s="3" t="s">
        <v>257</v>
      </c>
      <c r="M1" s="3" t="s">
        <v>258</v>
      </c>
      <c r="N1" s="3" t="s">
        <v>259</v>
      </c>
      <c r="O1" s="3" t="s">
        <v>260</v>
      </c>
      <c r="P1" s="3" t="s">
        <v>261</v>
      </c>
      <c r="Q1" s="3" t="s">
        <v>262</v>
      </c>
      <c r="R1" s="3" t="s">
        <v>263</v>
      </c>
      <c r="S1" s="3"/>
      <c r="T1" s="3"/>
      <c r="U1" s="3"/>
      <c r="V1" s="3"/>
      <c r="W1" s="3"/>
      <c r="X1" s="3"/>
      <c r="Y1" s="3"/>
      <c r="Z1" s="3"/>
      <c r="AA1" s="3"/>
    </row>
    <row r="2" spans="1:27" ht="23.25" customHeight="1" x14ac:dyDescent="0.25">
      <c r="A2" s="1">
        <v>1</v>
      </c>
      <c r="B2" s="1">
        <v>46184</v>
      </c>
      <c r="C2" s="85">
        <v>0.58333333333333337</v>
      </c>
      <c r="D2" s="1">
        <f>HOUR(tblPartidos[[#This Row],[Hora ET]])-1</f>
        <v>13</v>
      </c>
      <c r="E2" s="1" t="s">
        <v>29</v>
      </c>
      <c r="F2" s="1" t="s">
        <v>33</v>
      </c>
      <c r="G2" s="1" t="s">
        <v>36</v>
      </c>
      <c r="H2" s="1" t="s">
        <v>39</v>
      </c>
      <c r="I2" s="1">
        <v>2</v>
      </c>
      <c r="J2" s="1">
        <v>0</v>
      </c>
      <c r="K2" s="1" t="str">
        <f t="shared" ref="K2:K33" si="0">IF(OR(I2="",J2=""),"",IF(I2&gt;J2,G2,IF(J2&gt;I2,H2,"Empate")))</f>
        <v>México</v>
      </c>
      <c r="L2" s="1" t="s">
        <v>265</v>
      </c>
      <c r="M2" s="1" t="s">
        <v>35</v>
      </c>
      <c r="N2" s="1" t="s">
        <v>38</v>
      </c>
      <c r="O2" s="1" t="s">
        <v>34</v>
      </c>
      <c r="P2" s="1" t="s">
        <v>37</v>
      </c>
      <c r="Q2" s="1" t="s">
        <v>266</v>
      </c>
      <c r="R2" s="31" t="s">
        <v>267</v>
      </c>
    </row>
    <row r="3" spans="1:27" ht="14.25" customHeight="1" x14ac:dyDescent="0.25">
      <c r="A3" s="1">
        <v>2</v>
      </c>
      <c r="B3" s="1">
        <v>46184</v>
      </c>
      <c r="C3" s="85">
        <v>0.875</v>
      </c>
      <c r="D3" s="1">
        <f>HOUR(tblPartidos[[#This Row],[Hora ET]])-1</f>
        <v>20</v>
      </c>
      <c r="E3" s="1" t="s">
        <v>29</v>
      </c>
      <c r="F3" s="1" t="s">
        <v>33</v>
      </c>
      <c r="G3" s="1" t="s">
        <v>42</v>
      </c>
      <c r="H3" s="1" t="s">
        <v>45</v>
      </c>
      <c r="I3" s="1">
        <v>2</v>
      </c>
      <c r="J3" s="1">
        <v>1</v>
      </c>
      <c r="K3" s="1" t="str">
        <f t="shared" si="0"/>
        <v>Corea República</v>
      </c>
      <c r="L3" s="1" t="s">
        <v>268</v>
      </c>
      <c r="M3" s="1" t="s">
        <v>41</v>
      </c>
      <c r="N3" s="1" t="s">
        <v>44</v>
      </c>
      <c r="O3" s="1" t="s">
        <v>40</v>
      </c>
      <c r="P3" s="1" t="s">
        <v>43</v>
      </c>
      <c r="Q3" s="1" t="s">
        <v>266</v>
      </c>
    </row>
    <row r="4" spans="1:27" ht="14.25" customHeight="1" x14ac:dyDescent="0.25">
      <c r="A4" s="1">
        <v>3</v>
      </c>
      <c r="B4" s="1">
        <v>46185</v>
      </c>
      <c r="C4" s="85">
        <v>0.58333333333333337</v>
      </c>
      <c r="D4" s="1">
        <f>HOUR(tblPartidos[[#This Row],[Hora ET]])-1</f>
        <v>13</v>
      </c>
      <c r="E4" s="1" t="s">
        <v>29</v>
      </c>
      <c r="F4" s="1" t="s">
        <v>46</v>
      </c>
      <c r="G4" s="1" t="s">
        <v>49</v>
      </c>
      <c r="H4" s="1" t="s">
        <v>52</v>
      </c>
      <c r="K4" s="1" t="str">
        <f t="shared" si="0"/>
        <v/>
      </c>
      <c r="L4" s="1" t="s">
        <v>269</v>
      </c>
      <c r="M4" s="1" t="s">
        <v>48</v>
      </c>
      <c r="N4" s="1" t="s">
        <v>51</v>
      </c>
      <c r="O4" s="1" t="s">
        <v>47</v>
      </c>
      <c r="P4" s="1" t="s">
        <v>50</v>
      </c>
      <c r="Q4" s="1" t="s">
        <v>266</v>
      </c>
    </row>
    <row r="5" spans="1:27" ht="14.25" customHeight="1" x14ac:dyDescent="0.25">
      <c r="A5" s="1">
        <v>4</v>
      </c>
      <c r="B5" s="1">
        <v>46185</v>
      </c>
      <c r="C5" s="85">
        <v>0.83333333333333337</v>
      </c>
      <c r="D5" s="1">
        <f>HOUR(tblPartidos[[#This Row],[Hora ET]])-1</f>
        <v>19</v>
      </c>
      <c r="E5" s="1" t="s">
        <v>29</v>
      </c>
      <c r="F5" s="1" t="s">
        <v>72</v>
      </c>
      <c r="G5" s="1" t="s">
        <v>75</v>
      </c>
      <c r="H5" s="1" t="s">
        <v>78</v>
      </c>
      <c r="K5" s="1" t="str">
        <f t="shared" si="0"/>
        <v/>
      </c>
      <c r="L5" s="1" t="s">
        <v>271</v>
      </c>
      <c r="M5" s="1" t="s">
        <v>74</v>
      </c>
      <c r="N5" s="1" t="s">
        <v>77</v>
      </c>
      <c r="O5" s="1" t="s">
        <v>73</v>
      </c>
      <c r="P5" s="1" t="s">
        <v>76</v>
      </c>
      <c r="Q5" s="1" t="s">
        <v>266</v>
      </c>
    </row>
    <row r="6" spans="1:27" ht="14.25" customHeight="1" x14ac:dyDescent="0.25">
      <c r="A6" s="1">
        <v>5</v>
      </c>
      <c r="B6" s="1">
        <v>46186</v>
      </c>
      <c r="C6" s="85">
        <v>0.83333333333333337</v>
      </c>
      <c r="D6" s="1">
        <f>HOUR(tblPartidos[[#This Row],[Hora ET]])-1</f>
        <v>19</v>
      </c>
      <c r="E6" s="1" t="s">
        <v>29</v>
      </c>
      <c r="F6" s="1" t="s">
        <v>59</v>
      </c>
      <c r="G6" s="1" t="s">
        <v>68</v>
      </c>
      <c r="H6" s="1" t="s">
        <v>71</v>
      </c>
      <c r="K6" s="1" t="str">
        <f t="shared" si="0"/>
        <v/>
      </c>
      <c r="L6" s="1" t="s">
        <v>272</v>
      </c>
      <c r="M6" s="1" t="s">
        <v>67</v>
      </c>
      <c r="N6" s="1" t="s">
        <v>70</v>
      </c>
      <c r="O6" s="1" t="s">
        <v>66</v>
      </c>
      <c r="P6" s="1" t="s">
        <v>69</v>
      </c>
      <c r="Q6" s="1" t="s">
        <v>266</v>
      </c>
    </row>
    <row r="7" spans="1:27" ht="14.25" customHeight="1" x14ac:dyDescent="0.25">
      <c r="A7" s="1">
        <v>6</v>
      </c>
      <c r="B7" s="1">
        <v>46186</v>
      </c>
      <c r="C7" s="85">
        <v>0.95833333333333337</v>
      </c>
      <c r="D7" s="1">
        <f>HOUR(tblPartidos[[#This Row],[Hora ET]])-1</f>
        <v>22</v>
      </c>
      <c r="E7" s="1" t="s">
        <v>29</v>
      </c>
      <c r="F7" s="1" t="s">
        <v>72</v>
      </c>
      <c r="G7" s="1" t="s">
        <v>81</v>
      </c>
      <c r="H7" s="1" t="s">
        <v>84</v>
      </c>
      <c r="K7" s="1" t="str">
        <f t="shared" si="0"/>
        <v/>
      </c>
      <c r="L7" s="1" t="s">
        <v>273</v>
      </c>
      <c r="M7" s="1" t="s">
        <v>80</v>
      </c>
      <c r="N7" s="1" t="s">
        <v>83</v>
      </c>
      <c r="O7" s="1" t="s">
        <v>79</v>
      </c>
      <c r="P7" s="1" t="s">
        <v>82</v>
      </c>
      <c r="Q7" s="1" t="s">
        <v>266</v>
      </c>
    </row>
    <row r="8" spans="1:27" ht="14.25" customHeight="1" x14ac:dyDescent="0.25">
      <c r="A8" s="1">
        <v>7</v>
      </c>
      <c r="B8" s="1">
        <v>46186</v>
      </c>
      <c r="C8" s="85">
        <v>0.70833333333333337</v>
      </c>
      <c r="D8" s="1">
        <f>HOUR(tblPartidos[[#This Row],[Hora ET]])-1</f>
        <v>16</v>
      </c>
      <c r="E8" s="1" t="s">
        <v>29</v>
      </c>
      <c r="F8" s="1" t="s">
        <v>59</v>
      </c>
      <c r="G8" s="1" t="s">
        <v>62</v>
      </c>
      <c r="H8" s="1" t="s">
        <v>65</v>
      </c>
      <c r="K8" s="1" t="str">
        <f t="shared" si="0"/>
        <v/>
      </c>
      <c r="L8" s="1" t="s">
        <v>275</v>
      </c>
      <c r="M8" s="1" t="s">
        <v>61</v>
      </c>
      <c r="N8" s="1" t="s">
        <v>64</v>
      </c>
      <c r="O8" s="1" t="s">
        <v>60</v>
      </c>
      <c r="P8" s="1" t="s">
        <v>63</v>
      </c>
      <c r="Q8" s="1" t="s">
        <v>266</v>
      </c>
    </row>
    <row r="9" spans="1:27" ht="14.25" customHeight="1" x14ac:dyDescent="0.25">
      <c r="A9" s="1">
        <v>8</v>
      </c>
      <c r="B9" s="1">
        <v>46186</v>
      </c>
      <c r="C9" s="85">
        <v>0.58333333333333337</v>
      </c>
      <c r="D9" s="1">
        <f>HOUR(tblPartidos[[#This Row],[Hora ET]])-1</f>
        <v>13</v>
      </c>
      <c r="E9" s="1" t="s">
        <v>29</v>
      </c>
      <c r="F9" s="1" t="s">
        <v>46</v>
      </c>
      <c r="G9" s="1" t="s">
        <v>55</v>
      </c>
      <c r="H9" s="1" t="s">
        <v>58</v>
      </c>
      <c r="K9" s="1" t="str">
        <f t="shared" si="0"/>
        <v/>
      </c>
      <c r="L9" s="1" t="s">
        <v>276</v>
      </c>
      <c r="M9" s="1" t="s">
        <v>54</v>
      </c>
      <c r="N9" s="1" t="s">
        <v>57</v>
      </c>
      <c r="O9" s="1" t="s">
        <v>53</v>
      </c>
      <c r="P9" s="1" t="s">
        <v>56</v>
      </c>
      <c r="Q9" s="1" t="s">
        <v>266</v>
      </c>
    </row>
    <row r="10" spans="1:27" ht="14.25" customHeight="1" x14ac:dyDescent="0.25">
      <c r="A10" s="1">
        <v>9</v>
      </c>
      <c r="B10" s="1">
        <v>46187</v>
      </c>
      <c r="C10" s="85">
        <v>0.75</v>
      </c>
      <c r="D10" s="1">
        <f>HOUR(tblPartidos[[#This Row],[Hora ET]])-1</f>
        <v>17</v>
      </c>
      <c r="E10" s="1" t="s">
        <v>29</v>
      </c>
      <c r="F10" s="1" t="s">
        <v>85</v>
      </c>
      <c r="G10" s="1" t="s">
        <v>94</v>
      </c>
      <c r="H10" s="1" t="s">
        <v>97</v>
      </c>
      <c r="K10" s="1" t="str">
        <f t="shared" si="0"/>
        <v/>
      </c>
      <c r="L10" s="1" t="s">
        <v>278</v>
      </c>
      <c r="M10" s="1" t="s">
        <v>93</v>
      </c>
      <c r="N10" s="1" t="s">
        <v>96</v>
      </c>
      <c r="O10" s="1" t="s">
        <v>92</v>
      </c>
      <c r="P10" s="1" t="s">
        <v>95</v>
      </c>
      <c r="Q10" s="1" t="s">
        <v>266</v>
      </c>
    </row>
    <row r="11" spans="1:27" ht="14.25" customHeight="1" x14ac:dyDescent="0.25">
      <c r="A11" s="1">
        <v>10</v>
      </c>
      <c r="B11" s="1">
        <v>46187</v>
      </c>
      <c r="C11" s="85">
        <v>0.95833333333333337</v>
      </c>
      <c r="D11" s="1">
        <f>HOUR(tblPartidos[[#This Row],[Hora ET]])-1</f>
        <v>22</v>
      </c>
      <c r="E11" s="1" t="s">
        <v>29</v>
      </c>
      <c r="F11" s="1" t="s">
        <v>85</v>
      </c>
      <c r="G11" s="1" t="s">
        <v>88</v>
      </c>
      <c r="H11" s="1" t="s">
        <v>91</v>
      </c>
      <c r="K11" s="1" t="str">
        <f t="shared" si="0"/>
        <v/>
      </c>
      <c r="L11" s="1" t="s">
        <v>280</v>
      </c>
      <c r="M11" s="1" t="s">
        <v>87</v>
      </c>
      <c r="N11" s="1" t="s">
        <v>90</v>
      </c>
      <c r="O11" s="1" t="s">
        <v>86</v>
      </c>
      <c r="P11" s="1" t="s">
        <v>89</v>
      </c>
      <c r="Q11" s="1" t="s">
        <v>266</v>
      </c>
    </row>
    <row r="12" spans="1:27" ht="14.25" customHeight="1" x14ac:dyDescent="0.25">
      <c r="A12" s="1">
        <v>11</v>
      </c>
      <c r="B12" s="1">
        <v>46187</v>
      </c>
      <c r="C12" s="85">
        <v>0.625</v>
      </c>
      <c r="D12" s="1">
        <f>HOUR(tblPartidos[[#This Row],[Hora ET]])-1</f>
        <v>14</v>
      </c>
      <c r="E12" s="1" t="s">
        <v>29</v>
      </c>
      <c r="F12" s="1" t="s">
        <v>98</v>
      </c>
      <c r="G12" s="1" t="s">
        <v>101</v>
      </c>
      <c r="H12" s="1" t="s">
        <v>104</v>
      </c>
      <c r="K12" s="1" t="str">
        <f t="shared" si="0"/>
        <v/>
      </c>
      <c r="L12" s="1" t="s">
        <v>282</v>
      </c>
      <c r="M12" s="1" t="s">
        <v>100</v>
      </c>
      <c r="N12" s="1" t="s">
        <v>103</v>
      </c>
      <c r="O12" s="1" t="s">
        <v>99</v>
      </c>
      <c r="P12" s="1" t="s">
        <v>102</v>
      </c>
      <c r="Q12" s="1" t="s">
        <v>266</v>
      </c>
    </row>
    <row r="13" spans="1:27" ht="14.25" customHeight="1" x14ac:dyDescent="0.25">
      <c r="A13" s="1">
        <v>12</v>
      </c>
      <c r="B13" s="1">
        <v>46187</v>
      </c>
      <c r="C13" s="85">
        <v>0.875</v>
      </c>
      <c r="D13" s="1">
        <f>HOUR(tblPartidos[[#This Row],[Hora ET]])-1</f>
        <v>20</v>
      </c>
      <c r="E13" s="1" t="s">
        <v>29</v>
      </c>
      <c r="F13" s="1" t="s">
        <v>98</v>
      </c>
      <c r="G13" s="1" t="s">
        <v>107</v>
      </c>
      <c r="H13" s="1" t="s">
        <v>110</v>
      </c>
      <c r="K13" s="1" t="str">
        <f t="shared" si="0"/>
        <v/>
      </c>
      <c r="L13" s="1" t="s">
        <v>283</v>
      </c>
      <c r="M13" s="1" t="s">
        <v>106</v>
      </c>
      <c r="N13" s="1" t="s">
        <v>109</v>
      </c>
      <c r="O13" s="1" t="s">
        <v>105</v>
      </c>
      <c r="P13" s="1" t="s">
        <v>108</v>
      </c>
      <c r="Q13" s="1" t="s">
        <v>266</v>
      </c>
    </row>
    <row r="14" spans="1:27" ht="14.25" customHeight="1" x14ac:dyDescent="0.25">
      <c r="A14" s="1">
        <v>13</v>
      </c>
      <c r="B14" s="1">
        <v>46188</v>
      </c>
      <c r="C14" s="85">
        <v>0.70833333333333337</v>
      </c>
      <c r="D14" s="1">
        <f>HOUR(tblPartidos[[#This Row],[Hora ET]])-1</f>
        <v>16</v>
      </c>
      <c r="E14" s="1" t="s">
        <v>29</v>
      </c>
      <c r="F14" s="1" t="s">
        <v>124</v>
      </c>
      <c r="G14" s="1" t="s">
        <v>133</v>
      </c>
      <c r="H14" s="1" t="s">
        <v>136</v>
      </c>
      <c r="K14" s="1" t="str">
        <f t="shared" si="0"/>
        <v/>
      </c>
      <c r="L14" s="1" t="s">
        <v>284</v>
      </c>
      <c r="M14" s="1" t="s">
        <v>132</v>
      </c>
      <c r="N14" s="1" t="s">
        <v>135</v>
      </c>
      <c r="O14" s="1" t="s">
        <v>131</v>
      </c>
      <c r="P14" s="1" t="s">
        <v>134</v>
      </c>
      <c r="Q14" s="1" t="s">
        <v>266</v>
      </c>
    </row>
    <row r="15" spans="1:27" ht="14.25" customHeight="1" x14ac:dyDescent="0.25">
      <c r="A15" s="1">
        <v>14</v>
      </c>
      <c r="B15" s="1">
        <v>46188</v>
      </c>
      <c r="C15" s="85">
        <v>0.45833333333333331</v>
      </c>
      <c r="D15" s="1">
        <f>HOUR(tblPartidos[[#This Row],[Hora ET]])-1</f>
        <v>10</v>
      </c>
      <c r="E15" s="1" t="s">
        <v>29</v>
      </c>
      <c r="F15" s="1" t="s">
        <v>124</v>
      </c>
      <c r="G15" s="1" t="s">
        <v>127</v>
      </c>
      <c r="H15" s="1" t="s">
        <v>130</v>
      </c>
      <c r="K15" s="1" t="str">
        <f t="shared" si="0"/>
        <v/>
      </c>
      <c r="L15" s="1" t="s">
        <v>286</v>
      </c>
      <c r="M15" s="1" t="s">
        <v>126</v>
      </c>
      <c r="N15" s="1" t="s">
        <v>129</v>
      </c>
      <c r="O15" s="1" t="s">
        <v>125</v>
      </c>
      <c r="P15" s="1" t="s">
        <v>128</v>
      </c>
      <c r="Q15" s="1" t="s">
        <v>266</v>
      </c>
    </row>
    <row r="16" spans="1:27" ht="14.25" customHeight="1" x14ac:dyDescent="0.25">
      <c r="A16" s="1">
        <v>15</v>
      </c>
      <c r="B16" s="1">
        <v>46188</v>
      </c>
      <c r="C16" s="85">
        <v>0.83333333333333337</v>
      </c>
      <c r="D16" s="1">
        <f>HOUR(tblPartidos[[#This Row],[Hora ET]])-1</f>
        <v>19</v>
      </c>
      <c r="E16" s="1" t="s">
        <v>29</v>
      </c>
      <c r="F16" s="1" t="s">
        <v>111</v>
      </c>
      <c r="G16" s="1" t="s">
        <v>120</v>
      </c>
      <c r="H16" s="1" t="s">
        <v>123</v>
      </c>
      <c r="K16" s="1" t="str">
        <f t="shared" si="0"/>
        <v/>
      </c>
      <c r="L16" s="1" t="s">
        <v>271</v>
      </c>
      <c r="M16" s="1" t="s">
        <v>119</v>
      </c>
      <c r="N16" s="1" t="s">
        <v>122</v>
      </c>
      <c r="O16" s="1" t="s">
        <v>118</v>
      </c>
      <c r="P16" s="1" t="s">
        <v>121</v>
      </c>
      <c r="Q16" s="1" t="s">
        <v>266</v>
      </c>
    </row>
    <row r="17" spans="1:17" ht="14.25" customHeight="1" x14ac:dyDescent="0.25">
      <c r="A17" s="1">
        <v>16</v>
      </c>
      <c r="B17" s="1">
        <v>46188</v>
      </c>
      <c r="C17" s="85">
        <v>0.58333333333333337</v>
      </c>
      <c r="D17" s="1">
        <f>HOUR(tblPartidos[[#This Row],[Hora ET]])-1</f>
        <v>13</v>
      </c>
      <c r="E17" s="1" t="s">
        <v>29</v>
      </c>
      <c r="F17" s="1" t="s">
        <v>111</v>
      </c>
      <c r="G17" s="1" t="s">
        <v>114</v>
      </c>
      <c r="H17" s="1" t="s">
        <v>117</v>
      </c>
      <c r="K17" s="1" t="str">
        <f t="shared" si="0"/>
        <v/>
      </c>
      <c r="L17" s="1" t="s">
        <v>287</v>
      </c>
      <c r="M17" s="1" t="s">
        <v>113</v>
      </c>
      <c r="N17" s="1" t="s">
        <v>116</v>
      </c>
      <c r="O17" s="1" t="s">
        <v>112</v>
      </c>
      <c r="P17" s="1" t="s">
        <v>115</v>
      </c>
      <c r="Q17" s="1" t="s">
        <v>266</v>
      </c>
    </row>
    <row r="18" spans="1:17" ht="14.25" customHeight="1" x14ac:dyDescent="0.25">
      <c r="A18" s="1">
        <v>17</v>
      </c>
      <c r="B18" s="1">
        <v>46189</v>
      </c>
      <c r="C18" s="85">
        <v>0.58333333333333337</v>
      </c>
      <c r="D18" s="1">
        <f>HOUR(tblPartidos[[#This Row],[Hora ET]])-1</f>
        <v>13</v>
      </c>
      <c r="E18" s="1" t="s">
        <v>29</v>
      </c>
      <c r="F18" s="1" t="s">
        <v>137</v>
      </c>
      <c r="G18" s="1" t="s">
        <v>140</v>
      </c>
      <c r="H18" s="1" t="s">
        <v>143</v>
      </c>
      <c r="K18" s="1" t="str">
        <f t="shared" si="0"/>
        <v/>
      </c>
      <c r="L18" s="1" t="s">
        <v>275</v>
      </c>
      <c r="M18" s="1" t="s">
        <v>139</v>
      </c>
      <c r="N18" s="1" t="s">
        <v>142</v>
      </c>
      <c r="O18" s="1" t="s">
        <v>138</v>
      </c>
      <c r="P18" s="1" t="s">
        <v>141</v>
      </c>
      <c r="Q18" s="1" t="s">
        <v>266</v>
      </c>
    </row>
    <row r="19" spans="1:17" ht="14.25" customHeight="1" x14ac:dyDescent="0.25">
      <c r="A19" s="1">
        <v>18</v>
      </c>
      <c r="B19" s="1">
        <v>46189</v>
      </c>
      <c r="C19" s="85">
        <v>0.70833333333333337</v>
      </c>
      <c r="D19" s="1">
        <f>HOUR(tblPartidos[[#This Row],[Hora ET]])-1</f>
        <v>16</v>
      </c>
      <c r="E19" s="1" t="s">
        <v>29</v>
      </c>
      <c r="F19" s="1" t="s">
        <v>137</v>
      </c>
      <c r="G19" s="1" t="s">
        <v>146</v>
      </c>
      <c r="H19" s="1" t="s">
        <v>149</v>
      </c>
      <c r="K19" s="1" t="str">
        <f t="shared" si="0"/>
        <v/>
      </c>
      <c r="L19" s="1" t="s">
        <v>272</v>
      </c>
      <c r="M19" s="1" t="s">
        <v>145</v>
      </c>
      <c r="N19" s="1" t="s">
        <v>148</v>
      </c>
      <c r="O19" s="1" t="s">
        <v>144</v>
      </c>
      <c r="P19" s="1" t="s">
        <v>147</v>
      </c>
      <c r="Q19" s="1" t="s">
        <v>266</v>
      </c>
    </row>
    <row r="20" spans="1:17" ht="14.25" customHeight="1" x14ac:dyDescent="0.25">
      <c r="A20" s="1">
        <v>19</v>
      </c>
      <c r="B20" s="1">
        <v>46189</v>
      </c>
      <c r="C20" s="85">
        <v>0.83333333333333337</v>
      </c>
      <c r="D20" s="1">
        <f>HOUR(tblPartidos[[#This Row],[Hora ET]])-1</f>
        <v>19</v>
      </c>
      <c r="E20" s="1" t="s">
        <v>29</v>
      </c>
      <c r="F20" s="1" t="s">
        <v>150</v>
      </c>
      <c r="G20" s="1" t="s">
        <v>153</v>
      </c>
      <c r="H20" s="1" t="s">
        <v>156</v>
      </c>
      <c r="K20" s="1" t="str">
        <f t="shared" si="0"/>
        <v/>
      </c>
      <c r="L20" s="1" t="s">
        <v>288</v>
      </c>
      <c r="M20" s="1" t="s">
        <v>152</v>
      </c>
      <c r="N20" s="1" t="s">
        <v>155</v>
      </c>
      <c r="O20" s="1" t="s">
        <v>151</v>
      </c>
      <c r="P20" s="1" t="s">
        <v>154</v>
      </c>
      <c r="Q20" s="1" t="s">
        <v>266</v>
      </c>
    </row>
    <row r="21" spans="1:17" ht="14.25" customHeight="1" x14ac:dyDescent="0.25">
      <c r="A21" s="1">
        <v>20</v>
      </c>
      <c r="B21" s="1">
        <v>46189</v>
      </c>
      <c r="C21" s="85">
        <v>0.95833333333333337</v>
      </c>
      <c r="D21" s="1">
        <f>HOUR(tblPartidos[[#This Row],[Hora ET]])-1</f>
        <v>22</v>
      </c>
      <c r="E21" s="1" t="s">
        <v>29</v>
      </c>
      <c r="F21" s="1" t="s">
        <v>150</v>
      </c>
      <c r="G21" s="1" t="s">
        <v>159</v>
      </c>
      <c r="H21" s="1" t="s">
        <v>162</v>
      </c>
      <c r="K21" s="1" t="str">
        <f t="shared" si="0"/>
        <v/>
      </c>
      <c r="L21" s="1" t="s">
        <v>276</v>
      </c>
      <c r="M21" s="1" t="s">
        <v>158</v>
      </c>
      <c r="N21" s="1" t="s">
        <v>161</v>
      </c>
      <c r="O21" s="1" t="s">
        <v>157</v>
      </c>
      <c r="P21" s="1" t="s">
        <v>160</v>
      </c>
      <c r="Q21" s="1" t="s">
        <v>266</v>
      </c>
    </row>
    <row r="22" spans="1:17" ht="14.25" customHeight="1" x14ac:dyDescent="0.25">
      <c r="A22" s="1">
        <v>21</v>
      </c>
      <c r="B22" s="1">
        <v>46190</v>
      </c>
      <c r="C22" s="85">
        <v>0.75</v>
      </c>
      <c r="D22" s="1">
        <f>HOUR(tblPartidos[[#This Row],[Hora ET]])-1</f>
        <v>17</v>
      </c>
      <c r="E22" s="1" t="s">
        <v>29</v>
      </c>
      <c r="F22" s="1" t="s">
        <v>176</v>
      </c>
      <c r="G22" s="1" t="s">
        <v>185</v>
      </c>
      <c r="H22" s="1" t="s">
        <v>188</v>
      </c>
      <c r="K22" s="1" t="str">
        <f t="shared" si="0"/>
        <v/>
      </c>
      <c r="L22" s="1" t="s">
        <v>269</v>
      </c>
      <c r="M22" s="1" t="s">
        <v>184</v>
      </c>
      <c r="N22" s="1" t="s">
        <v>187</v>
      </c>
      <c r="O22" s="1" t="s">
        <v>183</v>
      </c>
      <c r="P22" s="1" t="s">
        <v>186</v>
      </c>
      <c r="Q22" s="1" t="s">
        <v>266</v>
      </c>
    </row>
    <row r="23" spans="1:17" ht="14.25" customHeight="1" x14ac:dyDescent="0.25">
      <c r="A23" s="1">
        <v>22</v>
      </c>
      <c r="B23" s="1">
        <v>46190</v>
      </c>
      <c r="C23" s="85">
        <v>0.625</v>
      </c>
      <c r="D23" s="1">
        <f>HOUR(tblPartidos[[#This Row],[Hora ET]])-1</f>
        <v>14</v>
      </c>
      <c r="E23" s="1" t="s">
        <v>29</v>
      </c>
      <c r="F23" s="1" t="s">
        <v>176</v>
      </c>
      <c r="G23" s="1" t="s">
        <v>179</v>
      </c>
      <c r="H23" s="1" t="s">
        <v>182</v>
      </c>
      <c r="K23" s="1" t="str">
        <f t="shared" si="0"/>
        <v/>
      </c>
      <c r="L23" s="1" t="s">
        <v>282</v>
      </c>
      <c r="M23" s="1" t="s">
        <v>178</v>
      </c>
      <c r="N23" s="1" t="s">
        <v>181</v>
      </c>
      <c r="O23" s="1" t="s">
        <v>177</v>
      </c>
      <c r="P23" s="1" t="s">
        <v>180</v>
      </c>
      <c r="Q23" s="1" t="s">
        <v>266</v>
      </c>
    </row>
    <row r="24" spans="1:17" ht="14.25" customHeight="1" x14ac:dyDescent="0.25">
      <c r="A24" s="1">
        <v>23</v>
      </c>
      <c r="B24" s="1">
        <v>46190</v>
      </c>
      <c r="C24" s="85">
        <v>0.95833333333333337</v>
      </c>
      <c r="D24" s="1">
        <f>HOUR(tblPartidos[[#This Row],[Hora ET]])-1</f>
        <v>22</v>
      </c>
      <c r="E24" s="1" t="s">
        <v>29</v>
      </c>
      <c r="F24" s="1" t="s">
        <v>163</v>
      </c>
      <c r="G24" s="1" t="s">
        <v>166</v>
      </c>
      <c r="H24" s="1" t="s">
        <v>169</v>
      </c>
      <c r="K24" s="1" t="str">
        <f t="shared" si="0"/>
        <v/>
      </c>
      <c r="L24" s="1" t="s">
        <v>280</v>
      </c>
      <c r="M24" s="1" t="s">
        <v>165</v>
      </c>
      <c r="N24" s="1" t="s">
        <v>168</v>
      </c>
      <c r="O24" s="1" t="s">
        <v>164</v>
      </c>
      <c r="P24" s="1" t="s">
        <v>167</v>
      </c>
      <c r="Q24" s="1" t="s">
        <v>266</v>
      </c>
    </row>
    <row r="25" spans="1:17" ht="14.25" customHeight="1" x14ac:dyDescent="0.25">
      <c r="A25" s="1">
        <v>24</v>
      </c>
      <c r="B25" s="1">
        <v>46190</v>
      </c>
      <c r="C25" s="85">
        <v>0.875</v>
      </c>
      <c r="D25" s="1">
        <f>HOUR(tblPartidos[[#This Row],[Hora ET]])-1</f>
        <v>20</v>
      </c>
      <c r="E25" s="1" t="s">
        <v>29</v>
      </c>
      <c r="F25" s="1" t="s">
        <v>163</v>
      </c>
      <c r="G25" s="1" t="s">
        <v>172</v>
      </c>
      <c r="H25" s="1" t="s">
        <v>175</v>
      </c>
      <c r="K25" s="1" t="str">
        <f t="shared" si="0"/>
        <v/>
      </c>
      <c r="L25" s="1" t="s">
        <v>265</v>
      </c>
      <c r="M25" s="1" t="s">
        <v>171</v>
      </c>
      <c r="N25" s="1" t="s">
        <v>174</v>
      </c>
      <c r="O25" s="1" t="s">
        <v>170</v>
      </c>
      <c r="P25" s="1" t="s">
        <v>173</v>
      </c>
      <c r="Q25" s="1" t="s">
        <v>266</v>
      </c>
    </row>
    <row r="26" spans="1:17" ht="14.25" customHeight="1" x14ac:dyDescent="0.25">
      <c r="A26" s="1">
        <v>25</v>
      </c>
      <c r="B26" s="1">
        <v>46191</v>
      </c>
      <c r="C26" s="85">
        <v>0.45833333333333331</v>
      </c>
      <c r="D26" s="1">
        <f>HOUR(tblPartidos[[#This Row],[Hora ET]])-1</f>
        <v>10</v>
      </c>
      <c r="E26" s="1" t="s">
        <v>29</v>
      </c>
      <c r="F26" s="1" t="s">
        <v>33</v>
      </c>
      <c r="G26" s="1" t="s">
        <v>45</v>
      </c>
      <c r="H26" s="1" t="s">
        <v>39</v>
      </c>
      <c r="K26" s="1" t="str">
        <f t="shared" si="0"/>
        <v/>
      </c>
      <c r="L26" s="1" t="s">
        <v>286</v>
      </c>
      <c r="M26" s="1" t="s">
        <v>44</v>
      </c>
      <c r="N26" s="1" t="s">
        <v>38</v>
      </c>
      <c r="O26" s="1" t="s">
        <v>43</v>
      </c>
      <c r="P26" s="1" t="s">
        <v>37</v>
      </c>
      <c r="Q26" s="1" t="s">
        <v>266</v>
      </c>
    </row>
    <row r="27" spans="1:17" ht="14.25" customHeight="1" x14ac:dyDescent="0.25">
      <c r="A27" s="1">
        <v>26</v>
      </c>
      <c r="B27" s="1">
        <v>46191</v>
      </c>
      <c r="C27" s="85">
        <v>0.58333333333333337</v>
      </c>
      <c r="D27" s="1">
        <f>HOUR(tblPartidos[[#This Row],[Hora ET]])-1</f>
        <v>13</v>
      </c>
      <c r="E27" s="1" t="s">
        <v>29</v>
      </c>
      <c r="F27" s="1" t="s">
        <v>46</v>
      </c>
      <c r="G27" s="1" t="s">
        <v>58</v>
      </c>
      <c r="H27" s="1" t="s">
        <v>52</v>
      </c>
      <c r="K27" s="1" t="str">
        <f t="shared" si="0"/>
        <v/>
      </c>
      <c r="L27" s="1" t="s">
        <v>271</v>
      </c>
      <c r="M27" s="1" t="s">
        <v>57</v>
      </c>
      <c r="N27" s="1" t="s">
        <v>51</v>
      </c>
      <c r="O27" s="1" t="s">
        <v>56</v>
      </c>
      <c r="P27" s="1" t="s">
        <v>50</v>
      </c>
      <c r="Q27" s="1" t="s">
        <v>266</v>
      </c>
    </row>
    <row r="28" spans="1:17" ht="14.25" customHeight="1" x14ac:dyDescent="0.25">
      <c r="A28" s="1">
        <v>27</v>
      </c>
      <c r="B28" s="1">
        <v>46191</v>
      </c>
      <c r="C28" s="85">
        <v>0.70833333333333337</v>
      </c>
      <c r="D28" s="1">
        <f>HOUR(tblPartidos[[#This Row],[Hora ET]])-1</f>
        <v>16</v>
      </c>
      <c r="E28" s="1" t="s">
        <v>29</v>
      </c>
      <c r="F28" s="1" t="s">
        <v>46</v>
      </c>
      <c r="G28" s="1" t="s">
        <v>49</v>
      </c>
      <c r="H28" s="1" t="s">
        <v>55</v>
      </c>
      <c r="K28" s="1" t="str">
        <f t="shared" si="0"/>
        <v/>
      </c>
      <c r="L28" s="1" t="s">
        <v>273</v>
      </c>
      <c r="M28" s="1" t="s">
        <v>48</v>
      </c>
      <c r="N28" s="1" t="s">
        <v>54</v>
      </c>
      <c r="O28" s="1" t="s">
        <v>47</v>
      </c>
      <c r="P28" s="1" t="s">
        <v>53</v>
      </c>
      <c r="Q28" s="1" t="s">
        <v>266</v>
      </c>
    </row>
    <row r="29" spans="1:17" ht="14.25" customHeight="1" x14ac:dyDescent="0.25">
      <c r="A29" s="1">
        <v>28</v>
      </c>
      <c r="B29" s="1">
        <v>46191</v>
      </c>
      <c r="C29" s="85">
        <v>0.83333333333333337</v>
      </c>
      <c r="D29" s="1">
        <f>HOUR(tblPartidos[[#This Row],[Hora ET]])-1</f>
        <v>19</v>
      </c>
      <c r="E29" s="1" t="s">
        <v>29</v>
      </c>
      <c r="F29" s="1" t="s">
        <v>33</v>
      </c>
      <c r="G29" s="1" t="s">
        <v>36</v>
      </c>
      <c r="H29" s="1" t="s">
        <v>42</v>
      </c>
      <c r="K29" s="1" t="str">
        <f t="shared" si="0"/>
        <v/>
      </c>
      <c r="L29" s="1" t="s">
        <v>268</v>
      </c>
      <c r="M29" s="1" t="s">
        <v>35</v>
      </c>
      <c r="N29" s="1" t="s">
        <v>41</v>
      </c>
      <c r="O29" s="1" t="s">
        <v>34</v>
      </c>
      <c r="P29" s="1" t="s">
        <v>40</v>
      </c>
      <c r="Q29" s="1" t="s">
        <v>266</v>
      </c>
    </row>
    <row r="30" spans="1:17" ht="14.25" customHeight="1" x14ac:dyDescent="0.25">
      <c r="A30" s="1">
        <v>29</v>
      </c>
      <c r="B30" s="1">
        <v>46192</v>
      </c>
      <c r="C30" s="85">
        <v>0.8125</v>
      </c>
      <c r="D30" s="1">
        <f>HOUR(tblPartidos[[#This Row],[Hora ET]])-1</f>
        <v>18</v>
      </c>
      <c r="E30" s="1" t="s">
        <v>29</v>
      </c>
      <c r="F30" s="1" t="s">
        <v>59</v>
      </c>
      <c r="G30" s="1" t="s">
        <v>62</v>
      </c>
      <c r="H30" s="1" t="s">
        <v>68</v>
      </c>
      <c r="K30" s="1" t="str">
        <f t="shared" si="0"/>
        <v/>
      </c>
      <c r="L30" s="1" t="s">
        <v>278</v>
      </c>
      <c r="M30" s="1" t="s">
        <v>61</v>
      </c>
      <c r="N30" s="1" t="s">
        <v>67</v>
      </c>
      <c r="O30" s="1" t="s">
        <v>60</v>
      </c>
      <c r="P30" s="1" t="s">
        <v>66</v>
      </c>
      <c r="Q30" s="1" t="s">
        <v>266</v>
      </c>
    </row>
    <row r="31" spans="1:17" ht="14.25" customHeight="1" x14ac:dyDescent="0.25">
      <c r="A31" s="1">
        <v>30</v>
      </c>
      <c r="B31" s="1">
        <v>46192</v>
      </c>
      <c r="C31" s="85">
        <v>0.70833333333333337</v>
      </c>
      <c r="D31" s="1">
        <f>HOUR(tblPartidos[[#This Row],[Hora ET]])-1</f>
        <v>16</v>
      </c>
      <c r="E31" s="1" t="s">
        <v>29</v>
      </c>
      <c r="F31" s="1" t="s">
        <v>59</v>
      </c>
      <c r="G31" s="1" t="s">
        <v>71</v>
      </c>
      <c r="H31" s="1" t="s">
        <v>65</v>
      </c>
      <c r="K31" s="1" t="str">
        <f t="shared" si="0"/>
        <v/>
      </c>
      <c r="L31" s="1" t="s">
        <v>272</v>
      </c>
      <c r="M31" s="1" t="s">
        <v>70</v>
      </c>
      <c r="N31" s="1" t="s">
        <v>64</v>
      </c>
      <c r="O31" s="1" t="s">
        <v>69</v>
      </c>
      <c r="P31" s="1" t="s">
        <v>63</v>
      </c>
      <c r="Q31" s="1" t="s">
        <v>266</v>
      </c>
    </row>
    <row r="32" spans="1:17" ht="14.25" customHeight="1" x14ac:dyDescent="0.25">
      <c r="A32" s="1">
        <v>31</v>
      </c>
      <c r="B32" s="1">
        <v>46192</v>
      </c>
      <c r="C32" s="85">
        <v>0.91666666666666663</v>
      </c>
      <c r="D32" s="1">
        <f>HOUR(tblPartidos[[#This Row],[Hora ET]])-1</f>
        <v>21</v>
      </c>
      <c r="E32" s="1" t="s">
        <v>29</v>
      </c>
      <c r="F32" s="1" t="s">
        <v>72</v>
      </c>
      <c r="G32" s="1" t="s">
        <v>84</v>
      </c>
      <c r="H32" s="1" t="s">
        <v>78</v>
      </c>
      <c r="K32" s="1" t="str">
        <f t="shared" si="0"/>
        <v/>
      </c>
      <c r="L32" s="1" t="s">
        <v>276</v>
      </c>
      <c r="M32" s="1" t="s">
        <v>83</v>
      </c>
      <c r="N32" s="1" t="s">
        <v>77</v>
      </c>
      <c r="O32" s="1" t="s">
        <v>82</v>
      </c>
      <c r="P32" s="1" t="s">
        <v>76</v>
      </c>
      <c r="Q32" s="1" t="s">
        <v>266</v>
      </c>
    </row>
    <row r="33" spans="1:17" ht="14.25" customHeight="1" x14ac:dyDescent="0.25">
      <c r="A33" s="1">
        <v>32</v>
      </c>
      <c r="B33" s="1">
        <v>46192</v>
      </c>
      <c r="C33" s="85">
        <v>0.58333333333333337</v>
      </c>
      <c r="D33" s="1">
        <f>HOUR(tblPartidos[[#This Row],[Hora ET]])-1</f>
        <v>13</v>
      </c>
      <c r="E33" s="1" t="s">
        <v>29</v>
      </c>
      <c r="F33" s="1" t="s">
        <v>72</v>
      </c>
      <c r="G33" s="1" t="s">
        <v>75</v>
      </c>
      <c r="H33" s="1" t="s">
        <v>81</v>
      </c>
      <c r="K33" s="1" t="str">
        <f t="shared" si="0"/>
        <v/>
      </c>
      <c r="L33" s="1" t="s">
        <v>287</v>
      </c>
      <c r="M33" s="1" t="s">
        <v>74</v>
      </c>
      <c r="N33" s="1" t="s">
        <v>80</v>
      </c>
      <c r="O33" s="1" t="s">
        <v>73</v>
      </c>
      <c r="P33" s="1" t="s">
        <v>79</v>
      </c>
      <c r="Q33" s="1" t="s">
        <v>266</v>
      </c>
    </row>
    <row r="34" spans="1:17" ht="14.25" customHeight="1" x14ac:dyDescent="0.25">
      <c r="A34" s="1">
        <v>33</v>
      </c>
      <c r="B34" s="1">
        <v>46193</v>
      </c>
      <c r="C34" s="85">
        <v>0.625</v>
      </c>
      <c r="D34" s="1">
        <f>HOUR(tblPartidos[[#This Row],[Hora ET]])-1</f>
        <v>14</v>
      </c>
      <c r="E34" s="1" t="s">
        <v>29</v>
      </c>
      <c r="F34" s="1" t="s">
        <v>85</v>
      </c>
      <c r="G34" s="1" t="s">
        <v>88</v>
      </c>
      <c r="H34" s="1" t="s">
        <v>94</v>
      </c>
      <c r="K34" s="1" t="str">
        <f t="shared" ref="K34:K65" si="1">IF(OR(I34="",J34=""),"",IF(I34&gt;J34,G34,IF(J34&gt;I34,H34,"Empate")))</f>
        <v/>
      </c>
      <c r="L34" s="1" t="s">
        <v>269</v>
      </c>
      <c r="M34" s="1" t="s">
        <v>87</v>
      </c>
      <c r="N34" s="1" t="s">
        <v>93</v>
      </c>
      <c r="O34" s="1" t="s">
        <v>86</v>
      </c>
      <c r="P34" s="1" t="s">
        <v>92</v>
      </c>
      <c r="Q34" s="1" t="s">
        <v>266</v>
      </c>
    </row>
    <row r="35" spans="1:17" ht="14.25" customHeight="1" x14ac:dyDescent="0.25">
      <c r="A35" s="1">
        <v>34</v>
      </c>
      <c r="B35" s="1">
        <v>46193</v>
      </c>
      <c r="C35" s="85">
        <v>0.79166666666666663</v>
      </c>
      <c r="D35" s="1">
        <f>HOUR(tblPartidos[[#This Row],[Hora ET]])-1</f>
        <v>18</v>
      </c>
      <c r="E35" s="1" t="s">
        <v>29</v>
      </c>
      <c r="F35" s="1" t="s">
        <v>85</v>
      </c>
      <c r="G35" s="1" t="s">
        <v>97</v>
      </c>
      <c r="H35" s="1" t="s">
        <v>91</v>
      </c>
      <c r="K35" s="1" t="str">
        <f t="shared" si="1"/>
        <v/>
      </c>
      <c r="L35" s="1" t="s">
        <v>288</v>
      </c>
      <c r="M35" s="1" t="s">
        <v>96</v>
      </c>
      <c r="N35" s="1" t="s">
        <v>90</v>
      </c>
      <c r="O35" s="1" t="s">
        <v>95</v>
      </c>
      <c r="P35" s="1" t="s">
        <v>89</v>
      </c>
      <c r="Q35" s="1" t="s">
        <v>266</v>
      </c>
    </row>
    <row r="36" spans="1:17" ht="14.25" customHeight="1" x14ac:dyDescent="0.25">
      <c r="A36" s="1">
        <v>35</v>
      </c>
      <c r="B36" s="1">
        <v>46193</v>
      </c>
      <c r="C36" s="85">
        <v>0.95833333333333337</v>
      </c>
      <c r="D36" s="1">
        <f>HOUR(tblPartidos[[#This Row],[Hora ET]])-1</f>
        <v>22</v>
      </c>
      <c r="E36" s="1" t="s">
        <v>29</v>
      </c>
      <c r="F36" s="1" t="s">
        <v>98</v>
      </c>
      <c r="G36" s="1" t="s">
        <v>101</v>
      </c>
      <c r="H36" s="1" t="s">
        <v>107</v>
      </c>
      <c r="K36" s="1" t="str">
        <f t="shared" si="1"/>
        <v/>
      </c>
      <c r="L36" s="1" t="s">
        <v>280</v>
      </c>
      <c r="M36" s="1" t="s">
        <v>100</v>
      </c>
      <c r="N36" s="1" t="s">
        <v>106</v>
      </c>
      <c r="O36" s="1" t="s">
        <v>99</v>
      </c>
      <c r="P36" s="1" t="s">
        <v>105</v>
      </c>
      <c r="Q36" s="1" t="s">
        <v>266</v>
      </c>
    </row>
    <row r="37" spans="1:17" ht="14.25" customHeight="1" x14ac:dyDescent="0.25">
      <c r="A37" s="1">
        <v>36</v>
      </c>
      <c r="B37" s="1">
        <v>46193</v>
      </c>
      <c r="C37" s="85">
        <v>0.95833333333333337</v>
      </c>
      <c r="D37" s="1">
        <f>HOUR(tblPartidos[[#This Row],[Hora ET]])-1</f>
        <v>22</v>
      </c>
      <c r="E37" s="1" t="s">
        <v>29</v>
      </c>
      <c r="F37" s="1" t="s">
        <v>98</v>
      </c>
      <c r="G37" s="1" t="s">
        <v>110</v>
      </c>
      <c r="H37" s="1" t="s">
        <v>104</v>
      </c>
      <c r="K37" s="1" t="str">
        <f t="shared" si="1"/>
        <v/>
      </c>
      <c r="L37" s="1" t="s">
        <v>283</v>
      </c>
      <c r="M37" s="1" t="s">
        <v>109</v>
      </c>
      <c r="N37" s="1" t="s">
        <v>103</v>
      </c>
      <c r="O37" s="1" t="s">
        <v>108</v>
      </c>
      <c r="P37" s="1" t="s">
        <v>102</v>
      </c>
      <c r="Q37" s="1" t="s">
        <v>266</v>
      </c>
    </row>
    <row r="38" spans="1:17" ht="14.25" customHeight="1" x14ac:dyDescent="0.25">
      <c r="A38" s="1">
        <v>37</v>
      </c>
      <c r="B38" s="1">
        <v>46194</v>
      </c>
      <c r="C38" s="85">
        <v>0.70833333333333337</v>
      </c>
      <c r="D38" s="1">
        <f>HOUR(tblPartidos[[#This Row],[Hora ET]])-1</f>
        <v>16</v>
      </c>
      <c r="E38" s="1" t="s">
        <v>29</v>
      </c>
      <c r="F38" s="1" t="s">
        <v>124</v>
      </c>
      <c r="G38" s="1" t="s">
        <v>136</v>
      </c>
      <c r="H38" s="1" t="s">
        <v>130</v>
      </c>
      <c r="K38" s="1" t="str">
        <f t="shared" si="1"/>
        <v/>
      </c>
      <c r="L38" s="1" t="s">
        <v>284</v>
      </c>
      <c r="M38" s="1" t="s">
        <v>135</v>
      </c>
      <c r="N38" s="1" t="s">
        <v>129</v>
      </c>
      <c r="O38" s="1" t="s">
        <v>134</v>
      </c>
      <c r="P38" s="1" t="s">
        <v>128</v>
      </c>
      <c r="Q38" s="1" t="s">
        <v>266</v>
      </c>
    </row>
    <row r="39" spans="1:17" ht="14.25" customHeight="1" x14ac:dyDescent="0.25">
      <c r="A39" s="1">
        <v>38</v>
      </c>
      <c r="B39" s="1">
        <v>46194</v>
      </c>
      <c r="C39" s="85">
        <v>0.45833333333333331</v>
      </c>
      <c r="D39" s="1">
        <f>HOUR(tblPartidos[[#This Row],[Hora ET]])-1</f>
        <v>10</v>
      </c>
      <c r="E39" s="1" t="s">
        <v>29</v>
      </c>
      <c r="F39" s="1" t="s">
        <v>124</v>
      </c>
      <c r="G39" s="1" t="s">
        <v>127</v>
      </c>
      <c r="H39" s="1" t="s">
        <v>133</v>
      </c>
      <c r="K39" s="1" t="str">
        <f t="shared" si="1"/>
        <v/>
      </c>
      <c r="L39" s="1" t="s">
        <v>286</v>
      </c>
      <c r="M39" s="1" t="s">
        <v>126</v>
      </c>
      <c r="N39" s="1" t="s">
        <v>132</v>
      </c>
      <c r="O39" s="1" t="s">
        <v>125</v>
      </c>
      <c r="P39" s="1" t="s">
        <v>131</v>
      </c>
      <c r="Q39" s="1" t="s">
        <v>266</v>
      </c>
    </row>
    <row r="40" spans="1:17" ht="14.25" customHeight="1" x14ac:dyDescent="0.25">
      <c r="A40" s="1">
        <v>39</v>
      </c>
      <c r="B40" s="1">
        <v>46194</v>
      </c>
      <c r="C40" s="85">
        <v>0.58333333333333337</v>
      </c>
      <c r="D40" s="1">
        <f>HOUR(tblPartidos[[#This Row],[Hora ET]])-1</f>
        <v>13</v>
      </c>
      <c r="E40" s="1" t="s">
        <v>29</v>
      </c>
      <c r="F40" s="1" t="s">
        <v>111</v>
      </c>
      <c r="G40" s="1" t="s">
        <v>114</v>
      </c>
      <c r="H40" s="1" t="s">
        <v>120</v>
      </c>
      <c r="K40" s="1" t="str">
        <f t="shared" si="1"/>
        <v/>
      </c>
      <c r="L40" s="1" t="s">
        <v>271</v>
      </c>
      <c r="M40" s="1" t="s">
        <v>113</v>
      </c>
      <c r="N40" s="1" t="s">
        <v>119</v>
      </c>
      <c r="O40" s="1" t="s">
        <v>112</v>
      </c>
      <c r="P40" s="1" t="s">
        <v>118</v>
      </c>
      <c r="Q40" s="1" t="s">
        <v>266</v>
      </c>
    </row>
    <row r="41" spans="1:17" ht="14.25" customHeight="1" x14ac:dyDescent="0.25">
      <c r="A41" s="1">
        <v>40</v>
      </c>
      <c r="B41" s="1">
        <v>46194</v>
      </c>
      <c r="C41" s="85">
        <v>0.83333333333333337</v>
      </c>
      <c r="D41" s="1">
        <f>HOUR(tblPartidos[[#This Row],[Hora ET]])-1</f>
        <v>19</v>
      </c>
      <c r="E41" s="1" t="s">
        <v>29</v>
      </c>
      <c r="F41" s="1" t="s">
        <v>111</v>
      </c>
      <c r="G41" s="1" t="s">
        <v>123</v>
      </c>
      <c r="H41" s="1" t="s">
        <v>117</v>
      </c>
      <c r="K41" s="1" t="str">
        <f t="shared" si="1"/>
        <v/>
      </c>
      <c r="L41" s="1" t="s">
        <v>273</v>
      </c>
      <c r="M41" s="1" t="s">
        <v>122</v>
      </c>
      <c r="N41" s="1" t="s">
        <v>116</v>
      </c>
      <c r="O41" s="1" t="s">
        <v>121</v>
      </c>
      <c r="P41" s="1" t="s">
        <v>115</v>
      </c>
      <c r="Q41" s="1" t="s">
        <v>266</v>
      </c>
    </row>
    <row r="42" spans="1:17" ht="14.25" customHeight="1" x14ac:dyDescent="0.25">
      <c r="A42" s="1">
        <v>41</v>
      </c>
      <c r="B42" s="1">
        <v>46195</v>
      </c>
      <c r="C42" s="85">
        <v>0.79166666666666663</v>
      </c>
      <c r="D42" s="1">
        <f>HOUR(tblPartidos[[#This Row],[Hora ET]])-1</f>
        <v>18</v>
      </c>
      <c r="E42" s="1" t="s">
        <v>29</v>
      </c>
      <c r="F42" s="1" t="s">
        <v>137</v>
      </c>
      <c r="G42" s="1" t="s">
        <v>149</v>
      </c>
      <c r="H42" s="1" t="s">
        <v>143</v>
      </c>
      <c r="K42" s="1" t="str">
        <f t="shared" si="1"/>
        <v/>
      </c>
      <c r="L42" s="1" t="s">
        <v>275</v>
      </c>
      <c r="M42" s="1" t="s">
        <v>148</v>
      </c>
      <c r="N42" s="1" t="s">
        <v>142</v>
      </c>
      <c r="O42" s="1" t="s">
        <v>147</v>
      </c>
      <c r="P42" s="1" t="s">
        <v>141</v>
      </c>
      <c r="Q42" s="1" t="s">
        <v>266</v>
      </c>
    </row>
    <row r="43" spans="1:17" ht="14.25" customHeight="1" x14ac:dyDescent="0.25">
      <c r="A43" s="1">
        <v>42</v>
      </c>
      <c r="B43" s="1">
        <v>46195</v>
      </c>
      <c r="C43" s="85">
        <v>0.66666666666666663</v>
      </c>
      <c r="D43" s="1">
        <f>HOUR(tblPartidos[[#This Row],[Hora ET]])-1</f>
        <v>15</v>
      </c>
      <c r="E43" s="1" t="s">
        <v>29</v>
      </c>
      <c r="F43" s="1" t="s">
        <v>137</v>
      </c>
      <c r="G43" s="1" t="s">
        <v>140</v>
      </c>
      <c r="H43" s="1" t="s">
        <v>146</v>
      </c>
      <c r="K43" s="1" t="str">
        <f t="shared" si="1"/>
        <v/>
      </c>
      <c r="L43" s="1" t="s">
        <v>278</v>
      </c>
      <c r="M43" s="1" t="s">
        <v>139</v>
      </c>
      <c r="N43" s="1" t="s">
        <v>145</v>
      </c>
      <c r="O43" s="1" t="s">
        <v>138</v>
      </c>
      <c r="P43" s="1" t="s">
        <v>144</v>
      </c>
      <c r="Q43" s="1" t="s">
        <v>266</v>
      </c>
    </row>
    <row r="44" spans="1:17" ht="14.25" customHeight="1" x14ac:dyDescent="0.25">
      <c r="A44" s="1">
        <v>43</v>
      </c>
      <c r="B44" s="1">
        <v>46195</v>
      </c>
      <c r="C44" s="85">
        <v>0.95833333333333337</v>
      </c>
      <c r="D44" s="1">
        <f>HOUR(tblPartidos[[#This Row],[Hora ET]])-1</f>
        <v>22</v>
      </c>
      <c r="E44" s="1" t="s">
        <v>29</v>
      </c>
      <c r="F44" s="1" t="s">
        <v>150</v>
      </c>
      <c r="G44" s="1" t="s">
        <v>153</v>
      </c>
      <c r="H44" s="1" t="s">
        <v>159</v>
      </c>
      <c r="K44" s="1" t="str">
        <f t="shared" si="1"/>
        <v/>
      </c>
      <c r="L44" s="1" t="s">
        <v>282</v>
      </c>
      <c r="M44" s="1" t="s">
        <v>152</v>
      </c>
      <c r="N44" s="1" t="s">
        <v>158</v>
      </c>
      <c r="O44" s="1" t="s">
        <v>151</v>
      </c>
      <c r="P44" s="1" t="s">
        <v>157</v>
      </c>
      <c r="Q44" s="1" t="s">
        <v>266</v>
      </c>
    </row>
    <row r="45" spans="1:17" ht="14.25" customHeight="1" x14ac:dyDescent="0.25">
      <c r="A45" s="1">
        <v>44</v>
      </c>
      <c r="B45" s="1">
        <v>46195</v>
      </c>
      <c r="C45" s="85">
        <v>0.91666666666666663</v>
      </c>
      <c r="D45" s="1">
        <f>HOUR(tblPartidos[[#This Row],[Hora ET]])-1</f>
        <v>21</v>
      </c>
      <c r="E45" s="1" t="s">
        <v>29</v>
      </c>
      <c r="F45" s="1" t="s">
        <v>150</v>
      </c>
      <c r="G45" s="1" t="s">
        <v>162</v>
      </c>
      <c r="H45" s="1" t="s">
        <v>156</v>
      </c>
      <c r="K45" s="1" t="str">
        <f t="shared" si="1"/>
        <v/>
      </c>
      <c r="L45" s="1" t="s">
        <v>276</v>
      </c>
      <c r="M45" s="1" t="s">
        <v>161</v>
      </c>
      <c r="N45" s="1" t="s">
        <v>155</v>
      </c>
      <c r="O45" s="1" t="s">
        <v>160</v>
      </c>
      <c r="P45" s="1" t="s">
        <v>154</v>
      </c>
      <c r="Q45" s="1" t="s">
        <v>266</v>
      </c>
    </row>
    <row r="46" spans="1:17" ht="14.25" customHeight="1" x14ac:dyDescent="0.25">
      <c r="A46" s="1">
        <v>45</v>
      </c>
      <c r="B46" s="1">
        <v>46196</v>
      </c>
      <c r="C46" s="85">
        <v>0.625</v>
      </c>
      <c r="D46" s="1">
        <f>HOUR(tblPartidos[[#This Row],[Hora ET]])-1</f>
        <v>14</v>
      </c>
      <c r="E46" s="1" t="s">
        <v>29</v>
      </c>
      <c r="F46" s="1" t="s">
        <v>176</v>
      </c>
      <c r="G46" s="1" t="s">
        <v>179</v>
      </c>
      <c r="H46" s="1" t="s">
        <v>185</v>
      </c>
      <c r="K46" s="1" t="str">
        <f t="shared" si="1"/>
        <v/>
      </c>
      <c r="L46" s="1" t="s">
        <v>272</v>
      </c>
      <c r="M46" s="1" t="s">
        <v>178</v>
      </c>
      <c r="N46" s="1" t="s">
        <v>184</v>
      </c>
      <c r="O46" s="1" t="s">
        <v>177</v>
      </c>
      <c r="P46" s="1" t="s">
        <v>183</v>
      </c>
      <c r="Q46" s="1" t="s">
        <v>266</v>
      </c>
    </row>
    <row r="47" spans="1:17" ht="14.25" customHeight="1" x14ac:dyDescent="0.25">
      <c r="A47" s="1">
        <v>46</v>
      </c>
      <c r="B47" s="1">
        <v>46196</v>
      </c>
      <c r="C47" s="85">
        <v>0.75</v>
      </c>
      <c r="D47" s="1">
        <f>HOUR(tblPartidos[[#This Row],[Hora ET]])-1</f>
        <v>17</v>
      </c>
      <c r="E47" s="1" t="s">
        <v>29</v>
      </c>
      <c r="F47" s="1" t="s">
        <v>176</v>
      </c>
      <c r="G47" s="1" t="s">
        <v>188</v>
      </c>
      <c r="H47" s="1" t="s">
        <v>182</v>
      </c>
      <c r="K47" s="1" t="str">
        <f t="shared" si="1"/>
        <v/>
      </c>
      <c r="L47" s="1" t="s">
        <v>269</v>
      </c>
      <c r="M47" s="1" t="s">
        <v>187</v>
      </c>
      <c r="N47" s="1" t="s">
        <v>181</v>
      </c>
      <c r="O47" s="1" t="s">
        <v>186</v>
      </c>
      <c r="P47" s="1" t="s">
        <v>180</v>
      </c>
      <c r="Q47" s="1" t="s">
        <v>266</v>
      </c>
    </row>
    <row r="48" spans="1:17" ht="14.25" customHeight="1" x14ac:dyDescent="0.25">
      <c r="A48" s="1">
        <v>47</v>
      </c>
      <c r="B48" s="1">
        <v>46196</v>
      </c>
      <c r="C48" s="85">
        <v>0.95833333333333337</v>
      </c>
      <c r="D48" s="1">
        <f>HOUR(tblPartidos[[#This Row],[Hora ET]])-1</f>
        <v>22</v>
      </c>
      <c r="E48" s="1" t="s">
        <v>29</v>
      </c>
      <c r="F48" s="1" t="s">
        <v>163</v>
      </c>
      <c r="G48" s="1" t="s">
        <v>166</v>
      </c>
      <c r="H48" s="1" t="s">
        <v>172</v>
      </c>
      <c r="K48" s="1" t="str">
        <f t="shared" si="1"/>
        <v/>
      </c>
      <c r="L48" s="1" t="s">
        <v>280</v>
      </c>
      <c r="M48" s="1" t="s">
        <v>165</v>
      </c>
      <c r="N48" s="1" t="s">
        <v>171</v>
      </c>
      <c r="O48" s="1" t="s">
        <v>164</v>
      </c>
      <c r="P48" s="1" t="s">
        <v>170</v>
      </c>
      <c r="Q48" s="1" t="s">
        <v>266</v>
      </c>
    </row>
    <row r="49" spans="1:17" ht="14.25" customHeight="1" x14ac:dyDescent="0.25">
      <c r="A49" s="1">
        <v>48</v>
      </c>
      <c r="B49" s="1">
        <v>46196</v>
      </c>
      <c r="C49" s="85">
        <v>0.875</v>
      </c>
      <c r="D49" s="1">
        <f>HOUR(tblPartidos[[#This Row],[Hora ET]])-1</f>
        <v>20</v>
      </c>
      <c r="E49" s="1" t="s">
        <v>29</v>
      </c>
      <c r="F49" s="1" t="s">
        <v>163</v>
      </c>
      <c r="G49" s="1" t="s">
        <v>175</v>
      </c>
      <c r="H49" s="1" t="s">
        <v>169</v>
      </c>
      <c r="K49" s="1" t="str">
        <f t="shared" si="1"/>
        <v/>
      </c>
      <c r="L49" s="1" t="s">
        <v>268</v>
      </c>
      <c r="M49" s="1" t="s">
        <v>174</v>
      </c>
      <c r="N49" s="1" t="s">
        <v>168</v>
      </c>
      <c r="O49" s="1" t="s">
        <v>173</v>
      </c>
      <c r="P49" s="1" t="s">
        <v>167</v>
      </c>
      <c r="Q49" s="1" t="s">
        <v>266</v>
      </c>
    </row>
    <row r="50" spans="1:17" ht="14.25" customHeight="1" x14ac:dyDescent="0.25">
      <c r="A50" s="1">
        <v>49</v>
      </c>
      <c r="B50" s="1">
        <v>46197</v>
      </c>
      <c r="C50" s="85">
        <v>0.70833333333333337</v>
      </c>
      <c r="D50" s="1">
        <f>HOUR(tblPartidos[[#This Row],[Hora ET]])-1</f>
        <v>16</v>
      </c>
      <c r="E50" s="1" t="s">
        <v>29</v>
      </c>
      <c r="F50" s="1" t="s">
        <v>59</v>
      </c>
      <c r="G50" s="1" t="s">
        <v>71</v>
      </c>
      <c r="H50" s="1" t="s">
        <v>62</v>
      </c>
      <c r="K50" s="1" t="str">
        <f t="shared" si="1"/>
        <v/>
      </c>
      <c r="L50" s="1" t="s">
        <v>284</v>
      </c>
      <c r="M50" s="1" t="s">
        <v>70</v>
      </c>
      <c r="N50" s="1" t="s">
        <v>61</v>
      </c>
      <c r="O50" s="1" t="s">
        <v>69</v>
      </c>
      <c r="P50" s="1" t="s">
        <v>60</v>
      </c>
      <c r="Q50" s="1" t="s">
        <v>266</v>
      </c>
    </row>
    <row r="51" spans="1:17" ht="14.25" customHeight="1" x14ac:dyDescent="0.25">
      <c r="A51" s="1">
        <v>50</v>
      </c>
      <c r="B51" s="1">
        <v>46197</v>
      </c>
      <c r="C51" s="85">
        <v>0.70833333333333337</v>
      </c>
      <c r="D51" s="1">
        <f>HOUR(tblPartidos[[#This Row],[Hora ET]])-1</f>
        <v>16</v>
      </c>
      <c r="E51" s="1" t="s">
        <v>29</v>
      </c>
      <c r="F51" s="1" t="s">
        <v>59</v>
      </c>
      <c r="G51" s="1" t="s">
        <v>65</v>
      </c>
      <c r="H51" s="1" t="s">
        <v>68</v>
      </c>
      <c r="K51" s="1" t="str">
        <f t="shared" si="1"/>
        <v/>
      </c>
      <c r="L51" s="1" t="s">
        <v>286</v>
      </c>
      <c r="M51" s="1" t="s">
        <v>64</v>
      </c>
      <c r="N51" s="1" t="s">
        <v>67</v>
      </c>
      <c r="O51" s="1" t="s">
        <v>63</v>
      </c>
      <c r="P51" s="1" t="s">
        <v>66</v>
      </c>
      <c r="Q51" s="1" t="s">
        <v>266</v>
      </c>
    </row>
    <row r="52" spans="1:17" ht="14.25" customHeight="1" x14ac:dyDescent="0.25">
      <c r="A52" s="1">
        <v>51</v>
      </c>
      <c r="B52" s="1">
        <v>46197</v>
      </c>
      <c r="C52" s="85">
        <v>0.58333333333333337</v>
      </c>
      <c r="D52" s="1">
        <f>HOUR(tblPartidos[[#This Row],[Hora ET]])-1</f>
        <v>13</v>
      </c>
      <c r="E52" s="1" t="s">
        <v>29</v>
      </c>
      <c r="F52" s="1" t="s">
        <v>46</v>
      </c>
      <c r="G52" s="1" t="s">
        <v>58</v>
      </c>
      <c r="H52" s="1" t="s">
        <v>49</v>
      </c>
      <c r="K52" s="1" t="str">
        <f t="shared" si="1"/>
        <v/>
      </c>
      <c r="L52" s="1" t="s">
        <v>273</v>
      </c>
      <c r="M52" s="1" t="s">
        <v>57</v>
      </c>
      <c r="N52" s="1" t="s">
        <v>48</v>
      </c>
      <c r="O52" s="1" t="s">
        <v>56</v>
      </c>
      <c r="P52" s="1" t="s">
        <v>47</v>
      </c>
      <c r="Q52" s="1" t="s">
        <v>266</v>
      </c>
    </row>
    <row r="53" spans="1:17" ht="14.25" customHeight="1" x14ac:dyDescent="0.25">
      <c r="A53" s="1">
        <v>52</v>
      </c>
      <c r="B53" s="1">
        <v>46197</v>
      </c>
      <c r="C53" s="85">
        <v>0.58333333333333337</v>
      </c>
      <c r="D53" s="1">
        <f>HOUR(tblPartidos[[#This Row],[Hora ET]])-1</f>
        <v>13</v>
      </c>
      <c r="E53" s="1" t="s">
        <v>29</v>
      </c>
      <c r="F53" s="1" t="s">
        <v>46</v>
      </c>
      <c r="G53" s="1" t="s">
        <v>52</v>
      </c>
      <c r="H53" s="1" t="s">
        <v>55</v>
      </c>
      <c r="K53" s="1" t="str">
        <f t="shared" si="1"/>
        <v/>
      </c>
      <c r="L53" s="1" t="s">
        <v>287</v>
      </c>
      <c r="M53" s="1" t="s">
        <v>51</v>
      </c>
      <c r="N53" s="1" t="s">
        <v>54</v>
      </c>
      <c r="O53" s="1" t="s">
        <v>50</v>
      </c>
      <c r="P53" s="1" t="s">
        <v>53</v>
      </c>
      <c r="Q53" s="1" t="s">
        <v>266</v>
      </c>
    </row>
    <row r="54" spans="1:17" ht="14.25" customHeight="1" x14ac:dyDescent="0.25">
      <c r="A54" s="1">
        <v>53</v>
      </c>
      <c r="B54" s="1">
        <v>46197</v>
      </c>
      <c r="C54" s="85">
        <v>0.83333333333333337</v>
      </c>
      <c r="D54" s="1">
        <f>HOUR(tblPartidos[[#This Row],[Hora ET]])-1</f>
        <v>19</v>
      </c>
      <c r="E54" s="1" t="s">
        <v>29</v>
      </c>
      <c r="F54" s="1" t="s">
        <v>33</v>
      </c>
      <c r="G54" s="1" t="s">
        <v>45</v>
      </c>
      <c r="H54" s="1" t="s">
        <v>36</v>
      </c>
      <c r="K54" s="1" t="str">
        <f t="shared" si="1"/>
        <v/>
      </c>
      <c r="L54" s="1" t="s">
        <v>265</v>
      </c>
      <c r="M54" s="1" t="s">
        <v>44</v>
      </c>
      <c r="N54" s="1" t="s">
        <v>35</v>
      </c>
      <c r="O54" s="1" t="s">
        <v>43</v>
      </c>
      <c r="P54" s="1" t="s">
        <v>34</v>
      </c>
      <c r="Q54" s="1" t="s">
        <v>266</v>
      </c>
    </row>
    <row r="55" spans="1:17" ht="14.25" customHeight="1" x14ac:dyDescent="0.25">
      <c r="A55" s="1">
        <v>54</v>
      </c>
      <c r="B55" s="1">
        <v>46197</v>
      </c>
      <c r="C55" s="85">
        <v>0.83333333333333337</v>
      </c>
      <c r="D55" s="1">
        <f>HOUR(tblPartidos[[#This Row],[Hora ET]])-1</f>
        <v>19</v>
      </c>
      <c r="E55" s="1" t="s">
        <v>29</v>
      </c>
      <c r="F55" s="1" t="s">
        <v>33</v>
      </c>
      <c r="G55" s="1" t="s">
        <v>39</v>
      </c>
      <c r="H55" s="1" t="s">
        <v>42</v>
      </c>
      <c r="K55" s="1" t="str">
        <f t="shared" si="1"/>
        <v/>
      </c>
      <c r="L55" s="1" t="s">
        <v>283</v>
      </c>
      <c r="M55" s="1" t="s">
        <v>38</v>
      </c>
      <c r="N55" s="1" t="s">
        <v>41</v>
      </c>
      <c r="O55" s="1" t="s">
        <v>37</v>
      </c>
      <c r="P55" s="1" t="s">
        <v>40</v>
      </c>
      <c r="Q55" s="1" t="s">
        <v>266</v>
      </c>
    </row>
    <row r="56" spans="1:17" ht="14.25" customHeight="1" x14ac:dyDescent="0.25">
      <c r="A56" s="1">
        <v>55</v>
      </c>
      <c r="B56" s="1">
        <v>46198</v>
      </c>
      <c r="C56" s="85">
        <v>0.625</v>
      </c>
      <c r="D56" s="1">
        <f>HOUR(tblPartidos[[#This Row],[Hora ET]])-1</f>
        <v>14</v>
      </c>
      <c r="E56" s="1" t="s">
        <v>29</v>
      </c>
      <c r="F56" s="1" t="s">
        <v>85</v>
      </c>
      <c r="G56" s="1" t="s">
        <v>91</v>
      </c>
      <c r="H56" s="1" t="s">
        <v>94</v>
      </c>
      <c r="K56" s="1" t="str">
        <f t="shared" si="1"/>
        <v/>
      </c>
      <c r="L56" s="1" t="s">
        <v>278</v>
      </c>
      <c r="M56" s="1" t="s">
        <v>90</v>
      </c>
      <c r="N56" s="1" t="s">
        <v>93</v>
      </c>
      <c r="O56" s="1" t="s">
        <v>89</v>
      </c>
      <c r="P56" s="1" t="s">
        <v>92</v>
      </c>
      <c r="Q56" s="1" t="s">
        <v>266</v>
      </c>
    </row>
    <row r="57" spans="1:17" ht="14.25" customHeight="1" x14ac:dyDescent="0.25">
      <c r="A57" s="1">
        <v>56</v>
      </c>
      <c r="B57" s="1">
        <v>46198</v>
      </c>
      <c r="C57" s="85">
        <v>0.625</v>
      </c>
      <c r="D57" s="1">
        <f>HOUR(tblPartidos[[#This Row],[Hora ET]])-1</f>
        <v>14</v>
      </c>
      <c r="E57" s="1" t="s">
        <v>29</v>
      </c>
      <c r="F57" s="1" t="s">
        <v>85</v>
      </c>
      <c r="G57" s="1" t="s">
        <v>97</v>
      </c>
      <c r="H57" s="1" t="s">
        <v>88</v>
      </c>
      <c r="K57" s="1" t="str">
        <f t="shared" si="1"/>
        <v/>
      </c>
      <c r="L57" s="1" t="s">
        <v>275</v>
      </c>
      <c r="M57" s="1" t="s">
        <v>96</v>
      </c>
      <c r="N57" s="1" t="s">
        <v>87</v>
      </c>
      <c r="O57" s="1" t="s">
        <v>95</v>
      </c>
      <c r="P57" s="1" t="s">
        <v>86</v>
      </c>
      <c r="Q57" s="1" t="s">
        <v>266</v>
      </c>
    </row>
    <row r="58" spans="1:17" ht="14.25" customHeight="1" x14ac:dyDescent="0.25">
      <c r="A58" s="1">
        <v>57</v>
      </c>
      <c r="B58" s="1">
        <v>46198</v>
      </c>
      <c r="C58" s="85">
        <v>0.75</v>
      </c>
      <c r="D58" s="1">
        <f>HOUR(tblPartidos[[#This Row],[Hora ET]])-1</f>
        <v>17</v>
      </c>
      <c r="E58" s="1" t="s">
        <v>29</v>
      </c>
      <c r="F58" s="1" t="s">
        <v>98</v>
      </c>
      <c r="G58" s="1" t="s">
        <v>104</v>
      </c>
      <c r="H58" s="1" t="s">
        <v>107</v>
      </c>
      <c r="K58" s="1" t="str">
        <f t="shared" si="1"/>
        <v/>
      </c>
      <c r="L58" s="1" t="s">
        <v>282</v>
      </c>
      <c r="M58" s="1" t="s">
        <v>103</v>
      </c>
      <c r="N58" s="1" t="s">
        <v>106</v>
      </c>
      <c r="O58" s="1" t="s">
        <v>102</v>
      </c>
      <c r="P58" s="1" t="s">
        <v>105</v>
      </c>
      <c r="Q58" s="1" t="s">
        <v>266</v>
      </c>
    </row>
    <row r="59" spans="1:17" ht="14.25" customHeight="1" x14ac:dyDescent="0.25">
      <c r="A59" s="1">
        <v>58</v>
      </c>
      <c r="B59" s="1">
        <v>46198</v>
      </c>
      <c r="C59" s="85">
        <v>0.75</v>
      </c>
      <c r="D59" s="1">
        <f>HOUR(tblPartidos[[#This Row],[Hora ET]])-1</f>
        <v>17</v>
      </c>
      <c r="E59" s="1" t="s">
        <v>29</v>
      </c>
      <c r="F59" s="1" t="s">
        <v>98</v>
      </c>
      <c r="G59" s="1" t="s">
        <v>110</v>
      </c>
      <c r="H59" s="1" t="s">
        <v>101</v>
      </c>
      <c r="K59" s="1" t="str">
        <f t="shared" si="1"/>
        <v/>
      </c>
      <c r="L59" s="1" t="s">
        <v>288</v>
      </c>
      <c r="M59" s="1" t="s">
        <v>109</v>
      </c>
      <c r="N59" s="1" t="s">
        <v>100</v>
      </c>
      <c r="O59" s="1" t="s">
        <v>108</v>
      </c>
      <c r="P59" s="1" t="s">
        <v>99</v>
      </c>
      <c r="Q59" s="1" t="s">
        <v>266</v>
      </c>
    </row>
    <row r="60" spans="1:17" ht="14.25" customHeight="1" x14ac:dyDescent="0.25">
      <c r="A60" s="1">
        <v>59</v>
      </c>
      <c r="B60" s="1">
        <v>46198</v>
      </c>
      <c r="C60" s="85">
        <v>0.875</v>
      </c>
      <c r="D60" s="1">
        <f>HOUR(tblPartidos[[#This Row],[Hora ET]])-1</f>
        <v>20</v>
      </c>
      <c r="E60" s="1" t="s">
        <v>29</v>
      </c>
      <c r="F60" s="1" t="s">
        <v>72</v>
      </c>
      <c r="G60" s="1" t="s">
        <v>84</v>
      </c>
      <c r="H60" s="1" t="s">
        <v>75</v>
      </c>
      <c r="K60" s="1" t="str">
        <f t="shared" si="1"/>
        <v/>
      </c>
      <c r="L60" s="1" t="s">
        <v>271</v>
      </c>
      <c r="M60" s="1" t="s">
        <v>83</v>
      </c>
      <c r="N60" s="1" t="s">
        <v>74</v>
      </c>
      <c r="O60" s="1" t="s">
        <v>82</v>
      </c>
      <c r="P60" s="1" t="s">
        <v>73</v>
      </c>
      <c r="Q60" s="1" t="s">
        <v>266</v>
      </c>
    </row>
    <row r="61" spans="1:17" ht="14.25" customHeight="1" x14ac:dyDescent="0.25">
      <c r="A61" s="1">
        <v>60</v>
      </c>
      <c r="B61" s="1">
        <v>46198</v>
      </c>
      <c r="C61" s="85">
        <v>0.875</v>
      </c>
      <c r="D61" s="1">
        <f>HOUR(tblPartidos[[#This Row],[Hora ET]])-1</f>
        <v>20</v>
      </c>
      <c r="E61" s="1" t="s">
        <v>29</v>
      </c>
      <c r="F61" s="1" t="s">
        <v>72</v>
      </c>
      <c r="G61" s="1" t="s">
        <v>78</v>
      </c>
      <c r="H61" s="1" t="s">
        <v>81</v>
      </c>
      <c r="K61" s="1" t="str">
        <f t="shared" si="1"/>
        <v/>
      </c>
      <c r="L61" s="1" t="s">
        <v>276</v>
      </c>
      <c r="M61" s="1" t="s">
        <v>77</v>
      </c>
      <c r="N61" s="1" t="s">
        <v>80</v>
      </c>
      <c r="O61" s="1" t="s">
        <v>76</v>
      </c>
      <c r="P61" s="1" t="s">
        <v>79</v>
      </c>
      <c r="Q61" s="1" t="s">
        <v>266</v>
      </c>
    </row>
    <row r="62" spans="1:17" ht="14.25" customHeight="1" x14ac:dyDescent="0.25">
      <c r="A62" s="1">
        <v>61</v>
      </c>
      <c r="B62" s="1">
        <v>46199</v>
      </c>
      <c r="C62" s="85">
        <v>0.58333333333333337</v>
      </c>
      <c r="D62" s="1">
        <f>HOUR(tblPartidos[[#This Row],[Hora ET]])-1</f>
        <v>13</v>
      </c>
      <c r="E62" s="1" t="s">
        <v>29</v>
      </c>
      <c r="F62" s="1" t="s">
        <v>137</v>
      </c>
      <c r="G62" s="1" t="s">
        <v>149</v>
      </c>
      <c r="H62" s="1" t="s">
        <v>140</v>
      </c>
      <c r="K62" s="1" t="str">
        <f t="shared" si="1"/>
        <v/>
      </c>
      <c r="L62" s="1" t="s">
        <v>272</v>
      </c>
      <c r="M62" s="1" t="s">
        <v>148</v>
      </c>
      <c r="N62" s="1" t="s">
        <v>139</v>
      </c>
      <c r="O62" s="1" t="s">
        <v>147</v>
      </c>
      <c r="P62" s="1" t="s">
        <v>138</v>
      </c>
      <c r="Q62" s="1" t="s">
        <v>266</v>
      </c>
    </row>
    <row r="63" spans="1:17" ht="14.25" customHeight="1" x14ac:dyDescent="0.25">
      <c r="A63" s="1">
        <v>62</v>
      </c>
      <c r="B63" s="1">
        <v>46199</v>
      </c>
      <c r="C63" s="85">
        <v>0.58333333333333337</v>
      </c>
      <c r="D63" s="1">
        <f>HOUR(tblPartidos[[#This Row],[Hora ET]])-1</f>
        <v>13</v>
      </c>
      <c r="E63" s="1" t="s">
        <v>29</v>
      </c>
      <c r="F63" s="1" t="s">
        <v>137</v>
      </c>
      <c r="G63" s="1" t="s">
        <v>143</v>
      </c>
      <c r="H63" s="1" t="s">
        <v>146</v>
      </c>
      <c r="K63" s="1" t="str">
        <f t="shared" si="1"/>
        <v/>
      </c>
      <c r="L63" s="1" t="s">
        <v>269</v>
      </c>
      <c r="M63" s="1" t="s">
        <v>142</v>
      </c>
      <c r="N63" s="1" t="s">
        <v>145</v>
      </c>
      <c r="O63" s="1" t="s">
        <v>141</v>
      </c>
      <c r="P63" s="1" t="s">
        <v>144</v>
      </c>
      <c r="Q63" s="1" t="s">
        <v>266</v>
      </c>
    </row>
    <row r="64" spans="1:17" ht="14.25" customHeight="1" x14ac:dyDescent="0.25">
      <c r="A64" s="1">
        <v>63</v>
      </c>
      <c r="B64" s="1">
        <v>46199</v>
      </c>
      <c r="C64" s="85">
        <v>0.91666666666666663</v>
      </c>
      <c r="D64" s="1">
        <f>HOUR(tblPartidos[[#This Row],[Hora ET]])-1</f>
        <v>21</v>
      </c>
      <c r="E64" s="1" t="s">
        <v>29</v>
      </c>
      <c r="F64" s="1" t="s">
        <v>111</v>
      </c>
      <c r="G64" s="1" t="s">
        <v>117</v>
      </c>
      <c r="H64" s="1" t="s">
        <v>120</v>
      </c>
      <c r="K64" s="1" t="str">
        <f t="shared" si="1"/>
        <v/>
      </c>
      <c r="L64" s="1" t="s">
        <v>287</v>
      </c>
      <c r="M64" s="1" t="s">
        <v>116</v>
      </c>
      <c r="N64" s="1" t="s">
        <v>119</v>
      </c>
      <c r="O64" s="1" t="s">
        <v>115</v>
      </c>
      <c r="P64" s="1" t="s">
        <v>118</v>
      </c>
      <c r="Q64" s="1" t="s">
        <v>266</v>
      </c>
    </row>
    <row r="65" spans="1:17" ht="14.25" customHeight="1" x14ac:dyDescent="0.25">
      <c r="A65" s="1">
        <v>64</v>
      </c>
      <c r="B65" s="1">
        <v>46199</v>
      </c>
      <c r="C65" s="85">
        <v>0.91666666666666663</v>
      </c>
      <c r="D65" s="1">
        <f>HOUR(tblPartidos[[#This Row],[Hora ET]])-1</f>
        <v>21</v>
      </c>
      <c r="E65" s="1" t="s">
        <v>29</v>
      </c>
      <c r="F65" s="1" t="s">
        <v>111</v>
      </c>
      <c r="G65" s="1" t="s">
        <v>123</v>
      </c>
      <c r="H65" s="1" t="s">
        <v>114</v>
      </c>
      <c r="K65" s="1" t="str">
        <f t="shared" si="1"/>
        <v/>
      </c>
      <c r="L65" s="1" t="s">
        <v>273</v>
      </c>
      <c r="M65" s="1" t="s">
        <v>122</v>
      </c>
      <c r="N65" s="1" t="s">
        <v>113</v>
      </c>
      <c r="O65" s="1" t="s">
        <v>121</v>
      </c>
      <c r="P65" s="1" t="s">
        <v>112</v>
      </c>
      <c r="Q65" s="1" t="s">
        <v>266</v>
      </c>
    </row>
    <row r="66" spans="1:17" ht="14.25" customHeight="1" x14ac:dyDescent="0.25">
      <c r="A66" s="1">
        <v>65</v>
      </c>
      <c r="B66" s="1">
        <v>46199</v>
      </c>
      <c r="C66" s="85">
        <v>0.79166666666666663</v>
      </c>
      <c r="D66" s="1">
        <f>HOUR(tblPartidos[[#This Row],[Hora ET]])-1</f>
        <v>18</v>
      </c>
      <c r="E66" s="1" t="s">
        <v>29</v>
      </c>
      <c r="F66" s="1" t="s">
        <v>124</v>
      </c>
      <c r="G66" s="1" t="s">
        <v>130</v>
      </c>
      <c r="H66" s="1" t="s">
        <v>133</v>
      </c>
      <c r="K66" s="1" t="str">
        <f t="shared" ref="K66:K97" si="2">IF(OR(I66="",J66=""),"",IF(I66&gt;J66,G66,IF(J66&gt;I66,H66,"Empate")))</f>
        <v/>
      </c>
      <c r="L66" s="1" t="s">
        <v>280</v>
      </c>
      <c r="M66" s="1" t="s">
        <v>129</v>
      </c>
      <c r="N66" s="1" t="s">
        <v>132</v>
      </c>
      <c r="O66" s="1" t="s">
        <v>128</v>
      </c>
      <c r="P66" s="1" t="s">
        <v>131</v>
      </c>
      <c r="Q66" s="1" t="s">
        <v>266</v>
      </c>
    </row>
    <row r="67" spans="1:17" ht="14.25" customHeight="1" x14ac:dyDescent="0.25">
      <c r="A67" s="1">
        <v>66</v>
      </c>
      <c r="B67" s="1">
        <v>46199</v>
      </c>
      <c r="C67" s="85">
        <v>0.79166666666666663</v>
      </c>
      <c r="D67" s="1">
        <f>HOUR(tblPartidos[[#This Row],[Hora ET]])-1</f>
        <v>18</v>
      </c>
      <c r="E67" s="1" t="s">
        <v>29</v>
      </c>
      <c r="F67" s="1" t="s">
        <v>124</v>
      </c>
      <c r="G67" s="1" t="s">
        <v>136</v>
      </c>
      <c r="H67" s="1" t="s">
        <v>127</v>
      </c>
      <c r="K67" s="1" t="str">
        <f t="shared" si="2"/>
        <v/>
      </c>
      <c r="L67" s="1" t="s">
        <v>268</v>
      </c>
      <c r="M67" s="1" t="s">
        <v>135</v>
      </c>
      <c r="N67" s="1" t="s">
        <v>126</v>
      </c>
      <c r="O67" s="1" t="s">
        <v>134</v>
      </c>
      <c r="P67" s="1" t="s">
        <v>125</v>
      </c>
      <c r="Q67" s="1" t="s">
        <v>266</v>
      </c>
    </row>
    <row r="68" spans="1:17" ht="14.25" customHeight="1" x14ac:dyDescent="0.25">
      <c r="A68" s="1">
        <v>67</v>
      </c>
      <c r="B68" s="1">
        <v>46200</v>
      </c>
      <c r="C68" s="85">
        <v>0.66666666666666663</v>
      </c>
      <c r="D68" s="1">
        <f>HOUR(tblPartidos[[#This Row],[Hora ET]])-1</f>
        <v>15</v>
      </c>
      <c r="E68" s="1" t="s">
        <v>29</v>
      </c>
      <c r="F68" s="1" t="s">
        <v>176</v>
      </c>
      <c r="G68" s="1" t="s">
        <v>188</v>
      </c>
      <c r="H68" s="1" t="s">
        <v>179</v>
      </c>
      <c r="K68" s="1" t="str">
        <f t="shared" si="2"/>
        <v/>
      </c>
      <c r="L68" s="1" t="s">
        <v>275</v>
      </c>
      <c r="M68" s="1" t="s">
        <v>187</v>
      </c>
      <c r="N68" s="1" t="s">
        <v>178</v>
      </c>
      <c r="O68" s="1" t="s">
        <v>186</v>
      </c>
      <c r="P68" s="1" t="s">
        <v>177</v>
      </c>
      <c r="Q68" s="1" t="s">
        <v>266</v>
      </c>
    </row>
    <row r="69" spans="1:17" ht="14.25" customHeight="1" x14ac:dyDescent="0.25">
      <c r="A69" s="1">
        <v>68</v>
      </c>
      <c r="B69" s="1">
        <v>46200</v>
      </c>
      <c r="C69" s="85">
        <v>0.66666666666666663</v>
      </c>
      <c r="D69" s="1">
        <f>HOUR(tblPartidos[[#This Row],[Hora ET]])-1</f>
        <v>15</v>
      </c>
      <c r="E69" s="1" t="s">
        <v>29</v>
      </c>
      <c r="F69" s="1" t="s">
        <v>176</v>
      </c>
      <c r="G69" s="1" t="s">
        <v>182</v>
      </c>
      <c r="H69" s="1" t="s">
        <v>185</v>
      </c>
      <c r="K69" s="1" t="str">
        <f t="shared" si="2"/>
        <v/>
      </c>
      <c r="L69" s="1" t="s">
        <v>278</v>
      </c>
      <c r="M69" s="1" t="s">
        <v>181</v>
      </c>
      <c r="N69" s="1" t="s">
        <v>184</v>
      </c>
      <c r="O69" s="1" t="s">
        <v>180</v>
      </c>
      <c r="P69" s="1" t="s">
        <v>183</v>
      </c>
      <c r="Q69" s="1" t="s">
        <v>266</v>
      </c>
    </row>
    <row r="70" spans="1:17" ht="14.25" customHeight="1" x14ac:dyDescent="0.25">
      <c r="A70" s="1">
        <v>69</v>
      </c>
      <c r="B70" s="1">
        <v>46200</v>
      </c>
      <c r="C70" s="85">
        <v>0.875</v>
      </c>
      <c r="D70" s="1">
        <f>HOUR(tblPartidos[[#This Row],[Hora ET]])-1</f>
        <v>20</v>
      </c>
      <c r="E70" s="1" t="s">
        <v>29</v>
      </c>
      <c r="F70" s="1" t="s">
        <v>150</v>
      </c>
      <c r="G70" s="1" t="s">
        <v>156</v>
      </c>
      <c r="H70" s="1" t="s">
        <v>159</v>
      </c>
      <c r="K70" s="1" t="str">
        <f t="shared" si="2"/>
        <v/>
      </c>
      <c r="L70" s="1" t="s">
        <v>288</v>
      </c>
      <c r="M70" s="1" t="s">
        <v>155</v>
      </c>
      <c r="N70" s="1" t="s">
        <v>158</v>
      </c>
      <c r="O70" s="1" t="s">
        <v>154</v>
      </c>
      <c r="P70" s="1" t="s">
        <v>157</v>
      </c>
      <c r="Q70" s="1" t="s">
        <v>266</v>
      </c>
    </row>
    <row r="71" spans="1:17" ht="14.25" customHeight="1" x14ac:dyDescent="0.25">
      <c r="A71" s="1">
        <v>70</v>
      </c>
      <c r="B71" s="1">
        <v>46200</v>
      </c>
      <c r="C71" s="85">
        <v>0.875</v>
      </c>
      <c r="D71" s="1">
        <f>HOUR(tblPartidos[[#This Row],[Hora ET]])-1</f>
        <v>20</v>
      </c>
      <c r="E71" s="1" t="s">
        <v>29</v>
      </c>
      <c r="F71" s="1" t="s">
        <v>150</v>
      </c>
      <c r="G71" s="1" t="s">
        <v>162</v>
      </c>
      <c r="H71" s="1" t="s">
        <v>153</v>
      </c>
      <c r="K71" s="1" t="str">
        <f t="shared" si="2"/>
        <v/>
      </c>
      <c r="L71" s="1" t="s">
        <v>282</v>
      </c>
      <c r="M71" s="1" t="s">
        <v>161</v>
      </c>
      <c r="N71" s="1" t="s">
        <v>152</v>
      </c>
      <c r="O71" s="1" t="s">
        <v>160</v>
      </c>
      <c r="P71" s="1" t="s">
        <v>151</v>
      </c>
      <c r="Q71" s="1" t="s">
        <v>266</v>
      </c>
    </row>
    <row r="72" spans="1:17" ht="14.25" customHeight="1" x14ac:dyDescent="0.25">
      <c r="A72" s="1">
        <v>71</v>
      </c>
      <c r="B72" s="1">
        <v>46200</v>
      </c>
      <c r="C72" s="85">
        <v>0.77083333333333337</v>
      </c>
      <c r="D72" s="1">
        <f>HOUR(tblPartidos[[#This Row],[Hora ET]])-1</f>
        <v>17</v>
      </c>
      <c r="E72" s="1" t="s">
        <v>29</v>
      </c>
      <c r="F72" s="1" t="s">
        <v>163</v>
      </c>
      <c r="G72" s="1" t="s">
        <v>175</v>
      </c>
      <c r="H72" s="1" t="s">
        <v>166</v>
      </c>
      <c r="K72" s="1" t="str">
        <f t="shared" si="2"/>
        <v/>
      </c>
      <c r="L72" s="1" t="s">
        <v>284</v>
      </c>
      <c r="M72" s="1" t="s">
        <v>174</v>
      </c>
      <c r="N72" s="1" t="s">
        <v>165</v>
      </c>
      <c r="O72" s="1" t="s">
        <v>173</v>
      </c>
      <c r="P72" s="1" t="s">
        <v>164</v>
      </c>
      <c r="Q72" s="1" t="s">
        <v>266</v>
      </c>
    </row>
    <row r="73" spans="1:17" ht="14.25" customHeight="1" x14ac:dyDescent="0.25">
      <c r="A73" s="1">
        <v>72</v>
      </c>
      <c r="B73" s="1">
        <v>46200</v>
      </c>
      <c r="C73" s="85">
        <v>0.77083333333333337</v>
      </c>
      <c r="D73" s="1">
        <f>HOUR(tblPartidos[[#This Row],[Hora ET]])-1</f>
        <v>17</v>
      </c>
      <c r="E73" s="1" t="s">
        <v>29</v>
      </c>
      <c r="F73" s="1" t="s">
        <v>163</v>
      </c>
      <c r="G73" s="1" t="s">
        <v>169</v>
      </c>
      <c r="H73" s="1" t="s">
        <v>172</v>
      </c>
      <c r="K73" s="1" t="str">
        <f t="shared" si="2"/>
        <v/>
      </c>
      <c r="L73" s="1" t="s">
        <v>286</v>
      </c>
      <c r="M73" s="1" t="s">
        <v>168</v>
      </c>
      <c r="N73" s="1" t="s">
        <v>171</v>
      </c>
      <c r="O73" s="1" t="s">
        <v>167</v>
      </c>
      <c r="P73" s="1" t="s">
        <v>170</v>
      </c>
      <c r="Q73" s="1" t="s">
        <v>266</v>
      </c>
    </row>
    <row r="74" spans="1:17" ht="14.25" customHeight="1" x14ac:dyDescent="0.25">
      <c r="A74" s="1">
        <v>73</v>
      </c>
      <c r="B74" s="1">
        <v>46201</v>
      </c>
      <c r="C74" s="85">
        <v>0.58333333333333337</v>
      </c>
      <c r="D74" s="1">
        <f>HOUR(tblPartidos[[#This Row],[Hora ET]])-1</f>
        <v>13</v>
      </c>
      <c r="E74" s="1" t="s">
        <v>292</v>
      </c>
      <c r="G74" s="1" t="str">
        <f>IF(O74="","",IF(LEFT(O74,1)="3",IFERROR(IF(VLOOKUP($A74&amp;"L",Asignacion_3ros!$A$2:$G$9,6,FALSE())="",O74,VLOOKUP($A74&amp;"L",Asignacion_3ros!$A$2:$G$9,6,FALSE())),O74),IF(LEFT(O74,1)="W",IFERROR(IF(INDEX($K$2:$K$73,MATCH(VALUE(MID(O74,2,3)),$A$2:$A$73,0))="",O74,INDEX($K$2:$K$73,MATCH(VALUE(MID(O74,2,3)),$A$2:$A$73,0))),O74),IF(LEFT(O74,1)="L",IFERROR(IF(INDEX($K$2:$K$73,MATCH(VALUE(MID(O74,2,3)),$A$2:$A$73,0))=INDEX($G$2:$G$73,MATCH(VALUE(MID(O74,2,3)),$A$2:$A$73,0)),INDEX($H$2:$H$73,MATCH(VALUE(MID(O74,2,3)),$A$2:$A$73,0)),IF(INDEX($K$2:$K$73,MATCH(VALUE(MID(O74,2,3)),$A$2:$A$73,0))=INDEX($H$2:$H$73,MATCH(VALUE(MID(O74,2,3)),$A$2:$A$73,0)),INDEX($G$2:$G$73,MATCH(VALUE(MID(O74,2,3)),$A$2:$A$73,0)),O74)),O74),IFERROR(IF(VLOOKUP(RIGHT(O74,1)&amp;LEFT(O74,1),Clasificacion!$O$2:$Q$49,2,FALSE())="",O74,VLOOKUP(RIGHT(O74,1)&amp;LEFT(O74,1),Clasificacion!$O$2:$Q$49,2,FALSE())),O74)))))</f>
        <v>Corea República</v>
      </c>
      <c r="H74" s="1" t="str">
        <f>IF(P74="","",IF(LEFT(P74,1)="3",IFERROR(IF(VLOOKUP($A74&amp;"V",Asignacion_3ros!$A$2:$G$9,6,FALSE())="",P74,VLOOKUP($A74&amp;"V",Asignacion_3ros!$A$2:$G$9,6,FALSE())),P74),IF(LEFT(P74,1)="W",IFERROR(IF(INDEX($K$2:$K$73,MATCH(VALUE(MID(P74,2,3)),$A$2:$A$73,0))="",P74,INDEX($K$2:$K$73,MATCH(VALUE(MID(P74,2,3)),$A$2:$A$73,0))),P74),IF(LEFT(P74,1)="L",IFERROR(IF(INDEX($K$2:$K$73,MATCH(VALUE(MID(P74,2,3)),$A$2:$A$73,0))=INDEX($G$2:$G$73,MATCH(VALUE(MID(P74,2,3)),$A$2:$A$73,0)),INDEX($H$2:$H$73,MATCH(VALUE(MID(P74,2,3)),$A$2:$A$73,0)),IF(INDEX($K$2:$K$73,MATCH(VALUE(MID(P74,2,3)),$A$2:$A$73,0))=INDEX($H$2:$H$73,MATCH(VALUE(MID(P74,2,3)),$A$2:$A$73,0)),INDEX($G$2:$G$73,MATCH(VALUE(MID(P74,2,3)),$A$2:$A$73,0)),P74)),P74),IFERROR(IF(VLOOKUP(RIGHT(P74,1)&amp;LEFT(P74,1),Clasificacion!$O$2:$Q$49,2,FALSE())="",P74,VLOOKUP(RIGHT(P74,1)&amp;LEFT(P74,1),Clasificacion!$O$2:$Q$49,2,FALSE())),P74)))))</f>
        <v>2B</v>
      </c>
      <c r="K74" s="1" t="str">
        <f t="shared" si="2"/>
        <v/>
      </c>
      <c r="L74" s="1" t="s">
        <v>271</v>
      </c>
      <c r="M74" s="1" t="str">
        <f>IF(O74="","",IF(LEFT(O74,1)="3",IFERROR(IF(VLOOKUP($A74&amp;"L",Asignacion_3ros!$A$2:$G$9,7,FALSE())="",O74,VLOOKUP($A74&amp;"L",Asignacion_3ros!$A$2:$G$9,7,FALSE())),O74),IF(LEFT(O74,1)="W",IFERROR(IF(INDEX($K$2:$K$73,MATCH(VALUE(MID(O74,2,3)),$A$2:$A$73,0))=INDEX($G$2:$G$73,MATCH(VALUE(MID(O74,2,3)),$A$2:$A$73,0)),INDEX($M$2:$M$73,MATCH(VALUE(MID(O74,2,3)),$A$2:$A$73,0)),IF(INDEX($K$2:$K$73,MATCH(VALUE(MID(O74,2,3)),$A$2:$A$73,0))=INDEX($H$2:$H$73,MATCH(VALUE(MID(O74,2,3)),$A$2:$A$73,0)),INDEX($N$2:$N$73,MATCH(VALUE(MID(O74,2,3)),$A$2:$A$73,0)),O74)),O74),IF(LEFT(O74,1)="L",IFERROR(IF(INDEX($K$2:$K$73,MATCH(VALUE(MID(O74,2,3)),$A$2:$A$73,0))=INDEX($G$2:$G$73,MATCH(VALUE(MID(O74,2,3)),$A$2:$A$73,0)),INDEX($N$2:$N$73,MATCH(VALUE(MID(O74,2,3)),$A$2:$A$73,0)),IF(INDEX($K$2:$K$73,MATCH(VALUE(MID(O74,2,3)),$A$2:$A$73,0))=INDEX($H$2:$H$73,MATCH(VALUE(MID(O74,2,3)),$A$2:$A$73,0)),INDEX($M$2:$M$73,MATCH(VALUE(MID(O74,2,3)),$A$2:$A$73,0)),O74)),O74),IFERROR(IF(VLOOKUP(RIGHT(O74,1)&amp;LEFT(O74,1),Clasificacion!$O$2:$Q$49,3,FALSE())="",O74,VLOOKUP(RIGHT(O74,1)&amp;LEFT(O74,1),Clasificacion!$O$2:$Q$49,3,FALSE())),O74)))))</f>
        <v>KOR</v>
      </c>
      <c r="N74" s="1" t="str">
        <f>IF(P74="","",IF(LEFT(P74,1)="3",IFERROR(IF(VLOOKUP($A74&amp;"V",Asignacion_3ros!$A$2:$G$9,7,FALSE())="",P74,VLOOKUP($A74&amp;"V",Asignacion_3ros!$A$2:$G$9,7,FALSE())),P74),IF(LEFT(P74,1)="W",IFERROR(IF(INDEX($K$2:$K$73,MATCH(VALUE(MID(P74,2,3)),$A$2:$A$73,0))=INDEX($G$2:$G$73,MATCH(VALUE(MID(P74,2,3)),$A$2:$A$73,0)),INDEX($M$2:$M$73,MATCH(VALUE(MID(P74,2,3)),$A$2:$A$73,0)),IF(INDEX($K$2:$K$73,MATCH(VALUE(MID(P74,2,3)),$A$2:$A$73,0))=INDEX($H$2:$H$73,MATCH(VALUE(MID(P74,2,3)),$A$2:$A$73,0)),INDEX($N$2:$N$73,MATCH(VALUE(MID(P74,2,3)),$A$2:$A$73,0)),P74)),P74),IF(LEFT(P74,1)="L",IFERROR(IF(INDEX($K$2:$K$73,MATCH(VALUE(MID(P74,2,3)),$A$2:$A$73,0))=INDEX($G$2:$G$73,MATCH(VALUE(MID(P74,2,3)),$A$2:$A$73,0)),INDEX($N$2:$N$73,MATCH(VALUE(MID(P74,2,3)),$A$2:$A$73,0)),IF(INDEX($K$2:$K$73,MATCH(VALUE(MID(P74,2,3)),$A$2:$A$73,0))=INDEX($H$2:$H$73,MATCH(VALUE(MID(P74,2,3)),$A$2:$A$73,0)),INDEX($M$2:$M$73,MATCH(VALUE(MID(P74,2,3)),$A$2:$A$73,0)),P74)),P74),IFERROR(IF(VLOOKUP(RIGHT(P74,1)&amp;LEFT(P74,1),Clasificacion!$O$2:$Q$49,3,FALSE())="",P74,VLOOKUP(RIGHT(P74,1)&amp;LEFT(P74,1),Clasificacion!$O$2:$Q$49,3,FALSE())),P74)))))</f>
        <v>2B</v>
      </c>
      <c r="O74" s="1" t="s">
        <v>293</v>
      </c>
      <c r="P74" s="1" t="s">
        <v>294</v>
      </c>
      <c r="Q74" s="1" t="s">
        <v>266</v>
      </c>
    </row>
    <row r="75" spans="1:17" ht="14.25" customHeight="1" x14ac:dyDescent="0.25">
      <c r="A75" s="1">
        <v>74</v>
      </c>
      <c r="B75" s="1">
        <v>46201</v>
      </c>
      <c r="C75" s="85">
        <v>0.64583333333333337</v>
      </c>
      <c r="D75" s="1">
        <f>HOUR(tblPartidos[[#This Row],[Hora ET]])-1</f>
        <v>14</v>
      </c>
      <c r="E75" s="1" t="s">
        <v>292</v>
      </c>
      <c r="G75" s="1" t="str">
        <f>IF(O75="","",IF(LEFT(O75,1)="3",IFERROR(IF(VLOOKUP($A75&amp;"L",Asignacion_3ros!$A$2:$G$9,6,FALSE())="",O75,VLOOKUP($A75&amp;"L",Asignacion_3ros!$A$2:$G$9,6,FALSE())),O75),IF(LEFT(O75,1)="W",IFERROR(IF(INDEX($K$2:$K$74,MATCH(VALUE(MID(O75,2,3)),$A$2:$A$74,0))="",O75,INDEX($K$2:$K$74,MATCH(VALUE(MID(O75,2,3)),$A$2:$A$74,0))),O75),IF(LEFT(O75,1)="L",IFERROR(IF(INDEX($K$2:$K$74,MATCH(VALUE(MID(O75,2,3)),$A$2:$A$74,0))=INDEX($G$2:$G$74,MATCH(VALUE(MID(O75,2,3)),$A$2:$A$74,0)),INDEX($H$2:$H$74,MATCH(VALUE(MID(O75,2,3)),$A$2:$A$74,0)),IF(INDEX($K$2:$K$74,MATCH(VALUE(MID(O75,2,3)),$A$2:$A$74,0))=INDEX($H$2:$H$74,MATCH(VALUE(MID(O75,2,3)),$A$2:$A$74,0)),INDEX($G$2:$G$74,MATCH(VALUE(MID(O75,2,3)),$A$2:$A$74,0)),O75)),O75),IFERROR(IF(VLOOKUP(RIGHT(O75,1)&amp;LEFT(O75,1),Clasificacion!$O$2:$Q$49,2,FALSE())="",O75,VLOOKUP(RIGHT(O75,1)&amp;LEFT(O75,1),Clasificacion!$O$2:$Q$49,2,FALSE())),O75)))))</f>
        <v>1E</v>
      </c>
      <c r="H75" s="1" t="str">
        <f>IF(P75="","",IF(LEFT(P75,1)="3",IFERROR(IF(VLOOKUP($A75&amp;"V",Asignacion_3ros!$A$2:$G$9,6,FALSE())="",P75,VLOOKUP($A75&amp;"V",Asignacion_3ros!$A$2:$G$9,6,FALSE())),P75),IF(LEFT(P75,1)="W",IFERROR(IF(INDEX($K$2:$K$74,MATCH(VALUE(MID(P75,2,3)),$A$2:$A$74,0))="",P75,INDEX($K$2:$K$74,MATCH(VALUE(MID(P75,2,3)),$A$2:$A$74,0))),P75),IF(LEFT(P75,1)="L",IFERROR(IF(INDEX($K$2:$K$74,MATCH(VALUE(MID(P75,2,3)),$A$2:$A$74,0))=INDEX($G$2:$G$74,MATCH(VALUE(MID(P75,2,3)),$A$2:$A$74,0)),INDEX($H$2:$H$74,MATCH(VALUE(MID(P75,2,3)),$A$2:$A$74,0)),IF(INDEX($K$2:$K$74,MATCH(VALUE(MID(P75,2,3)),$A$2:$A$74,0))=INDEX($H$2:$H$74,MATCH(VALUE(MID(P75,2,3)),$A$2:$A$74,0)),INDEX($G$2:$G$74,MATCH(VALUE(MID(P75,2,3)),$A$2:$A$74,0)),P75)),P75),IFERROR(IF(VLOOKUP(RIGHT(P75,1)&amp;LEFT(P75,1),Clasificacion!$O$2:$Q$49,2,FALSE())="",P75,VLOOKUP(RIGHT(P75,1)&amp;LEFT(P75,1),Clasificacion!$O$2:$Q$49,2,FALSE())),P75)))))</f>
        <v>Corea República</v>
      </c>
      <c r="K75" s="1" t="str">
        <f t="shared" si="2"/>
        <v/>
      </c>
      <c r="L75" s="1" t="s">
        <v>272</v>
      </c>
      <c r="M75" s="1" t="str">
        <f>IF(O75="","",IF(LEFT(O75,1)="3",IFERROR(IF(VLOOKUP($A75&amp;"L",Asignacion_3ros!$A$2:$G$9,7,FALSE())="",O75,VLOOKUP($A75&amp;"L",Asignacion_3ros!$A$2:$G$9,7,FALSE())),O75),IF(LEFT(O75,1)="W",IFERROR(IF(INDEX($K$2:$K$74,MATCH(VALUE(MID(O75,2,3)),$A$2:$A$74,0))=INDEX($G$2:$G$74,MATCH(VALUE(MID(O75,2,3)),$A$2:$A$74,0)),INDEX($M$2:$M$74,MATCH(VALUE(MID(O75,2,3)),$A$2:$A$74,0)),IF(INDEX($K$2:$K$74,MATCH(VALUE(MID(O75,2,3)),$A$2:$A$74,0))=INDEX($H$2:$H$74,MATCH(VALUE(MID(O75,2,3)),$A$2:$A$74,0)),INDEX($N$2:$N$74,MATCH(VALUE(MID(O75,2,3)),$A$2:$A$74,0)),O75)),O75),IF(LEFT(O75,1)="L",IFERROR(IF(INDEX($K$2:$K$74,MATCH(VALUE(MID(O75,2,3)),$A$2:$A$74,0))=INDEX($G$2:$G$74,MATCH(VALUE(MID(O75,2,3)),$A$2:$A$74,0)),INDEX($N$2:$N$74,MATCH(VALUE(MID(O75,2,3)),$A$2:$A$74,0)),IF(INDEX($K$2:$K$74,MATCH(VALUE(MID(O75,2,3)),$A$2:$A$74,0))=INDEX($H$2:$H$74,MATCH(VALUE(MID(O75,2,3)),$A$2:$A$74,0)),INDEX($M$2:$M$74,MATCH(VALUE(MID(O75,2,3)),$A$2:$A$74,0)),O75)),O75),IFERROR(IF(VLOOKUP(RIGHT(O75,1)&amp;LEFT(O75,1),Clasificacion!$O$2:$Q$49,3,FALSE())="",O75,VLOOKUP(RIGHT(O75,1)&amp;LEFT(O75,1),Clasificacion!$O$2:$Q$49,3,FALSE())),O75)))))</f>
        <v>1E</v>
      </c>
      <c r="N75" s="1" t="str">
        <f>IF(P75="","",IF(LEFT(P75,1)="3",IFERROR(IF(VLOOKUP($A75&amp;"V",Asignacion_3ros!$A$2:$G$9,7,FALSE())="",P75,VLOOKUP($A75&amp;"V",Asignacion_3ros!$A$2:$G$9,7,FALSE())),P75),IF(LEFT(P75,1)="W",IFERROR(IF(INDEX($K$2:$K$74,MATCH(VALUE(MID(P75,2,3)),$A$2:$A$74,0))=INDEX($G$2:$G$74,MATCH(VALUE(MID(P75,2,3)),$A$2:$A$74,0)),INDEX($M$2:$M$74,MATCH(VALUE(MID(P75,2,3)),$A$2:$A$74,0)),IF(INDEX($K$2:$K$74,MATCH(VALUE(MID(P75,2,3)),$A$2:$A$74,0))=INDEX($H$2:$H$74,MATCH(VALUE(MID(P75,2,3)),$A$2:$A$74,0)),INDEX($N$2:$N$74,MATCH(VALUE(MID(P75,2,3)),$A$2:$A$74,0)),P75)),P75),IF(LEFT(P75,1)="L",IFERROR(IF(INDEX($K$2:$K$74,MATCH(VALUE(MID(P75,2,3)),$A$2:$A$74,0))=INDEX($G$2:$G$74,MATCH(VALUE(MID(P75,2,3)),$A$2:$A$74,0)),INDEX($N$2:$N$74,MATCH(VALUE(MID(P75,2,3)),$A$2:$A$74,0)),IF(INDEX($K$2:$K$74,MATCH(VALUE(MID(P75,2,3)),$A$2:$A$74,0))=INDEX($H$2:$H$74,MATCH(VALUE(MID(P75,2,3)),$A$2:$A$74,0)),INDEX($M$2:$M$74,MATCH(VALUE(MID(P75,2,3)),$A$2:$A$74,0)),P75)),P75),IFERROR(IF(VLOOKUP(RIGHT(P75,1)&amp;LEFT(P75,1),Clasificacion!$O$2:$Q$49,3,FALSE())="",P75,VLOOKUP(RIGHT(P75,1)&amp;LEFT(P75,1),Clasificacion!$O$2:$Q$49,3,FALSE())),P75)))))</f>
        <v>KOR</v>
      </c>
      <c r="O75" s="1" t="s">
        <v>296</v>
      </c>
      <c r="P75" s="1" t="s">
        <v>297</v>
      </c>
      <c r="Q75" s="1" t="s">
        <v>266</v>
      </c>
    </row>
    <row r="76" spans="1:17" ht="14.25" customHeight="1" x14ac:dyDescent="0.25">
      <c r="A76" s="1">
        <v>75</v>
      </c>
      <c r="B76" s="1">
        <v>46202</v>
      </c>
      <c r="C76" s="85">
        <v>0.83333333333333337</v>
      </c>
      <c r="D76" s="1">
        <f>HOUR(tblPartidos[[#This Row],[Hora ET]])-1</f>
        <v>19</v>
      </c>
      <c r="E76" s="1" t="s">
        <v>292</v>
      </c>
      <c r="G76" s="1" t="str">
        <f>IF(O76="","",IF(LEFT(O76,1)="3",IFERROR(IF(VLOOKUP($A76&amp;"L",Asignacion_3ros!$A$2:$G$9,6,FALSE())="",O76,VLOOKUP($A76&amp;"L",Asignacion_3ros!$A$2:$G$9,6,FALSE())),O76),IF(LEFT(O76,1)="W",IFERROR(IF(INDEX($K$2:$K$75,MATCH(VALUE(MID(O76,2,3)),$A$2:$A$75,0))="",O76,INDEX($K$2:$K$75,MATCH(VALUE(MID(O76,2,3)),$A$2:$A$75,0))),O76),IF(LEFT(O76,1)="L",IFERROR(IF(INDEX($K$2:$K$75,MATCH(VALUE(MID(O76,2,3)),$A$2:$A$75,0))=INDEX($G$2:$G$75,MATCH(VALUE(MID(O76,2,3)),$A$2:$A$75,0)),INDEX($H$2:$H$75,MATCH(VALUE(MID(O76,2,3)),$A$2:$A$75,0)),IF(INDEX($K$2:$K$75,MATCH(VALUE(MID(O76,2,3)),$A$2:$A$75,0))=INDEX($H$2:$H$75,MATCH(VALUE(MID(O76,2,3)),$A$2:$A$75,0)),INDEX($G$2:$G$75,MATCH(VALUE(MID(O76,2,3)),$A$2:$A$75,0)),O76)),O76),IFERROR(IF(VLOOKUP(RIGHT(O76,1)&amp;LEFT(O76,1),Clasificacion!$O$2:$Q$49,2,FALSE())="",O76,VLOOKUP(RIGHT(O76,1)&amp;LEFT(O76,1),Clasificacion!$O$2:$Q$49,2,FALSE())),O76)))))</f>
        <v>1F</v>
      </c>
      <c r="H76" s="1" t="str">
        <f>IF(P76="","",IF(LEFT(P76,1)="3",IFERROR(IF(VLOOKUP($A76&amp;"V",Asignacion_3ros!$A$2:$G$9,6,FALSE())="",P76,VLOOKUP($A76&amp;"V",Asignacion_3ros!$A$2:$G$9,6,FALSE())),P76),IF(LEFT(P76,1)="W",IFERROR(IF(INDEX($K$2:$K$75,MATCH(VALUE(MID(P76,2,3)),$A$2:$A$75,0))="",P76,INDEX($K$2:$K$75,MATCH(VALUE(MID(P76,2,3)),$A$2:$A$75,0))),P76),IF(LEFT(P76,1)="L",IFERROR(IF(INDEX($K$2:$K$75,MATCH(VALUE(MID(P76,2,3)),$A$2:$A$75,0))=INDEX($G$2:$G$75,MATCH(VALUE(MID(P76,2,3)),$A$2:$A$75,0)),INDEX($H$2:$H$75,MATCH(VALUE(MID(P76,2,3)),$A$2:$A$75,0)),IF(INDEX($K$2:$K$75,MATCH(VALUE(MID(P76,2,3)),$A$2:$A$75,0))=INDEX($H$2:$H$75,MATCH(VALUE(MID(P76,2,3)),$A$2:$A$75,0)),INDEX($G$2:$G$75,MATCH(VALUE(MID(P76,2,3)),$A$2:$A$75,0)),P76)),P76),IFERROR(IF(VLOOKUP(RIGHT(P76,1)&amp;LEFT(P76,1),Clasificacion!$O$2:$Q$49,2,FALSE())="",P76,VLOOKUP(RIGHT(P76,1)&amp;LEFT(P76,1),Clasificacion!$O$2:$Q$49,2,FALSE())),P76)))))</f>
        <v>2C</v>
      </c>
      <c r="K76" s="1" t="str">
        <f t="shared" si="2"/>
        <v/>
      </c>
      <c r="L76" s="1" t="s">
        <v>283</v>
      </c>
      <c r="M76" s="1" t="str">
        <f>IF(O76="","",IF(LEFT(O76,1)="3",IFERROR(IF(VLOOKUP($A76&amp;"L",Asignacion_3ros!$A$2:$G$9,7,FALSE())="",O76,VLOOKUP($A76&amp;"L",Asignacion_3ros!$A$2:$G$9,7,FALSE())),O76),IF(LEFT(O76,1)="W",IFERROR(IF(INDEX($K$2:$K$75,MATCH(VALUE(MID(O76,2,3)),$A$2:$A$75,0))=INDEX($G$2:$G$75,MATCH(VALUE(MID(O76,2,3)),$A$2:$A$75,0)),INDEX($M$2:$M$75,MATCH(VALUE(MID(O76,2,3)),$A$2:$A$75,0)),IF(INDEX($K$2:$K$75,MATCH(VALUE(MID(O76,2,3)),$A$2:$A$75,0))=INDEX($H$2:$H$75,MATCH(VALUE(MID(O76,2,3)),$A$2:$A$75,0)),INDEX($N$2:$N$75,MATCH(VALUE(MID(O76,2,3)),$A$2:$A$75,0)),O76)),O76),IF(LEFT(O76,1)="L",IFERROR(IF(INDEX($K$2:$K$75,MATCH(VALUE(MID(O76,2,3)),$A$2:$A$75,0))=INDEX($G$2:$G$75,MATCH(VALUE(MID(O76,2,3)),$A$2:$A$75,0)),INDEX($N$2:$N$75,MATCH(VALUE(MID(O76,2,3)),$A$2:$A$75,0)),IF(INDEX($K$2:$K$75,MATCH(VALUE(MID(O76,2,3)),$A$2:$A$75,0))=INDEX($H$2:$H$75,MATCH(VALUE(MID(O76,2,3)),$A$2:$A$75,0)),INDEX($M$2:$M$75,MATCH(VALUE(MID(O76,2,3)),$A$2:$A$75,0)),O76)),O76),IFERROR(IF(VLOOKUP(RIGHT(O76,1)&amp;LEFT(O76,1),Clasificacion!$O$2:$Q$49,3,FALSE())="",O76,VLOOKUP(RIGHT(O76,1)&amp;LEFT(O76,1),Clasificacion!$O$2:$Q$49,3,FALSE())),O76)))))</f>
        <v>1F</v>
      </c>
      <c r="N76" s="1" t="str">
        <f>IF(P76="","",IF(LEFT(P76,1)="3",IFERROR(IF(VLOOKUP($A76&amp;"V",Asignacion_3ros!$A$2:$G$9,7,FALSE())="",P76,VLOOKUP($A76&amp;"V",Asignacion_3ros!$A$2:$G$9,7,FALSE())),P76),IF(LEFT(P76,1)="W",IFERROR(IF(INDEX($K$2:$K$75,MATCH(VALUE(MID(P76,2,3)),$A$2:$A$75,0))=INDEX($G$2:$G$75,MATCH(VALUE(MID(P76,2,3)),$A$2:$A$75,0)),INDEX($M$2:$M$75,MATCH(VALUE(MID(P76,2,3)),$A$2:$A$75,0)),IF(INDEX($K$2:$K$75,MATCH(VALUE(MID(P76,2,3)),$A$2:$A$75,0))=INDEX($H$2:$H$75,MATCH(VALUE(MID(P76,2,3)),$A$2:$A$75,0)),INDEX($N$2:$N$75,MATCH(VALUE(MID(P76,2,3)),$A$2:$A$75,0)),P76)),P76),IF(LEFT(P76,1)="L",IFERROR(IF(INDEX($K$2:$K$75,MATCH(VALUE(MID(P76,2,3)),$A$2:$A$75,0))=INDEX($G$2:$G$75,MATCH(VALUE(MID(P76,2,3)),$A$2:$A$75,0)),INDEX($N$2:$N$75,MATCH(VALUE(MID(P76,2,3)),$A$2:$A$75,0)),IF(INDEX($K$2:$K$75,MATCH(VALUE(MID(P76,2,3)),$A$2:$A$75,0))=INDEX($H$2:$H$75,MATCH(VALUE(MID(P76,2,3)),$A$2:$A$75,0)),INDEX($M$2:$M$75,MATCH(VALUE(MID(P76,2,3)),$A$2:$A$75,0)),P76)),P76),IFERROR(IF(VLOOKUP(RIGHT(P76,1)&amp;LEFT(P76,1),Clasificacion!$O$2:$Q$49,3,FALSE())="",P76,VLOOKUP(RIGHT(P76,1)&amp;LEFT(P76,1),Clasificacion!$O$2:$Q$49,3,FALSE())),P76)))))</f>
        <v>2C</v>
      </c>
      <c r="O76" s="1" t="s">
        <v>298</v>
      </c>
      <c r="P76" s="1" t="s">
        <v>299</v>
      </c>
      <c r="Q76" s="1" t="s">
        <v>266</v>
      </c>
    </row>
    <row r="77" spans="1:17" ht="14.25" customHeight="1" x14ac:dyDescent="0.25">
      <c r="A77" s="1">
        <v>76</v>
      </c>
      <c r="B77" s="1">
        <v>46202</v>
      </c>
      <c r="C77" s="85">
        <v>0.95833333333333337</v>
      </c>
      <c r="D77" s="1">
        <f>HOUR(tblPartidos[[#This Row],[Hora ET]])-1</f>
        <v>22</v>
      </c>
      <c r="E77" s="1" t="s">
        <v>292</v>
      </c>
      <c r="G77" s="1" t="str">
        <f>IF(O77="","",IF(LEFT(O77,1)="3",IFERROR(IF(VLOOKUP($A77&amp;"L",Asignacion_3ros!$A$2:$G$9,6,FALSE())="",O77,VLOOKUP($A77&amp;"L",Asignacion_3ros!$A$2:$G$9,6,FALSE())),O77),IF(LEFT(O77,1)="W",IFERROR(IF(INDEX($K$2:$K$76,MATCH(VALUE(MID(O77,2,3)),$A$2:$A$76,0))="",O77,INDEX($K$2:$K$76,MATCH(VALUE(MID(O77,2,3)),$A$2:$A$76,0))),O77),IF(LEFT(O77,1)="L",IFERROR(IF(INDEX($K$2:$K$76,MATCH(VALUE(MID(O77,2,3)),$A$2:$A$76,0))=INDEX($G$2:$G$76,MATCH(VALUE(MID(O77,2,3)),$A$2:$A$76,0)),INDEX($H$2:$H$76,MATCH(VALUE(MID(O77,2,3)),$A$2:$A$76,0)),IF(INDEX($K$2:$K$76,MATCH(VALUE(MID(O77,2,3)),$A$2:$A$76,0))=INDEX($H$2:$H$76,MATCH(VALUE(MID(O77,2,3)),$A$2:$A$76,0)),INDEX($G$2:$G$76,MATCH(VALUE(MID(O77,2,3)),$A$2:$A$76,0)),O77)),O77),IFERROR(IF(VLOOKUP(RIGHT(O77,1)&amp;LEFT(O77,1),Clasificacion!$O$2:$Q$49,2,FALSE())="",O77,VLOOKUP(RIGHT(O77,1)&amp;LEFT(O77,1),Clasificacion!$O$2:$Q$49,2,FALSE())),O77)))))</f>
        <v>1C</v>
      </c>
      <c r="H77" s="1" t="str">
        <f>IF(P77="","",IF(LEFT(P77,1)="3",IFERROR(IF(VLOOKUP($A77&amp;"V",Asignacion_3ros!$A$2:$G$9,6,FALSE())="",P77,VLOOKUP($A77&amp;"V",Asignacion_3ros!$A$2:$G$9,6,FALSE())),P77),IF(LEFT(P77,1)="W",IFERROR(IF(INDEX($K$2:$K$76,MATCH(VALUE(MID(P77,2,3)),$A$2:$A$76,0))="",P77,INDEX($K$2:$K$76,MATCH(VALUE(MID(P77,2,3)),$A$2:$A$76,0))),P77),IF(LEFT(P77,1)="L",IFERROR(IF(INDEX($K$2:$K$76,MATCH(VALUE(MID(P77,2,3)),$A$2:$A$76,0))=INDEX($G$2:$G$76,MATCH(VALUE(MID(P77,2,3)),$A$2:$A$76,0)),INDEX($H$2:$H$76,MATCH(VALUE(MID(P77,2,3)),$A$2:$A$76,0)),IF(INDEX($K$2:$K$76,MATCH(VALUE(MID(P77,2,3)),$A$2:$A$76,0))=INDEX($H$2:$H$76,MATCH(VALUE(MID(P77,2,3)),$A$2:$A$76,0)),INDEX($G$2:$G$76,MATCH(VALUE(MID(P77,2,3)),$A$2:$A$76,0)),P77)),P77),IFERROR(IF(VLOOKUP(RIGHT(P77,1)&amp;LEFT(P77,1),Clasificacion!$O$2:$Q$49,2,FALSE())="",P77,VLOOKUP(RIGHT(P77,1)&amp;LEFT(P77,1),Clasificacion!$O$2:$Q$49,2,FALSE())),P77)))))</f>
        <v>2F</v>
      </c>
      <c r="K77" s="1" t="str">
        <f t="shared" si="2"/>
        <v/>
      </c>
      <c r="L77" s="1" t="s">
        <v>280</v>
      </c>
      <c r="M77" s="1" t="str">
        <f>IF(O77="","",IF(LEFT(O77,1)="3",IFERROR(IF(VLOOKUP($A77&amp;"L",Asignacion_3ros!$A$2:$G$9,7,FALSE())="",O77,VLOOKUP($A77&amp;"L",Asignacion_3ros!$A$2:$G$9,7,FALSE())),O77),IF(LEFT(O77,1)="W",IFERROR(IF(INDEX($K$2:$K$76,MATCH(VALUE(MID(O77,2,3)),$A$2:$A$76,0))=INDEX($G$2:$G$76,MATCH(VALUE(MID(O77,2,3)),$A$2:$A$76,0)),INDEX($M$2:$M$76,MATCH(VALUE(MID(O77,2,3)),$A$2:$A$76,0)),IF(INDEX($K$2:$K$76,MATCH(VALUE(MID(O77,2,3)),$A$2:$A$76,0))=INDEX($H$2:$H$76,MATCH(VALUE(MID(O77,2,3)),$A$2:$A$76,0)),INDEX($N$2:$N$76,MATCH(VALUE(MID(O77,2,3)),$A$2:$A$76,0)),O77)),O77),IF(LEFT(O77,1)="L",IFERROR(IF(INDEX($K$2:$K$76,MATCH(VALUE(MID(O77,2,3)),$A$2:$A$76,0))=INDEX($G$2:$G$76,MATCH(VALUE(MID(O77,2,3)),$A$2:$A$76,0)),INDEX($N$2:$N$76,MATCH(VALUE(MID(O77,2,3)),$A$2:$A$76,0)),IF(INDEX($K$2:$K$76,MATCH(VALUE(MID(O77,2,3)),$A$2:$A$76,0))=INDEX($H$2:$H$76,MATCH(VALUE(MID(O77,2,3)),$A$2:$A$76,0)),INDEX($M$2:$M$76,MATCH(VALUE(MID(O77,2,3)),$A$2:$A$76,0)),O77)),O77),IFERROR(IF(VLOOKUP(RIGHT(O77,1)&amp;LEFT(O77,1),Clasificacion!$O$2:$Q$49,3,FALSE())="",O77,VLOOKUP(RIGHT(O77,1)&amp;LEFT(O77,1),Clasificacion!$O$2:$Q$49,3,FALSE())),O77)))))</f>
        <v>1C</v>
      </c>
      <c r="N77" s="1" t="str">
        <f>IF(P77="","",IF(LEFT(P77,1)="3",IFERROR(IF(VLOOKUP($A77&amp;"V",Asignacion_3ros!$A$2:$G$9,7,FALSE())="",P77,VLOOKUP($A77&amp;"V",Asignacion_3ros!$A$2:$G$9,7,FALSE())),P77),IF(LEFT(P77,1)="W",IFERROR(IF(INDEX($K$2:$K$76,MATCH(VALUE(MID(P77,2,3)),$A$2:$A$76,0))=INDEX($G$2:$G$76,MATCH(VALUE(MID(P77,2,3)),$A$2:$A$76,0)),INDEX($M$2:$M$76,MATCH(VALUE(MID(P77,2,3)),$A$2:$A$76,0)),IF(INDEX($K$2:$K$76,MATCH(VALUE(MID(P77,2,3)),$A$2:$A$76,0))=INDEX($H$2:$H$76,MATCH(VALUE(MID(P77,2,3)),$A$2:$A$76,0)),INDEX($N$2:$N$76,MATCH(VALUE(MID(P77,2,3)),$A$2:$A$76,0)),P77)),P77),IF(LEFT(P77,1)="L",IFERROR(IF(INDEX($K$2:$K$76,MATCH(VALUE(MID(P77,2,3)),$A$2:$A$76,0))=INDEX($G$2:$G$76,MATCH(VALUE(MID(P77,2,3)),$A$2:$A$76,0)),INDEX($N$2:$N$76,MATCH(VALUE(MID(P77,2,3)),$A$2:$A$76,0)),IF(INDEX($K$2:$K$76,MATCH(VALUE(MID(P77,2,3)),$A$2:$A$76,0))=INDEX($H$2:$H$76,MATCH(VALUE(MID(P77,2,3)),$A$2:$A$76,0)),INDEX($M$2:$M$76,MATCH(VALUE(MID(P77,2,3)),$A$2:$A$76,0)),P77)),P77),IFERROR(IF(VLOOKUP(RIGHT(P77,1)&amp;LEFT(P77,1),Clasificacion!$O$2:$Q$49,3,FALSE())="",P77,VLOOKUP(RIGHT(P77,1)&amp;LEFT(P77,1),Clasificacion!$O$2:$Q$49,3,FALSE())),P77)))))</f>
        <v>2F</v>
      </c>
      <c r="O77" s="1" t="s">
        <v>300</v>
      </c>
      <c r="P77" s="1" t="s">
        <v>301</v>
      </c>
      <c r="Q77" s="1" t="s">
        <v>266</v>
      </c>
    </row>
    <row r="78" spans="1:17" ht="14.25" customHeight="1" x14ac:dyDescent="0.25">
      <c r="A78" s="1">
        <v>77</v>
      </c>
      <c r="B78" s="1">
        <v>46202</v>
      </c>
      <c r="C78" s="85">
        <v>0.66666666666666663</v>
      </c>
      <c r="D78" s="1">
        <f>HOUR(tblPartidos[[#This Row],[Hora ET]])-1</f>
        <v>15</v>
      </c>
      <c r="E78" s="1" t="s">
        <v>292</v>
      </c>
      <c r="G78" s="1" t="str">
        <f>IF(O78="","",IF(LEFT(O78,1)="3",IFERROR(IF(VLOOKUP($A78&amp;"L",Asignacion_3ros!$A$2:$G$9,6,FALSE())="",O78,VLOOKUP($A78&amp;"L",Asignacion_3ros!$A$2:$G$9,6,FALSE())),O78),IF(LEFT(O78,1)="W",IFERROR(IF(INDEX($K$2:$K$77,MATCH(VALUE(MID(O78,2,3)),$A$2:$A$77,0))="",O78,INDEX($K$2:$K$77,MATCH(VALUE(MID(O78,2,3)),$A$2:$A$77,0))),O78),IF(LEFT(O78,1)="L",IFERROR(IF(INDEX($K$2:$K$77,MATCH(VALUE(MID(O78,2,3)),$A$2:$A$77,0))=INDEX($G$2:$G$77,MATCH(VALUE(MID(O78,2,3)),$A$2:$A$77,0)),INDEX($H$2:$H$77,MATCH(VALUE(MID(O78,2,3)),$A$2:$A$77,0)),IF(INDEX($K$2:$K$77,MATCH(VALUE(MID(O78,2,3)),$A$2:$A$77,0))=INDEX($H$2:$H$77,MATCH(VALUE(MID(O78,2,3)),$A$2:$A$77,0)),INDEX($G$2:$G$77,MATCH(VALUE(MID(O78,2,3)),$A$2:$A$77,0)),O78)),O78),IFERROR(IF(VLOOKUP(RIGHT(O78,1)&amp;LEFT(O78,1),Clasificacion!$O$2:$Q$49,2,FALSE())="",O78,VLOOKUP(RIGHT(O78,1)&amp;LEFT(O78,1),Clasificacion!$O$2:$Q$49,2,FALSE())),O78)))))</f>
        <v>1I</v>
      </c>
      <c r="H78" s="1" t="str">
        <f>IF(P78="","",IF(LEFT(P78,1)="3",IFERROR(IF(VLOOKUP($A78&amp;"V",Asignacion_3ros!$A$2:$G$9,6,FALSE())="",P78,VLOOKUP($A78&amp;"V",Asignacion_3ros!$A$2:$G$9,6,FALSE())),P78),IF(LEFT(P78,1)="W",IFERROR(IF(INDEX($K$2:$K$77,MATCH(VALUE(MID(P78,2,3)),$A$2:$A$77,0))="",P78,INDEX($K$2:$K$77,MATCH(VALUE(MID(P78,2,3)),$A$2:$A$77,0))),P78),IF(LEFT(P78,1)="L",IFERROR(IF(INDEX($K$2:$K$77,MATCH(VALUE(MID(P78,2,3)),$A$2:$A$77,0))=INDEX($G$2:$G$77,MATCH(VALUE(MID(P78,2,3)),$A$2:$A$77,0)),INDEX($H$2:$H$77,MATCH(VALUE(MID(P78,2,3)),$A$2:$A$77,0)),IF(INDEX($K$2:$K$77,MATCH(VALUE(MID(P78,2,3)),$A$2:$A$77,0))=INDEX($H$2:$H$77,MATCH(VALUE(MID(P78,2,3)),$A$2:$A$77,0)),INDEX($G$2:$G$77,MATCH(VALUE(MID(P78,2,3)),$A$2:$A$77,0)),P78)),P78),IFERROR(IF(VLOOKUP(RIGHT(P78,1)&amp;LEFT(P78,1),Clasificacion!$O$2:$Q$49,2,FALSE())="",P78,VLOOKUP(RIGHT(P78,1)&amp;LEFT(P78,1),Clasificacion!$O$2:$Q$49,2,FALSE())),P78)))))</f>
        <v>Bosnia y Herzegovina</v>
      </c>
      <c r="K78" s="1" t="str">
        <f t="shared" si="2"/>
        <v/>
      </c>
      <c r="L78" s="1" t="s">
        <v>275</v>
      </c>
      <c r="M78" s="1" t="str">
        <f>IF(O78="","",IF(LEFT(O78,1)="3",IFERROR(IF(VLOOKUP($A78&amp;"L",Asignacion_3ros!$A$2:$G$9,7,FALSE())="",O78,VLOOKUP($A78&amp;"L",Asignacion_3ros!$A$2:$G$9,7,FALSE())),O78),IF(LEFT(O78,1)="W",IFERROR(IF(INDEX($K$2:$K$77,MATCH(VALUE(MID(O78,2,3)),$A$2:$A$77,0))=INDEX($G$2:$G$77,MATCH(VALUE(MID(O78,2,3)),$A$2:$A$77,0)),INDEX($M$2:$M$77,MATCH(VALUE(MID(O78,2,3)),$A$2:$A$77,0)),IF(INDEX($K$2:$K$77,MATCH(VALUE(MID(O78,2,3)),$A$2:$A$77,0))=INDEX($H$2:$H$77,MATCH(VALUE(MID(O78,2,3)),$A$2:$A$77,0)),INDEX($N$2:$N$77,MATCH(VALUE(MID(O78,2,3)),$A$2:$A$77,0)),O78)),O78),IF(LEFT(O78,1)="L",IFERROR(IF(INDEX($K$2:$K$77,MATCH(VALUE(MID(O78,2,3)),$A$2:$A$77,0))=INDEX($G$2:$G$77,MATCH(VALUE(MID(O78,2,3)),$A$2:$A$77,0)),INDEX($N$2:$N$77,MATCH(VALUE(MID(O78,2,3)),$A$2:$A$77,0)),IF(INDEX($K$2:$K$77,MATCH(VALUE(MID(O78,2,3)),$A$2:$A$77,0))=INDEX($H$2:$H$77,MATCH(VALUE(MID(O78,2,3)),$A$2:$A$77,0)),INDEX($M$2:$M$77,MATCH(VALUE(MID(O78,2,3)),$A$2:$A$77,0)),O78)),O78),IFERROR(IF(VLOOKUP(RIGHT(O78,1)&amp;LEFT(O78,1),Clasificacion!$O$2:$Q$49,3,FALSE())="",O78,VLOOKUP(RIGHT(O78,1)&amp;LEFT(O78,1),Clasificacion!$O$2:$Q$49,3,FALSE())),O78)))))</f>
        <v>1I</v>
      </c>
      <c r="N78" s="1" t="str">
        <f>IF(P78="","",IF(LEFT(P78,1)="3",IFERROR(IF(VLOOKUP($A78&amp;"V",Asignacion_3ros!$A$2:$G$9,7,FALSE())="",P78,VLOOKUP($A78&amp;"V",Asignacion_3ros!$A$2:$G$9,7,FALSE())),P78),IF(LEFT(P78,1)="W",IFERROR(IF(INDEX($K$2:$K$77,MATCH(VALUE(MID(P78,2,3)),$A$2:$A$77,0))=INDEX($G$2:$G$77,MATCH(VALUE(MID(P78,2,3)),$A$2:$A$77,0)),INDEX($M$2:$M$77,MATCH(VALUE(MID(P78,2,3)),$A$2:$A$77,0)),IF(INDEX($K$2:$K$77,MATCH(VALUE(MID(P78,2,3)),$A$2:$A$77,0))=INDEX($H$2:$H$77,MATCH(VALUE(MID(P78,2,3)),$A$2:$A$77,0)),INDEX($N$2:$N$77,MATCH(VALUE(MID(P78,2,3)),$A$2:$A$77,0)),P78)),P78),IF(LEFT(P78,1)="L",IFERROR(IF(INDEX($K$2:$K$77,MATCH(VALUE(MID(P78,2,3)),$A$2:$A$77,0))=INDEX($G$2:$G$77,MATCH(VALUE(MID(P78,2,3)),$A$2:$A$77,0)),INDEX($N$2:$N$77,MATCH(VALUE(MID(P78,2,3)),$A$2:$A$77,0)),IF(INDEX($K$2:$K$77,MATCH(VALUE(MID(P78,2,3)),$A$2:$A$77,0))=INDEX($H$2:$H$77,MATCH(VALUE(MID(P78,2,3)),$A$2:$A$77,0)),INDEX($M$2:$M$77,MATCH(VALUE(MID(P78,2,3)),$A$2:$A$77,0)),P78)),P78),IFERROR(IF(VLOOKUP(RIGHT(P78,1)&amp;LEFT(P78,1),Clasificacion!$O$2:$Q$49,3,FALSE())="",P78,VLOOKUP(RIGHT(P78,1)&amp;LEFT(P78,1),Clasificacion!$O$2:$Q$49,3,FALSE())),P78)))))</f>
        <v>BIH</v>
      </c>
      <c r="O78" s="1" t="s">
        <v>302</v>
      </c>
      <c r="P78" s="1" t="s">
        <v>303</v>
      </c>
      <c r="Q78" s="1" t="s">
        <v>266</v>
      </c>
    </row>
    <row r="79" spans="1:17" ht="14.25" customHeight="1" x14ac:dyDescent="0.25">
      <c r="A79" s="1">
        <v>78</v>
      </c>
      <c r="B79" s="1">
        <v>46203</v>
      </c>
      <c r="C79" s="85">
        <v>0.95833333333333337</v>
      </c>
      <c r="D79" s="1">
        <f>HOUR(tblPartidos[[#This Row],[Hora ET]])-1</f>
        <v>22</v>
      </c>
      <c r="E79" s="1" t="s">
        <v>292</v>
      </c>
      <c r="G79" s="1" t="str">
        <f>IF(O79="","",IF(LEFT(O79,1)="3",IFERROR(IF(VLOOKUP($A79&amp;"L",Asignacion_3ros!$A$2:$G$9,6,FALSE())="",O79,VLOOKUP($A79&amp;"L",Asignacion_3ros!$A$2:$G$9,6,FALSE())),O79),IF(LEFT(O79,1)="W",IFERROR(IF(INDEX($K$2:$K$78,MATCH(VALUE(MID(O79,2,3)),$A$2:$A$78,0))="",O79,INDEX($K$2:$K$78,MATCH(VALUE(MID(O79,2,3)),$A$2:$A$78,0))),O79),IF(LEFT(O79,1)="L",IFERROR(IF(INDEX($K$2:$K$78,MATCH(VALUE(MID(O79,2,3)),$A$2:$A$78,0))=INDEX($G$2:$G$78,MATCH(VALUE(MID(O79,2,3)),$A$2:$A$78,0)),INDEX($H$2:$H$78,MATCH(VALUE(MID(O79,2,3)),$A$2:$A$78,0)),IF(INDEX($K$2:$K$78,MATCH(VALUE(MID(O79,2,3)),$A$2:$A$78,0))=INDEX($H$2:$H$78,MATCH(VALUE(MID(O79,2,3)),$A$2:$A$78,0)),INDEX($G$2:$G$78,MATCH(VALUE(MID(O79,2,3)),$A$2:$A$78,0)),O79)),O79),IFERROR(IF(VLOOKUP(RIGHT(O79,1)&amp;LEFT(O79,1),Clasificacion!$O$2:$Q$49,2,FALSE())="",O79,VLOOKUP(RIGHT(O79,1)&amp;LEFT(O79,1),Clasificacion!$O$2:$Q$49,2,FALSE())),O79)))))</f>
        <v>2E</v>
      </c>
      <c r="H79" s="1" t="str">
        <f>IF(P79="","",IF(LEFT(P79,1)="3",IFERROR(IF(VLOOKUP($A79&amp;"V",Asignacion_3ros!$A$2:$G$9,6,FALSE())="",P79,VLOOKUP($A79&amp;"V",Asignacion_3ros!$A$2:$G$9,6,FALSE())),P79),IF(LEFT(P79,1)="W",IFERROR(IF(INDEX($K$2:$K$78,MATCH(VALUE(MID(P79,2,3)),$A$2:$A$78,0))="",P79,INDEX($K$2:$K$78,MATCH(VALUE(MID(P79,2,3)),$A$2:$A$78,0))),P79),IF(LEFT(P79,1)="L",IFERROR(IF(INDEX($K$2:$K$78,MATCH(VALUE(MID(P79,2,3)),$A$2:$A$78,0))=INDEX($G$2:$G$78,MATCH(VALUE(MID(P79,2,3)),$A$2:$A$78,0)),INDEX($H$2:$H$78,MATCH(VALUE(MID(P79,2,3)),$A$2:$A$78,0)),IF(INDEX($K$2:$K$78,MATCH(VALUE(MID(P79,2,3)),$A$2:$A$78,0))=INDEX($H$2:$H$78,MATCH(VALUE(MID(P79,2,3)),$A$2:$A$78,0)),INDEX($G$2:$G$78,MATCH(VALUE(MID(P79,2,3)),$A$2:$A$78,0)),P79)),P79),IFERROR(IF(VLOOKUP(RIGHT(P79,1)&amp;LEFT(P79,1),Clasificacion!$O$2:$Q$49,2,FALSE())="",P79,VLOOKUP(RIGHT(P79,1)&amp;LEFT(P79,1),Clasificacion!$O$2:$Q$49,2,FALSE())),P79)))))</f>
        <v>2I</v>
      </c>
      <c r="K79" s="1" t="str">
        <f t="shared" si="2"/>
        <v/>
      </c>
      <c r="L79" s="1" t="s">
        <v>282</v>
      </c>
      <c r="M79" s="1" t="str">
        <f>IF(O79="","",IF(LEFT(O79,1)="3",IFERROR(IF(VLOOKUP($A79&amp;"L",Asignacion_3ros!$A$2:$G$9,7,FALSE())="",O79,VLOOKUP($A79&amp;"L",Asignacion_3ros!$A$2:$G$9,7,FALSE())),O79),IF(LEFT(O79,1)="W",IFERROR(IF(INDEX($K$2:$K$78,MATCH(VALUE(MID(O79,2,3)),$A$2:$A$78,0))=INDEX($G$2:$G$78,MATCH(VALUE(MID(O79,2,3)),$A$2:$A$78,0)),INDEX($M$2:$M$78,MATCH(VALUE(MID(O79,2,3)),$A$2:$A$78,0)),IF(INDEX($K$2:$K$78,MATCH(VALUE(MID(O79,2,3)),$A$2:$A$78,0))=INDEX($H$2:$H$78,MATCH(VALUE(MID(O79,2,3)),$A$2:$A$78,0)),INDEX($N$2:$N$78,MATCH(VALUE(MID(O79,2,3)),$A$2:$A$78,0)),O79)),O79),IF(LEFT(O79,1)="L",IFERROR(IF(INDEX($K$2:$K$78,MATCH(VALUE(MID(O79,2,3)),$A$2:$A$78,0))=INDEX($G$2:$G$78,MATCH(VALUE(MID(O79,2,3)),$A$2:$A$78,0)),INDEX($N$2:$N$78,MATCH(VALUE(MID(O79,2,3)),$A$2:$A$78,0)),IF(INDEX($K$2:$K$78,MATCH(VALUE(MID(O79,2,3)),$A$2:$A$78,0))=INDEX($H$2:$H$78,MATCH(VALUE(MID(O79,2,3)),$A$2:$A$78,0)),INDEX($M$2:$M$78,MATCH(VALUE(MID(O79,2,3)),$A$2:$A$78,0)),O79)),O79),IFERROR(IF(VLOOKUP(RIGHT(O79,1)&amp;LEFT(O79,1),Clasificacion!$O$2:$Q$49,3,FALSE())="",O79,VLOOKUP(RIGHT(O79,1)&amp;LEFT(O79,1),Clasificacion!$O$2:$Q$49,3,FALSE())),O79)))))</f>
        <v>2E</v>
      </c>
      <c r="N79" s="1" t="str">
        <f>IF(P79="","",IF(LEFT(P79,1)="3",IFERROR(IF(VLOOKUP($A79&amp;"V",Asignacion_3ros!$A$2:$G$9,7,FALSE())="",P79,VLOOKUP($A79&amp;"V",Asignacion_3ros!$A$2:$G$9,7,FALSE())),P79),IF(LEFT(P79,1)="W",IFERROR(IF(INDEX($K$2:$K$78,MATCH(VALUE(MID(P79,2,3)),$A$2:$A$78,0))=INDEX($G$2:$G$78,MATCH(VALUE(MID(P79,2,3)),$A$2:$A$78,0)),INDEX($M$2:$M$78,MATCH(VALUE(MID(P79,2,3)),$A$2:$A$78,0)),IF(INDEX($K$2:$K$78,MATCH(VALUE(MID(P79,2,3)),$A$2:$A$78,0))=INDEX($H$2:$H$78,MATCH(VALUE(MID(P79,2,3)),$A$2:$A$78,0)),INDEX($N$2:$N$78,MATCH(VALUE(MID(P79,2,3)),$A$2:$A$78,0)),P79)),P79),IF(LEFT(P79,1)="L",IFERROR(IF(INDEX($K$2:$K$78,MATCH(VALUE(MID(P79,2,3)),$A$2:$A$78,0))=INDEX($G$2:$G$78,MATCH(VALUE(MID(P79,2,3)),$A$2:$A$78,0)),INDEX($N$2:$N$78,MATCH(VALUE(MID(P79,2,3)),$A$2:$A$78,0)),IF(INDEX($K$2:$K$78,MATCH(VALUE(MID(P79,2,3)),$A$2:$A$78,0))=INDEX($H$2:$H$78,MATCH(VALUE(MID(P79,2,3)),$A$2:$A$78,0)),INDEX($M$2:$M$78,MATCH(VALUE(MID(P79,2,3)),$A$2:$A$78,0)),P79)),P79),IFERROR(IF(VLOOKUP(RIGHT(P79,1)&amp;LEFT(P79,1),Clasificacion!$O$2:$Q$49,3,FALSE())="",P79,VLOOKUP(RIGHT(P79,1)&amp;LEFT(P79,1),Clasificacion!$O$2:$Q$49,3,FALSE())),P79)))))</f>
        <v>2I</v>
      </c>
      <c r="O79" s="1" t="s">
        <v>304</v>
      </c>
      <c r="P79" s="1" t="s">
        <v>305</v>
      </c>
      <c r="Q79" s="1" t="s">
        <v>266</v>
      </c>
    </row>
    <row r="80" spans="1:17" ht="14.25" customHeight="1" x14ac:dyDescent="0.25">
      <c r="A80" s="1">
        <v>79</v>
      </c>
      <c r="B80" s="1">
        <v>46203</v>
      </c>
      <c r="C80" s="85">
        <v>0.83333333333333337</v>
      </c>
      <c r="D80" s="1">
        <f>HOUR(tblPartidos[[#This Row],[Hora ET]])-1</f>
        <v>19</v>
      </c>
      <c r="E80" s="1" t="s">
        <v>292</v>
      </c>
      <c r="G80" s="1" t="str">
        <f>IF(O80="","",IF(LEFT(O80,1)="3",IFERROR(IF(VLOOKUP($A80&amp;"L",Asignacion_3ros!$A$2:$G$9,6,FALSE())="",O80,VLOOKUP($A80&amp;"L",Asignacion_3ros!$A$2:$G$9,6,FALSE())),O80),IF(LEFT(O80,1)="W",IFERROR(IF(INDEX($K$2:$K$79,MATCH(VALUE(MID(O80,2,3)),$A$2:$A$79,0))="",O80,INDEX($K$2:$K$79,MATCH(VALUE(MID(O80,2,3)),$A$2:$A$79,0))),O80),IF(LEFT(O80,1)="L",IFERROR(IF(INDEX($K$2:$K$79,MATCH(VALUE(MID(O80,2,3)),$A$2:$A$79,0))=INDEX($G$2:$G$79,MATCH(VALUE(MID(O80,2,3)),$A$2:$A$79,0)),INDEX($H$2:$H$79,MATCH(VALUE(MID(O80,2,3)),$A$2:$A$79,0)),IF(INDEX($K$2:$K$79,MATCH(VALUE(MID(O80,2,3)),$A$2:$A$79,0))=INDEX($H$2:$H$79,MATCH(VALUE(MID(O80,2,3)),$A$2:$A$79,0)),INDEX($G$2:$G$79,MATCH(VALUE(MID(O80,2,3)),$A$2:$A$79,0)),O80)),O80),IFERROR(IF(VLOOKUP(RIGHT(O80,1)&amp;LEFT(O80,1),Clasificacion!$O$2:$Q$49,2,FALSE())="",O80,VLOOKUP(RIGHT(O80,1)&amp;LEFT(O80,1),Clasificacion!$O$2:$Q$49,2,FALSE())),O80)))))</f>
        <v>México</v>
      </c>
      <c r="H80" s="1" t="str">
        <f>IF(P80="","",IF(LEFT(P80,1)="3",IFERROR(IF(VLOOKUP($A80&amp;"V",Asignacion_3ros!$A$2:$G$9,6,FALSE())="",P80,VLOOKUP($A80&amp;"V",Asignacion_3ros!$A$2:$G$9,6,FALSE())),P80),IF(LEFT(P80,1)="W",IFERROR(IF(INDEX($K$2:$K$79,MATCH(VALUE(MID(P80,2,3)),$A$2:$A$79,0))="",P80,INDEX($K$2:$K$79,MATCH(VALUE(MID(P80,2,3)),$A$2:$A$79,0))),P80),IF(LEFT(P80,1)="L",IFERROR(IF(INDEX($K$2:$K$79,MATCH(VALUE(MID(P80,2,3)),$A$2:$A$79,0))=INDEX($G$2:$G$79,MATCH(VALUE(MID(P80,2,3)),$A$2:$A$79,0)),INDEX($H$2:$H$79,MATCH(VALUE(MID(P80,2,3)),$A$2:$A$79,0)),IF(INDEX($K$2:$K$79,MATCH(VALUE(MID(P80,2,3)),$A$2:$A$79,0))=INDEX($H$2:$H$79,MATCH(VALUE(MID(P80,2,3)),$A$2:$A$79,0)),INDEX($G$2:$G$79,MATCH(VALUE(MID(P80,2,3)),$A$2:$A$79,0)),P80)),P80),IFERROR(IF(VLOOKUP(RIGHT(P80,1)&amp;LEFT(P80,1),Clasificacion!$O$2:$Q$49,2,FALSE())="",P80,VLOOKUP(RIGHT(P80,1)&amp;LEFT(P80,1),Clasificacion!$O$2:$Q$49,2,FALSE())),P80)))))</f>
        <v>Suiza</v>
      </c>
      <c r="K80" s="1" t="str">
        <f t="shared" si="2"/>
        <v/>
      </c>
      <c r="L80" s="1" t="s">
        <v>265</v>
      </c>
      <c r="M80" s="1" t="str">
        <f>IF(O80="","",IF(LEFT(O80,1)="3",IFERROR(IF(VLOOKUP($A80&amp;"L",Asignacion_3ros!$A$2:$G$9,7,FALSE())="",O80,VLOOKUP($A80&amp;"L",Asignacion_3ros!$A$2:$G$9,7,FALSE())),O80),IF(LEFT(O80,1)="W",IFERROR(IF(INDEX($K$2:$K$79,MATCH(VALUE(MID(O80,2,3)),$A$2:$A$79,0))=INDEX($G$2:$G$79,MATCH(VALUE(MID(O80,2,3)),$A$2:$A$79,0)),INDEX($M$2:$M$79,MATCH(VALUE(MID(O80,2,3)),$A$2:$A$79,0)),IF(INDEX($K$2:$K$79,MATCH(VALUE(MID(O80,2,3)),$A$2:$A$79,0))=INDEX($H$2:$H$79,MATCH(VALUE(MID(O80,2,3)),$A$2:$A$79,0)),INDEX($N$2:$N$79,MATCH(VALUE(MID(O80,2,3)),$A$2:$A$79,0)),O80)),O80),IF(LEFT(O80,1)="L",IFERROR(IF(INDEX($K$2:$K$79,MATCH(VALUE(MID(O80,2,3)),$A$2:$A$79,0))=INDEX($G$2:$G$79,MATCH(VALUE(MID(O80,2,3)),$A$2:$A$79,0)),INDEX($N$2:$N$79,MATCH(VALUE(MID(O80,2,3)),$A$2:$A$79,0)),IF(INDEX($K$2:$K$79,MATCH(VALUE(MID(O80,2,3)),$A$2:$A$79,0))=INDEX($H$2:$H$79,MATCH(VALUE(MID(O80,2,3)),$A$2:$A$79,0)),INDEX($M$2:$M$79,MATCH(VALUE(MID(O80,2,3)),$A$2:$A$79,0)),O80)),O80),IFERROR(IF(VLOOKUP(RIGHT(O80,1)&amp;LEFT(O80,1),Clasificacion!$O$2:$Q$49,3,FALSE())="",O80,VLOOKUP(RIGHT(O80,1)&amp;LEFT(O80,1),Clasificacion!$O$2:$Q$49,3,FALSE())),O80)))))</f>
        <v>MEX</v>
      </c>
      <c r="N80" s="1" t="str">
        <f>IF(P80="","",IF(LEFT(P80,1)="3",IFERROR(IF(VLOOKUP($A80&amp;"V",Asignacion_3ros!$A$2:$G$9,7,FALSE())="",P80,VLOOKUP($A80&amp;"V",Asignacion_3ros!$A$2:$G$9,7,FALSE())),P80),IF(LEFT(P80,1)="W",IFERROR(IF(INDEX($K$2:$K$79,MATCH(VALUE(MID(P80,2,3)),$A$2:$A$79,0))=INDEX($G$2:$G$79,MATCH(VALUE(MID(P80,2,3)),$A$2:$A$79,0)),INDEX($M$2:$M$79,MATCH(VALUE(MID(P80,2,3)),$A$2:$A$79,0)),IF(INDEX($K$2:$K$79,MATCH(VALUE(MID(P80,2,3)),$A$2:$A$79,0))=INDEX($H$2:$H$79,MATCH(VALUE(MID(P80,2,3)),$A$2:$A$79,0)),INDEX($N$2:$N$79,MATCH(VALUE(MID(P80,2,3)),$A$2:$A$79,0)),P80)),P80),IF(LEFT(P80,1)="L",IFERROR(IF(INDEX($K$2:$K$79,MATCH(VALUE(MID(P80,2,3)),$A$2:$A$79,0))=INDEX($G$2:$G$79,MATCH(VALUE(MID(P80,2,3)),$A$2:$A$79,0)),INDEX($N$2:$N$79,MATCH(VALUE(MID(P80,2,3)),$A$2:$A$79,0)),IF(INDEX($K$2:$K$79,MATCH(VALUE(MID(P80,2,3)),$A$2:$A$79,0))=INDEX($H$2:$H$79,MATCH(VALUE(MID(P80,2,3)),$A$2:$A$79,0)),INDEX($M$2:$M$79,MATCH(VALUE(MID(P80,2,3)),$A$2:$A$79,0)),P80)),P80),IFERROR(IF(VLOOKUP(RIGHT(P80,1)&amp;LEFT(P80,1),Clasificacion!$O$2:$Q$49,3,FALSE())="",P80,VLOOKUP(RIGHT(P80,1)&amp;LEFT(P80,1),Clasificacion!$O$2:$Q$49,3,FALSE())),P80)))))</f>
        <v>SUI</v>
      </c>
      <c r="O80" s="1" t="s">
        <v>306</v>
      </c>
      <c r="P80" s="1" t="s">
        <v>307</v>
      </c>
      <c r="Q80" s="1" t="s">
        <v>266</v>
      </c>
    </row>
    <row r="81" spans="1:17" ht="14.25" customHeight="1" x14ac:dyDescent="0.25">
      <c r="A81" s="1">
        <v>80</v>
      </c>
      <c r="B81" s="1">
        <v>46203</v>
      </c>
      <c r="C81" s="85">
        <v>0.45833333333333331</v>
      </c>
      <c r="D81" s="1">
        <f>HOUR(tblPartidos[[#This Row],[Hora ET]])-1</f>
        <v>10</v>
      </c>
      <c r="E81" s="1" t="s">
        <v>292</v>
      </c>
      <c r="G81" s="1" t="str">
        <f>IF(O81="","",IF(LEFT(O81,1)="3",IFERROR(IF(VLOOKUP($A81&amp;"L",Asignacion_3ros!$A$2:$G$9,6,FALSE())="",O81,VLOOKUP($A81&amp;"L",Asignacion_3ros!$A$2:$G$9,6,FALSE())),O81),IF(LEFT(O81,1)="W",IFERROR(IF(INDEX($K$2:$K$80,MATCH(VALUE(MID(O81,2,3)),$A$2:$A$80,0))="",O81,INDEX($K$2:$K$80,MATCH(VALUE(MID(O81,2,3)),$A$2:$A$80,0))),O81),IF(LEFT(O81,1)="L",IFERROR(IF(INDEX($K$2:$K$80,MATCH(VALUE(MID(O81,2,3)),$A$2:$A$80,0))=INDEX($G$2:$G$80,MATCH(VALUE(MID(O81,2,3)),$A$2:$A$80,0)),INDEX($H$2:$H$80,MATCH(VALUE(MID(O81,2,3)),$A$2:$A$80,0)),IF(INDEX($K$2:$K$80,MATCH(VALUE(MID(O81,2,3)),$A$2:$A$80,0))=INDEX($H$2:$H$80,MATCH(VALUE(MID(O81,2,3)),$A$2:$A$80,0)),INDEX($G$2:$G$80,MATCH(VALUE(MID(O81,2,3)),$A$2:$A$80,0)),O81)),O81),IFERROR(IF(VLOOKUP(RIGHT(O81,1)&amp;LEFT(O81,1),Clasificacion!$O$2:$Q$49,2,FALSE())="",O81,VLOOKUP(RIGHT(O81,1)&amp;LEFT(O81,1),Clasificacion!$O$2:$Q$49,2,FALSE())),O81)))))</f>
        <v>1L</v>
      </c>
      <c r="H81" s="1" t="str">
        <f>IF(P81="","",IF(LEFT(P81,1)="3",IFERROR(IF(VLOOKUP($A81&amp;"V",Asignacion_3ros!$A$2:$G$9,6,FALSE())="",P81,VLOOKUP($A81&amp;"V",Asignacion_3ros!$A$2:$G$9,6,FALSE())),P81),IF(LEFT(P81,1)="W",IFERROR(IF(INDEX($K$2:$K$80,MATCH(VALUE(MID(P81,2,3)),$A$2:$A$80,0))="",P81,INDEX($K$2:$K$80,MATCH(VALUE(MID(P81,2,3)),$A$2:$A$80,0))),P81),IF(LEFT(P81,1)="L",IFERROR(IF(INDEX($K$2:$K$80,MATCH(VALUE(MID(P81,2,3)),$A$2:$A$80,0))=INDEX($G$2:$G$80,MATCH(VALUE(MID(P81,2,3)),$A$2:$A$80,0)),INDEX($H$2:$H$80,MATCH(VALUE(MID(P81,2,3)),$A$2:$A$80,0)),IF(INDEX($K$2:$K$80,MATCH(VALUE(MID(P81,2,3)),$A$2:$A$80,0))=INDEX($H$2:$H$80,MATCH(VALUE(MID(P81,2,3)),$A$2:$A$80,0)),INDEX($G$2:$G$80,MATCH(VALUE(MID(P81,2,3)),$A$2:$A$80,0)),P81)),P81),IFERROR(IF(VLOOKUP(RIGHT(P81,1)&amp;LEFT(P81,1),Clasificacion!$O$2:$Q$49,2,FALSE())="",P81,VLOOKUP(RIGHT(P81,1)&amp;LEFT(P81,1),Clasificacion!$O$2:$Q$49,2,FALSE())),P81)))))</f>
        <v>Haití</v>
      </c>
      <c r="K81" s="1" t="str">
        <f t="shared" si="2"/>
        <v/>
      </c>
      <c r="L81" s="1" t="s">
        <v>286</v>
      </c>
      <c r="M81" s="1" t="str">
        <f>IF(O81="","",IF(LEFT(O81,1)="3",IFERROR(IF(VLOOKUP($A81&amp;"L",Asignacion_3ros!$A$2:$G$9,7,FALSE())="",O81,VLOOKUP($A81&amp;"L",Asignacion_3ros!$A$2:$G$9,7,FALSE())),O81),IF(LEFT(O81,1)="W",IFERROR(IF(INDEX($K$2:$K$80,MATCH(VALUE(MID(O81,2,3)),$A$2:$A$80,0))=INDEX($G$2:$G$80,MATCH(VALUE(MID(O81,2,3)),$A$2:$A$80,0)),INDEX($M$2:$M$80,MATCH(VALUE(MID(O81,2,3)),$A$2:$A$80,0)),IF(INDEX($K$2:$K$80,MATCH(VALUE(MID(O81,2,3)),$A$2:$A$80,0))=INDEX($H$2:$H$80,MATCH(VALUE(MID(O81,2,3)),$A$2:$A$80,0)),INDEX($N$2:$N$80,MATCH(VALUE(MID(O81,2,3)),$A$2:$A$80,0)),O81)),O81),IF(LEFT(O81,1)="L",IFERROR(IF(INDEX($K$2:$K$80,MATCH(VALUE(MID(O81,2,3)),$A$2:$A$80,0))=INDEX($G$2:$G$80,MATCH(VALUE(MID(O81,2,3)),$A$2:$A$80,0)),INDEX($N$2:$N$80,MATCH(VALUE(MID(O81,2,3)),$A$2:$A$80,0)),IF(INDEX($K$2:$K$80,MATCH(VALUE(MID(O81,2,3)),$A$2:$A$80,0))=INDEX($H$2:$H$80,MATCH(VALUE(MID(O81,2,3)),$A$2:$A$80,0)),INDEX($M$2:$M$80,MATCH(VALUE(MID(O81,2,3)),$A$2:$A$80,0)),O81)),O81),IFERROR(IF(VLOOKUP(RIGHT(O81,1)&amp;LEFT(O81,1),Clasificacion!$O$2:$Q$49,3,FALSE())="",O81,VLOOKUP(RIGHT(O81,1)&amp;LEFT(O81,1),Clasificacion!$O$2:$Q$49,3,FALSE())),O81)))))</f>
        <v>1L</v>
      </c>
      <c r="N81" s="1" t="str">
        <f>IF(P81="","",IF(LEFT(P81,1)="3",IFERROR(IF(VLOOKUP($A81&amp;"V",Asignacion_3ros!$A$2:$G$9,7,FALSE())="",P81,VLOOKUP($A81&amp;"V",Asignacion_3ros!$A$2:$G$9,7,FALSE())),P81),IF(LEFT(P81,1)="W",IFERROR(IF(INDEX($K$2:$K$80,MATCH(VALUE(MID(P81,2,3)),$A$2:$A$80,0))=INDEX($G$2:$G$80,MATCH(VALUE(MID(P81,2,3)),$A$2:$A$80,0)),INDEX($M$2:$M$80,MATCH(VALUE(MID(P81,2,3)),$A$2:$A$80,0)),IF(INDEX($K$2:$K$80,MATCH(VALUE(MID(P81,2,3)),$A$2:$A$80,0))=INDEX($H$2:$H$80,MATCH(VALUE(MID(P81,2,3)),$A$2:$A$80,0)),INDEX($N$2:$N$80,MATCH(VALUE(MID(P81,2,3)),$A$2:$A$80,0)),P81)),P81),IF(LEFT(P81,1)="L",IFERROR(IF(INDEX($K$2:$K$80,MATCH(VALUE(MID(P81,2,3)),$A$2:$A$80,0))=INDEX($G$2:$G$80,MATCH(VALUE(MID(P81,2,3)),$A$2:$A$80,0)),INDEX($N$2:$N$80,MATCH(VALUE(MID(P81,2,3)),$A$2:$A$80,0)),IF(INDEX($K$2:$K$80,MATCH(VALUE(MID(P81,2,3)),$A$2:$A$80,0))=INDEX($H$2:$H$80,MATCH(VALUE(MID(P81,2,3)),$A$2:$A$80,0)),INDEX($M$2:$M$80,MATCH(VALUE(MID(P81,2,3)),$A$2:$A$80,0)),P81)),P81),IFERROR(IF(VLOOKUP(RIGHT(P81,1)&amp;LEFT(P81,1),Clasificacion!$O$2:$Q$49,3,FALSE())="",P81,VLOOKUP(RIGHT(P81,1)&amp;LEFT(P81,1),Clasificacion!$O$2:$Q$49,3,FALSE())),P81)))))</f>
        <v>HAI</v>
      </c>
      <c r="O81" s="1" t="s">
        <v>308</v>
      </c>
      <c r="P81" s="1" t="s">
        <v>309</v>
      </c>
      <c r="Q81" s="1" t="s">
        <v>266</v>
      </c>
    </row>
    <row r="82" spans="1:17" ht="14.25" customHeight="1" x14ac:dyDescent="0.25">
      <c r="A82" s="1">
        <v>81</v>
      </c>
      <c r="B82" s="1">
        <v>46204</v>
      </c>
      <c r="C82" s="85">
        <v>0.79166666666666663</v>
      </c>
      <c r="D82" s="1">
        <f>HOUR(tblPartidos[[#This Row],[Hora ET]])-1</f>
        <v>18</v>
      </c>
      <c r="E82" s="1" t="s">
        <v>292</v>
      </c>
      <c r="G82" s="1" t="str">
        <f>IF(O82="","",IF(LEFT(O82,1)="3",IFERROR(IF(VLOOKUP($A82&amp;"L",Asignacion_3ros!$A$2:$G$9,6,FALSE())="",O82,VLOOKUP($A82&amp;"L",Asignacion_3ros!$A$2:$G$9,6,FALSE())),O82),IF(LEFT(O82,1)="W",IFERROR(IF(INDEX($K$2:$K$81,MATCH(VALUE(MID(O82,2,3)),$A$2:$A$81,0))="",O82,INDEX($K$2:$K$81,MATCH(VALUE(MID(O82,2,3)),$A$2:$A$81,0))),O82),IF(LEFT(O82,1)="L",IFERROR(IF(INDEX($K$2:$K$81,MATCH(VALUE(MID(O82,2,3)),$A$2:$A$81,0))=INDEX($G$2:$G$81,MATCH(VALUE(MID(O82,2,3)),$A$2:$A$81,0)),INDEX($H$2:$H$81,MATCH(VALUE(MID(O82,2,3)),$A$2:$A$81,0)),IF(INDEX($K$2:$K$81,MATCH(VALUE(MID(O82,2,3)),$A$2:$A$81,0))=INDEX($H$2:$H$81,MATCH(VALUE(MID(O82,2,3)),$A$2:$A$81,0)),INDEX($G$2:$G$81,MATCH(VALUE(MID(O82,2,3)),$A$2:$A$81,0)),O82)),O82),IFERROR(IF(VLOOKUP(RIGHT(O82,1)&amp;LEFT(O82,1),Clasificacion!$O$2:$Q$49,2,FALSE())="",O82,VLOOKUP(RIGHT(O82,1)&amp;LEFT(O82,1),Clasificacion!$O$2:$Q$49,2,FALSE())),O82)))))</f>
        <v>1D</v>
      </c>
      <c r="H82" s="1" t="str">
        <f>IF(P82="","",IF(LEFT(P82,1)="3",IFERROR(IF(VLOOKUP($A82&amp;"V",Asignacion_3ros!$A$2:$G$9,6,FALSE())="",P82,VLOOKUP($A82&amp;"V",Asignacion_3ros!$A$2:$G$9,6,FALSE())),P82),IF(LEFT(P82,1)="W",IFERROR(IF(INDEX($K$2:$K$81,MATCH(VALUE(MID(P82,2,3)),$A$2:$A$81,0))="",P82,INDEX($K$2:$K$81,MATCH(VALUE(MID(P82,2,3)),$A$2:$A$81,0))),P82),IF(LEFT(P82,1)="L",IFERROR(IF(INDEX($K$2:$K$81,MATCH(VALUE(MID(P82,2,3)),$A$2:$A$81,0))=INDEX($G$2:$G$81,MATCH(VALUE(MID(P82,2,3)),$A$2:$A$81,0)),INDEX($H$2:$H$81,MATCH(VALUE(MID(P82,2,3)),$A$2:$A$81,0)),IF(INDEX($K$2:$K$81,MATCH(VALUE(MID(P82,2,3)),$A$2:$A$81,0))=INDEX($H$2:$H$81,MATCH(VALUE(MID(P82,2,3)),$A$2:$A$81,0)),INDEX($G$2:$G$81,MATCH(VALUE(MID(P82,2,3)),$A$2:$A$81,0)),P82)),P82),IFERROR(IF(VLOOKUP(RIGHT(P82,1)&amp;LEFT(P82,1),Clasificacion!$O$2:$Q$49,2,FALSE())="",P82,VLOOKUP(RIGHT(P82,1)&amp;LEFT(P82,1),Clasificacion!$O$2:$Q$49,2,FALSE())),P82)))))</f>
        <v>Brasil</v>
      </c>
      <c r="K82" s="1" t="str">
        <f t="shared" si="2"/>
        <v/>
      </c>
      <c r="L82" s="1" t="s">
        <v>276</v>
      </c>
      <c r="M82" s="1" t="str">
        <f>IF(O82="","",IF(LEFT(O82,1)="3",IFERROR(IF(VLOOKUP($A82&amp;"L",Asignacion_3ros!$A$2:$G$9,7,FALSE())="",O82,VLOOKUP($A82&amp;"L",Asignacion_3ros!$A$2:$G$9,7,FALSE())),O82),IF(LEFT(O82,1)="W",IFERROR(IF(INDEX($K$2:$K$81,MATCH(VALUE(MID(O82,2,3)),$A$2:$A$81,0))=INDEX($G$2:$G$81,MATCH(VALUE(MID(O82,2,3)),$A$2:$A$81,0)),INDEX($M$2:$M$81,MATCH(VALUE(MID(O82,2,3)),$A$2:$A$81,0)),IF(INDEX($K$2:$K$81,MATCH(VALUE(MID(O82,2,3)),$A$2:$A$81,0))=INDEX($H$2:$H$81,MATCH(VALUE(MID(O82,2,3)),$A$2:$A$81,0)),INDEX($N$2:$N$81,MATCH(VALUE(MID(O82,2,3)),$A$2:$A$81,0)),O82)),O82),IF(LEFT(O82,1)="L",IFERROR(IF(INDEX($K$2:$K$81,MATCH(VALUE(MID(O82,2,3)),$A$2:$A$81,0))=INDEX($G$2:$G$81,MATCH(VALUE(MID(O82,2,3)),$A$2:$A$81,0)),INDEX($N$2:$N$81,MATCH(VALUE(MID(O82,2,3)),$A$2:$A$81,0)),IF(INDEX($K$2:$K$81,MATCH(VALUE(MID(O82,2,3)),$A$2:$A$81,0))=INDEX($H$2:$H$81,MATCH(VALUE(MID(O82,2,3)),$A$2:$A$81,0)),INDEX($M$2:$M$81,MATCH(VALUE(MID(O82,2,3)),$A$2:$A$81,0)),O82)),O82),IFERROR(IF(VLOOKUP(RIGHT(O82,1)&amp;LEFT(O82,1),Clasificacion!$O$2:$Q$49,3,FALSE())="",O82,VLOOKUP(RIGHT(O82,1)&amp;LEFT(O82,1),Clasificacion!$O$2:$Q$49,3,FALSE())),O82)))))</f>
        <v>1D</v>
      </c>
      <c r="N82" s="1" t="str">
        <f>IF(P82="","",IF(LEFT(P82,1)="3",IFERROR(IF(VLOOKUP($A82&amp;"V",Asignacion_3ros!$A$2:$G$9,7,FALSE())="",P82,VLOOKUP($A82&amp;"V",Asignacion_3ros!$A$2:$G$9,7,FALSE())),P82),IF(LEFT(P82,1)="W",IFERROR(IF(INDEX($K$2:$K$81,MATCH(VALUE(MID(P82,2,3)),$A$2:$A$81,0))=INDEX($G$2:$G$81,MATCH(VALUE(MID(P82,2,3)),$A$2:$A$81,0)),INDEX($M$2:$M$81,MATCH(VALUE(MID(P82,2,3)),$A$2:$A$81,0)),IF(INDEX($K$2:$K$81,MATCH(VALUE(MID(P82,2,3)),$A$2:$A$81,0))=INDEX($H$2:$H$81,MATCH(VALUE(MID(P82,2,3)),$A$2:$A$81,0)),INDEX($N$2:$N$81,MATCH(VALUE(MID(P82,2,3)),$A$2:$A$81,0)),P82)),P82),IF(LEFT(P82,1)="L",IFERROR(IF(INDEX($K$2:$K$81,MATCH(VALUE(MID(P82,2,3)),$A$2:$A$81,0))=INDEX($G$2:$G$81,MATCH(VALUE(MID(P82,2,3)),$A$2:$A$81,0)),INDEX($N$2:$N$81,MATCH(VALUE(MID(P82,2,3)),$A$2:$A$81,0)),IF(INDEX($K$2:$K$81,MATCH(VALUE(MID(P82,2,3)),$A$2:$A$81,0))=INDEX($H$2:$H$81,MATCH(VALUE(MID(P82,2,3)),$A$2:$A$81,0)),INDEX($M$2:$M$81,MATCH(VALUE(MID(P82,2,3)),$A$2:$A$81,0)),P82)),P82),IFERROR(IF(VLOOKUP(RIGHT(P82,1)&amp;LEFT(P82,1),Clasificacion!$O$2:$Q$49,3,FALSE())="",P82,VLOOKUP(RIGHT(P82,1)&amp;LEFT(P82,1),Clasificacion!$O$2:$Q$49,3,FALSE())),P82)))))</f>
        <v>BRA</v>
      </c>
      <c r="O82" s="1" t="s">
        <v>310</v>
      </c>
      <c r="P82" s="1" t="s">
        <v>311</v>
      </c>
      <c r="Q82" s="1" t="s">
        <v>266</v>
      </c>
    </row>
    <row r="83" spans="1:17" ht="14.25" customHeight="1" x14ac:dyDescent="0.25">
      <c r="A83" s="1">
        <v>82</v>
      </c>
      <c r="B83" s="1">
        <v>46204</v>
      </c>
      <c r="C83" s="85">
        <v>0.625</v>
      </c>
      <c r="D83" s="1">
        <f>HOUR(tblPartidos[[#This Row],[Hora ET]])-1</f>
        <v>14</v>
      </c>
      <c r="E83" s="1" t="s">
        <v>292</v>
      </c>
      <c r="G83" s="1" t="str">
        <f>IF(O83="","",IF(LEFT(O83,1)="3",IFERROR(IF(VLOOKUP($A83&amp;"L",Asignacion_3ros!$A$2:$G$9,6,FALSE())="",O83,VLOOKUP($A83&amp;"L",Asignacion_3ros!$A$2:$G$9,6,FALSE())),O83),IF(LEFT(O83,1)="W",IFERROR(IF(INDEX($K$2:$K$82,MATCH(VALUE(MID(O83,2,3)),$A$2:$A$82,0))="",O83,INDEX($K$2:$K$82,MATCH(VALUE(MID(O83,2,3)),$A$2:$A$82,0))),O83),IF(LEFT(O83,1)="L",IFERROR(IF(INDEX($K$2:$K$82,MATCH(VALUE(MID(O83,2,3)),$A$2:$A$82,0))=INDEX($G$2:$G$82,MATCH(VALUE(MID(O83,2,3)),$A$2:$A$82,0)),INDEX($H$2:$H$82,MATCH(VALUE(MID(O83,2,3)),$A$2:$A$82,0)),IF(INDEX($K$2:$K$82,MATCH(VALUE(MID(O83,2,3)),$A$2:$A$82,0))=INDEX($H$2:$H$82,MATCH(VALUE(MID(O83,2,3)),$A$2:$A$82,0)),INDEX($G$2:$G$82,MATCH(VALUE(MID(O83,2,3)),$A$2:$A$82,0)),O83)),O83),IFERROR(IF(VLOOKUP(RIGHT(O83,1)&amp;LEFT(O83,1),Clasificacion!$O$2:$Q$49,2,FALSE())="",O83,VLOOKUP(RIGHT(O83,1)&amp;LEFT(O83,1),Clasificacion!$O$2:$Q$49,2,FALSE())),O83)))))</f>
        <v>1G</v>
      </c>
      <c r="H83" s="1" t="str">
        <f>IF(P83="","",IF(LEFT(P83,1)="3",IFERROR(IF(VLOOKUP($A83&amp;"V",Asignacion_3ros!$A$2:$G$9,6,FALSE())="",P83,VLOOKUP($A83&amp;"V",Asignacion_3ros!$A$2:$G$9,6,FALSE())),P83),IF(LEFT(P83,1)="W",IFERROR(IF(INDEX($K$2:$K$82,MATCH(VALUE(MID(P83,2,3)),$A$2:$A$82,0))="",P83,INDEX($K$2:$K$82,MATCH(VALUE(MID(P83,2,3)),$A$2:$A$82,0))),P83),IF(LEFT(P83,1)="L",IFERROR(IF(INDEX($K$2:$K$82,MATCH(VALUE(MID(P83,2,3)),$A$2:$A$82,0))=INDEX($G$2:$G$82,MATCH(VALUE(MID(P83,2,3)),$A$2:$A$82,0)),INDEX($H$2:$H$82,MATCH(VALUE(MID(P83,2,3)),$A$2:$A$82,0)),IF(INDEX($K$2:$K$82,MATCH(VALUE(MID(P83,2,3)),$A$2:$A$82,0))=INDEX($H$2:$H$82,MATCH(VALUE(MID(P83,2,3)),$A$2:$A$82,0)),INDEX($G$2:$G$82,MATCH(VALUE(MID(P83,2,3)),$A$2:$A$82,0)),P83)),P83),IFERROR(IF(VLOOKUP(RIGHT(P83,1)&amp;LEFT(P83,1),Clasificacion!$O$2:$Q$49,2,FALSE())="",P83,VLOOKUP(RIGHT(P83,1)&amp;LEFT(P83,1),Clasificacion!$O$2:$Q$49,2,FALSE())),P83)))))</f>
        <v>Marruecos</v>
      </c>
      <c r="K83" s="1" t="str">
        <f t="shared" si="2"/>
        <v/>
      </c>
      <c r="L83" s="1" t="s">
        <v>287</v>
      </c>
      <c r="M83" s="1" t="str">
        <f>IF(O83="","",IF(LEFT(O83,1)="3",IFERROR(IF(VLOOKUP($A83&amp;"L",Asignacion_3ros!$A$2:$G$9,7,FALSE())="",O83,VLOOKUP($A83&amp;"L",Asignacion_3ros!$A$2:$G$9,7,FALSE())),O83),IF(LEFT(O83,1)="W",IFERROR(IF(INDEX($K$2:$K$82,MATCH(VALUE(MID(O83,2,3)),$A$2:$A$82,0))=INDEX($G$2:$G$82,MATCH(VALUE(MID(O83,2,3)),$A$2:$A$82,0)),INDEX($M$2:$M$82,MATCH(VALUE(MID(O83,2,3)),$A$2:$A$82,0)),IF(INDEX($K$2:$K$82,MATCH(VALUE(MID(O83,2,3)),$A$2:$A$82,0))=INDEX($H$2:$H$82,MATCH(VALUE(MID(O83,2,3)),$A$2:$A$82,0)),INDEX($N$2:$N$82,MATCH(VALUE(MID(O83,2,3)),$A$2:$A$82,0)),O83)),O83),IF(LEFT(O83,1)="L",IFERROR(IF(INDEX($K$2:$K$82,MATCH(VALUE(MID(O83,2,3)),$A$2:$A$82,0))=INDEX($G$2:$G$82,MATCH(VALUE(MID(O83,2,3)),$A$2:$A$82,0)),INDEX($N$2:$N$82,MATCH(VALUE(MID(O83,2,3)),$A$2:$A$82,0)),IF(INDEX($K$2:$K$82,MATCH(VALUE(MID(O83,2,3)),$A$2:$A$82,0))=INDEX($H$2:$H$82,MATCH(VALUE(MID(O83,2,3)),$A$2:$A$82,0)),INDEX($M$2:$M$82,MATCH(VALUE(MID(O83,2,3)),$A$2:$A$82,0)),O83)),O83),IFERROR(IF(VLOOKUP(RIGHT(O83,1)&amp;LEFT(O83,1),Clasificacion!$O$2:$Q$49,3,FALSE())="",O83,VLOOKUP(RIGHT(O83,1)&amp;LEFT(O83,1),Clasificacion!$O$2:$Q$49,3,FALSE())),O83)))))</f>
        <v>1G</v>
      </c>
      <c r="N83" s="1" t="str">
        <f>IF(P83="","",IF(LEFT(P83,1)="3",IFERROR(IF(VLOOKUP($A83&amp;"V",Asignacion_3ros!$A$2:$G$9,7,FALSE())="",P83,VLOOKUP($A83&amp;"V",Asignacion_3ros!$A$2:$G$9,7,FALSE())),P83),IF(LEFT(P83,1)="W",IFERROR(IF(INDEX($K$2:$K$82,MATCH(VALUE(MID(P83,2,3)),$A$2:$A$82,0))=INDEX($G$2:$G$82,MATCH(VALUE(MID(P83,2,3)),$A$2:$A$82,0)),INDEX($M$2:$M$82,MATCH(VALUE(MID(P83,2,3)),$A$2:$A$82,0)),IF(INDEX($K$2:$K$82,MATCH(VALUE(MID(P83,2,3)),$A$2:$A$82,0))=INDEX($H$2:$H$82,MATCH(VALUE(MID(P83,2,3)),$A$2:$A$82,0)),INDEX($N$2:$N$82,MATCH(VALUE(MID(P83,2,3)),$A$2:$A$82,0)),P83)),P83),IF(LEFT(P83,1)="L",IFERROR(IF(INDEX($K$2:$K$82,MATCH(VALUE(MID(P83,2,3)),$A$2:$A$82,0))=INDEX($G$2:$G$82,MATCH(VALUE(MID(P83,2,3)),$A$2:$A$82,0)),INDEX($N$2:$N$82,MATCH(VALUE(MID(P83,2,3)),$A$2:$A$82,0)),IF(INDEX($K$2:$K$82,MATCH(VALUE(MID(P83,2,3)),$A$2:$A$82,0))=INDEX($H$2:$H$82,MATCH(VALUE(MID(P83,2,3)),$A$2:$A$82,0)),INDEX($M$2:$M$82,MATCH(VALUE(MID(P83,2,3)),$A$2:$A$82,0)),P83)),P83),IFERROR(IF(VLOOKUP(RIGHT(P83,1)&amp;LEFT(P83,1),Clasificacion!$O$2:$Q$49,3,FALSE())="",P83,VLOOKUP(RIGHT(P83,1)&amp;LEFT(P83,1),Clasificacion!$O$2:$Q$49,3,FALSE())),P83)))))</f>
        <v>MAR</v>
      </c>
      <c r="O83" s="1" t="s">
        <v>312</v>
      </c>
      <c r="P83" s="1" t="s">
        <v>313</v>
      </c>
      <c r="Q83" s="1" t="s">
        <v>266</v>
      </c>
    </row>
    <row r="84" spans="1:17" ht="14.25" customHeight="1" x14ac:dyDescent="0.25">
      <c r="A84" s="1">
        <v>83</v>
      </c>
      <c r="B84" s="1">
        <v>46205</v>
      </c>
      <c r="C84" s="85">
        <v>0.75</v>
      </c>
      <c r="D84" s="1">
        <f>HOUR(tblPartidos[[#This Row],[Hora ET]])-1</f>
        <v>17</v>
      </c>
      <c r="E84" s="1" t="s">
        <v>292</v>
      </c>
      <c r="G84" s="1" t="str">
        <f>IF(O84="","",IF(LEFT(O84,1)="3",IFERROR(IF(VLOOKUP($A84&amp;"L",Asignacion_3ros!$A$2:$G$9,6,FALSE())="",O84,VLOOKUP($A84&amp;"L",Asignacion_3ros!$A$2:$G$9,6,FALSE())),O84),IF(LEFT(O84,1)="W",IFERROR(IF(INDEX($K$2:$K$83,MATCH(VALUE(MID(O84,2,3)),$A$2:$A$83,0))="",O84,INDEX($K$2:$K$83,MATCH(VALUE(MID(O84,2,3)),$A$2:$A$83,0))),O84),IF(LEFT(O84,1)="L",IFERROR(IF(INDEX($K$2:$K$83,MATCH(VALUE(MID(O84,2,3)),$A$2:$A$83,0))=INDEX($G$2:$G$83,MATCH(VALUE(MID(O84,2,3)),$A$2:$A$83,0)),INDEX($H$2:$H$83,MATCH(VALUE(MID(O84,2,3)),$A$2:$A$83,0)),IF(INDEX($K$2:$K$83,MATCH(VALUE(MID(O84,2,3)),$A$2:$A$83,0))=INDEX($H$2:$H$83,MATCH(VALUE(MID(O84,2,3)),$A$2:$A$83,0)),INDEX($G$2:$G$83,MATCH(VALUE(MID(O84,2,3)),$A$2:$A$83,0)),O84)),O84),IFERROR(IF(VLOOKUP(RIGHT(O84,1)&amp;LEFT(O84,1),Clasificacion!$O$2:$Q$49,2,FALSE())="",O84,VLOOKUP(RIGHT(O84,1)&amp;LEFT(O84,1),Clasificacion!$O$2:$Q$49,2,FALSE())),O84)))))</f>
        <v>2K</v>
      </c>
      <c r="H84" s="1" t="str">
        <f>IF(P84="","",IF(LEFT(P84,1)="3",IFERROR(IF(VLOOKUP($A84&amp;"V",Asignacion_3ros!$A$2:$G$9,6,FALSE())="",P84,VLOOKUP($A84&amp;"V",Asignacion_3ros!$A$2:$G$9,6,FALSE())),P84),IF(LEFT(P84,1)="W",IFERROR(IF(INDEX($K$2:$K$83,MATCH(VALUE(MID(P84,2,3)),$A$2:$A$83,0))="",P84,INDEX($K$2:$K$83,MATCH(VALUE(MID(P84,2,3)),$A$2:$A$83,0))),P84),IF(LEFT(P84,1)="L",IFERROR(IF(INDEX($K$2:$K$83,MATCH(VALUE(MID(P84,2,3)),$A$2:$A$83,0))=INDEX($G$2:$G$83,MATCH(VALUE(MID(P84,2,3)),$A$2:$A$83,0)),INDEX($H$2:$H$83,MATCH(VALUE(MID(P84,2,3)),$A$2:$A$83,0)),IF(INDEX($K$2:$K$83,MATCH(VALUE(MID(P84,2,3)),$A$2:$A$83,0))=INDEX($H$2:$H$83,MATCH(VALUE(MID(P84,2,3)),$A$2:$A$83,0)),INDEX($G$2:$G$83,MATCH(VALUE(MID(P84,2,3)),$A$2:$A$83,0)),P84)),P84),IFERROR(IF(VLOOKUP(RIGHT(P84,1)&amp;LEFT(P84,1),Clasificacion!$O$2:$Q$49,2,FALSE())="",P84,VLOOKUP(RIGHT(P84,1)&amp;LEFT(P84,1),Clasificacion!$O$2:$Q$49,2,FALSE())),P84)))))</f>
        <v>2L</v>
      </c>
      <c r="K84" s="1" t="str">
        <f t="shared" si="2"/>
        <v/>
      </c>
      <c r="L84" s="1" t="s">
        <v>269</v>
      </c>
      <c r="M84" s="1" t="str">
        <f>IF(O84="","",IF(LEFT(O84,1)="3",IFERROR(IF(VLOOKUP($A84&amp;"L",Asignacion_3ros!$A$2:$G$9,7,FALSE())="",O84,VLOOKUP($A84&amp;"L",Asignacion_3ros!$A$2:$G$9,7,FALSE())),O84),IF(LEFT(O84,1)="W",IFERROR(IF(INDEX($K$2:$K$83,MATCH(VALUE(MID(O84,2,3)),$A$2:$A$83,0))=INDEX($G$2:$G$83,MATCH(VALUE(MID(O84,2,3)),$A$2:$A$83,0)),INDEX($M$2:$M$83,MATCH(VALUE(MID(O84,2,3)),$A$2:$A$83,0)),IF(INDEX($K$2:$K$83,MATCH(VALUE(MID(O84,2,3)),$A$2:$A$83,0))=INDEX($H$2:$H$83,MATCH(VALUE(MID(O84,2,3)),$A$2:$A$83,0)),INDEX($N$2:$N$83,MATCH(VALUE(MID(O84,2,3)),$A$2:$A$83,0)),O84)),O84),IF(LEFT(O84,1)="L",IFERROR(IF(INDEX($K$2:$K$83,MATCH(VALUE(MID(O84,2,3)),$A$2:$A$83,0))=INDEX($G$2:$G$83,MATCH(VALUE(MID(O84,2,3)),$A$2:$A$83,0)),INDEX($N$2:$N$83,MATCH(VALUE(MID(O84,2,3)),$A$2:$A$83,0)),IF(INDEX($K$2:$K$83,MATCH(VALUE(MID(O84,2,3)),$A$2:$A$83,0))=INDEX($H$2:$H$83,MATCH(VALUE(MID(O84,2,3)),$A$2:$A$83,0)),INDEX($M$2:$M$83,MATCH(VALUE(MID(O84,2,3)),$A$2:$A$83,0)),O84)),O84),IFERROR(IF(VLOOKUP(RIGHT(O84,1)&amp;LEFT(O84,1),Clasificacion!$O$2:$Q$49,3,FALSE())="",O84,VLOOKUP(RIGHT(O84,1)&amp;LEFT(O84,1),Clasificacion!$O$2:$Q$49,3,FALSE())),O84)))))</f>
        <v>2K</v>
      </c>
      <c r="N84" s="1" t="str">
        <f>IF(P84="","",IF(LEFT(P84,1)="3",IFERROR(IF(VLOOKUP($A84&amp;"V",Asignacion_3ros!$A$2:$G$9,7,FALSE())="",P84,VLOOKUP($A84&amp;"V",Asignacion_3ros!$A$2:$G$9,7,FALSE())),P84),IF(LEFT(P84,1)="W",IFERROR(IF(INDEX($K$2:$K$83,MATCH(VALUE(MID(P84,2,3)),$A$2:$A$83,0))=INDEX($G$2:$G$83,MATCH(VALUE(MID(P84,2,3)),$A$2:$A$83,0)),INDEX($M$2:$M$83,MATCH(VALUE(MID(P84,2,3)),$A$2:$A$83,0)),IF(INDEX($K$2:$K$83,MATCH(VALUE(MID(P84,2,3)),$A$2:$A$83,0))=INDEX($H$2:$H$83,MATCH(VALUE(MID(P84,2,3)),$A$2:$A$83,0)),INDEX($N$2:$N$83,MATCH(VALUE(MID(P84,2,3)),$A$2:$A$83,0)),P84)),P84),IF(LEFT(P84,1)="L",IFERROR(IF(INDEX($K$2:$K$83,MATCH(VALUE(MID(P84,2,3)),$A$2:$A$83,0))=INDEX($G$2:$G$83,MATCH(VALUE(MID(P84,2,3)),$A$2:$A$83,0)),INDEX($N$2:$N$83,MATCH(VALUE(MID(P84,2,3)),$A$2:$A$83,0)),IF(INDEX($K$2:$K$83,MATCH(VALUE(MID(P84,2,3)),$A$2:$A$83,0))=INDEX($H$2:$H$83,MATCH(VALUE(MID(P84,2,3)),$A$2:$A$83,0)),INDEX($M$2:$M$83,MATCH(VALUE(MID(P84,2,3)),$A$2:$A$83,0)),P84)),P84),IFERROR(IF(VLOOKUP(RIGHT(P84,1)&amp;LEFT(P84,1),Clasificacion!$O$2:$Q$49,3,FALSE())="",P84,VLOOKUP(RIGHT(P84,1)&amp;LEFT(P84,1),Clasificacion!$O$2:$Q$49,3,FALSE())),P84)))))</f>
        <v>2L</v>
      </c>
      <c r="O84" s="1" t="s">
        <v>314</v>
      </c>
      <c r="P84" s="1" t="s">
        <v>315</v>
      </c>
      <c r="Q84" s="1" t="s">
        <v>266</v>
      </c>
    </row>
    <row r="85" spans="1:17" ht="14.25" customHeight="1" x14ac:dyDescent="0.25">
      <c r="A85" s="1">
        <v>84</v>
      </c>
      <c r="B85" s="1">
        <v>46205</v>
      </c>
      <c r="C85" s="85">
        <v>0.58333333333333337</v>
      </c>
      <c r="D85" s="1">
        <f>HOUR(tblPartidos[[#This Row],[Hora ET]])-1</f>
        <v>13</v>
      </c>
      <c r="E85" s="1" t="s">
        <v>292</v>
      </c>
      <c r="G85" s="1" t="str">
        <f>IF(O85="","",IF(LEFT(O85,1)="3",IFERROR(IF(VLOOKUP($A85&amp;"L",Asignacion_3ros!$A$2:$G$9,6,FALSE())="",O85,VLOOKUP($A85&amp;"L",Asignacion_3ros!$A$2:$G$9,6,FALSE())),O85),IF(LEFT(O85,1)="W",IFERROR(IF(INDEX($K$2:$K$84,MATCH(VALUE(MID(O85,2,3)),$A$2:$A$84,0))="",O85,INDEX($K$2:$K$84,MATCH(VALUE(MID(O85,2,3)),$A$2:$A$84,0))),O85),IF(LEFT(O85,1)="L",IFERROR(IF(INDEX($K$2:$K$84,MATCH(VALUE(MID(O85,2,3)),$A$2:$A$84,0))=INDEX($G$2:$G$84,MATCH(VALUE(MID(O85,2,3)),$A$2:$A$84,0)),INDEX($H$2:$H$84,MATCH(VALUE(MID(O85,2,3)),$A$2:$A$84,0)),IF(INDEX($K$2:$K$84,MATCH(VALUE(MID(O85,2,3)),$A$2:$A$84,0))=INDEX($H$2:$H$84,MATCH(VALUE(MID(O85,2,3)),$A$2:$A$84,0)),INDEX($G$2:$G$84,MATCH(VALUE(MID(O85,2,3)),$A$2:$A$84,0)),O85)),O85),IFERROR(IF(VLOOKUP(RIGHT(O85,1)&amp;LEFT(O85,1),Clasificacion!$O$2:$Q$49,2,FALSE())="",O85,VLOOKUP(RIGHT(O85,1)&amp;LEFT(O85,1),Clasificacion!$O$2:$Q$49,2,FALSE())),O85)))))</f>
        <v>1H</v>
      </c>
      <c r="H85" s="1" t="str">
        <f>IF(P85="","",IF(LEFT(P85,1)="3",IFERROR(IF(VLOOKUP($A85&amp;"V",Asignacion_3ros!$A$2:$G$9,6,FALSE())="",P85,VLOOKUP($A85&amp;"V",Asignacion_3ros!$A$2:$G$9,6,FALSE())),P85),IF(LEFT(P85,1)="W",IFERROR(IF(INDEX($K$2:$K$84,MATCH(VALUE(MID(P85,2,3)),$A$2:$A$84,0))="",P85,INDEX($K$2:$K$84,MATCH(VALUE(MID(P85,2,3)),$A$2:$A$84,0))),P85),IF(LEFT(P85,1)="L",IFERROR(IF(INDEX($K$2:$K$84,MATCH(VALUE(MID(P85,2,3)),$A$2:$A$84,0))=INDEX($G$2:$G$84,MATCH(VALUE(MID(P85,2,3)),$A$2:$A$84,0)),INDEX($H$2:$H$84,MATCH(VALUE(MID(P85,2,3)),$A$2:$A$84,0)),IF(INDEX($K$2:$K$84,MATCH(VALUE(MID(P85,2,3)),$A$2:$A$84,0))=INDEX($H$2:$H$84,MATCH(VALUE(MID(P85,2,3)),$A$2:$A$84,0)),INDEX($G$2:$G$84,MATCH(VALUE(MID(P85,2,3)),$A$2:$A$84,0)),P85)),P85),IFERROR(IF(VLOOKUP(RIGHT(P85,1)&amp;LEFT(P85,1),Clasificacion!$O$2:$Q$49,2,FALSE())="",P85,VLOOKUP(RIGHT(P85,1)&amp;LEFT(P85,1),Clasificacion!$O$2:$Q$49,2,FALSE())),P85)))))</f>
        <v>2J</v>
      </c>
      <c r="K85" s="1" t="str">
        <f t="shared" si="2"/>
        <v/>
      </c>
      <c r="L85" s="1" t="s">
        <v>271</v>
      </c>
      <c r="M85" s="1" t="str">
        <f>IF(O85="","",IF(LEFT(O85,1)="3",IFERROR(IF(VLOOKUP($A85&amp;"L",Asignacion_3ros!$A$2:$G$9,7,FALSE())="",O85,VLOOKUP($A85&amp;"L",Asignacion_3ros!$A$2:$G$9,7,FALSE())),O85),IF(LEFT(O85,1)="W",IFERROR(IF(INDEX($K$2:$K$84,MATCH(VALUE(MID(O85,2,3)),$A$2:$A$84,0))=INDEX($G$2:$G$84,MATCH(VALUE(MID(O85,2,3)),$A$2:$A$84,0)),INDEX($M$2:$M$84,MATCH(VALUE(MID(O85,2,3)),$A$2:$A$84,0)),IF(INDEX($K$2:$K$84,MATCH(VALUE(MID(O85,2,3)),$A$2:$A$84,0))=INDEX($H$2:$H$84,MATCH(VALUE(MID(O85,2,3)),$A$2:$A$84,0)),INDEX($N$2:$N$84,MATCH(VALUE(MID(O85,2,3)),$A$2:$A$84,0)),O85)),O85),IF(LEFT(O85,1)="L",IFERROR(IF(INDEX($K$2:$K$84,MATCH(VALUE(MID(O85,2,3)),$A$2:$A$84,0))=INDEX($G$2:$G$84,MATCH(VALUE(MID(O85,2,3)),$A$2:$A$84,0)),INDEX($N$2:$N$84,MATCH(VALUE(MID(O85,2,3)),$A$2:$A$84,0)),IF(INDEX($K$2:$K$84,MATCH(VALUE(MID(O85,2,3)),$A$2:$A$84,0))=INDEX($H$2:$H$84,MATCH(VALUE(MID(O85,2,3)),$A$2:$A$84,0)),INDEX($M$2:$M$84,MATCH(VALUE(MID(O85,2,3)),$A$2:$A$84,0)),O85)),O85),IFERROR(IF(VLOOKUP(RIGHT(O85,1)&amp;LEFT(O85,1),Clasificacion!$O$2:$Q$49,3,FALSE())="",O85,VLOOKUP(RIGHT(O85,1)&amp;LEFT(O85,1),Clasificacion!$O$2:$Q$49,3,FALSE())),O85)))))</f>
        <v>1H</v>
      </c>
      <c r="N85" s="1" t="str">
        <f>IF(P85="","",IF(LEFT(P85,1)="3",IFERROR(IF(VLOOKUP($A85&amp;"V",Asignacion_3ros!$A$2:$G$9,7,FALSE())="",P85,VLOOKUP($A85&amp;"V",Asignacion_3ros!$A$2:$G$9,7,FALSE())),P85),IF(LEFT(P85,1)="W",IFERROR(IF(INDEX($K$2:$K$84,MATCH(VALUE(MID(P85,2,3)),$A$2:$A$84,0))=INDEX($G$2:$G$84,MATCH(VALUE(MID(P85,2,3)),$A$2:$A$84,0)),INDEX($M$2:$M$84,MATCH(VALUE(MID(P85,2,3)),$A$2:$A$84,0)),IF(INDEX($K$2:$K$84,MATCH(VALUE(MID(P85,2,3)),$A$2:$A$84,0))=INDEX($H$2:$H$84,MATCH(VALUE(MID(P85,2,3)),$A$2:$A$84,0)),INDEX($N$2:$N$84,MATCH(VALUE(MID(P85,2,3)),$A$2:$A$84,0)),P85)),P85),IF(LEFT(P85,1)="L",IFERROR(IF(INDEX($K$2:$K$84,MATCH(VALUE(MID(P85,2,3)),$A$2:$A$84,0))=INDEX($G$2:$G$84,MATCH(VALUE(MID(P85,2,3)),$A$2:$A$84,0)),INDEX($N$2:$N$84,MATCH(VALUE(MID(P85,2,3)),$A$2:$A$84,0)),IF(INDEX($K$2:$K$84,MATCH(VALUE(MID(P85,2,3)),$A$2:$A$84,0))=INDEX($H$2:$H$84,MATCH(VALUE(MID(P85,2,3)),$A$2:$A$84,0)),INDEX($M$2:$M$84,MATCH(VALUE(MID(P85,2,3)),$A$2:$A$84,0)),P85)),P85),IFERROR(IF(VLOOKUP(RIGHT(P85,1)&amp;LEFT(P85,1),Clasificacion!$O$2:$Q$49,3,FALSE())="",P85,VLOOKUP(RIGHT(P85,1)&amp;LEFT(P85,1),Clasificacion!$O$2:$Q$49,3,FALSE())),P85)))))</f>
        <v>2J</v>
      </c>
      <c r="O85" s="1" t="s">
        <v>316</v>
      </c>
      <c r="P85" s="1" t="s">
        <v>317</v>
      </c>
      <c r="Q85" s="1" t="s">
        <v>266</v>
      </c>
    </row>
    <row r="86" spans="1:17" ht="14.25" customHeight="1" x14ac:dyDescent="0.25">
      <c r="A86" s="1">
        <v>85</v>
      </c>
      <c r="B86" s="1">
        <v>46206</v>
      </c>
      <c r="C86" s="85">
        <v>0.91666666666666663</v>
      </c>
      <c r="D86" s="1">
        <f>HOUR(tblPartidos[[#This Row],[Hora ET]])-1</f>
        <v>21</v>
      </c>
      <c r="E86" s="1" t="s">
        <v>292</v>
      </c>
      <c r="G86" s="1" t="str">
        <f>IF(O86="","",IF(LEFT(O86,1)="3",IFERROR(IF(VLOOKUP($A86&amp;"L",Asignacion_3ros!$A$2:$G$9,6,FALSE())="",O86,VLOOKUP($A86&amp;"L",Asignacion_3ros!$A$2:$G$9,6,FALSE())),O86),IF(LEFT(O86,1)="W",IFERROR(IF(INDEX($K$2:$K$85,MATCH(VALUE(MID(O86,2,3)),$A$2:$A$85,0))="",O86,INDEX($K$2:$K$85,MATCH(VALUE(MID(O86,2,3)),$A$2:$A$85,0))),O86),IF(LEFT(O86,1)="L",IFERROR(IF(INDEX($K$2:$K$85,MATCH(VALUE(MID(O86,2,3)),$A$2:$A$85,0))=INDEX($G$2:$G$85,MATCH(VALUE(MID(O86,2,3)),$A$2:$A$85,0)),INDEX($H$2:$H$85,MATCH(VALUE(MID(O86,2,3)),$A$2:$A$85,0)),IF(INDEX($K$2:$K$85,MATCH(VALUE(MID(O86,2,3)),$A$2:$A$85,0))=INDEX($H$2:$H$85,MATCH(VALUE(MID(O86,2,3)),$A$2:$A$85,0)),INDEX($G$2:$G$85,MATCH(VALUE(MID(O86,2,3)),$A$2:$A$85,0)),O86)),O86),IFERROR(IF(VLOOKUP(RIGHT(O86,1)&amp;LEFT(O86,1),Clasificacion!$O$2:$Q$49,2,FALSE())="",O86,VLOOKUP(RIGHT(O86,1)&amp;LEFT(O86,1),Clasificacion!$O$2:$Q$49,2,FALSE())),O86)))))</f>
        <v>1B</v>
      </c>
      <c r="H86" s="1" t="str">
        <f>IF(P86="","",IF(LEFT(P86,1)="3",IFERROR(IF(VLOOKUP($A86&amp;"V",Asignacion_3ros!$A$2:$G$9,6,FALSE())="",P86,VLOOKUP($A86&amp;"V",Asignacion_3ros!$A$2:$G$9,6,FALSE())),P86),IF(LEFT(P86,1)="W",IFERROR(IF(INDEX($K$2:$K$85,MATCH(VALUE(MID(P86,2,3)),$A$2:$A$85,0))="",P86,INDEX($K$2:$K$85,MATCH(VALUE(MID(P86,2,3)),$A$2:$A$85,0))),P86),IF(LEFT(P86,1)="L",IFERROR(IF(INDEX($K$2:$K$85,MATCH(VALUE(MID(P86,2,3)),$A$2:$A$85,0))=INDEX($G$2:$G$85,MATCH(VALUE(MID(P86,2,3)),$A$2:$A$85,0)),INDEX($H$2:$H$85,MATCH(VALUE(MID(P86,2,3)),$A$2:$A$85,0)),IF(INDEX($K$2:$K$85,MATCH(VALUE(MID(P86,2,3)),$A$2:$A$85,0))=INDEX($H$2:$H$85,MATCH(VALUE(MID(P86,2,3)),$A$2:$A$85,0)),INDEX($G$2:$G$85,MATCH(VALUE(MID(P86,2,3)),$A$2:$A$85,0)),P86)),P86),IFERROR(IF(VLOOKUP(RIGHT(P86,1)&amp;LEFT(P86,1),Clasificacion!$O$2:$Q$49,2,FALSE())="",P86,VLOOKUP(RIGHT(P86,1)&amp;LEFT(P86,1),Clasificacion!$O$2:$Q$49,2,FALSE())),P86)))))</f>
        <v>Qatar</v>
      </c>
      <c r="K86" s="1" t="str">
        <f t="shared" si="2"/>
        <v/>
      </c>
      <c r="L86" s="1" t="s">
        <v>273</v>
      </c>
      <c r="M86" s="1" t="str">
        <f>IF(O86="","",IF(LEFT(O86,1)="3",IFERROR(IF(VLOOKUP($A86&amp;"L",Asignacion_3ros!$A$2:$G$9,7,FALSE())="",O86,VLOOKUP($A86&amp;"L",Asignacion_3ros!$A$2:$G$9,7,FALSE())),O86),IF(LEFT(O86,1)="W",IFERROR(IF(INDEX($K$2:$K$85,MATCH(VALUE(MID(O86,2,3)),$A$2:$A$85,0))=INDEX($G$2:$G$85,MATCH(VALUE(MID(O86,2,3)),$A$2:$A$85,0)),INDEX($M$2:$M$85,MATCH(VALUE(MID(O86,2,3)),$A$2:$A$85,0)),IF(INDEX($K$2:$K$85,MATCH(VALUE(MID(O86,2,3)),$A$2:$A$85,0))=INDEX($H$2:$H$85,MATCH(VALUE(MID(O86,2,3)),$A$2:$A$85,0)),INDEX($N$2:$N$85,MATCH(VALUE(MID(O86,2,3)),$A$2:$A$85,0)),O86)),O86),IF(LEFT(O86,1)="L",IFERROR(IF(INDEX($K$2:$K$85,MATCH(VALUE(MID(O86,2,3)),$A$2:$A$85,0))=INDEX($G$2:$G$85,MATCH(VALUE(MID(O86,2,3)),$A$2:$A$85,0)),INDEX($N$2:$N$85,MATCH(VALUE(MID(O86,2,3)),$A$2:$A$85,0)),IF(INDEX($K$2:$K$85,MATCH(VALUE(MID(O86,2,3)),$A$2:$A$85,0))=INDEX($H$2:$H$85,MATCH(VALUE(MID(O86,2,3)),$A$2:$A$85,0)),INDEX($M$2:$M$85,MATCH(VALUE(MID(O86,2,3)),$A$2:$A$85,0)),O86)),O86),IFERROR(IF(VLOOKUP(RIGHT(O86,1)&amp;LEFT(O86,1),Clasificacion!$O$2:$Q$49,3,FALSE())="",O86,VLOOKUP(RIGHT(O86,1)&amp;LEFT(O86,1),Clasificacion!$O$2:$Q$49,3,FALSE())),O86)))))</f>
        <v>1B</v>
      </c>
      <c r="N86" s="1" t="str">
        <f>IF(P86="","",IF(LEFT(P86,1)="3",IFERROR(IF(VLOOKUP($A86&amp;"V",Asignacion_3ros!$A$2:$G$9,7,FALSE())="",P86,VLOOKUP($A86&amp;"V",Asignacion_3ros!$A$2:$G$9,7,FALSE())),P86),IF(LEFT(P86,1)="W",IFERROR(IF(INDEX($K$2:$K$85,MATCH(VALUE(MID(P86,2,3)),$A$2:$A$85,0))=INDEX($G$2:$G$85,MATCH(VALUE(MID(P86,2,3)),$A$2:$A$85,0)),INDEX($M$2:$M$85,MATCH(VALUE(MID(P86,2,3)),$A$2:$A$85,0)),IF(INDEX($K$2:$K$85,MATCH(VALUE(MID(P86,2,3)),$A$2:$A$85,0))=INDEX($H$2:$H$85,MATCH(VALUE(MID(P86,2,3)),$A$2:$A$85,0)),INDEX($N$2:$N$85,MATCH(VALUE(MID(P86,2,3)),$A$2:$A$85,0)),P86)),P86),IF(LEFT(P86,1)="L",IFERROR(IF(INDEX($K$2:$K$85,MATCH(VALUE(MID(P86,2,3)),$A$2:$A$85,0))=INDEX($G$2:$G$85,MATCH(VALUE(MID(P86,2,3)),$A$2:$A$85,0)),INDEX($N$2:$N$85,MATCH(VALUE(MID(P86,2,3)),$A$2:$A$85,0)),IF(INDEX($K$2:$K$85,MATCH(VALUE(MID(P86,2,3)),$A$2:$A$85,0))=INDEX($H$2:$H$85,MATCH(VALUE(MID(P86,2,3)),$A$2:$A$85,0)),INDEX($M$2:$M$85,MATCH(VALUE(MID(P86,2,3)),$A$2:$A$85,0)),P86)),P86),IFERROR(IF(VLOOKUP(RIGHT(P86,1)&amp;LEFT(P86,1),Clasificacion!$O$2:$Q$49,3,FALSE())="",P86,VLOOKUP(RIGHT(P86,1)&amp;LEFT(P86,1),Clasificacion!$O$2:$Q$49,3,FALSE())),P86)))))</f>
        <v>QAT</v>
      </c>
      <c r="O86" s="1" t="s">
        <v>318</v>
      </c>
      <c r="P86" s="1" t="s">
        <v>319</v>
      </c>
      <c r="Q86" s="1" t="s">
        <v>266</v>
      </c>
    </row>
    <row r="87" spans="1:17" ht="14.25" customHeight="1" x14ac:dyDescent="0.25">
      <c r="A87" s="1">
        <v>86</v>
      </c>
      <c r="B87" s="1">
        <v>46206</v>
      </c>
      <c r="C87" s="85">
        <v>0.70833333333333337</v>
      </c>
      <c r="D87" s="1">
        <f>HOUR(tblPartidos[[#This Row],[Hora ET]])-1</f>
        <v>16</v>
      </c>
      <c r="E87" s="1" t="s">
        <v>292</v>
      </c>
      <c r="G87" s="1" t="str">
        <f>IF(O87="","",IF(LEFT(O87,1)="3",IFERROR(IF(VLOOKUP($A87&amp;"L",Asignacion_3ros!$A$2:$G$9,6,FALSE())="",O87,VLOOKUP($A87&amp;"L",Asignacion_3ros!$A$2:$G$9,6,FALSE())),O87),IF(LEFT(O87,1)="W",IFERROR(IF(INDEX($K$2:$K$86,MATCH(VALUE(MID(O87,2,3)),$A$2:$A$86,0))="",O87,INDEX($K$2:$K$86,MATCH(VALUE(MID(O87,2,3)),$A$2:$A$86,0))),O87),IF(LEFT(O87,1)="L",IFERROR(IF(INDEX($K$2:$K$86,MATCH(VALUE(MID(O87,2,3)),$A$2:$A$86,0))=INDEX($G$2:$G$86,MATCH(VALUE(MID(O87,2,3)),$A$2:$A$86,0)),INDEX($H$2:$H$86,MATCH(VALUE(MID(O87,2,3)),$A$2:$A$86,0)),IF(INDEX($K$2:$K$86,MATCH(VALUE(MID(O87,2,3)),$A$2:$A$86,0))=INDEX($H$2:$H$86,MATCH(VALUE(MID(O87,2,3)),$A$2:$A$86,0)),INDEX($G$2:$G$86,MATCH(VALUE(MID(O87,2,3)),$A$2:$A$86,0)),O87)),O87),IFERROR(IF(VLOOKUP(RIGHT(O87,1)&amp;LEFT(O87,1),Clasificacion!$O$2:$Q$49,2,FALSE())="",O87,VLOOKUP(RIGHT(O87,1)&amp;LEFT(O87,1),Clasificacion!$O$2:$Q$49,2,FALSE())),O87)))))</f>
        <v>1J</v>
      </c>
      <c r="H87" s="1" t="str">
        <f>IF(P87="","",IF(LEFT(P87,1)="3",IFERROR(IF(VLOOKUP($A87&amp;"V",Asignacion_3ros!$A$2:$G$9,6,FALSE())="",P87,VLOOKUP($A87&amp;"V",Asignacion_3ros!$A$2:$G$9,6,FALSE())),P87),IF(LEFT(P87,1)="W",IFERROR(IF(INDEX($K$2:$K$86,MATCH(VALUE(MID(P87,2,3)),$A$2:$A$86,0))="",P87,INDEX($K$2:$K$86,MATCH(VALUE(MID(P87,2,3)),$A$2:$A$86,0))),P87),IF(LEFT(P87,1)="L",IFERROR(IF(INDEX($K$2:$K$86,MATCH(VALUE(MID(P87,2,3)),$A$2:$A$86,0))=INDEX($G$2:$G$86,MATCH(VALUE(MID(P87,2,3)),$A$2:$A$86,0)),INDEX($H$2:$H$86,MATCH(VALUE(MID(P87,2,3)),$A$2:$A$86,0)),IF(INDEX($K$2:$K$86,MATCH(VALUE(MID(P87,2,3)),$A$2:$A$86,0))=INDEX($H$2:$H$86,MATCH(VALUE(MID(P87,2,3)),$A$2:$A$86,0)),INDEX($G$2:$G$86,MATCH(VALUE(MID(P87,2,3)),$A$2:$A$86,0)),P87)),P87),IFERROR(IF(VLOOKUP(RIGHT(P87,1)&amp;LEFT(P87,1),Clasificacion!$O$2:$Q$49,2,FALSE())="",P87,VLOOKUP(RIGHT(P87,1)&amp;LEFT(P87,1),Clasificacion!$O$2:$Q$49,2,FALSE())),P87)))))</f>
        <v>2H</v>
      </c>
      <c r="K87" s="1" t="str">
        <f t="shared" si="2"/>
        <v/>
      </c>
      <c r="L87" s="1" t="s">
        <v>284</v>
      </c>
      <c r="M87" s="1" t="str">
        <f>IF(O87="","",IF(LEFT(O87,1)="3",IFERROR(IF(VLOOKUP($A87&amp;"L",Asignacion_3ros!$A$2:$G$9,7,FALSE())="",O87,VLOOKUP($A87&amp;"L",Asignacion_3ros!$A$2:$G$9,7,FALSE())),O87),IF(LEFT(O87,1)="W",IFERROR(IF(INDEX($K$2:$K$86,MATCH(VALUE(MID(O87,2,3)),$A$2:$A$86,0))=INDEX($G$2:$G$86,MATCH(VALUE(MID(O87,2,3)),$A$2:$A$86,0)),INDEX($M$2:$M$86,MATCH(VALUE(MID(O87,2,3)),$A$2:$A$86,0)),IF(INDEX($K$2:$K$86,MATCH(VALUE(MID(O87,2,3)),$A$2:$A$86,0))=INDEX($H$2:$H$86,MATCH(VALUE(MID(O87,2,3)),$A$2:$A$86,0)),INDEX($N$2:$N$86,MATCH(VALUE(MID(O87,2,3)),$A$2:$A$86,0)),O87)),O87),IF(LEFT(O87,1)="L",IFERROR(IF(INDEX($K$2:$K$86,MATCH(VALUE(MID(O87,2,3)),$A$2:$A$86,0))=INDEX($G$2:$G$86,MATCH(VALUE(MID(O87,2,3)),$A$2:$A$86,0)),INDEX($N$2:$N$86,MATCH(VALUE(MID(O87,2,3)),$A$2:$A$86,0)),IF(INDEX($K$2:$K$86,MATCH(VALUE(MID(O87,2,3)),$A$2:$A$86,0))=INDEX($H$2:$H$86,MATCH(VALUE(MID(O87,2,3)),$A$2:$A$86,0)),INDEX($M$2:$M$86,MATCH(VALUE(MID(O87,2,3)),$A$2:$A$86,0)),O87)),O87),IFERROR(IF(VLOOKUP(RIGHT(O87,1)&amp;LEFT(O87,1),Clasificacion!$O$2:$Q$49,3,FALSE())="",O87,VLOOKUP(RIGHT(O87,1)&amp;LEFT(O87,1),Clasificacion!$O$2:$Q$49,3,FALSE())),O87)))))</f>
        <v>1J</v>
      </c>
      <c r="N87" s="1" t="str">
        <f>IF(P87="","",IF(LEFT(P87,1)="3",IFERROR(IF(VLOOKUP($A87&amp;"V",Asignacion_3ros!$A$2:$G$9,7,FALSE())="",P87,VLOOKUP($A87&amp;"V",Asignacion_3ros!$A$2:$G$9,7,FALSE())),P87),IF(LEFT(P87,1)="W",IFERROR(IF(INDEX($K$2:$K$86,MATCH(VALUE(MID(P87,2,3)),$A$2:$A$86,0))=INDEX($G$2:$G$86,MATCH(VALUE(MID(P87,2,3)),$A$2:$A$86,0)),INDEX($M$2:$M$86,MATCH(VALUE(MID(P87,2,3)),$A$2:$A$86,0)),IF(INDEX($K$2:$K$86,MATCH(VALUE(MID(P87,2,3)),$A$2:$A$86,0))=INDEX($H$2:$H$86,MATCH(VALUE(MID(P87,2,3)),$A$2:$A$86,0)),INDEX($N$2:$N$86,MATCH(VALUE(MID(P87,2,3)),$A$2:$A$86,0)),P87)),P87),IF(LEFT(P87,1)="L",IFERROR(IF(INDEX($K$2:$K$86,MATCH(VALUE(MID(P87,2,3)),$A$2:$A$86,0))=INDEX($G$2:$G$86,MATCH(VALUE(MID(P87,2,3)),$A$2:$A$86,0)),INDEX($N$2:$N$86,MATCH(VALUE(MID(P87,2,3)),$A$2:$A$86,0)),IF(INDEX($K$2:$K$86,MATCH(VALUE(MID(P87,2,3)),$A$2:$A$86,0))=INDEX($H$2:$H$86,MATCH(VALUE(MID(P87,2,3)),$A$2:$A$86,0)),INDEX($M$2:$M$86,MATCH(VALUE(MID(P87,2,3)),$A$2:$A$86,0)),P87)),P87),IFERROR(IF(VLOOKUP(RIGHT(P87,1)&amp;LEFT(P87,1),Clasificacion!$O$2:$Q$49,3,FALSE())="",P87,VLOOKUP(RIGHT(P87,1)&amp;LEFT(P87,1),Clasificacion!$O$2:$Q$49,3,FALSE())),P87)))))</f>
        <v>2H</v>
      </c>
      <c r="O87" s="1" t="s">
        <v>320</v>
      </c>
      <c r="P87" s="1" t="s">
        <v>321</v>
      </c>
      <c r="Q87" s="1" t="s">
        <v>266</v>
      </c>
    </row>
    <row r="88" spans="1:17" ht="14.25" customHeight="1" x14ac:dyDescent="0.25">
      <c r="A88" s="1">
        <v>87</v>
      </c>
      <c r="B88" s="1">
        <v>46206</v>
      </c>
      <c r="C88" s="85">
        <v>0.85416666666666663</v>
      </c>
      <c r="D88" s="1">
        <f>HOUR(tblPartidos[[#This Row],[Hora ET]])-1</f>
        <v>19</v>
      </c>
      <c r="E88" s="1" t="s">
        <v>292</v>
      </c>
      <c r="G88" s="1" t="str">
        <f>IF(O88="","",IF(LEFT(O88,1)="3",IFERROR(IF(VLOOKUP($A88&amp;"L",Asignacion_3ros!$A$2:$G$9,6,FALSE())="",O88,VLOOKUP($A88&amp;"L",Asignacion_3ros!$A$2:$G$9,6,FALSE())),O88),IF(LEFT(O88,1)="W",IFERROR(IF(INDEX($K$2:$K$87,MATCH(VALUE(MID(O88,2,3)),$A$2:$A$87,0))="",O88,INDEX($K$2:$K$87,MATCH(VALUE(MID(O88,2,3)),$A$2:$A$87,0))),O88),IF(LEFT(O88,1)="L",IFERROR(IF(INDEX($K$2:$K$87,MATCH(VALUE(MID(O88,2,3)),$A$2:$A$87,0))=INDEX($G$2:$G$87,MATCH(VALUE(MID(O88,2,3)),$A$2:$A$87,0)),INDEX($H$2:$H$87,MATCH(VALUE(MID(O88,2,3)),$A$2:$A$87,0)),IF(INDEX($K$2:$K$87,MATCH(VALUE(MID(O88,2,3)),$A$2:$A$87,0))=INDEX($H$2:$H$87,MATCH(VALUE(MID(O88,2,3)),$A$2:$A$87,0)),INDEX($G$2:$G$87,MATCH(VALUE(MID(O88,2,3)),$A$2:$A$87,0)),O88)),O88),IFERROR(IF(VLOOKUP(RIGHT(O88,1)&amp;LEFT(O88,1),Clasificacion!$O$2:$Q$49,2,FALSE())="",O88,VLOOKUP(RIGHT(O88,1)&amp;LEFT(O88,1),Clasificacion!$O$2:$Q$49,2,FALSE())),O88)))))</f>
        <v>1K</v>
      </c>
      <c r="H88" s="1" t="str">
        <f>IF(P88="","",IF(LEFT(P88,1)="3",IFERROR(IF(VLOOKUP($A88&amp;"V",Asignacion_3ros!$A$2:$G$9,6,FALSE())="",P88,VLOOKUP($A88&amp;"V",Asignacion_3ros!$A$2:$G$9,6,FALSE())),P88),IF(LEFT(P88,1)="W",IFERROR(IF(INDEX($K$2:$K$87,MATCH(VALUE(MID(P88,2,3)),$A$2:$A$87,0))="",P88,INDEX($K$2:$K$87,MATCH(VALUE(MID(P88,2,3)),$A$2:$A$87,0))),P88),IF(LEFT(P88,1)="L",IFERROR(IF(INDEX($K$2:$K$87,MATCH(VALUE(MID(P88,2,3)),$A$2:$A$87,0))=INDEX($G$2:$G$87,MATCH(VALUE(MID(P88,2,3)),$A$2:$A$87,0)),INDEX($H$2:$H$87,MATCH(VALUE(MID(P88,2,3)),$A$2:$A$87,0)),IF(INDEX($K$2:$K$87,MATCH(VALUE(MID(P88,2,3)),$A$2:$A$87,0))=INDEX($H$2:$H$87,MATCH(VALUE(MID(P88,2,3)),$A$2:$A$87,0)),INDEX($G$2:$G$87,MATCH(VALUE(MID(P88,2,3)),$A$2:$A$87,0)),P88)),P88),IFERROR(IF(VLOOKUP(RIGHT(P88,1)&amp;LEFT(P88,1),Clasificacion!$O$2:$Q$49,2,FALSE())="",P88,VLOOKUP(RIGHT(P88,1)&amp;LEFT(P88,1),Clasificacion!$O$2:$Q$49,2,FALSE())),P88)))))</f>
        <v>Canadá</v>
      </c>
      <c r="K88" s="1" t="str">
        <f t="shared" si="2"/>
        <v/>
      </c>
      <c r="L88" s="1" t="s">
        <v>288</v>
      </c>
      <c r="M88" s="1" t="str">
        <f>IF(O88="","",IF(LEFT(O88,1)="3",IFERROR(IF(VLOOKUP($A88&amp;"L",Asignacion_3ros!$A$2:$G$9,7,FALSE())="",O88,VLOOKUP($A88&amp;"L",Asignacion_3ros!$A$2:$G$9,7,FALSE())),O88),IF(LEFT(O88,1)="W",IFERROR(IF(INDEX($K$2:$K$87,MATCH(VALUE(MID(O88,2,3)),$A$2:$A$87,0))=INDEX($G$2:$G$87,MATCH(VALUE(MID(O88,2,3)),$A$2:$A$87,0)),INDEX($M$2:$M$87,MATCH(VALUE(MID(O88,2,3)),$A$2:$A$87,0)),IF(INDEX($K$2:$K$87,MATCH(VALUE(MID(O88,2,3)),$A$2:$A$87,0))=INDEX($H$2:$H$87,MATCH(VALUE(MID(O88,2,3)),$A$2:$A$87,0)),INDEX($N$2:$N$87,MATCH(VALUE(MID(O88,2,3)),$A$2:$A$87,0)),O88)),O88),IF(LEFT(O88,1)="L",IFERROR(IF(INDEX($K$2:$K$87,MATCH(VALUE(MID(O88,2,3)),$A$2:$A$87,0))=INDEX($G$2:$G$87,MATCH(VALUE(MID(O88,2,3)),$A$2:$A$87,0)),INDEX($N$2:$N$87,MATCH(VALUE(MID(O88,2,3)),$A$2:$A$87,0)),IF(INDEX($K$2:$K$87,MATCH(VALUE(MID(O88,2,3)),$A$2:$A$87,0))=INDEX($H$2:$H$87,MATCH(VALUE(MID(O88,2,3)),$A$2:$A$87,0)),INDEX($M$2:$M$87,MATCH(VALUE(MID(O88,2,3)),$A$2:$A$87,0)),O88)),O88),IFERROR(IF(VLOOKUP(RIGHT(O88,1)&amp;LEFT(O88,1),Clasificacion!$O$2:$Q$49,3,FALSE())="",O88,VLOOKUP(RIGHT(O88,1)&amp;LEFT(O88,1),Clasificacion!$O$2:$Q$49,3,FALSE())),O88)))))</f>
        <v>1K</v>
      </c>
      <c r="N88" s="1" t="str">
        <f>IF(P88="","",IF(LEFT(P88,1)="3",IFERROR(IF(VLOOKUP($A88&amp;"V",Asignacion_3ros!$A$2:$G$9,7,FALSE())="",P88,VLOOKUP($A88&amp;"V",Asignacion_3ros!$A$2:$G$9,7,FALSE())),P88),IF(LEFT(P88,1)="W",IFERROR(IF(INDEX($K$2:$K$87,MATCH(VALUE(MID(P88,2,3)),$A$2:$A$87,0))=INDEX($G$2:$G$87,MATCH(VALUE(MID(P88,2,3)),$A$2:$A$87,0)),INDEX($M$2:$M$87,MATCH(VALUE(MID(P88,2,3)),$A$2:$A$87,0)),IF(INDEX($K$2:$K$87,MATCH(VALUE(MID(P88,2,3)),$A$2:$A$87,0))=INDEX($H$2:$H$87,MATCH(VALUE(MID(P88,2,3)),$A$2:$A$87,0)),INDEX($N$2:$N$87,MATCH(VALUE(MID(P88,2,3)),$A$2:$A$87,0)),P88)),P88),IF(LEFT(P88,1)="L",IFERROR(IF(INDEX($K$2:$K$87,MATCH(VALUE(MID(P88,2,3)),$A$2:$A$87,0))=INDEX($G$2:$G$87,MATCH(VALUE(MID(P88,2,3)),$A$2:$A$87,0)),INDEX($N$2:$N$87,MATCH(VALUE(MID(P88,2,3)),$A$2:$A$87,0)),IF(INDEX($K$2:$K$87,MATCH(VALUE(MID(P88,2,3)),$A$2:$A$87,0))=INDEX($H$2:$H$87,MATCH(VALUE(MID(P88,2,3)),$A$2:$A$87,0)),INDEX($M$2:$M$87,MATCH(VALUE(MID(P88,2,3)),$A$2:$A$87,0)),P88)),P88),IFERROR(IF(VLOOKUP(RIGHT(P88,1)&amp;LEFT(P88,1),Clasificacion!$O$2:$Q$49,3,FALSE())="",P88,VLOOKUP(RIGHT(P88,1)&amp;LEFT(P88,1),Clasificacion!$O$2:$Q$49,3,FALSE())),P88)))))</f>
        <v>CAN</v>
      </c>
      <c r="O88" s="1" t="s">
        <v>323</v>
      </c>
      <c r="P88" s="1" t="s">
        <v>324</v>
      </c>
      <c r="Q88" s="1" t="s">
        <v>266</v>
      </c>
    </row>
    <row r="89" spans="1:17" ht="14.25" customHeight="1" x14ac:dyDescent="0.25">
      <c r="A89" s="1">
        <v>88</v>
      </c>
      <c r="B89" s="1">
        <v>46206</v>
      </c>
      <c r="C89" s="85">
        <v>0.54166666666666663</v>
      </c>
      <c r="D89" s="1">
        <f>HOUR(tblPartidos[[#This Row],[Hora ET]])-1</f>
        <v>12</v>
      </c>
      <c r="E89" s="1" t="s">
        <v>292</v>
      </c>
      <c r="G89" s="1" t="str">
        <f>IF(O89="","",IF(LEFT(O89,1)="3",IFERROR(IF(VLOOKUP($A89&amp;"L",Asignacion_3ros!$A$2:$G$9,6,FALSE())="",O89,VLOOKUP($A89&amp;"L",Asignacion_3ros!$A$2:$G$9,6,FALSE())),O89),IF(LEFT(O89,1)="W",IFERROR(IF(INDEX($K$2:$K$88,MATCH(VALUE(MID(O89,2,3)),$A$2:$A$88,0))="",O89,INDEX($K$2:$K$88,MATCH(VALUE(MID(O89,2,3)),$A$2:$A$88,0))),O89),IF(LEFT(O89,1)="L",IFERROR(IF(INDEX($K$2:$K$88,MATCH(VALUE(MID(O89,2,3)),$A$2:$A$88,0))=INDEX($G$2:$G$88,MATCH(VALUE(MID(O89,2,3)),$A$2:$A$88,0)),INDEX($H$2:$H$88,MATCH(VALUE(MID(O89,2,3)),$A$2:$A$88,0)),IF(INDEX($K$2:$K$88,MATCH(VALUE(MID(O89,2,3)),$A$2:$A$88,0))=INDEX($H$2:$H$88,MATCH(VALUE(MID(O89,2,3)),$A$2:$A$88,0)),INDEX($G$2:$G$88,MATCH(VALUE(MID(O89,2,3)),$A$2:$A$88,0)),O89)),O89),IFERROR(IF(VLOOKUP(RIGHT(O89,1)&amp;LEFT(O89,1),Clasificacion!$O$2:$Q$49,2,FALSE())="",O89,VLOOKUP(RIGHT(O89,1)&amp;LEFT(O89,1),Clasificacion!$O$2:$Q$49,2,FALSE())),O89)))))</f>
        <v>2D</v>
      </c>
      <c r="H89" s="1" t="str">
        <f>IF(P89="","",IF(LEFT(P89,1)="3",IFERROR(IF(VLOOKUP($A89&amp;"V",Asignacion_3ros!$A$2:$G$9,6,FALSE())="",P89,VLOOKUP($A89&amp;"V",Asignacion_3ros!$A$2:$G$9,6,FALSE())),P89),IF(LEFT(P89,1)="W",IFERROR(IF(INDEX($K$2:$K$88,MATCH(VALUE(MID(P89,2,3)),$A$2:$A$88,0))="",P89,INDEX($K$2:$K$88,MATCH(VALUE(MID(P89,2,3)),$A$2:$A$88,0))),P89),IF(LEFT(P89,1)="L",IFERROR(IF(INDEX($K$2:$K$88,MATCH(VALUE(MID(P89,2,3)),$A$2:$A$88,0))=INDEX($G$2:$G$88,MATCH(VALUE(MID(P89,2,3)),$A$2:$A$88,0)),INDEX($H$2:$H$88,MATCH(VALUE(MID(P89,2,3)),$A$2:$A$88,0)),IF(INDEX($K$2:$K$88,MATCH(VALUE(MID(P89,2,3)),$A$2:$A$88,0))=INDEX($H$2:$H$88,MATCH(VALUE(MID(P89,2,3)),$A$2:$A$88,0)),INDEX($G$2:$G$88,MATCH(VALUE(MID(P89,2,3)),$A$2:$A$88,0)),P89)),P89),IFERROR(IF(VLOOKUP(RIGHT(P89,1)&amp;LEFT(P89,1),Clasificacion!$O$2:$Q$49,2,FALSE())="",P89,VLOOKUP(RIGHT(P89,1)&amp;LEFT(P89,1),Clasificacion!$O$2:$Q$49,2,FALSE())),P89)))))</f>
        <v>2G</v>
      </c>
      <c r="K89" s="1" t="str">
        <f t="shared" si="2"/>
        <v/>
      </c>
      <c r="L89" s="1" t="s">
        <v>282</v>
      </c>
      <c r="M89" s="1" t="str">
        <f>IF(O89="","",IF(LEFT(O89,1)="3",IFERROR(IF(VLOOKUP($A89&amp;"L",Asignacion_3ros!$A$2:$G$9,7,FALSE())="",O89,VLOOKUP($A89&amp;"L",Asignacion_3ros!$A$2:$G$9,7,FALSE())),O89),IF(LEFT(O89,1)="W",IFERROR(IF(INDEX($K$2:$K$88,MATCH(VALUE(MID(O89,2,3)),$A$2:$A$88,0))=INDEX($G$2:$G$88,MATCH(VALUE(MID(O89,2,3)),$A$2:$A$88,0)),INDEX($M$2:$M$88,MATCH(VALUE(MID(O89,2,3)),$A$2:$A$88,0)),IF(INDEX($K$2:$K$88,MATCH(VALUE(MID(O89,2,3)),$A$2:$A$88,0))=INDEX($H$2:$H$88,MATCH(VALUE(MID(O89,2,3)),$A$2:$A$88,0)),INDEX($N$2:$N$88,MATCH(VALUE(MID(O89,2,3)),$A$2:$A$88,0)),O89)),O89),IF(LEFT(O89,1)="L",IFERROR(IF(INDEX($K$2:$K$88,MATCH(VALUE(MID(O89,2,3)),$A$2:$A$88,0))=INDEX($G$2:$G$88,MATCH(VALUE(MID(O89,2,3)),$A$2:$A$88,0)),INDEX($N$2:$N$88,MATCH(VALUE(MID(O89,2,3)),$A$2:$A$88,0)),IF(INDEX($K$2:$K$88,MATCH(VALUE(MID(O89,2,3)),$A$2:$A$88,0))=INDEX($H$2:$H$88,MATCH(VALUE(MID(O89,2,3)),$A$2:$A$88,0)),INDEX($M$2:$M$88,MATCH(VALUE(MID(O89,2,3)),$A$2:$A$88,0)),O89)),O89),IFERROR(IF(VLOOKUP(RIGHT(O89,1)&amp;LEFT(O89,1),Clasificacion!$O$2:$Q$49,3,FALSE())="",O89,VLOOKUP(RIGHT(O89,1)&amp;LEFT(O89,1),Clasificacion!$O$2:$Q$49,3,FALSE())),O89)))))</f>
        <v>2D</v>
      </c>
      <c r="N89" s="1" t="str">
        <f>IF(P89="","",IF(LEFT(P89,1)="3",IFERROR(IF(VLOOKUP($A89&amp;"V",Asignacion_3ros!$A$2:$G$9,7,FALSE())="",P89,VLOOKUP($A89&amp;"V",Asignacion_3ros!$A$2:$G$9,7,FALSE())),P89),IF(LEFT(P89,1)="W",IFERROR(IF(INDEX($K$2:$K$88,MATCH(VALUE(MID(P89,2,3)),$A$2:$A$88,0))=INDEX($G$2:$G$88,MATCH(VALUE(MID(P89,2,3)),$A$2:$A$88,0)),INDEX($M$2:$M$88,MATCH(VALUE(MID(P89,2,3)),$A$2:$A$88,0)),IF(INDEX($K$2:$K$88,MATCH(VALUE(MID(P89,2,3)),$A$2:$A$88,0))=INDEX($H$2:$H$88,MATCH(VALUE(MID(P89,2,3)),$A$2:$A$88,0)),INDEX($N$2:$N$88,MATCH(VALUE(MID(P89,2,3)),$A$2:$A$88,0)),P89)),P89),IF(LEFT(P89,1)="L",IFERROR(IF(INDEX($K$2:$K$88,MATCH(VALUE(MID(P89,2,3)),$A$2:$A$88,0))=INDEX($G$2:$G$88,MATCH(VALUE(MID(P89,2,3)),$A$2:$A$88,0)),INDEX($N$2:$N$88,MATCH(VALUE(MID(P89,2,3)),$A$2:$A$88,0)),IF(INDEX($K$2:$K$88,MATCH(VALUE(MID(P89,2,3)),$A$2:$A$88,0))=INDEX($H$2:$H$88,MATCH(VALUE(MID(P89,2,3)),$A$2:$A$88,0)),INDEX($M$2:$M$88,MATCH(VALUE(MID(P89,2,3)),$A$2:$A$88,0)),P89)),P89),IFERROR(IF(VLOOKUP(RIGHT(P89,1)&amp;LEFT(P89,1),Clasificacion!$O$2:$Q$49,3,FALSE())="",P89,VLOOKUP(RIGHT(P89,1)&amp;LEFT(P89,1),Clasificacion!$O$2:$Q$49,3,FALSE())),P89)))))</f>
        <v>2G</v>
      </c>
      <c r="O89" s="1" t="s">
        <v>326</v>
      </c>
      <c r="P89" s="1" t="s">
        <v>327</v>
      </c>
      <c r="Q89" s="1" t="s">
        <v>266</v>
      </c>
    </row>
    <row r="90" spans="1:17" ht="14.25" customHeight="1" x14ac:dyDescent="0.25">
      <c r="A90" s="1">
        <v>89</v>
      </c>
      <c r="B90" s="1">
        <v>46207</v>
      </c>
      <c r="C90" s="85">
        <v>0.66666666666666663</v>
      </c>
      <c r="D90" s="1">
        <f>HOUR(tblPartidos[[#This Row],[Hora ET]])-1</f>
        <v>15</v>
      </c>
      <c r="E90" s="1" t="s">
        <v>328</v>
      </c>
      <c r="G90" s="1" t="str">
        <f>IF(O90="","",IF(LEFT(O90,1)="3",IFERROR(IF(VLOOKUP($A90&amp;"L",Asignacion_3ros!$A$2:$G$9,6,FALSE())="",O90,VLOOKUP($A90&amp;"L",Asignacion_3ros!$A$2:$G$9,6,FALSE())),O90),IF(LEFT(O90,1)="W",IFERROR(IF(INDEX($K$2:$K$89,MATCH(VALUE(MID(O90,2,3)),$A$2:$A$89,0))="",O90,INDEX($K$2:$K$89,MATCH(VALUE(MID(O90,2,3)),$A$2:$A$89,0))),O90),IF(LEFT(O90,1)="L",IFERROR(IF(INDEX($K$2:$K$89,MATCH(VALUE(MID(O90,2,3)),$A$2:$A$89,0))=INDEX($G$2:$G$89,MATCH(VALUE(MID(O90,2,3)),$A$2:$A$89,0)),INDEX($H$2:$H$89,MATCH(VALUE(MID(O90,2,3)),$A$2:$A$89,0)),IF(INDEX($K$2:$K$89,MATCH(VALUE(MID(O90,2,3)),$A$2:$A$89,0))=INDEX($H$2:$H$89,MATCH(VALUE(MID(O90,2,3)),$A$2:$A$89,0)),INDEX($G$2:$G$89,MATCH(VALUE(MID(O90,2,3)),$A$2:$A$89,0)),O90)),O90),IFERROR(IF(VLOOKUP(RIGHT(O90,1)&amp;LEFT(O90,1),Clasificacion!$O$2:$Q$49,2,FALSE())="",O90,VLOOKUP(RIGHT(O90,1)&amp;LEFT(O90,1),Clasificacion!$O$2:$Q$49,2,FALSE())),O90)))))</f>
        <v>W74</v>
      </c>
      <c r="H90" s="1" t="str">
        <f>IF(P90="","",IF(LEFT(P90,1)="3",IFERROR(IF(VLOOKUP($A90&amp;"V",Asignacion_3ros!$A$2:$G$9,6,FALSE())="",P90,VLOOKUP($A90&amp;"V",Asignacion_3ros!$A$2:$G$9,6,FALSE())),P90),IF(LEFT(P90,1)="W",IFERROR(IF(INDEX($K$2:$K$89,MATCH(VALUE(MID(P90,2,3)),$A$2:$A$89,0))="",P90,INDEX($K$2:$K$89,MATCH(VALUE(MID(P90,2,3)),$A$2:$A$89,0))),P90),IF(LEFT(P90,1)="L",IFERROR(IF(INDEX($K$2:$K$89,MATCH(VALUE(MID(P90,2,3)),$A$2:$A$89,0))=INDEX($G$2:$G$89,MATCH(VALUE(MID(P90,2,3)),$A$2:$A$89,0)),INDEX($H$2:$H$89,MATCH(VALUE(MID(P90,2,3)),$A$2:$A$89,0)),IF(INDEX($K$2:$K$89,MATCH(VALUE(MID(P90,2,3)),$A$2:$A$89,0))=INDEX($H$2:$H$89,MATCH(VALUE(MID(P90,2,3)),$A$2:$A$89,0)),INDEX($G$2:$G$89,MATCH(VALUE(MID(P90,2,3)),$A$2:$A$89,0)),P90)),P90),IFERROR(IF(VLOOKUP(RIGHT(P90,1)&amp;LEFT(P90,1),Clasificacion!$O$2:$Q$49,2,FALSE())="",P90,VLOOKUP(RIGHT(P90,1)&amp;LEFT(P90,1),Clasificacion!$O$2:$Q$49,2,FALSE())),P90)))))</f>
        <v>W77</v>
      </c>
      <c r="K90" s="1" t="str">
        <f t="shared" si="2"/>
        <v/>
      </c>
      <c r="L90" s="1" t="s">
        <v>278</v>
      </c>
      <c r="M90" s="1" t="str">
        <f>IF(O90="","",IF(LEFT(O90,1)="3",IFERROR(IF(VLOOKUP($A90&amp;"L",Asignacion_3ros!$A$2:$G$9,7,FALSE())="",O90,VLOOKUP($A90&amp;"L",Asignacion_3ros!$A$2:$G$9,7,FALSE())),O90),IF(LEFT(O90,1)="W",IFERROR(IF(INDEX($K$2:$K$89,MATCH(VALUE(MID(O90,2,3)),$A$2:$A$89,0))=INDEX($G$2:$G$89,MATCH(VALUE(MID(O90,2,3)),$A$2:$A$89,0)),INDEX($M$2:$M$89,MATCH(VALUE(MID(O90,2,3)),$A$2:$A$89,0)),IF(INDEX($K$2:$K$89,MATCH(VALUE(MID(O90,2,3)),$A$2:$A$89,0))=INDEX($H$2:$H$89,MATCH(VALUE(MID(O90,2,3)),$A$2:$A$89,0)),INDEX($N$2:$N$89,MATCH(VALUE(MID(O90,2,3)),$A$2:$A$89,0)),O90)),O90),IF(LEFT(O90,1)="L",IFERROR(IF(INDEX($K$2:$K$89,MATCH(VALUE(MID(O90,2,3)),$A$2:$A$89,0))=INDEX($G$2:$G$89,MATCH(VALUE(MID(O90,2,3)),$A$2:$A$89,0)),INDEX($N$2:$N$89,MATCH(VALUE(MID(O90,2,3)),$A$2:$A$89,0)),IF(INDEX($K$2:$K$89,MATCH(VALUE(MID(O90,2,3)),$A$2:$A$89,0))=INDEX($H$2:$H$89,MATCH(VALUE(MID(O90,2,3)),$A$2:$A$89,0)),INDEX($M$2:$M$89,MATCH(VALUE(MID(O90,2,3)),$A$2:$A$89,0)),O90)),O90),IFERROR(IF(VLOOKUP(RIGHT(O90,1)&amp;LEFT(O90,1),Clasificacion!$O$2:$Q$49,3,FALSE())="",O90,VLOOKUP(RIGHT(O90,1)&amp;LEFT(O90,1),Clasificacion!$O$2:$Q$49,3,FALSE())),O90)))))</f>
        <v>W74</v>
      </c>
      <c r="N90" s="1" t="str">
        <f>IF(P90="","",IF(LEFT(P90,1)="3",IFERROR(IF(VLOOKUP($A90&amp;"V",Asignacion_3ros!$A$2:$G$9,7,FALSE())="",P90,VLOOKUP($A90&amp;"V",Asignacion_3ros!$A$2:$G$9,7,FALSE())),P90),IF(LEFT(P90,1)="W",IFERROR(IF(INDEX($K$2:$K$89,MATCH(VALUE(MID(P90,2,3)),$A$2:$A$89,0))=INDEX($G$2:$G$89,MATCH(VALUE(MID(P90,2,3)),$A$2:$A$89,0)),INDEX($M$2:$M$89,MATCH(VALUE(MID(P90,2,3)),$A$2:$A$89,0)),IF(INDEX($K$2:$K$89,MATCH(VALUE(MID(P90,2,3)),$A$2:$A$89,0))=INDEX($H$2:$H$89,MATCH(VALUE(MID(P90,2,3)),$A$2:$A$89,0)),INDEX($N$2:$N$89,MATCH(VALUE(MID(P90,2,3)),$A$2:$A$89,0)),P90)),P90),IF(LEFT(P90,1)="L",IFERROR(IF(INDEX($K$2:$K$89,MATCH(VALUE(MID(P90,2,3)),$A$2:$A$89,0))=INDEX($G$2:$G$89,MATCH(VALUE(MID(P90,2,3)),$A$2:$A$89,0)),INDEX($N$2:$N$89,MATCH(VALUE(MID(P90,2,3)),$A$2:$A$89,0)),IF(INDEX($K$2:$K$89,MATCH(VALUE(MID(P90,2,3)),$A$2:$A$89,0))=INDEX($H$2:$H$89,MATCH(VALUE(MID(P90,2,3)),$A$2:$A$89,0)),INDEX($M$2:$M$89,MATCH(VALUE(MID(P90,2,3)),$A$2:$A$89,0)),P90)),P90),IFERROR(IF(VLOOKUP(RIGHT(P90,1)&amp;LEFT(P90,1),Clasificacion!$O$2:$Q$49,3,FALSE())="",P90,VLOOKUP(RIGHT(P90,1)&amp;LEFT(P90,1),Clasificacion!$O$2:$Q$49,3,FALSE())),P90)))))</f>
        <v>W77</v>
      </c>
      <c r="O90" s="1" t="s">
        <v>329</v>
      </c>
      <c r="P90" s="1" t="s">
        <v>330</v>
      </c>
      <c r="Q90" s="1" t="s">
        <v>266</v>
      </c>
    </row>
    <row r="91" spans="1:17" ht="14.25" customHeight="1" x14ac:dyDescent="0.25">
      <c r="A91" s="1">
        <v>90</v>
      </c>
      <c r="B91" s="1">
        <v>46207</v>
      </c>
      <c r="C91" s="85">
        <v>0.95833333333333337</v>
      </c>
      <c r="D91" s="1">
        <f>HOUR(tblPartidos[[#This Row],[Hora ET]])-1</f>
        <v>22</v>
      </c>
      <c r="E91" s="1" t="s">
        <v>328</v>
      </c>
      <c r="G91" s="1" t="str">
        <f>IF(O91="","",IF(LEFT(O91,1)="3",IFERROR(IF(VLOOKUP($A91&amp;"L",Asignacion_3ros!$A$2:$G$9,6,FALSE())="",O91,VLOOKUP($A91&amp;"L",Asignacion_3ros!$A$2:$G$9,6,FALSE())),O91),IF(LEFT(O91,1)="W",IFERROR(IF(INDEX($K$2:$K$90,MATCH(VALUE(MID(O91,2,3)),$A$2:$A$90,0))="",O91,INDEX($K$2:$K$90,MATCH(VALUE(MID(O91,2,3)),$A$2:$A$90,0))),O91),IF(LEFT(O91,1)="L",IFERROR(IF(INDEX($K$2:$K$90,MATCH(VALUE(MID(O91,2,3)),$A$2:$A$90,0))=INDEX($G$2:$G$90,MATCH(VALUE(MID(O91,2,3)),$A$2:$A$90,0)),INDEX($H$2:$H$90,MATCH(VALUE(MID(O91,2,3)),$A$2:$A$90,0)),IF(INDEX($K$2:$K$90,MATCH(VALUE(MID(O91,2,3)),$A$2:$A$90,0))=INDEX($H$2:$H$90,MATCH(VALUE(MID(O91,2,3)),$A$2:$A$90,0)),INDEX($G$2:$G$90,MATCH(VALUE(MID(O91,2,3)),$A$2:$A$90,0)),O91)),O91),IFERROR(IF(VLOOKUP(RIGHT(O91,1)&amp;LEFT(O91,1),Clasificacion!$O$2:$Q$49,2,FALSE())="",O91,VLOOKUP(RIGHT(O91,1)&amp;LEFT(O91,1),Clasificacion!$O$2:$Q$49,2,FALSE())),O91)))))</f>
        <v>W73</v>
      </c>
      <c r="H91" s="1" t="str">
        <f>IF(P91="","",IF(LEFT(P91,1)="3",IFERROR(IF(VLOOKUP($A91&amp;"V",Asignacion_3ros!$A$2:$G$9,6,FALSE())="",P91,VLOOKUP($A91&amp;"V",Asignacion_3ros!$A$2:$G$9,6,FALSE())),P91),IF(LEFT(P91,1)="W",IFERROR(IF(INDEX($K$2:$K$90,MATCH(VALUE(MID(P91,2,3)),$A$2:$A$90,0))="",P91,INDEX($K$2:$K$90,MATCH(VALUE(MID(P91,2,3)),$A$2:$A$90,0))),P91),IF(LEFT(P91,1)="L",IFERROR(IF(INDEX($K$2:$K$90,MATCH(VALUE(MID(P91,2,3)),$A$2:$A$90,0))=INDEX($G$2:$G$90,MATCH(VALUE(MID(P91,2,3)),$A$2:$A$90,0)),INDEX($H$2:$H$90,MATCH(VALUE(MID(P91,2,3)),$A$2:$A$90,0)),IF(INDEX($K$2:$K$90,MATCH(VALUE(MID(P91,2,3)),$A$2:$A$90,0))=INDEX($H$2:$H$90,MATCH(VALUE(MID(P91,2,3)),$A$2:$A$90,0)),INDEX($G$2:$G$90,MATCH(VALUE(MID(P91,2,3)),$A$2:$A$90,0)),P91)),P91),IFERROR(IF(VLOOKUP(RIGHT(P91,1)&amp;LEFT(P91,1),Clasificacion!$O$2:$Q$49,2,FALSE())="",P91,VLOOKUP(RIGHT(P91,1)&amp;LEFT(P91,1),Clasificacion!$O$2:$Q$49,2,FALSE())),P91)))))</f>
        <v>W75</v>
      </c>
      <c r="K91" s="1" t="str">
        <f t="shared" si="2"/>
        <v/>
      </c>
      <c r="L91" s="1" t="s">
        <v>280</v>
      </c>
      <c r="M91" s="1" t="str">
        <f>IF(O91="","",IF(LEFT(O91,1)="3",IFERROR(IF(VLOOKUP($A91&amp;"L",Asignacion_3ros!$A$2:$G$9,7,FALSE())="",O91,VLOOKUP($A91&amp;"L",Asignacion_3ros!$A$2:$G$9,7,FALSE())),O91),IF(LEFT(O91,1)="W",IFERROR(IF(INDEX($K$2:$K$90,MATCH(VALUE(MID(O91,2,3)),$A$2:$A$90,0))=INDEX($G$2:$G$90,MATCH(VALUE(MID(O91,2,3)),$A$2:$A$90,0)),INDEX($M$2:$M$90,MATCH(VALUE(MID(O91,2,3)),$A$2:$A$90,0)),IF(INDEX($K$2:$K$90,MATCH(VALUE(MID(O91,2,3)),$A$2:$A$90,0))=INDEX($H$2:$H$90,MATCH(VALUE(MID(O91,2,3)),$A$2:$A$90,0)),INDEX($N$2:$N$90,MATCH(VALUE(MID(O91,2,3)),$A$2:$A$90,0)),O91)),O91),IF(LEFT(O91,1)="L",IFERROR(IF(INDEX($K$2:$K$90,MATCH(VALUE(MID(O91,2,3)),$A$2:$A$90,0))=INDEX($G$2:$G$90,MATCH(VALUE(MID(O91,2,3)),$A$2:$A$90,0)),INDEX($N$2:$N$90,MATCH(VALUE(MID(O91,2,3)),$A$2:$A$90,0)),IF(INDEX($K$2:$K$90,MATCH(VALUE(MID(O91,2,3)),$A$2:$A$90,0))=INDEX($H$2:$H$90,MATCH(VALUE(MID(O91,2,3)),$A$2:$A$90,0)),INDEX($M$2:$M$90,MATCH(VALUE(MID(O91,2,3)),$A$2:$A$90,0)),O91)),O91),IFERROR(IF(VLOOKUP(RIGHT(O91,1)&amp;LEFT(O91,1),Clasificacion!$O$2:$Q$49,3,FALSE())="",O91,VLOOKUP(RIGHT(O91,1)&amp;LEFT(O91,1),Clasificacion!$O$2:$Q$49,3,FALSE())),O91)))))</f>
        <v>W73</v>
      </c>
      <c r="N91" s="1" t="str">
        <f>IF(P91="","",IF(LEFT(P91,1)="3",IFERROR(IF(VLOOKUP($A91&amp;"V",Asignacion_3ros!$A$2:$G$9,7,FALSE())="",P91,VLOOKUP($A91&amp;"V",Asignacion_3ros!$A$2:$G$9,7,FALSE())),P91),IF(LEFT(P91,1)="W",IFERROR(IF(INDEX($K$2:$K$90,MATCH(VALUE(MID(P91,2,3)),$A$2:$A$90,0))=INDEX($G$2:$G$90,MATCH(VALUE(MID(P91,2,3)),$A$2:$A$90,0)),INDEX($M$2:$M$90,MATCH(VALUE(MID(P91,2,3)),$A$2:$A$90,0)),IF(INDEX($K$2:$K$90,MATCH(VALUE(MID(P91,2,3)),$A$2:$A$90,0))=INDEX($H$2:$H$90,MATCH(VALUE(MID(P91,2,3)),$A$2:$A$90,0)),INDEX($N$2:$N$90,MATCH(VALUE(MID(P91,2,3)),$A$2:$A$90,0)),P91)),P91),IF(LEFT(P91,1)="L",IFERROR(IF(INDEX($K$2:$K$90,MATCH(VALUE(MID(P91,2,3)),$A$2:$A$90,0))=INDEX($G$2:$G$90,MATCH(VALUE(MID(P91,2,3)),$A$2:$A$90,0)),INDEX($N$2:$N$90,MATCH(VALUE(MID(P91,2,3)),$A$2:$A$90,0)),IF(INDEX($K$2:$K$90,MATCH(VALUE(MID(P91,2,3)),$A$2:$A$90,0))=INDEX($H$2:$H$90,MATCH(VALUE(MID(P91,2,3)),$A$2:$A$90,0)),INDEX($M$2:$M$90,MATCH(VALUE(MID(P91,2,3)),$A$2:$A$90,0)),P91)),P91),IFERROR(IF(VLOOKUP(RIGHT(P91,1)&amp;LEFT(P91,1),Clasificacion!$O$2:$Q$49,3,FALSE())="",P91,VLOOKUP(RIGHT(P91,1)&amp;LEFT(P91,1),Clasificacion!$O$2:$Q$49,3,FALSE())),P91)))))</f>
        <v>W75</v>
      </c>
      <c r="O91" s="1" t="s">
        <v>331</v>
      </c>
      <c r="P91" s="1" t="s">
        <v>332</v>
      </c>
      <c r="Q91" s="1" t="s">
        <v>266</v>
      </c>
    </row>
    <row r="92" spans="1:17" ht="14.25" customHeight="1" x14ac:dyDescent="0.25">
      <c r="A92" s="1">
        <v>91</v>
      </c>
      <c r="B92" s="1">
        <v>46208</v>
      </c>
      <c r="C92" s="85">
        <v>0.625</v>
      </c>
      <c r="D92" s="1">
        <f>HOUR(tblPartidos[[#This Row],[Hora ET]])-1</f>
        <v>14</v>
      </c>
      <c r="E92" s="1" t="s">
        <v>328</v>
      </c>
      <c r="G92" s="1" t="str">
        <f>IF(O92="","",IF(LEFT(O92,1)="3",IFERROR(IF(VLOOKUP($A92&amp;"L",Asignacion_3ros!$A$2:$G$9,6,FALSE())="",O92,VLOOKUP($A92&amp;"L",Asignacion_3ros!$A$2:$G$9,6,FALSE())),O92),IF(LEFT(O92,1)="W",IFERROR(IF(INDEX($K$2:$K$91,MATCH(VALUE(MID(O92,2,3)),$A$2:$A$91,0))="",O92,INDEX($K$2:$K$91,MATCH(VALUE(MID(O92,2,3)),$A$2:$A$91,0))),O92),IF(LEFT(O92,1)="L",IFERROR(IF(INDEX($K$2:$K$91,MATCH(VALUE(MID(O92,2,3)),$A$2:$A$91,0))=INDEX($G$2:$G$91,MATCH(VALUE(MID(O92,2,3)),$A$2:$A$91,0)),INDEX($H$2:$H$91,MATCH(VALUE(MID(O92,2,3)),$A$2:$A$91,0)),IF(INDEX($K$2:$K$91,MATCH(VALUE(MID(O92,2,3)),$A$2:$A$91,0))=INDEX($H$2:$H$91,MATCH(VALUE(MID(O92,2,3)),$A$2:$A$91,0)),INDEX($G$2:$G$91,MATCH(VALUE(MID(O92,2,3)),$A$2:$A$91,0)),O92)),O92),IFERROR(IF(VLOOKUP(RIGHT(O92,1)&amp;LEFT(O92,1),Clasificacion!$O$2:$Q$49,2,FALSE())="",O92,VLOOKUP(RIGHT(O92,1)&amp;LEFT(O92,1),Clasificacion!$O$2:$Q$49,2,FALSE())),O92)))))</f>
        <v>W76</v>
      </c>
      <c r="H92" s="1" t="str">
        <f>IF(P92="","",IF(LEFT(P92,1)="3",IFERROR(IF(VLOOKUP($A92&amp;"V",Asignacion_3ros!$A$2:$G$9,6,FALSE())="",P92,VLOOKUP($A92&amp;"V",Asignacion_3ros!$A$2:$G$9,6,FALSE())),P92),IF(LEFT(P92,1)="W",IFERROR(IF(INDEX($K$2:$K$91,MATCH(VALUE(MID(P92,2,3)),$A$2:$A$91,0))="",P92,INDEX($K$2:$K$91,MATCH(VALUE(MID(P92,2,3)),$A$2:$A$91,0))),P92),IF(LEFT(P92,1)="L",IFERROR(IF(INDEX($K$2:$K$91,MATCH(VALUE(MID(P92,2,3)),$A$2:$A$91,0))=INDEX($G$2:$G$91,MATCH(VALUE(MID(P92,2,3)),$A$2:$A$91,0)),INDEX($H$2:$H$91,MATCH(VALUE(MID(P92,2,3)),$A$2:$A$91,0)),IF(INDEX($K$2:$K$91,MATCH(VALUE(MID(P92,2,3)),$A$2:$A$91,0))=INDEX($H$2:$H$91,MATCH(VALUE(MID(P92,2,3)),$A$2:$A$91,0)),INDEX($G$2:$G$91,MATCH(VALUE(MID(P92,2,3)),$A$2:$A$91,0)),P92)),P92),IFERROR(IF(VLOOKUP(RIGHT(P92,1)&amp;LEFT(P92,1),Clasificacion!$O$2:$Q$49,2,FALSE())="",P92,VLOOKUP(RIGHT(P92,1)&amp;LEFT(P92,1),Clasificacion!$O$2:$Q$49,2,FALSE())),P92)))))</f>
        <v>W78</v>
      </c>
      <c r="K92" s="1" t="str">
        <f t="shared" si="2"/>
        <v/>
      </c>
      <c r="L92" s="1" t="s">
        <v>275</v>
      </c>
      <c r="M92" s="1" t="str">
        <f>IF(O92="","",IF(LEFT(O92,1)="3",IFERROR(IF(VLOOKUP($A92&amp;"L",Asignacion_3ros!$A$2:$G$9,7,FALSE())="",O92,VLOOKUP($A92&amp;"L",Asignacion_3ros!$A$2:$G$9,7,FALSE())),O92),IF(LEFT(O92,1)="W",IFERROR(IF(INDEX($K$2:$K$91,MATCH(VALUE(MID(O92,2,3)),$A$2:$A$91,0))=INDEX($G$2:$G$91,MATCH(VALUE(MID(O92,2,3)),$A$2:$A$91,0)),INDEX($M$2:$M$91,MATCH(VALUE(MID(O92,2,3)),$A$2:$A$91,0)),IF(INDEX($K$2:$K$91,MATCH(VALUE(MID(O92,2,3)),$A$2:$A$91,0))=INDEX($H$2:$H$91,MATCH(VALUE(MID(O92,2,3)),$A$2:$A$91,0)),INDEX($N$2:$N$91,MATCH(VALUE(MID(O92,2,3)),$A$2:$A$91,0)),O92)),O92),IF(LEFT(O92,1)="L",IFERROR(IF(INDEX($K$2:$K$91,MATCH(VALUE(MID(O92,2,3)),$A$2:$A$91,0))=INDEX($G$2:$G$91,MATCH(VALUE(MID(O92,2,3)),$A$2:$A$91,0)),INDEX($N$2:$N$91,MATCH(VALUE(MID(O92,2,3)),$A$2:$A$91,0)),IF(INDEX($K$2:$K$91,MATCH(VALUE(MID(O92,2,3)),$A$2:$A$91,0))=INDEX($H$2:$H$91,MATCH(VALUE(MID(O92,2,3)),$A$2:$A$91,0)),INDEX($M$2:$M$91,MATCH(VALUE(MID(O92,2,3)),$A$2:$A$91,0)),O92)),O92),IFERROR(IF(VLOOKUP(RIGHT(O92,1)&amp;LEFT(O92,1),Clasificacion!$O$2:$Q$49,3,FALSE())="",O92,VLOOKUP(RIGHT(O92,1)&amp;LEFT(O92,1),Clasificacion!$O$2:$Q$49,3,FALSE())),O92)))))</f>
        <v>W76</v>
      </c>
      <c r="N92" s="1" t="str">
        <f>IF(P92="","",IF(LEFT(P92,1)="3",IFERROR(IF(VLOOKUP($A92&amp;"V",Asignacion_3ros!$A$2:$G$9,7,FALSE())="",P92,VLOOKUP($A92&amp;"V",Asignacion_3ros!$A$2:$G$9,7,FALSE())),P92),IF(LEFT(P92,1)="W",IFERROR(IF(INDEX($K$2:$K$91,MATCH(VALUE(MID(P92,2,3)),$A$2:$A$91,0))=INDEX($G$2:$G$91,MATCH(VALUE(MID(P92,2,3)),$A$2:$A$91,0)),INDEX($M$2:$M$91,MATCH(VALUE(MID(P92,2,3)),$A$2:$A$91,0)),IF(INDEX($K$2:$K$91,MATCH(VALUE(MID(P92,2,3)),$A$2:$A$91,0))=INDEX($H$2:$H$91,MATCH(VALUE(MID(P92,2,3)),$A$2:$A$91,0)),INDEX($N$2:$N$91,MATCH(VALUE(MID(P92,2,3)),$A$2:$A$91,0)),P92)),P92),IF(LEFT(P92,1)="L",IFERROR(IF(INDEX($K$2:$K$91,MATCH(VALUE(MID(P92,2,3)),$A$2:$A$91,0))=INDEX($G$2:$G$91,MATCH(VALUE(MID(P92,2,3)),$A$2:$A$91,0)),INDEX($N$2:$N$91,MATCH(VALUE(MID(P92,2,3)),$A$2:$A$91,0)),IF(INDEX($K$2:$K$91,MATCH(VALUE(MID(P92,2,3)),$A$2:$A$91,0))=INDEX($H$2:$H$91,MATCH(VALUE(MID(P92,2,3)),$A$2:$A$91,0)),INDEX($M$2:$M$91,MATCH(VALUE(MID(P92,2,3)),$A$2:$A$91,0)),P92)),P92),IFERROR(IF(VLOOKUP(RIGHT(P92,1)&amp;LEFT(P92,1),Clasificacion!$O$2:$Q$49,3,FALSE())="",P92,VLOOKUP(RIGHT(P92,1)&amp;LEFT(P92,1),Clasificacion!$O$2:$Q$49,3,FALSE())),P92)))))</f>
        <v>W78</v>
      </c>
      <c r="O92" s="1" t="s">
        <v>333</v>
      </c>
      <c r="P92" s="1" t="s">
        <v>334</v>
      </c>
      <c r="Q92" s="1" t="s">
        <v>266</v>
      </c>
    </row>
    <row r="93" spans="1:17" ht="14.25" customHeight="1" x14ac:dyDescent="0.25">
      <c r="A93" s="1">
        <v>92</v>
      </c>
      <c r="B93" s="1">
        <v>46208</v>
      </c>
      <c r="C93" s="85">
        <v>0.79166666666666663</v>
      </c>
      <c r="D93" s="1">
        <f>HOUR(tblPartidos[[#This Row],[Hora ET]])-1</f>
        <v>18</v>
      </c>
      <c r="E93" s="1" t="s">
        <v>328</v>
      </c>
      <c r="G93" s="1" t="str">
        <f>IF(O93="","",IF(LEFT(O93,1)="3",IFERROR(IF(VLOOKUP($A93&amp;"L",Asignacion_3ros!$A$2:$G$9,6,FALSE())="",O93,VLOOKUP($A93&amp;"L",Asignacion_3ros!$A$2:$G$9,6,FALSE())),O93),IF(LEFT(O93,1)="W",IFERROR(IF(INDEX($K$2:$K$92,MATCH(VALUE(MID(O93,2,3)),$A$2:$A$92,0))="",O93,INDEX($K$2:$K$92,MATCH(VALUE(MID(O93,2,3)),$A$2:$A$92,0))),O93),IF(LEFT(O93,1)="L",IFERROR(IF(INDEX($K$2:$K$92,MATCH(VALUE(MID(O93,2,3)),$A$2:$A$92,0))=INDEX($G$2:$G$92,MATCH(VALUE(MID(O93,2,3)),$A$2:$A$92,0)),INDEX($H$2:$H$92,MATCH(VALUE(MID(O93,2,3)),$A$2:$A$92,0)),IF(INDEX($K$2:$K$92,MATCH(VALUE(MID(O93,2,3)),$A$2:$A$92,0))=INDEX($H$2:$H$92,MATCH(VALUE(MID(O93,2,3)),$A$2:$A$92,0)),INDEX($G$2:$G$92,MATCH(VALUE(MID(O93,2,3)),$A$2:$A$92,0)),O93)),O93),IFERROR(IF(VLOOKUP(RIGHT(O93,1)&amp;LEFT(O93,1),Clasificacion!$O$2:$Q$49,2,FALSE())="",O93,VLOOKUP(RIGHT(O93,1)&amp;LEFT(O93,1),Clasificacion!$O$2:$Q$49,2,FALSE())),O93)))))</f>
        <v>W79</v>
      </c>
      <c r="H93" s="1" t="str">
        <f>IF(P93="","",IF(LEFT(P93,1)="3",IFERROR(IF(VLOOKUP($A93&amp;"V",Asignacion_3ros!$A$2:$G$9,6,FALSE())="",P93,VLOOKUP($A93&amp;"V",Asignacion_3ros!$A$2:$G$9,6,FALSE())),P93),IF(LEFT(P93,1)="W",IFERROR(IF(INDEX($K$2:$K$92,MATCH(VALUE(MID(P93,2,3)),$A$2:$A$92,0))="",P93,INDEX($K$2:$K$92,MATCH(VALUE(MID(P93,2,3)),$A$2:$A$92,0))),P93),IF(LEFT(P93,1)="L",IFERROR(IF(INDEX($K$2:$K$92,MATCH(VALUE(MID(P93,2,3)),$A$2:$A$92,0))=INDEX($G$2:$G$92,MATCH(VALUE(MID(P93,2,3)),$A$2:$A$92,0)),INDEX($H$2:$H$92,MATCH(VALUE(MID(P93,2,3)),$A$2:$A$92,0)),IF(INDEX($K$2:$K$92,MATCH(VALUE(MID(P93,2,3)),$A$2:$A$92,0))=INDEX($H$2:$H$92,MATCH(VALUE(MID(P93,2,3)),$A$2:$A$92,0)),INDEX($G$2:$G$92,MATCH(VALUE(MID(P93,2,3)),$A$2:$A$92,0)),P93)),P93),IFERROR(IF(VLOOKUP(RIGHT(P93,1)&amp;LEFT(P93,1),Clasificacion!$O$2:$Q$49,2,FALSE())="",P93,VLOOKUP(RIGHT(P93,1)&amp;LEFT(P93,1),Clasificacion!$O$2:$Q$49,2,FALSE())),P93)))))</f>
        <v>W80</v>
      </c>
      <c r="K93" s="1" t="str">
        <f t="shared" si="2"/>
        <v/>
      </c>
      <c r="L93" s="1" t="s">
        <v>265</v>
      </c>
      <c r="M93" s="1" t="str">
        <f>IF(O93="","",IF(LEFT(O93,1)="3",IFERROR(IF(VLOOKUP($A93&amp;"L",Asignacion_3ros!$A$2:$G$9,7,FALSE())="",O93,VLOOKUP($A93&amp;"L",Asignacion_3ros!$A$2:$G$9,7,FALSE())),O93),IF(LEFT(O93,1)="W",IFERROR(IF(INDEX($K$2:$K$92,MATCH(VALUE(MID(O93,2,3)),$A$2:$A$92,0))=INDEX($G$2:$G$92,MATCH(VALUE(MID(O93,2,3)),$A$2:$A$92,0)),INDEX($M$2:$M$92,MATCH(VALUE(MID(O93,2,3)),$A$2:$A$92,0)),IF(INDEX($K$2:$K$92,MATCH(VALUE(MID(O93,2,3)),$A$2:$A$92,0))=INDEX($H$2:$H$92,MATCH(VALUE(MID(O93,2,3)),$A$2:$A$92,0)),INDEX($N$2:$N$92,MATCH(VALUE(MID(O93,2,3)),$A$2:$A$92,0)),O93)),O93),IF(LEFT(O93,1)="L",IFERROR(IF(INDEX($K$2:$K$92,MATCH(VALUE(MID(O93,2,3)),$A$2:$A$92,0))=INDEX($G$2:$G$92,MATCH(VALUE(MID(O93,2,3)),$A$2:$A$92,0)),INDEX($N$2:$N$92,MATCH(VALUE(MID(O93,2,3)),$A$2:$A$92,0)),IF(INDEX($K$2:$K$92,MATCH(VALUE(MID(O93,2,3)),$A$2:$A$92,0))=INDEX($H$2:$H$92,MATCH(VALUE(MID(O93,2,3)),$A$2:$A$92,0)),INDEX($M$2:$M$92,MATCH(VALUE(MID(O93,2,3)),$A$2:$A$92,0)),O93)),O93),IFERROR(IF(VLOOKUP(RIGHT(O93,1)&amp;LEFT(O93,1),Clasificacion!$O$2:$Q$49,3,FALSE())="",O93,VLOOKUP(RIGHT(O93,1)&amp;LEFT(O93,1),Clasificacion!$O$2:$Q$49,3,FALSE())),O93)))))</f>
        <v>W79</v>
      </c>
      <c r="N93" s="1" t="str">
        <f>IF(P93="","",IF(LEFT(P93,1)="3",IFERROR(IF(VLOOKUP($A93&amp;"V",Asignacion_3ros!$A$2:$G$9,7,FALSE())="",P93,VLOOKUP($A93&amp;"V",Asignacion_3ros!$A$2:$G$9,7,FALSE())),P93),IF(LEFT(P93,1)="W",IFERROR(IF(INDEX($K$2:$K$92,MATCH(VALUE(MID(P93,2,3)),$A$2:$A$92,0))=INDEX($G$2:$G$92,MATCH(VALUE(MID(P93,2,3)),$A$2:$A$92,0)),INDEX($M$2:$M$92,MATCH(VALUE(MID(P93,2,3)),$A$2:$A$92,0)),IF(INDEX($K$2:$K$92,MATCH(VALUE(MID(P93,2,3)),$A$2:$A$92,0))=INDEX($H$2:$H$92,MATCH(VALUE(MID(P93,2,3)),$A$2:$A$92,0)),INDEX($N$2:$N$92,MATCH(VALUE(MID(P93,2,3)),$A$2:$A$92,0)),P93)),P93),IF(LEFT(P93,1)="L",IFERROR(IF(INDEX($K$2:$K$92,MATCH(VALUE(MID(P93,2,3)),$A$2:$A$92,0))=INDEX($G$2:$G$92,MATCH(VALUE(MID(P93,2,3)),$A$2:$A$92,0)),INDEX($N$2:$N$92,MATCH(VALUE(MID(P93,2,3)),$A$2:$A$92,0)),IF(INDEX($K$2:$K$92,MATCH(VALUE(MID(P93,2,3)),$A$2:$A$92,0))=INDEX($H$2:$H$92,MATCH(VALUE(MID(P93,2,3)),$A$2:$A$92,0)),INDEX($M$2:$M$92,MATCH(VALUE(MID(P93,2,3)),$A$2:$A$92,0)),P93)),P93),IFERROR(IF(VLOOKUP(RIGHT(P93,1)&amp;LEFT(P93,1),Clasificacion!$O$2:$Q$49,3,FALSE())="",P93,VLOOKUP(RIGHT(P93,1)&amp;LEFT(P93,1),Clasificacion!$O$2:$Q$49,3,FALSE())),P93)))))</f>
        <v>W80</v>
      </c>
      <c r="O93" s="1" t="s">
        <v>335</v>
      </c>
      <c r="P93" s="1" t="s">
        <v>336</v>
      </c>
      <c r="Q93" s="1" t="s">
        <v>266</v>
      </c>
    </row>
    <row r="94" spans="1:17" ht="14.25" customHeight="1" x14ac:dyDescent="0.25">
      <c r="A94" s="1">
        <v>93</v>
      </c>
      <c r="B94" s="1">
        <v>46209</v>
      </c>
      <c r="C94" s="85">
        <v>0.58333333333333337</v>
      </c>
      <c r="D94" s="1">
        <f>HOUR(tblPartidos[[#This Row],[Hora ET]])-1</f>
        <v>13</v>
      </c>
      <c r="E94" s="1" t="s">
        <v>328</v>
      </c>
      <c r="G94" s="1" t="str">
        <f>IF(O94="","",IF(LEFT(O94,1)="3",IFERROR(IF(VLOOKUP($A94&amp;"L",Asignacion_3ros!$A$2:$G$9,6,FALSE())="",O94,VLOOKUP($A94&amp;"L",Asignacion_3ros!$A$2:$G$9,6,FALSE())),O94),IF(LEFT(O94,1)="W",IFERROR(IF(INDEX($K$2:$K$93,MATCH(VALUE(MID(O94,2,3)),$A$2:$A$93,0))="",O94,INDEX($K$2:$K$93,MATCH(VALUE(MID(O94,2,3)),$A$2:$A$93,0))),O94),IF(LEFT(O94,1)="L",IFERROR(IF(INDEX($K$2:$K$93,MATCH(VALUE(MID(O94,2,3)),$A$2:$A$93,0))=INDEX($G$2:$G$93,MATCH(VALUE(MID(O94,2,3)),$A$2:$A$93,0)),INDEX($H$2:$H$93,MATCH(VALUE(MID(O94,2,3)),$A$2:$A$93,0)),IF(INDEX($K$2:$K$93,MATCH(VALUE(MID(O94,2,3)),$A$2:$A$93,0))=INDEX($H$2:$H$93,MATCH(VALUE(MID(O94,2,3)),$A$2:$A$93,0)),INDEX($G$2:$G$93,MATCH(VALUE(MID(O94,2,3)),$A$2:$A$93,0)),O94)),O94),IFERROR(IF(VLOOKUP(RIGHT(O94,1)&amp;LEFT(O94,1),Clasificacion!$O$2:$Q$49,2,FALSE())="",O94,VLOOKUP(RIGHT(O94,1)&amp;LEFT(O94,1),Clasificacion!$O$2:$Q$49,2,FALSE())),O94)))))</f>
        <v>W83</v>
      </c>
      <c r="H94" s="1" t="str">
        <f>IF(P94="","",IF(LEFT(P94,1)="3",IFERROR(IF(VLOOKUP($A94&amp;"V",Asignacion_3ros!$A$2:$G$9,6,FALSE())="",P94,VLOOKUP($A94&amp;"V",Asignacion_3ros!$A$2:$G$9,6,FALSE())),P94),IF(LEFT(P94,1)="W",IFERROR(IF(INDEX($K$2:$K$93,MATCH(VALUE(MID(P94,2,3)),$A$2:$A$93,0))="",P94,INDEX($K$2:$K$93,MATCH(VALUE(MID(P94,2,3)),$A$2:$A$93,0))),P94),IF(LEFT(P94,1)="L",IFERROR(IF(INDEX($K$2:$K$93,MATCH(VALUE(MID(P94,2,3)),$A$2:$A$93,0))=INDEX($G$2:$G$93,MATCH(VALUE(MID(P94,2,3)),$A$2:$A$93,0)),INDEX($H$2:$H$93,MATCH(VALUE(MID(P94,2,3)),$A$2:$A$93,0)),IF(INDEX($K$2:$K$93,MATCH(VALUE(MID(P94,2,3)),$A$2:$A$93,0))=INDEX($H$2:$H$93,MATCH(VALUE(MID(P94,2,3)),$A$2:$A$93,0)),INDEX($G$2:$G$93,MATCH(VALUE(MID(P94,2,3)),$A$2:$A$93,0)),P94)),P94),IFERROR(IF(VLOOKUP(RIGHT(P94,1)&amp;LEFT(P94,1),Clasificacion!$O$2:$Q$49,2,FALSE())="",P94,VLOOKUP(RIGHT(P94,1)&amp;LEFT(P94,1),Clasificacion!$O$2:$Q$49,2,FALSE())),P94)))))</f>
        <v>W84</v>
      </c>
      <c r="K94" s="1" t="str">
        <f t="shared" si="2"/>
        <v/>
      </c>
      <c r="L94" s="1" t="s">
        <v>282</v>
      </c>
      <c r="M94" s="1" t="str">
        <f>IF(O94="","",IF(LEFT(O94,1)="3",IFERROR(IF(VLOOKUP($A94&amp;"L",Asignacion_3ros!$A$2:$G$9,7,FALSE())="",O94,VLOOKUP($A94&amp;"L",Asignacion_3ros!$A$2:$G$9,7,FALSE())),O94),IF(LEFT(O94,1)="W",IFERROR(IF(INDEX($K$2:$K$93,MATCH(VALUE(MID(O94,2,3)),$A$2:$A$93,0))=INDEX($G$2:$G$93,MATCH(VALUE(MID(O94,2,3)),$A$2:$A$93,0)),INDEX($M$2:$M$93,MATCH(VALUE(MID(O94,2,3)),$A$2:$A$93,0)),IF(INDEX($K$2:$K$93,MATCH(VALUE(MID(O94,2,3)),$A$2:$A$93,0))=INDEX($H$2:$H$93,MATCH(VALUE(MID(O94,2,3)),$A$2:$A$93,0)),INDEX($N$2:$N$93,MATCH(VALUE(MID(O94,2,3)),$A$2:$A$93,0)),O94)),O94),IF(LEFT(O94,1)="L",IFERROR(IF(INDEX($K$2:$K$93,MATCH(VALUE(MID(O94,2,3)),$A$2:$A$93,0))=INDEX($G$2:$G$93,MATCH(VALUE(MID(O94,2,3)),$A$2:$A$93,0)),INDEX($N$2:$N$93,MATCH(VALUE(MID(O94,2,3)),$A$2:$A$93,0)),IF(INDEX($K$2:$K$93,MATCH(VALUE(MID(O94,2,3)),$A$2:$A$93,0))=INDEX($H$2:$H$93,MATCH(VALUE(MID(O94,2,3)),$A$2:$A$93,0)),INDEX($M$2:$M$93,MATCH(VALUE(MID(O94,2,3)),$A$2:$A$93,0)),O94)),O94),IFERROR(IF(VLOOKUP(RIGHT(O94,1)&amp;LEFT(O94,1),Clasificacion!$O$2:$Q$49,3,FALSE())="",O94,VLOOKUP(RIGHT(O94,1)&amp;LEFT(O94,1),Clasificacion!$O$2:$Q$49,3,FALSE())),O94)))))</f>
        <v>W83</v>
      </c>
      <c r="N94" s="1" t="str">
        <f>IF(P94="","",IF(LEFT(P94,1)="3",IFERROR(IF(VLOOKUP($A94&amp;"V",Asignacion_3ros!$A$2:$G$9,7,FALSE())="",P94,VLOOKUP($A94&amp;"V",Asignacion_3ros!$A$2:$G$9,7,FALSE())),P94),IF(LEFT(P94,1)="W",IFERROR(IF(INDEX($K$2:$K$93,MATCH(VALUE(MID(P94,2,3)),$A$2:$A$93,0))=INDEX($G$2:$G$93,MATCH(VALUE(MID(P94,2,3)),$A$2:$A$93,0)),INDEX($M$2:$M$93,MATCH(VALUE(MID(P94,2,3)),$A$2:$A$93,0)),IF(INDEX($K$2:$K$93,MATCH(VALUE(MID(P94,2,3)),$A$2:$A$93,0))=INDEX($H$2:$H$93,MATCH(VALUE(MID(P94,2,3)),$A$2:$A$93,0)),INDEX($N$2:$N$93,MATCH(VALUE(MID(P94,2,3)),$A$2:$A$93,0)),P94)),P94),IF(LEFT(P94,1)="L",IFERROR(IF(INDEX($K$2:$K$93,MATCH(VALUE(MID(P94,2,3)),$A$2:$A$93,0))=INDEX($G$2:$G$93,MATCH(VALUE(MID(P94,2,3)),$A$2:$A$93,0)),INDEX($N$2:$N$93,MATCH(VALUE(MID(P94,2,3)),$A$2:$A$93,0)),IF(INDEX($K$2:$K$93,MATCH(VALUE(MID(P94,2,3)),$A$2:$A$93,0))=INDEX($H$2:$H$93,MATCH(VALUE(MID(P94,2,3)),$A$2:$A$93,0)),INDEX($M$2:$M$93,MATCH(VALUE(MID(P94,2,3)),$A$2:$A$93,0)),P94)),P94),IFERROR(IF(VLOOKUP(RIGHT(P94,1)&amp;LEFT(P94,1),Clasificacion!$O$2:$Q$49,3,FALSE())="",P94,VLOOKUP(RIGHT(P94,1)&amp;LEFT(P94,1),Clasificacion!$O$2:$Q$49,3,FALSE())),P94)))))</f>
        <v>W84</v>
      </c>
      <c r="O94" s="1" t="s">
        <v>337</v>
      </c>
      <c r="P94" s="1" t="s">
        <v>338</v>
      </c>
      <c r="Q94" s="1" t="s">
        <v>266</v>
      </c>
    </row>
    <row r="95" spans="1:17" ht="14.25" customHeight="1" x14ac:dyDescent="0.25">
      <c r="A95" s="1">
        <v>94</v>
      </c>
      <c r="B95" s="1">
        <v>46209</v>
      </c>
      <c r="C95" s="85">
        <v>0.79166666666666663</v>
      </c>
      <c r="D95" s="1">
        <f>HOUR(tblPartidos[[#This Row],[Hora ET]])-1</f>
        <v>18</v>
      </c>
      <c r="E95" s="1" t="s">
        <v>328</v>
      </c>
      <c r="G95" s="1" t="str">
        <f>IF(O95="","",IF(LEFT(O95,1)="3",IFERROR(IF(VLOOKUP($A95&amp;"L",Asignacion_3ros!$A$2:$G$9,6,FALSE())="",O95,VLOOKUP($A95&amp;"L",Asignacion_3ros!$A$2:$G$9,6,FALSE())),O95),IF(LEFT(O95,1)="W",IFERROR(IF(INDEX($K$2:$K$94,MATCH(VALUE(MID(O95,2,3)),$A$2:$A$94,0))="",O95,INDEX($K$2:$K$94,MATCH(VALUE(MID(O95,2,3)),$A$2:$A$94,0))),O95),IF(LEFT(O95,1)="L",IFERROR(IF(INDEX($K$2:$K$94,MATCH(VALUE(MID(O95,2,3)),$A$2:$A$94,0))=INDEX($G$2:$G$94,MATCH(VALUE(MID(O95,2,3)),$A$2:$A$94,0)),INDEX($H$2:$H$94,MATCH(VALUE(MID(O95,2,3)),$A$2:$A$94,0)),IF(INDEX($K$2:$K$94,MATCH(VALUE(MID(O95,2,3)),$A$2:$A$94,0))=INDEX($H$2:$H$94,MATCH(VALUE(MID(O95,2,3)),$A$2:$A$94,0)),INDEX($G$2:$G$94,MATCH(VALUE(MID(O95,2,3)),$A$2:$A$94,0)),O95)),O95),IFERROR(IF(VLOOKUP(RIGHT(O95,1)&amp;LEFT(O95,1),Clasificacion!$O$2:$Q$49,2,FALSE())="",O95,VLOOKUP(RIGHT(O95,1)&amp;LEFT(O95,1),Clasificacion!$O$2:$Q$49,2,FALSE())),O95)))))</f>
        <v>W81</v>
      </c>
      <c r="H95" s="1" t="str">
        <f>IF(P95="","",IF(LEFT(P95,1)="3",IFERROR(IF(VLOOKUP($A95&amp;"V",Asignacion_3ros!$A$2:$G$9,6,FALSE())="",P95,VLOOKUP($A95&amp;"V",Asignacion_3ros!$A$2:$G$9,6,FALSE())),P95),IF(LEFT(P95,1)="W",IFERROR(IF(INDEX($K$2:$K$94,MATCH(VALUE(MID(P95,2,3)),$A$2:$A$94,0))="",P95,INDEX($K$2:$K$94,MATCH(VALUE(MID(P95,2,3)),$A$2:$A$94,0))),P95),IF(LEFT(P95,1)="L",IFERROR(IF(INDEX($K$2:$K$94,MATCH(VALUE(MID(P95,2,3)),$A$2:$A$94,0))=INDEX($G$2:$G$94,MATCH(VALUE(MID(P95,2,3)),$A$2:$A$94,0)),INDEX($H$2:$H$94,MATCH(VALUE(MID(P95,2,3)),$A$2:$A$94,0)),IF(INDEX($K$2:$K$94,MATCH(VALUE(MID(P95,2,3)),$A$2:$A$94,0))=INDEX($H$2:$H$94,MATCH(VALUE(MID(P95,2,3)),$A$2:$A$94,0)),INDEX($G$2:$G$94,MATCH(VALUE(MID(P95,2,3)),$A$2:$A$94,0)),P95)),P95),IFERROR(IF(VLOOKUP(RIGHT(P95,1)&amp;LEFT(P95,1),Clasificacion!$O$2:$Q$49,2,FALSE())="",P95,VLOOKUP(RIGHT(P95,1)&amp;LEFT(P95,1),Clasificacion!$O$2:$Q$49,2,FALSE())),P95)))))</f>
        <v>W82</v>
      </c>
      <c r="K95" s="1" t="str">
        <f t="shared" si="2"/>
        <v/>
      </c>
      <c r="L95" s="1" t="s">
        <v>287</v>
      </c>
      <c r="M95" s="1" t="str">
        <f>IF(O95="","",IF(LEFT(O95,1)="3",IFERROR(IF(VLOOKUP($A95&amp;"L",Asignacion_3ros!$A$2:$G$9,7,FALSE())="",O95,VLOOKUP($A95&amp;"L",Asignacion_3ros!$A$2:$G$9,7,FALSE())),O95),IF(LEFT(O95,1)="W",IFERROR(IF(INDEX($K$2:$K$94,MATCH(VALUE(MID(O95,2,3)),$A$2:$A$94,0))=INDEX($G$2:$G$94,MATCH(VALUE(MID(O95,2,3)),$A$2:$A$94,0)),INDEX($M$2:$M$94,MATCH(VALUE(MID(O95,2,3)),$A$2:$A$94,0)),IF(INDEX($K$2:$K$94,MATCH(VALUE(MID(O95,2,3)),$A$2:$A$94,0))=INDEX($H$2:$H$94,MATCH(VALUE(MID(O95,2,3)),$A$2:$A$94,0)),INDEX($N$2:$N$94,MATCH(VALUE(MID(O95,2,3)),$A$2:$A$94,0)),O95)),O95),IF(LEFT(O95,1)="L",IFERROR(IF(INDEX($K$2:$K$94,MATCH(VALUE(MID(O95,2,3)),$A$2:$A$94,0))=INDEX($G$2:$G$94,MATCH(VALUE(MID(O95,2,3)),$A$2:$A$94,0)),INDEX($N$2:$N$94,MATCH(VALUE(MID(O95,2,3)),$A$2:$A$94,0)),IF(INDEX($K$2:$K$94,MATCH(VALUE(MID(O95,2,3)),$A$2:$A$94,0))=INDEX($H$2:$H$94,MATCH(VALUE(MID(O95,2,3)),$A$2:$A$94,0)),INDEX($M$2:$M$94,MATCH(VALUE(MID(O95,2,3)),$A$2:$A$94,0)),O95)),O95),IFERROR(IF(VLOOKUP(RIGHT(O95,1)&amp;LEFT(O95,1),Clasificacion!$O$2:$Q$49,3,FALSE())="",O95,VLOOKUP(RIGHT(O95,1)&amp;LEFT(O95,1),Clasificacion!$O$2:$Q$49,3,FALSE())),O95)))))</f>
        <v>W81</v>
      </c>
      <c r="N95" s="1" t="str">
        <f>IF(P95="","",IF(LEFT(P95,1)="3",IFERROR(IF(VLOOKUP($A95&amp;"V",Asignacion_3ros!$A$2:$G$9,7,FALSE())="",P95,VLOOKUP($A95&amp;"V",Asignacion_3ros!$A$2:$G$9,7,FALSE())),P95),IF(LEFT(P95,1)="W",IFERROR(IF(INDEX($K$2:$K$94,MATCH(VALUE(MID(P95,2,3)),$A$2:$A$94,0))=INDEX($G$2:$G$94,MATCH(VALUE(MID(P95,2,3)),$A$2:$A$94,0)),INDEX($M$2:$M$94,MATCH(VALUE(MID(P95,2,3)),$A$2:$A$94,0)),IF(INDEX($K$2:$K$94,MATCH(VALUE(MID(P95,2,3)),$A$2:$A$94,0))=INDEX($H$2:$H$94,MATCH(VALUE(MID(P95,2,3)),$A$2:$A$94,0)),INDEX($N$2:$N$94,MATCH(VALUE(MID(P95,2,3)),$A$2:$A$94,0)),P95)),P95),IF(LEFT(P95,1)="L",IFERROR(IF(INDEX($K$2:$K$94,MATCH(VALUE(MID(P95,2,3)),$A$2:$A$94,0))=INDEX($G$2:$G$94,MATCH(VALUE(MID(P95,2,3)),$A$2:$A$94,0)),INDEX($N$2:$N$94,MATCH(VALUE(MID(P95,2,3)),$A$2:$A$94,0)),IF(INDEX($K$2:$K$94,MATCH(VALUE(MID(P95,2,3)),$A$2:$A$94,0))=INDEX($H$2:$H$94,MATCH(VALUE(MID(P95,2,3)),$A$2:$A$94,0)),INDEX($M$2:$M$94,MATCH(VALUE(MID(P95,2,3)),$A$2:$A$94,0)),P95)),P95),IFERROR(IF(VLOOKUP(RIGHT(P95,1)&amp;LEFT(P95,1),Clasificacion!$O$2:$Q$49,3,FALSE())="",P95,VLOOKUP(RIGHT(P95,1)&amp;LEFT(P95,1),Clasificacion!$O$2:$Q$49,3,FALSE())),P95)))))</f>
        <v>W82</v>
      </c>
      <c r="O95" s="1" t="s">
        <v>339</v>
      </c>
      <c r="P95" s="1" t="s">
        <v>340</v>
      </c>
      <c r="Q95" s="1" t="s">
        <v>266</v>
      </c>
    </row>
    <row r="96" spans="1:17" ht="14.25" customHeight="1" x14ac:dyDescent="0.25">
      <c r="A96" s="1">
        <v>95</v>
      </c>
      <c r="B96" s="1">
        <v>46210</v>
      </c>
      <c r="C96" s="85">
        <v>0.45833333333333331</v>
      </c>
      <c r="D96" s="1">
        <f>HOUR(tblPartidos[[#This Row],[Hora ET]])-1</f>
        <v>10</v>
      </c>
      <c r="E96" s="1" t="s">
        <v>328</v>
      </c>
      <c r="G96" s="1" t="str">
        <f>IF(O96="","",IF(LEFT(O96,1)="3",IFERROR(IF(VLOOKUP($A96&amp;"L",Asignacion_3ros!$A$2:$G$9,6,FALSE())="",O96,VLOOKUP($A96&amp;"L",Asignacion_3ros!$A$2:$G$9,6,FALSE())),O96),IF(LEFT(O96,1)="W",IFERROR(IF(INDEX($K$2:$K$95,MATCH(VALUE(MID(O96,2,3)),$A$2:$A$95,0))="",O96,INDEX($K$2:$K$95,MATCH(VALUE(MID(O96,2,3)),$A$2:$A$95,0))),O96),IF(LEFT(O96,1)="L",IFERROR(IF(INDEX($K$2:$K$95,MATCH(VALUE(MID(O96,2,3)),$A$2:$A$95,0))=INDEX($G$2:$G$95,MATCH(VALUE(MID(O96,2,3)),$A$2:$A$95,0)),INDEX($H$2:$H$95,MATCH(VALUE(MID(O96,2,3)),$A$2:$A$95,0)),IF(INDEX($K$2:$K$95,MATCH(VALUE(MID(O96,2,3)),$A$2:$A$95,0))=INDEX($H$2:$H$95,MATCH(VALUE(MID(O96,2,3)),$A$2:$A$95,0)),INDEX($G$2:$G$95,MATCH(VALUE(MID(O96,2,3)),$A$2:$A$95,0)),O96)),O96),IFERROR(IF(VLOOKUP(RIGHT(O96,1)&amp;LEFT(O96,1),Clasificacion!$O$2:$Q$49,2,FALSE())="",O96,VLOOKUP(RIGHT(O96,1)&amp;LEFT(O96,1),Clasificacion!$O$2:$Q$49,2,FALSE())),O96)))))</f>
        <v>W86</v>
      </c>
      <c r="H96" s="1" t="str">
        <f>IF(P96="","",IF(LEFT(P96,1)="3",IFERROR(IF(VLOOKUP($A96&amp;"V",Asignacion_3ros!$A$2:$G$9,6,FALSE())="",P96,VLOOKUP($A96&amp;"V",Asignacion_3ros!$A$2:$G$9,6,FALSE())),P96),IF(LEFT(P96,1)="W",IFERROR(IF(INDEX($K$2:$K$95,MATCH(VALUE(MID(P96,2,3)),$A$2:$A$95,0))="",P96,INDEX($K$2:$K$95,MATCH(VALUE(MID(P96,2,3)),$A$2:$A$95,0))),P96),IF(LEFT(P96,1)="L",IFERROR(IF(INDEX($K$2:$K$95,MATCH(VALUE(MID(P96,2,3)),$A$2:$A$95,0))=INDEX($G$2:$G$95,MATCH(VALUE(MID(P96,2,3)),$A$2:$A$95,0)),INDEX($H$2:$H$95,MATCH(VALUE(MID(P96,2,3)),$A$2:$A$95,0)),IF(INDEX($K$2:$K$95,MATCH(VALUE(MID(P96,2,3)),$A$2:$A$95,0))=INDEX($H$2:$H$95,MATCH(VALUE(MID(P96,2,3)),$A$2:$A$95,0)),INDEX($G$2:$G$95,MATCH(VALUE(MID(P96,2,3)),$A$2:$A$95,0)),P96)),P96),IFERROR(IF(VLOOKUP(RIGHT(P96,1)&amp;LEFT(P96,1),Clasificacion!$O$2:$Q$49,2,FALSE())="",P96,VLOOKUP(RIGHT(P96,1)&amp;LEFT(P96,1),Clasificacion!$O$2:$Q$49,2,FALSE())),P96)))))</f>
        <v>W88</v>
      </c>
      <c r="K96" s="1" t="str">
        <f t="shared" si="2"/>
        <v/>
      </c>
      <c r="L96" s="1" t="s">
        <v>286</v>
      </c>
      <c r="M96" s="1" t="str">
        <f>IF(O96="","",IF(LEFT(O96,1)="3",IFERROR(IF(VLOOKUP($A96&amp;"L",Asignacion_3ros!$A$2:$G$9,7,FALSE())="",O96,VLOOKUP($A96&amp;"L",Asignacion_3ros!$A$2:$G$9,7,FALSE())),O96),IF(LEFT(O96,1)="W",IFERROR(IF(INDEX($K$2:$K$95,MATCH(VALUE(MID(O96,2,3)),$A$2:$A$95,0))=INDEX($G$2:$G$95,MATCH(VALUE(MID(O96,2,3)),$A$2:$A$95,0)),INDEX($M$2:$M$95,MATCH(VALUE(MID(O96,2,3)),$A$2:$A$95,0)),IF(INDEX($K$2:$K$95,MATCH(VALUE(MID(O96,2,3)),$A$2:$A$95,0))=INDEX($H$2:$H$95,MATCH(VALUE(MID(O96,2,3)),$A$2:$A$95,0)),INDEX($N$2:$N$95,MATCH(VALUE(MID(O96,2,3)),$A$2:$A$95,0)),O96)),O96),IF(LEFT(O96,1)="L",IFERROR(IF(INDEX($K$2:$K$95,MATCH(VALUE(MID(O96,2,3)),$A$2:$A$95,0))=INDEX($G$2:$G$95,MATCH(VALUE(MID(O96,2,3)),$A$2:$A$95,0)),INDEX($N$2:$N$95,MATCH(VALUE(MID(O96,2,3)),$A$2:$A$95,0)),IF(INDEX($K$2:$K$95,MATCH(VALUE(MID(O96,2,3)),$A$2:$A$95,0))=INDEX($H$2:$H$95,MATCH(VALUE(MID(O96,2,3)),$A$2:$A$95,0)),INDEX($M$2:$M$95,MATCH(VALUE(MID(O96,2,3)),$A$2:$A$95,0)),O96)),O96),IFERROR(IF(VLOOKUP(RIGHT(O96,1)&amp;LEFT(O96,1),Clasificacion!$O$2:$Q$49,3,FALSE())="",O96,VLOOKUP(RIGHT(O96,1)&amp;LEFT(O96,1),Clasificacion!$O$2:$Q$49,3,FALSE())),O96)))))</f>
        <v>W86</v>
      </c>
      <c r="N96" s="1" t="str">
        <f>IF(P96="","",IF(LEFT(P96,1)="3",IFERROR(IF(VLOOKUP($A96&amp;"V",Asignacion_3ros!$A$2:$G$9,7,FALSE())="",P96,VLOOKUP($A96&amp;"V",Asignacion_3ros!$A$2:$G$9,7,FALSE())),P96),IF(LEFT(P96,1)="W",IFERROR(IF(INDEX($K$2:$K$95,MATCH(VALUE(MID(P96,2,3)),$A$2:$A$95,0))=INDEX($G$2:$G$95,MATCH(VALUE(MID(P96,2,3)),$A$2:$A$95,0)),INDEX($M$2:$M$95,MATCH(VALUE(MID(P96,2,3)),$A$2:$A$95,0)),IF(INDEX($K$2:$K$95,MATCH(VALUE(MID(P96,2,3)),$A$2:$A$95,0))=INDEX($H$2:$H$95,MATCH(VALUE(MID(P96,2,3)),$A$2:$A$95,0)),INDEX($N$2:$N$95,MATCH(VALUE(MID(P96,2,3)),$A$2:$A$95,0)),P96)),P96),IF(LEFT(P96,1)="L",IFERROR(IF(INDEX($K$2:$K$95,MATCH(VALUE(MID(P96,2,3)),$A$2:$A$95,0))=INDEX($G$2:$G$95,MATCH(VALUE(MID(P96,2,3)),$A$2:$A$95,0)),INDEX($N$2:$N$95,MATCH(VALUE(MID(P96,2,3)),$A$2:$A$95,0)),IF(INDEX($K$2:$K$95,MATCH(VALUE(MID(P96,2,3)),$A$2:$A$95,0))=INDEX($H$2:$H$95,MATCH(VALUE(MID(P96,2,3)),$A$2:$A$95,0)),INDEX($M$2:$M$95,MATCH(VALUE(MID(P96,2,3)),$A$2:$A$95,0)),P96)),P96),IFERROR(IF(VLOOKUP(RIGHT(P96,1)&amp;LEFT(P96,1),Clasificacion!$O$2:$Q$49,3,FALSE())="",P96,VLOOKUP(RIGHT(P96,1)&amp;LEFT(P96,1),Clasificacion!$O$2:$Q$49,3,FALSE())),P96)))))</f>
        <v>W88</v>
      </c>
      <c r="O96" s="1" t="s">
        <v>341</v>
      </c>
      <c r="P96" s="1" t="s">
        <v>342</v>
      </c>
      <c r="Q96" s="1" t="s">
        <v>266</v>
      </c>
    </row>
    <row r="97" spans="1:17" ht="14.25" customHeight="1" x14ac:dyDescent="0.25">
      <c r="A97" s="1">
        <v>96</v>
      </c>
      <c r="B97" s="1">
        <v>46210</v>
      </c>
      <c r="C97" s="85">
        <v>0.625</v>
      </c>
      <c r="D97" s="1">
        <f>HOUR(tblPartidos[[#This Row],[Hora ET]])-1</f>
        <v>14</v>
      </c>
      <c r="E97" s="1" t="s">
        <v>328</v>
      </c>
      <c r="G97" s="1" t="str">
        <f>IF(O97="","",IF(LEFT(O97,1)="3",IFERROR(IF(VLOOKUP($A97&amp;"L",Asignacion_3ros!$A$2:$G$9,6,FALSE())="",O97,VLOOKUP($A97&amp;"L",Asignacion_3ros!$A$2:$G$9,6,FALSE())),O97),IF(LEFT(O97,1)="W",IFERROR(IF(INDEX($K$2:$K$96,MATCH(VALUE(MID(O97,2,3)),$A$2:$A$96,0))="",O97,INDEX($K$2:$K$96,MATCH(VALUE(MID(O97,2,3)),$A$2:$A$96,0))),O97),IF(LEFT(O97,1)="L",IFERROR(IF(INDEX($K$2:$K$96,MATCH(VALUE(MID(O97,2,3)),$A$2:$A$96,0))=INDEX($G$2:$G$96,MATCH(VALUE(MID(O97,2,3)),$A$2:$A$96,0)),INDEX($H$2:$H$96,MATCH(VALUE(MID(O97,2,3)),$A$2:$A$96,0)),IF(INDEX($K$2:$K$96,MATCH(VALUE(MID(O97,2,3)),$A$2:$A$96,0))=INDEX($H$2:$H$96,MATCH(VALUE(MID(O97,2,3)),$A$2:$A$96,0)),INDEX($G$2:$G$96,MATCH(VALUE(MID(O97,2,3)),$A$2:$A$96,0)),O97)),O97),IFERROR(IF(VLOOKUP(RIGHT(O97,1)&amp;LEFT(O97,1),Clasificacion!$O$2:$Q$49,2,FALSE())="",O97,VLOOKUP(RIGHT(O97,1)&amp;LEFT(O97,1),Clasificacion!$O$2:$Q$49,2,FALSE())),O97)))))</f>
        <v>W85</v>
      </c>
      <c r="H97" s="1" t="str">
        <f>IF(P97="","",IF(LEFT(P97,1)="3",IFERROR(IF(VLOOKUP($A97&amp;"V",Asignacion_3ros!$A$2:$G$9,6,FALSE())="",P97,VLOOKUP($A97&amp;"V",Asignacion_3ros!$A$2:$G$9,6,FALSE())),P97),IF(LEFT(P97,1)="W",IFERROR(IF(INDEX($K$2:$K$96,MATCH(VALUE(MID(P97,2,3)),$A$2:$A$96,0))="",P97,INDEX($K$2:$K$96,MATCH(VALUE(MID(P97,2,3)),$A$2:$A$96,0))),P97),IF(LEFT(P97,1)="L",IFERROR(IF(INDEX($K$2:$K$96,MATCH(VALUE(MID(P97,2,3)),$A$2:$A$96,0))=INDEX($G$2:$G$96,MATCH(VALUE(MID(P97,2,3)),$A$2:$A$96,0)),INDEX($H$2:$H$96,MATCH(VALUE(MID(P97,2,3)),$A$2:$A$96,0)),IF(INDEX($K$2:$K$96,MATCH(VALUE(MID(P97,2,3)),$A$2:$A$96,0))=INDEX($H$2:$H$96,MATCH(VALUE(MID(P97,2,3)),$A$2:$A$96,0)),INDEX($G$2:$G$96,MATCH(VALUE(MID(P97,2,3)),$A$2:$A$96,0)),P97)),P97),IFERROR(IF(VLOOKUP(RIGHT(P97,1)&amp;LEFT(P97,1),Clasificacion!$O$2:$Q$49,2,FALSE())="",P97,VLOOKUP(RIGHT(P97,1)&amp;LEFT(P97,1),Clasificacion!$O$2:$Q$49,2,FALSE())),P97)))))</f>
        <v>W87</v>
      </c>
      <c r="K97" s="1" t="str">
        <f t="shared" si="2"/>
        <v/>
      </c>
      <c r="L97" s="1" t="s">
        <v>273</v>
      </c>
      <c r="M97" s="1" t="str">
        <f>IF(O97="","",IF(LEFT(O97,1)="3",IFERROR(IF(VLOOKUP($A97&amp;"L",Asignacion_3ros!$A$2:$G$9,7,FALSE())="",O97,VLOOKUP($A97&amp;"L",Asignacion_3ros!$A$2:$G$9,7,FALSE())),O97),IF(LEFT(O97,1)="W",IFERROR(IF(INDEX($K$2:$K$96,MATCH(VALUE(MID(O97,2,3)),$A$2:$A$96,0))=INDEX($G$2:$G$96,MATCH(VALUE(MID(O97,2,3)),$A$2:$A$96,0)),INDEX($M$2:$M$96,MATCH(VALUE(MID(O97,2,3)),$A$2:$A$96,0)),IF(INDEX($K$2:$K$96,MATCH(VALUE(MID(O97,2,3)),$A$2:$A$96,0))=INDEX($H$2:$H$96,MATCH(VALUE(MID(O97,2,3)),$A$2:$A$96,0)),INDEX($N$2:$N$96,MATCH(VALUE(MID(O97,2,3)),$A$2:$A$96,0)),O97)),O97),IF(LEFT(O97,1)="L",IFERROR(IF(INDEX($K$2:$K$96,MATCH(VALUE(MID(O97,2,3)),$A$2:$A$96,0))=INDEX($G$2:$G$96,MATCH(VALUE(MID(O97,2,3)),$A$2:$A$96,0)),INDEX($N$2:$N$96,MATCH(VALUE(MID(O97,2,3)),$A$2:$A$96,0)),IF(INDEX($K$2:$K$96,MATCH(VALUE(MID(O97,2,3)),$A$2:$A$96,0))=INDEX($H$2:$H$96,MATCH(VALUE(MID(O97,2,3)),$A$2:$A$96,0)),INDEX($M$2:$M$96,MATCH(VALUE(MID(O97,2,3)),$A$2:$A$96,0)),O97)),O97),IFERROR(IF(VLOOKUP(RIGHT(O97,1)&amp;LEFT(O97,1),Clasificacion!$O$2:$Q$49,3,FALSE())="",O97,VLOOKUP(RIGHT(O97,1)&amp;LEFT(O97,1),Clasificacion!$O$2:$Q$49,3,FALSE())),O97)))))</f>
        <v>W85</v>
      </c>
      <c r="N97" s="1" t="str">
        <f>IF(P97="","",IF(LEFT(P97,1)="3",IFERROR(IF(VLOOKUP($A97&amp;"V",Asignacion_3ros!$A$2:$G$9,7,FALSE())="",P97,VLOOKUP($A97&amp;"V",Asignacion_3ros!$A$2:$G$9,7,FALSE())),P97),IF(LEFT(P97,1)="W",IFERROR(IF(INDEX($K$2:$K$96,MATCH(VALUE(MID(P97,2,3)),$A$2:$A$96,0))=INDEX($G$2:$G$96,MATCH(VALUE(MID(P97,2,3)),$A$2:$A$96,0)),INDEX($M$2:$M$96,MATCH(VALUE(MID(P97,2,3)),$A$2:$A$96,0)),IF(INDEX($K$2:$K$96,MATCH(VALUE(MID(P97,2,3)),$A$2:$A$96,0))=INDEX($H$2:$H$96,MATCH(VALUE(MID(P97,2,3)),$A$2:$A$96,0)),INDEX($N$2:$N$96,MATCH(VALUE(MID(P97,2,3)),$A$2:$A$96,0)),P97)),P97),IF(LEFT(P97,1)="L",IFERROR(IF(INDEX($K$2:$K$96,MATCH(VALUE(MID(P97,2,3)),$A$2:$A$96,0))=INDEX($G$2:$G$96,MATCH(VALUE(MID(P97,2,3)),$A$2:$A$96,0)),INDEX($N$2:$N$96,MATCH(VALUE(MID(P97,2,3)),$A$2:$A$96,0)),IF(INDEX($K$2:$K$96,MATCH(VALUE(MID(P97,2,3)),$A$2:$A$96,0))=INDEX($H$2:$H$96,MATCH(VALUE(MID(P97,2,3)),$A$2:$A$96,0)),INDEX($M$2:$M$96,MATCH(VALUE(MID(P97,2,3)),$A$2:$A$96,0)),P97)),P97),IFERROR(IF(VLOOKUP(RIGHT(P97,1)&amp;LEFT(P97,1),Clasificacion!$O$2:$Q$49,3,FALSE())="",P97,VLOOKUP(RIGHT(P97,1)&amp;LEFT(P97,1),Clasificacion!$O$2:$Q$49,3,FALSE())),P97)))))</f>
        <v>W87</v>
      </c>
      <c r="O97" s="1" t="s">
        <v>343</v>
      </c>
      <c r="P97" s="1" t="s">
        <v>344</v>
      </c>
      <c r="Q97" s="1" t="s">
        <v>266</v>
      </c>
    </row>
    <row r="98" spans="1:17" ht="14.25" customHeight="1" x14ac:dyDescent="0.25">
      <c r="A98" s="1">
        <v>97</v>
      </c>
      <c r="B98" s="1">
        <v>46212</v>
      </c>
      <c r="C98" s="85">
        <v>0.625</v>
      </c>
      <c r="D98" s="1">
        <f>HOUR(tblPartidos[[#This Row],[Hora ET]])-1</f>
        <v>14</v>
      </c>
      <c r="E98" s="1" t="s">
        <v>345</v>
      </c>
      <c r="G98" s="1" t="str">
        <f>IF(O98="","",IF(LEFT(O98,1)="3",IFERROR(IF(VLOOKUP($A98&amp;"L",Asignacion_3ros!$A$2:$G$9,6,FALSE())="",O98,VLOOKUP($A98&amp;"L",Asignacion_3ros!$A$2:$G$9,6,FALSE())),O98),IF(LEFT(O98,1)="W",IFERROR(IF(INDEX($K$2:$K$97,MATCH(VALUE(MID(O98,2,3)),$A$2:$A$97,0))="",O98,INDEX($K$2:$K$97,MATCH(VALUE(MID(O98,2,3)),$A$2:$A$97,0))),O98),IF(LEFT(O98,1)="L",IFERROR(IF(INDEX($K$2:$K$97,MATCH(VALUE(MID(O98,2,3)),$A$2:$A$97,0))=INDEX($G$2:$G$97,MATCH(VALUE(MID(O98,2,3)),$A$2:$A$97,0)),INDEX($H$2:$H$97,MATCH(VALUE(MID(O98,2,3)),$A$2:$A$97,0)),IF(INDEX($K$2:$K$97,MATCH(VALUE(MID(O98,2,3)),$A$2:$A$97,0))=INDEX($H$2:$H$97,MATCH(VALUE(MID(O98,2,3)),$A$2:$A$97,0)),INDEX($G$2:$G$97,MATCH(VALUE(MID(O98,2,3)),$A$2:$A$97,0)),O98)),O98),IFERROR(IF(VLOOKUP(RIGHT(O98,1)&amp;LEFT(O98,1),Clasificacion!$O$2:$Q$49,2,FALSE())="",O98,VLOOKUP(RIGHT(O98,1)&amp;LEFT(O98,1),Clasificacion!$O$2:$Q$49,2,FALSE())),O98)))))</f>
        <v>W89</v>
      </c>
      <c r="H98" s="1" t="str">
        <f>IF(P98="","",IF(LEFT(P98,1)="3",IFERROR(IF(VLOOKUP($A98&amp;"V",Asignacion_3ros!$A$2:$G$9,6,FALSE())="",P98,VLOOKUP($A98&amp;"V",Asignacion_3ros!$A$2:$G$9,6,FALSE())),P98),IF(LEFT(P98,1)="W",IFERROR(IF(INDEX($K$2:$K$97,MATCH(VALUE(MID(P98,2,3)),$A$2:$A$97,0))="",P98,INDEX($K$2:$K$97,MATCH(VALUE(MID(P98,2,3)),$A$2:$A$97,0))),P98),IF(LEFT(P98,1)="L",IFERROR(IF(INDEX($K$2:$K$97,MATCH(VALUE(MID(P98,2,3)),$A$2:$A$97,0))=INDEX($G$2:$G$97,MATCH(VALUE(MID(P98,2,3)),$A$2:$A$97,0)),INDEX($H$2:$H$97,MATCH(VALUE(MID(P98,2,3)),$A$2:$A$97,0)),IF(INDEX($K$2:$K$97,MATCH(VALUE(MID(P98,2,3)),$A$2:$A$97,0))=INDEX($H$2:$H$97,MATCH(VALUE(MID(P98,2,3)),$A$2:$A$97,0)),INDEX($G$2:$G$97,MATCH(VALUE(MID(P98,2,3)),$A$2:$A$97,0)),P98)),P98),IFERROR(IF(VLOOKUP(RIGHT(P98,1)&amp;LEFT(P98,1),Clasificacion!$O$2:$Q$49,2,FALSE())="",P98,VLOOKUP(RIGHT(P98,1)&amp;LEFT(P98,1),Clasificacion!$O$2:$Q$49,2,FALSE())),P98)))))</f>
        <v>W90</v>
      </c>
      <c r="K98" s="1" t="str">
        <f t="shared" ref="K98:K105" si="3">IF(OR(I98="",J98=""),"",IF(I98&gt;J98,G98,IF(J98&gt;I98,H98,"Empate")))</f>
        <v/>
      </c>
      <c r="L98" s="1" t="s">
        <v>272</v>
      </c>
      <c r="M98" s="1" t="str">
        <f>IF(O98="","",IF(LEFT(O98,1)="3",IFERROR(IF(VLOOKUP($A98&amp;"L",Asignacion_3ros!$A$2:$G$9,7,FALSE())="",O98,VLOOKUP($A98&amp;"L",Asignacion_3ros!$A$2:$G$9,7,FALSE())),O98),IF(LEFT(O98,1)="W",IFERROR(IF(INDEX($K$2:$K$97,MATCH(VALUE(MID(O98,2,3)),$A$2:$A$97,0))=INDEX($G$2:$G$97,MATCH(VALUE(MID(O98,2,3)),$A$2:$A$97,0)),INDEX($M$2:$M$97,MATCH(VALUE(MID(O98,2,3)),$A$2:$A$97,0)),IF(INDEX($K$2:$K$97,MATCH(VALUE(MID(O98,2,3)),$A$2:$A$97,0))=INDEX($H$2:$H$97,MATCH(VALUE(MID(O98,2,3)),$A$2:$A$97,0)),INDEX($N$2:$N$97,MATCH(VALUE(MID(O98,2,3)),$A$2:$A$97,0)),O98)),O98),IF(LEFT(O98,1)="L",IFERROR(IF(INDEX($K$2:$K$97,MATCH(VALUE(MID(O98,2,3)),$A$2:$A$97,0))=INDEX($G$2:$G$97,MATCH(VALUE(MID(O98,2,3)),$A$2:$A$97,0)),INDEX($N$2:$N$97,MATCH(VALUE(MID(O98,2,3)),$A$2:$A$97,0)),IF(INDEX($K$2:$K$97,MATCH(VALUE(MID(O98,2,3)),$A$2:$A$97,0))=INDEX($H$2:$H$97,MATCH(VALUE(MID(O98,2,3)),$A$2:$A$97,0)),INDEX($M$2:$M$97,MATCH(VALUE(MID(O98,2,3)),$A$2:$A$97,0)),O98)),O98),IFERROR(IF(VLOOKUP(RIGHT(O98,1)&amp;LEFT(O98,1),Clasificacion!$O$2:$Q$49,3,FALSE())="",O98,VLOOKUP(RIGHT(O98,1)&amp;LEFT(O98,1),Clasificacion!$O$2:$Q$49,3,FALSE())),O98)))))</f>
        <v>W89</v>
      </c>
      <c r="N98" s="1" t="str">
        <f>IF(P98="","",IF(LEFT(P98,1)="3",IFERROR(IF(VLOOKUP($A98&amp;"V",Asignacion_3ros!$A$2:$G$9,7,FALSE())="",P98,VLOOKUP($A98&amp;"V",Asignacion_3ros!$A$2:$G$9,7,FALSE())),P98),IF(LEFT(P98,1)="W",IFERROR(IF(INDEX($K$2:$K$97,MATCH(VALUE(MID(P98,2,3)),$A$2:$A$97,0))=INDEX($G$2:$G$97,MATCH(VALUE(MID(P98,2,3)),$A$2:$A$97,0)),INDEX($M$2:$M$97,MATCH(VALUE(MID(P98,2,3)),$A$2:$A$97,0)),IF(INDEX($K$2:$K$97,MATCH(VALUE(MID(P98,2,3)),$A$2:$A$97,0))=INDEX($H$2:$H$97,MATCH(VALUE(MID(P98,2,3)),$A$2:$A$97,0)),INDEX($N$2:$N$97,MATCH(VALUE(MID(P98,2,3)),$A$2:$A$97,0)),P98)),P98),IF(LEFT(P98,1)="L",IFERROR(IF(INDEX($K$2:$K$97,MATCH(VALUE(MID(P98,2,3)),$A$2:$A$97,0))=INDEX($G$2:$G$97,MATCH(VALUE(MID(P98,2,3)),$A$2:$A$97,0)),INDEX($N$2:$N$97,MATCH(VALUE(MID(P98,2,3)),$A$2:$A$97,0)),IF(INDEX($K$2:$K$97,MATCH(VALUE(MID(P98,2,3)),$A$2:$A$97,0))=INDEX($H$2:$H$97,MATCH(VALUE(MID(P98,2,3)),$A$2:$A$97,0)),INDEX($M$2:$M$97,MATCH(VALUE(MID(P98,2,3)),$A$2:$A$97,0)),P98)),P98),IFERROR(IF(VLOOKUP(RIGHT(P98,1)&amp;LEFT(P98,1),Clasificacion!$O$2:$Q$49,3,FALSE())="",P98,VLOOKUP(RIGHT(P98,1)&amp;LEFT(P98,1),Clasificacion!$O$2:$Q$49,3,FALSE())),P98)))))</f>
        <v>W90</v>
      </c>
      <c r="O98" s="1" t="s">
        <v>346</v>
      </c>
      <c r="P98" s="1" t="s">
        <v>347</v>
      </c>
      <c r="Q98" s="1" t="s">
        <v>266</v>
      </c>
    </row>
    <row r="99" spans="1:17" ht="14.25" customHeight="1" x14ac:dyDescent="0.25">
      <c r="A99" s="1">
        <v>98</v>
      </c>
      <c r="B99" s="1">
        <v>46213</v>
      </c>
      <c r="C99" s="85">
        <v>0.58333333333333337</v>
      </c>
      <c r="D99" s="1">
        <f>HOUR(tblPartidos[[#This Row],[Hora ET]])-1</f>
        <v>13</v>
      </c>
      <c r="E99" s="1" t="s">
        <v>345</v>
      </c>
      <c r="G99" s="1" t="str">
        <f>IF(O99="","",IF(LEFT(O99,1)="3",IFERROR(IF(VLOOKUP($A99&amp;"L",Asignacion_3ros!$A$2:$G$9,6,FALSE())="",O99,VLOOKUP($A99&amp;"L",Asignacion_3ros!$A$2:$G$9,6,FALSE())),O99),IF(LEFT(O99,1)="W",IFERROR(IF(INDEX($K$2:$K$98,MATCH(VALUE(MID(O99,2,3)),$A$2:$A$98,0))="",O99,INDEX($K$2:$K$98,MATCH(VALUE(MID(O99,2,3)),$A$2:$A$98,0))),O99),IF(LEFT(O99,1)="L",IFERROR(IF(INDEX($K$2:$K$98,MATCH(VALUE(MID(O99,2,3)),$A$2:$A$98,0))=INDEX($G$2:$G$98,MATCH(VALUE(MID(O99,2,3)),$A$2:$A$98,0)),INDEX($H$2:$H$98,MATCH(VALUE(MID(O99,2,3)),$A$2:$A$98,0)),IF(INDEX($K$2:$K$98,MATCH(VALUE(MID(O99,2,3)),$A$2:$A$98,0))=INDEX($H$2:$H$98,MATCH(VALUE(MID(O99,2,3)),$A$2:$A$98,0)),INDEX($G$2:$G$98,MATCH(VALUE(MID(O99,2,3)),$A$2:$A$98,0)),O99)),O99),IFERROR(IF(VLOOKUP(RIGHT(O99,1)&amp;LEFT(O99,1),Clasificacion!$O$2:$Q$49,2,FALSE())="",O99,VLOOKUP(RIGHT(O99,1)&amp;LEFT(O99,1),Clasificacion!$O$2:$Q$49,2,FALSE())),O99)))))</f>
        <v>W93</v>
      </c>
      <c r="H99" s="1" t="str">
        <f>IF(P99="","",IF(LEFT(P99,1)="3",IFERROR(IF(VLOOKUP($A99&amp;"V",Asignacion_3ros!$A$2:$G$9,6,FALSE())="",P99,VLOOKUP($A99&amp;"V",Asignacion_3ros!$A$2:$G$9,6,FALSE())),P99),IF(LEFT(P99,1)="W",IFERROR(IF(INDEX($K$2:$K$98,MATCH(VALUE(MID(P99,2,3)),$A$2:$A$98,0))="",P99,INDEX($K$2:$K$98,MATCH(VALUE(MID(P99,2,3)),$A$2:$A$98,0))),P99),IF(LEFT(P99,1)="L",IFERROR(IF(INDEX($K$2:$K$98,MATCH(VALUE(MID(P99,2,3)),$A$2:$A$98,0))=INDEX($G$2:$G$98,MATCH(VALUE(MID(P99,2,3)),$A$2:$A$98,0)),INDEX($H$2:$H$98,MATCH(VALUE(MID(P99,2,3)),$A$2:$A$98,0)),IF(INDEX($K$2:$K$98,MATCH(VALUE(MID(P99,2,3)),$A$2:$A$98,0))=INDEX($H$2:$H$98,MATCH(VALUE(MID(P99,2,3)),$A$2:$A$98,0)),INDEX($G$2:$G$98,MATCH(VALUE(MID(P99,2,3)),$A$2:$A$98,0)),P99)),P99),IFERROR(IF(VLOOKUP(RIGHT(P99,1)&amp;LEFT(P99,1),Clasificacion!$O$2:$Q$49,2,FALSE())="",P99,VLOOKUP(RIGHT(P99,1)&amp;LEFT(P99,1),Clasificacion!$O$2:$Q$49,2,FALSE())),P99)))))</f>
        <v>W94</v>
      </c>
      <c r="K99" s="1" t="str">
        <f t="shared" si="3"/>
        <v/>
      </c>
      <c r="L99" s="1" t="s">
        <v>271</v>
      </c>
      <c r="M99" s="1" t="str">
        <f>IF(O99="","",IF(LEFT(O99,1)="3",IFERROR(IF(VLOOKUP($A99&amp;"L",Asignacion_3ros!$A$2:$G$9,7,FALSE())="",O99,VLOOKUP($A99&amp;"L",Asignacion_3ros!$A$2:$G$9,7,FALSE())),O99),IF(LEFT(O99,1)="W",IFERROR(IF(INDEX($K$2:$K$98,MATCH(VALUE(MID(O99,2,3)),$A$2:$A$98,0))=INDEX($G$2:$G$98,MATCH(VALUE(MID(O99,2,3)),$A$2:$A$98,0)),INDEX($M$2:$M$98,MATCH(VALUE(MID(O99,2,3)),$A$2:$A$98,0)),IF(INDEX($K$2:$K$98,MATCH(VALUE(MID(O99,2,3)),$A$2:$A$98,0))=INDEX($H$2:$H$98,MATCH(VALUE(MID(O99,2,3)),$A$2:$A$98,0)),INDEX($N$2:$N$98,MATCH(VALUE(MID(O99,2,3)),$A$2:$A$98,0)),O99)),O99),IF(LEFT(O99,1)="L",IFERROR(IF(INDEX($K$2:$K$98,MATCH(VALUE(MID(O99,2,3)),$A$2:$A$98,0))=INDEX($G$2:$G$98,MATCH(VALUE(MID(O99,2,3)),$A$2:$A$98,0)),INDEX($N$2:$N$98,MATCH(VALUE(MID(O99,2,3)),$A$2:$A$98,0)),IF(INDEX($K$2:$K$98,MATCH(VALUE(MID(O99,2,3)),$A$2:$A$98,0))=INDEX($H$2:$H$98,MATCH(VALUE(MID(O99,2,3)),$A$2:$A$98,0)),INDEX($M$2:$M$98,MATCH(VALUE(MID(O99,2,3)),$A$2:$A$98,0)),O99)),O99),IFERROR(IF(VLOOKUP(RIGHT(O99,1)&amp;LEFT(O99,1),Clasificacion!$O$2:$Q$49,3,FALSE())="",O99,VLOOKUP(RIGHT(O99,1)&amp;LEFT(O99,1),Clasificacion!$O$2:$Q$49,3,FALSE())),O99)))))</f>
        <v>W93</v>
      </c>
      <c r="N99" s="1" t="str">
        <f>IF(P99="","",IF(LEFT(P99,1)="3",IFERROR(IF(VLOOKUP($A99&amp;"V",Asignacion_3ros!$A$2:$G$9,7,FALSE())="",P99,VLOOKUP($A99&amp;"V",Asignacion_3ros!$A$2:$G$9,7,FALSE())),P99),IF(LEFT(P99,1)="W",IFERROR(IF(INDEX($K$2:$K$98,MATCH(VALUE(MID(P99,2,3)),$A$2:$A$98,0))=INDEX($G$2:$G$98,MATCH(VALUE(MID(P99,2,3)),$A$2:$A$98,0)),INDEX($M$2:$M$98,MATCH(VALUE(MID(P99,2,3)),$A$2:$A$98,0)),IF(INDEX($K$2:$K$98,MATCH(VALUE(MID(P99,2,3)),$A$2:$A$98,0))=INDEX($H$2:$H$98,MATCH(VALUE(MID(P99,2,3)),$A$2:$A$98,0)),INDEX($N$2:$N$98,MATCH(VALUE(MID(P99,2,3)),$A$2:$A$98,0)),P99)),P99),IF(LEFT(P99,1)="L",IFERROR(IF(INDEX($K$2:$K$98,MATCH(VALUE(MID(P99,2,3)),$A$2:$A$98,0))=INDEX($G$2:$G$98,MATCH(VALUE(MID(P99,2,3)),$A$2:$A$98,0)),INDEX($N$2:$N$98,MATCH(VALUE(MID(P99,2,3)),$A$2:$A$98,0)),IF(INDEX($K$2:$K$98,MATCH(VALUE(MID(P99,2,3)),$A$2:$A$98,0))=INDEX($H$2:$H$98,MATCH(VALUE(MID(P99,2,3)),$A$2:$A$98,0)),INDEX($M$2:$M$98,MATCH(VALUE(MID(P99,2,3)),$A$2:$A$98,0)),P99)),P99),IFERROR(IF(VLOOKUP(RIGHT(P99,1)&amp;LEFT(P99,1),Clasificacion!$O$2:$Q$49,3,FALSE())="",P99,VLOOKUP(RIGHT(P99,1)&amp;LEFT(P99,1),Clasificacion!$O$2:$Q$49,3,FALSE())),P99)))))</f>
        <v>W94</v>
      </c>
      <c r="O99" s="1" t="s">
        <v>348</v>
      </c>
      <c r="P99" s="1" t="s">
        <v>349</v>
      </c>
      <c r="Q99" s="1" t="s">
        <v>266</v>
      </c>
    </row>
    <row r="100" spans="1:17" ht="14.25" customHeight="1" x14ac:dyDescent="0.25">
      <c r="A100" s="1">
        <v>99</v>
      </c>
      <c r="B100" s="1">
        <v>46214</v>
      </c>
      <c r="C100" s="85">
        <v>0.66666666666666663</v>
      </c>
      <c r="D100" s="1">
        <f>HOUR(tblPartidos[[#This Row],[Hora ET]])-1</f>
        <v>15</v>
      </c>
      <c r="E100" s="1" t="s">
        <v>345</v>
      </c>
      <c r="G100" s="1" t="str">
        <f>IF(O100="","",IF(LEFT(O100,1)="3",IFERROR(IF(VLOOKUP($A100&amp;"L",Asignacion_3ros!$A$2:$G$9,6,FALSE())="",O100,VLOOKUP($A100&amp;"L",Asignacion_3ros!$A$2:$G$9,6,FALSE())),O100),IF(LEFT(O100,1)="W",IFERROR(IF(INDEX($K$2:$K$99,MATCH(VALUE(MID(O100,2,3)),$A$2:$A$99,0))="",O100,INDEX($K$2:$K$99,MATCH(VALUE(MID(O100,2,3)),$A$2:$A$99,0))),O100),IF(LEFT(O100,1)="L",IFERROR(IF(INDEX($K$2:$K$99,MATCH(VALUE(MID(O100,2,3)),$A$2:$A$99,0))=INDEX($G$2:$G$99,MATCH(VALUE(MID(O100,2,3)),$A$2:$A$99,0)),INDEX($H$2:$H$99,MATCH(VALUE(MID(O100,2,3)),$A$2:$A$99,0)),IF(INDEX($K$2:$K$99,MATCH(VALUE(MID(O100,2,3)),$A$2:$A$99,0))=INDEX($H$2:$H$99,MATCH(VALUE(MID(O100,2,3)),$A$2:$A$99,0)),INDEX($G$2:$G$99,MATCH(VALUE(MID(O100,2,3)),$A$2:$A$99,0)),O100)),O100),IFERROR(IF(VLOOKUP(RIGHT(O100,1)&amp;LEFT(O100,1),Clasificacion!$O$2:$Q$49,2,FALSE())="",O100,VLOOKUP(RIGHT(O100,1)&amp;LEFT(O100,1),Clasificacion!$O$2:$Q$49,2,FALSE())),O100)))))</f>
        <v>W91</v>
      </c>
      <c r="H100" s="1" t="str">
        <f>IF(P100="","",IF(LEFT(P100,1)="3",IFERROR(IF(VLOOKUP($A100&amp;"V",Asignacion_3ros!$A$2:$G$9,6,FALSE())="",P100,VLOOKUP($A100&amp;"V",Asignacion_3ros!$A$2:$G$9,6,FALSE())),P100),IF(LEFT(P100,1)="W",IFERROR(IF(INDEX($K$2:$K$99,MATCH(VALUE(MID(P100,2,3)),$A$2:$A$99,0))="",P100,INDEX($K$2:$K$99,MATCH(VALUE(MID(P100,2,3)),$A$2:$A$99,0))),P100),IF(LEFT(P100,1)="L",IFERROR(IF(INDEX($K$2:$K$99,MATCH(VALUE(MID(P100,2,3)),$A$2:$A$99,0))=INDEX($G$2:$G$99,MATCH(VALUE(MID(P100,2,3)),$A$2:$A$99,0)),INDEX($H$2:$H$99,MATCH(VALUE(MID(P100,2,3)),$A$2:$A$99,0)),IF(INDEX($K$2:$K$99,MATCH(VALUE(MID(P100,2,3)),$A$2:$A$99,0))=INDEX($H$2:$H$99,MATCH(VALUE(MID(P100,2,3)),$A$2:$A$99,0)),INDEX($G$2:$G$99,MATCH(VALUE(MID(P100,2,3)),$A$2:$A$99,0)),P100)),P100),IFERROR(IF(VLOOKUP(RIGHT(P100,1)&amp;LEFT(P100,1),Clasificacion!$O$2:$Q$49,2,FALSE())="",P100,VLOOKUP(RIGHT(P100,1)&amp;LEFT(P100,1),Clasificacion!$O$2:$Q$49,2,FALSE())),P100)))))</f>
        <v>W92</v>
      </c>
      <c r="K100" s="1" t="str">
        <f t="shared" si="3"/>
        <v/>
      </c>
      <c r="L100" s="1" t="s">
        <v>284</v>
      </c>
      <c r="M100" s="1" t="str">
        <f>IF(O100="","",IF(LEFT(O100,1)="3",IFERROR(IF(VLOOKUP($A100&amp;"L",Asignacion_3ros!$A$2:$G$9,7,FALSE())="",O100,VLOOKUP($A100&amp;"L",Asignacion_3ros!$A$2:$G$9,7,FALSE())),O100),IF(LEFT(O100,1)="W",IFERROR(IF(INDEX($K$2:$K$99,MATCH(VALUE(MID(O100,2,3)),$A$2:$A$99,0))=INDEX($G$2:$G$99,MATCH(VALUE(MID(O100,2,3)),$A$2:$A$99,0)),INDEX($M$2:$M$99,MATCH(VALUE(MID(O100,2,3)),$A$2:$A$99,0)),IF(INDEX($K$2:$K$99,MATCH(VALUE(MID(O100,2,3)),$A$2:$A$99,0))=INDEX($H$2:$H$99,MATCH(VALUE(MID(O100,2,3)),$A$2:$A$99,0)),INDEX($N$2:$N$99,MATCH(VALUE(MID(O100,2,3)),$A$2:$A$99,0)),O100)),O100),IF(LEFT(O100,1)="L",IFERROR(IF(INDEX($K$2:$K$99,MATCH(VALUE(MID(O100,2,3)),$A$2:$A$99,0))=INDEX($G$2:$G$99,MATCH(VALUE(MID(O100,2,3)),$A$2:$A$99,0)),INDEX($N$2:$N$99,MATCH(VALUE(MID(O100,2,3)),$A$2:$A$99,0)),IF(INDEX($K$2:$K$99,MATCH(VALUE(MID(O100,2,3)),$A$2:$A$99,0))=INDEX($H$2:$H$99,MATCH(VALUE(MID(O100,2,3)),$A$2:$A$99,0)),INDEX($M$2:$M$99,MATCH(VALUE(MID(O100,2,3)),$A$2:$A$99,0)),O100)),O100),IFERROR(IF(VLOOKUP(RIGHT(O100,1)&amp;LEFT(O100,1),Clasificacion!$O$2:$Q$49,3,FALSE())="",O100,VLOOKUP(RIGHT(O100,1)&amp;LEFT(O100,1),Clasificacion!$O$2:$Q$49,3,FALSE())),O100)))))</f>
        <v>W91</v>
      </c>
      <c r="N100" s="1" t="str">
        <f>IF(P100="","",IF(LEFT(P100,1)="3",IFERROR(IF(VLOOKUP($A100&amp;"V",Asignacion_3ros!$A$2:$G$9,7,FALSE())="",P100,VLOOKUP($A100&amp;"V",Asignacion_3ros!$A$2:$G$9,7,FALSE())),P100),IF(LEFT(P100,1)="W",IFERROR(IF(INDEX($K$2:$K$99,MATCH(VALUE(MID(P100,2,3)),$A$2:$A$99,0))=INDEX($G$2:$G$99,MATCH(VALUE(MID(P100,2,3)),$A$2:$A$99,0)),INDEX($M$2:$M$99,MATCH(VALUE(MID(P100,2,3)),$A$2:$A$99,0)),IF(INDEX($K$2:$K$99,MATCH(VALUE(MID(P100,2,3)),$A$2:$A$99,0))=INDEX($H$2:$H$99,MATCH(VALUE(MID(P100,2,3)),$A$2:$A$99,0)),INDEX($N$2:$N$99,MATCH(VALUE(MID(P100,2,3)),$A$2:$A$99,0)),P100)),P100),IF(LEFT(P100,1)="L",IFERROR(IF(INDEX($K$2:$K$99,MATCH(VALUE(MID(P100,2,3)),$A$2:$A$99,0))=INDEX($G$2:$G$99,MATCH(VALUE(MID(P100,2,3)),$A$2:$A$99,0)),INDEX($N$2:$N$99,MATCH(VALUE(MID(P100,2,3)),$A$2:$A$99,0)),IF(INDEX($K$2:$K$99,MATCH(VALUE(MID(P100,2,3)),$A$2:$A$99,0))=INDEX($H$2:$H$99,MATCH(VALUE(MID(P100,2,3)),$A$2:$A$99,0)),INDEX($M$2:$M$99,MATCH(VALUE(MID(P100,2,3)),$A$2:$A$99,0)),P100)),P100),IFERROR(IF(VLOOKUP(RIGHT(P100,1)&amp;LEFT(P100,1),Clasificacion!$O$2:$Q$49,3,FALSE())="",P100,VLOOKUP(RIGHT(P100,1)&amp;LEFT(P100,1),Clasificacion!$O$2:$Q$49,3,FALSE())),P100)))))</f>
        <v>W92</v>
      </c>
      <c r="O100" s="1" t="s">
        <v>350</v>
      </c>
      <c r="P100" s="1" t="s">
        <v>351</v>
      </c>
      <c r="Q100" s="1" t="s">
        <v>266</v>
      </c>
    </row>
    <row r="101" spans="1:17" ht="14.25" customHeight="1" x14ac:dyDescent="0.25">
      <c r="A101" s="1">
        <v>100</v>
      </c>
      <c r="B101" s="1">
        <v>46214</v>
      </c>
      <c r="C101" s="85">
        <v>0.83333333333333337</v>
      </c>
      <c r="D101" s="1">
        <f>HOUR(tblPartidos[[#This Row],[Hora ET]])-1</f>
        <v>19</v>
      </c>
      <c r="E101" s="1" t="s">
        <v>345</v>
      </c>
      <c r="G101" s="1" t="str">
        <f>IF(O101="","",IF(LEFT(O101,1)="3",IFERROR(IF(VLOOKUP($A101&amp;"L",Asignacion_3ros!$A$2:$G$9,6,FALSE())="",O101,VLOOKUP($A101&amp;"L",Asignacion_3ros!$A$2:$G$9,6,FALSE())),O101),IF(LEFT(O101,1)="W",IFERROR(IF(INDEX($K$2:$K$100,MATCH(VALUE(MID(O101,2,3)),$A$2:$A$100,0))="",O101,INDEX($K$2:$K$100,MATCH(VALUE(MID(O101,2,3)),$A$2:$A$100,0))),O101),IF(LEFT(O101,1)="L",IFERROR(IF(INDEX($K$2:$K$100,MATCH(VALUE(MID(O101,2,3)),$A$2:$A$100,0))=INDEX($G$2:$G$100,MATCH(VALUE(MID(O101,2,3)),$A$2:$A$100,0)),INDEX($H$2:$H$100,MATCH(VALUE(MID(O101,2,3)),$A$2:$A$100,0)),IF(INDEX($K$2:$K$100,MATCH(VALUE(MID(O101,2,3)),$A$2:$A$100,0))=INDEX($H$2:$H$100,MATCH(VALUE(MID(O101,2,3)),$A$2:$A$100,0)),INDEX($G$2:$G$100,MATCH(VALUE(MID(O101,2,3)),$A$2:$A$100,0)),O101)),O101),IFERROR(IF(VLOOKUP(RIGHT(O101,1)&amp;LEFT(O101,1),Clasificacion!$O$2:$Q$49,2,FALSE())="",O101,VLOOKUP(RIGHT(O101,1)&amp;LEFT(O101,1),Clasificacion!$O$2:$Q$49,2,FALSE())),O101)))))</f>
        <v>W95</v>
      </c>
      <c r="H101" s="1" t="str">
        <f>IF(P101="","",IF(LEFT(P101,1)="3",IFERROR(IF(VLOOKUP($A101&amp;"V",Asignacion_3ros!$A$2:$G$9,6,FALSE())="",P101,VLOOKUP($A101&amp;"V",Asignacion_3ros!$A$2:$G$9,6,FALSE())),P101),IF(LEFT(P101,1)="W",IFERROR(IF(INDEX($K$2:$K$100,MATCH(VALUE(MID(P101,2,3)),$A$2:$A$100,0))="",P101,INDEX($K$2:$K$100,MATCH(VALUE(MID(P101,2,3)),$A$2:$A$100,0))),P101),IF(LEFT(P101,1)="L",IFERROR(IF(INDEX($K$2:$K$100,MATCH(VALUE(MID(P101,2,3)),$A$2:$A$100,0))=INDEX($G$2:$G$100,MATCH(VALUE(MID(P101,2,3)),$A$2:$A$100,0)),INDEX($H$2:$H$100,MATCH(VALUE(MID(P101,2,3)),$A$2:$A$100,0)),IF(INDEX($K$2:$K$100,MATCH(VALUE(MID(P101,2,3)),$A$2:$A$100,0))=INDEX($H$2:$H$100,MATCH(VALUE(MID(P101,2,3)),$A$2:$A$100,0)),INDEX($G$2:$G$100,MATCH(VALUE(MID(P101,2,3)),$A$2:$A$100,0)),P101)),P101),IFERROR(IF(VLOOKUP(RIGHT(P101,1)&amp;LEFT(P101,1),Clasificacion!$O$2:$Q$49,2,FALSE())="",P101,VLOOKUP(RIGHT(P101,1)&amp;LEFT(P101,1),Clasificacion!$O$2:$Q$49,2,FALSE())),P101)))))</f>
        <v>W96</v>
      </c>
      <c r="K101" s="1" t="str">
        <f t="shared" si="3"/>
        <v/>
      </c>
      <c r="L101" s="1" t="s">
        <v>288</v>
      </c>
      <c r="M101" s="1" t="str">
        <f>IF(O101="","",IF(LEFT(O101,1)="3",IFERROR(IF(VLOOKUP($A101&amp;"L",Asignacion_3ros!$A$2:$G$9,7,FALSE())="",O101,VLOOKUP($A101&amp;"L",Asignacion_3ros!$A$2:$G$9,7,FALSE())),O101),IF(LEFT(O101,1)="W",IFERROR(IF(INDEX($K$2:$K$100,MATCH(VALUE(MID(O101,2,3)),$A$2:$A$100,0))=INDEX($G$2:$G$100,MATCH(VALUE(MID(O101,2,3)),$A$2:$A$100,0)),INDEX($M$2:$M$100,MATCH(VALUE(MID(O101,2,3)),$A$2:$A$100,0)),IF(INDEX($K$2:$K$100,MATCH(VALUE(MID(O101,2,3)),$A$2:$A$100,0))=INDEX($H$2:$H$100,MATCH(VALUE(MID(O101,2,3)),$A$2:$A$100,0)),INDEX($N$2:$N$100,MATCH(VALUE(MID(O101,2,3)),$A$2:$A$100,0)),O101)),O101),IF(LEFT(O101,1)="L",IFERROR(IF(INDEX($K$2:$K$100,MATCH(VALUE(MID(O101,2,3)),$A$2:$A$100,0))=INDEX($G$2:$G$100,MATCH(VALUE(MID(O101,2,3)),$A$2:$A$100,0)),INDEX($N$2:$N$100,MATCH(VALUE(MID(O101,2,3)),$A$2:$A$100,0)),IF(INDEX($K$2:$K$100,MATCH(VALUE(MID(O101,2,3)),$A$2:$A$100,0))=INDEX($H$2:$H$100,MATCH(VALUE(MID(O101,2,3)),$A$2:$A$100,0)),INDEX($M$2:$M$100,MATCH(VALUE(MID(O101,2,3)),$A$2:$A$100,0)),O101)),O101),IFERROR(IF(VLOOKUP(RIGHT(O101,1)&amp;LEFT(O101,1),Clasificacion!$O$2:$Q$49,3,FALSE())="",O101,VLOOKUP(RIGHT(O101,1)&amp;LEFT(O101,1),Clasificacion!$O$2:$Q$49,3,FALSE())),O101)))))</f>
        <v>W95</v>
      </c>
      <c r="N101" s="1" t="str">
        <f>IF(P101="","",IF(LEFT(P101,1)="3",IFERROR(IF(VLOOKUP($A101&amp;"V",Asignacion_3ros!$A$2:$G$9,7,FALSE())="",P101,VLOOKUP($A101&amp;"V",Asignacion_3ros!$A$2:$G$9,7,FALSE())),P101),IF(LEFT(P101,1)="W",IFERROR(IF(INDEX($K$2:$K$100,MATCH(VALUE(MID(P101,2,3)),$A$2:$A$100,0))=INDEX($G$2:$G$100,MATCH(VALUE(MID(P101,2,3)),$A$2:$A$100,0)),INDEX($M$2:$M$100,MATCH(VALUE(MID(P101,2,3)),$A$2:$A$100,0)),IF(INDEX($K$2:$K$100,MATCH(VALUE(MID(P101,2,3)),$A$2:$A$100,0))=INDEX($H$2:$H$100,MATCH(VALUE(MID(P101,2,3)),$A$2:$A$100,0)),INDEX($N$2:$N$100,MATCH(VALUE(MID(P101,2,3)),$A$2:$A$100,0)),P101)),P101),IF(LEFT(P101,1)="L",IFERROR(IF(INDEX($K$2:$K$100,MATCH(VALUE(MID(P101,2,3)),$A$2:$A$100,0))=INDEX($G$2:$G$100,MATCH(VALUE(MID(P101,2,3)),$A$2:$A$100,0)),INDEX($N$2:$N$100,MATCH(VALUE(MID(P101,2,3)),$A$2:$A$100,0)),IF(INDEX($K$2:$K$100,MATCH(VALUE(MID(P101,2,3)),$A$2:$A$100,0))=INDEX($H$2:$H$100,MATCH(VALUE(MID(P101,2,3)),$A$2:$A$100,0)),INDEX($M$2:$M$100,MATCH(VALUE(MID(P101,2,3)),$A$2:$A$100,0)),P101)),P101),IFERROR(IF(VLOOKUP(RIGHT(P101,1)&amp;LEFT(P101,1),Clasificacion!$O$2:$Q$49,3,FALSE())="",P101,VLOOKUP(RIGHT(P101,1)&amp;LEFT(P101,1),Clasificacion!$O$2:$Q$49,3,FALSE())),P101)))))</f>
        <v>W96</v>
      </c>
      <c r="O101" s="1" t="s">
        <v>352</v>
      </c>
      <c r="P101" s="1" t="s">
        <v>353</v>
      </c>
      <c r="Q101" s="1" t="s">
        <v>266</v>
      </c>
    </row>
    <row r="102" spans="1:17" ht="14.25" customHeight="1" x14ac:dyDescent="0.25">
      <c r="A102" s="1">
        <v>101</v>
      </c>
      <c r="B102" s="1">
        <v>46217</v>
      </c>
      <c r="C102" s="85">
        <v>0.58333333333333337</v>
      </c>
      <c r="D102" s="1">
        <f>HOUR(tblPartidos[[#This Row],[Hora ET]])-1</f>
        <v>13</v>
      </c>
      <c r="E102" s="1" t="s">
        <v>354</v>
      </c>
      <c r="G102" s="1" t="str">
        <f>IF(O102="","",IF(LEFT(O102,1)="3",IFERROR(IF(VLOOKUP($A102&amp;"L",Asignacion_3ros!$A$2:$G$9,6,FALSE())="",O102,VLOOKUP($A102&amp;"L",Asignacion_3ros!$A$2:$G$9,6,FALSE())),O102),IF(LEFT(O102,1)="W",IFERROR(IF(INDEX($K$2:$K$101,MATCH(VALUE(MID(O102,2,3)),$A$2:$A$101,0))="",O102,INDEX($K$2:$K$101,MATCH(VALUE(MID(O102,2,3)),$A$2:$A$101,0))),O102),IF(LEFT(O102,1)="L",IFERROR(IF(INDEX($K$2:$K$101,MATCH(VALUE(MID(O102,2,3)),$A$2:$A$101,0))=INDEX($G$2:$G$101,MATCH(VALUE(MID(O102,2,3)),$A$2:$A$101,0)),INDEX($H$2:$H$101,MATCH(VALUE(MID(O102,2,3)),$A$2:$A$101,0)),IF(INDEX($K$2:$K$101,MATCH(VALUE(MID(O102,2,3)),$A$2:$A$101,0))=INDEX($H$2:$H$101,MATCH(VALUE(MID(O102,2,3)),$A$2:$A$101,0)),INDEX($G$2:$G$101,MATCH(VALUE(MID(O102,2,3)),$A$2:$A$101,0)),O102)),O102),IFERROR(IF(VLOOKUP(RIGHT(O102,1)&amp;LEFT(O102,1),Clasificacion!$O$2:$Q$49,2,FALSE())="",O102,VLOOKUP(RIGHT(O102,1)&amp;LEFT(O102,1),Clasificacion!$O$2:$Q$49,2,FALSE())),O102)))))</f>
        <v>W97</v>
      </c>
      <c r="H102" s="1" t="str">
        <f>IF(P102="","",IF(LEFT(P102,1)="3",IFERROR(IF(VLOOKUP($A102&amp;"V",Asignacion_3ros!$A$2:$G$9,6,FALSE())="",P102,VLOOKUP($A102&amp;"V",Asignacion_3ros!$A$2:$G$9,6,FALSE())),P102),IF(LEFT(P102,1)="W",IFERROR(IF(INDEX($K$2:$K$101,MATCH(VALUE(MID(P102,2,3)),$A$2:$A$101,0))="",P102,INDEX($K$2:$K$101,MATCH(VALUE(MID(P102,2,3)),$A$2:$A$101,0))),P102),IF(LEFT(P102,1)="L",IFERROR(IF(INDEX($K$2:$K$101,MATCH(VALUE(MID(P102,2,3)),$A$2:$A$101,0))=INDEX($G$2:$G$101,MATCH(VALUE(MID(P102,2,3)),$A$2:$A$101,0)),INDEX($H$2:$H$101,MATCH(VALUE(MID(P102,2,3)),$A$2:$A$101,0)),IF(INDEX($K$2:$K$101,MATCH(VALUE(MID(P102,2,3)),$A$2:$A$101,0))=INDEX($H$2:$H$101,MATCH(VALUE(MID(P102,2,3)),$A$2:$A$101,0)),INDEX($G$2:$G$101,MATCH(VALUE(MID(P102,2,3)),$A$2:$A$101,0)),P102)),P102),IFERROR(IF(VLOOKUP(RIGHT(P102,1)&amp;LEFT(P102,1),Clasificacion!$O$2:$Q$49,2,FALSE())="",P102,VLOOKUP(RIGHT(P102,1)&amp;LEFT(P102,1),Clasificacion!$O$2:$Q$49,2,FALSE())),P102)))))</f>
        <v>W98</v>
      </c>
      <c r="K102" s="1" t="str">
        <f t="shared" si="3"/>
        <v/>
      </c>
      <c r="L102" s="1" t="s">
        <v>282</v>
      </c>
      <c r="M102" s="1" t="str">
        <f>IF(O102="","",IF(LEFT(O102,1)="3",IFERROR(IF(VLOOKUP($A102&amp;"L",Asignacion_3ros!$A$2:$G$9,7,FALSE())="",O102,VLOOKUP($A102&amp;"L",Asignacion_3ros!$A$2:$G$9,7,FALSE())),O102),IF(LEFT(O102,1)="W",IFERROR(IF(INDEX($K$2:$K$101,MATCH(VALUE(MID(O102,2,3)),$A$2:$A$101,0))=INDEX($G$2:$G$101,MATCH(VALUE(MID(O102,2,3)),$A$2:$A$101,0)),INDEX($M$2:$M$101,MATCH(VALUE(MID(O102,2,3)),$A$2:$A$101,0)),IF(INDEX($K$2:$K$101,MATCH(VALUE(MID(O102,2,3)),$A$2:$A$101,0))=INDEX($H$2:$H$101,MATCH(VALUE(MID(O102,2,3)),$A$2:$A$101,0)),INDEX($N$2:$N$101,MATCH(VALUE(MID(O102,2,3)),$A$2:$A$101,0)),O102)),O102),IF(LEFT(O102,1)="L",IFERROR(IF(INDEX($K$2:$K$101,MATCH(VALUE(MID(O102,2,3)),$A$2:$A$101,0))=INDEX($G$2:$G$101,MATCH(VALUE(MID(O102,2,3)),$A$2:$A$101,0)),INDEX($N$2:$N$101,MATCH(VALUE(MID(O102,2,3)),$A$2:$A$101,0)),IF(INDEX($K$2:$K$101,MATCH(VALUE(MID(O102,2,3)),$A$2:$A$101,0))=INDEX($H$2:$H$101,MATCH(VALUE(MID(O102,2,3)),$A$2:$A$101,0)),INDEX($M$2:$M$101,MATCH(VALUE(MID(O102,2,3)),$A$2:$A$101,0)),O102)),O102),IFERROR(IF(VLOOKUP(RIGHT(O102,1)&amp;LEFT(O102,1),Clasificacion!$O$2:$Q$49,3,FALSE())="",O102,VLOOKUP(RIGHT(O102,1)&amp;LEFT(O102,1),Clasificacion!$O$2:$Q$49,3,FALSE())),O102)))))</f>
        <v>W97</v>
      </c>
      <c r="N102" s="1" t="str">
        <f>IF(P102="","",IF(LEFT(P102,1)="3",IFERROR(IF(VLOOKUP($A102&amp;"V",Asignacion_3ros!$A$2:$G$9,7,FALSE())="",P102,VLOOKUP($A102&amp;"V",Asignacion_3ros!$A$2:$G$9,7,FALSE())),P102),IF(LEFT(P102,1)="W",IFERROR(IF(INDEX($K$2:$K$101,MATCH(VALUE(MID(P102,2,3)),$A$2:$A$101,0))=INDEX($G$2:$G$101,MATCH(VALUE(MID(P102,2,3)),$A$2:$A$101,0)),INDEX($M$2:$M$101,MATCH(VALUE(MID(P102,2,3)),$A$2:$A$101,0)),IF(INDEX($K$2:$K$101,MATCH(VALUE(MID(P102,2,3)),$A$2:$A$101,0))=INDEX($H$2:$H$101,MATCH(VALUE(MID(P102,2,3)),$A$2:$A$101,0)),INDEX($N$2:$N$101,MATCH(VALUE(MID(P102,2,3)),$A$2:$A$101,0)),P102)),P102),IF(LEFT(P102,1)="L",IFERROR(IF(INDEX($K$2:$K$101,MATCH(VALUE(MID(P102,2,3)),$A$2:$A$101,0))=INDEX($G$2:$G$101,MATCH(VALUE(MID(P102,2,3)),$A$2:$A$101,0)),INDEX($N$2:$N$101,MATCH(VALUE(MID(P102,2,3)),$A$2:$A$101,0)),IF(INDEX($K$2:$K$101,MATCH(VALUE(MID(P102,2,3)),$A$2:$A$101,0))=INDEX($H$2:$H$101,MATCH(VALUE(MID(P102,2,3)),$A$2:$A$101,0)),INDEX($M$2:$M$101,MATCH(VALUE(MID(P102,2,3)),$A$2:$A$101,0)),P102)),P102),IFERROR(IF(VLOOKUP(RIGHT(P102,1)&amp;LEFT(P102,1),Clasificacion!$O$2:$Q$49,3,FALSE())="",P102,VLOOKUP(RIGHT(P102,1)&amp;LEFT(P102,1),Clasificacion!$O$2:$Q$49,3,FALSE())),P102)))))</f>
        <v>W98</v>
      </c>
      <c r="O102" s="1" t="s">
        <v>355</v>
      </c>
      <c r="P102" s="1" t="s">
        <v>356</v>
      </c>
      <c r="Q102" s="1" t="s">
        <v>266</v>
      </c>
    </row>
    <row r="103" spans="1:17" ht="14.25" customHeight="1" x14ac:dyDescent="0.25">
      <c r="A103" s="1">
        <v>102</v>
      </c>
      <c r="B103" s="1">
        <v>46218</v>
      </c>
      <c r="C103" s="85">
        <v>0.58333333333333337</v>
      </c>
      <c r="D103" s="1">
        <f>HOUR(tblPartidos[[#This Row],[Hora ET]])-1</f>
        <v>13</v>
      </c>
      <c r="E103" s="1" t="s">
        <v>354</v>
      </c>
      <c r="G103" s="1" t="str">
        <f>IF(O103="","",IF(LEFT(O103,1)="3",IFERROR(IF(VLOOKUP($A103&amp;"L",Asignacion_3ros!$A$2:$G$9,6,FALSE())="",O103,VLOOKUP($A103&amp;"L",Asignacion_3ros!$A$2:$G$9,6,FALSE())),O103),IF(LEFT(O103,1)="W",IFERROR(IF(INDEX($K$2:$K$102,MATCH(VALUE(MID(O103,2,3)),$A$2:$A$102,0))="",O103,INDEX($K$2:$K$102,MATCH(VALUE(MID(O103,2,3)),$A$2:$A$102,0))),O103),IF(LEFT(O103,1)="L",IFERROR(IF(INDEX($K$2:$K$102,MATCH(VALUE(MID(O103,2,3)),$A$2:$A$102,0))=INDEX($G$2:$G$102,MATCH(VALUE(MID(O103,2,3)),$A$2:$A$102,0)),INDEX($H$2:$H$102,MATCH(VALUE(MID(O103,2,3)),$A$2:$A$102,0)),IF(INDEX($K$2:$K$102,MATCH(VALUE(MID(O103,2,3)),$A$2:$A$102,0))=INDEX($H$2:$H$102,MATCH(VALUE(MID(O103,2,3)),$A$2:$A$102,0)),INDEX($G$2:$G$102,MATCH(VALUE(MID(O103,2,3)),$A$2:$A$102,0)),O103)),O103),IFERROR(IF(VLOOKUP(RIGHT(O103,1)&amp;LEFT(O103,1),Clasificacion!$O$2:$Q$49,2,FALSE())="",O103,VLOOKUP(RIGHT(O103,1)&amp;LEFT(O103,1),Clasificacion!$O$2:$Q$49,2,FALSE())),O103)))))</f>
        <v>W99</v>
      </c>
      <c r="H103" s="1" t="str">
        <f>IF(P103="","",IF(LEFT(P103,1)="3",IFERROR(IF(VLOOKUP($A103&amp;"V",Asignacion_3ros!$A$2:$G$9,6,FALSE())="",P103,VLOOKUP($A103&amp;"V",Asignacion_3ros!$A$2:$G$9,6,FALSE())),P103),IF(LEFT(P103,1)="W",IFERROR(IF(INDEX($K$2:$K$102,MATCH(VALUE(MID(P103,2,3)),$A$2:$A$102,0))="",P103,INDEX($K$2:$K$102,MATCH(VALUE(MID(P103,2,3)),$A$2:$A$102,0))),P103),IF(LEFT(P103,1)="L",IFERROR(IF(INDEX($K$2:$K$102,MATCH(VALUE(MID(P103,2,3)),$A$2:$A$102,0))=INDEX($G$2:$G$102,MATCH(VALUE(MID(P103,2,3)),$A$2:$A$102,0)),INDEX($H$2:$H$102,MATCH(VALUE(MID(P103,2,3)),$A$2:$A$102,0)),IF(INDEX($K$2:$K$102,MATCH(VALUE(MID(P103,2,3)),$A$2:$A$102,0))=INDEX($H$2:$H$102,MATCH(VALUE(MID(P103,2,3)),$A$2:$A$102,0)),INDEX($G$2:$G$102,MATCH(VALUE(MID(P103,2,3)),$A$2:$A$102,0)),P103)),P103),IFERROR(IF(VLOOKUP(RIGHT(P103,1)&amp;LEFT(P103,1),Clasificacion!$O$2:$Q$49,2,FALSE())="",P103,VLOOKUP(RIGHT(P103,1)&amp;LEFT(P103,1),Clasificacion!$O$2:$Q$49,2,FALSE())),P103)))))</f>
        <v>W100</v>
      </c>
      <c r="K103" s="1" t="str">
        <f t="shared" si="3"/>
        <v/>
      </c>
      <c r="L103" s="1" t="s">
        <v>286</v>
      </c>
      <c r="M103" s="1" t="str">
        <f>IF(O103="","",IF(LEFT(O103,1)="3",IFERROR(IF(VLOOKUP($A103&amp;"L",Asignacion_3ros!$A$2:$G$9,7,FALSE())="",O103,VLOOKUP($A103&amp;"L",Asignacion_3ros!$A$2:$G$9,7,FALSE())),O103),IF(LEFT(O103,1)="W",IFERROR(IF(INDEX($K$2:$K$102,MATCH(VALUE(MID(O103,2,3)),$A$2:$A$102,0))=INDEX($G$2:$G$102,MATCH(VALUE(MID(O103,2,3)),$A$2:$A$102,0)),INDEX($M$2:$M$102,MATCH(VALUE(MID(O103,2,3)),$A$2:$A$102,0)),IF(INDEX($K$2:$K$102,MATCH(VALUE(MID(O103,2,3)),$A$2:$A$102,0))=INDEX($H$2:$H$102,MATCH(VALUE(MID(O103,2,3)),$A$2:$A$102,0)),INDEX($N$2:$N$102,MATCH(VALUE(MID(O103,2,3)),$A$2:$A$102,0)),O103)),O103),IF(LEFT(O103,1)="L",IFERROR(IF(INDEX($K$2:$K$102,MATCH(VALUE(MID(O103,2,3)),$A$2:$A$102,0))=INDEX($G$2:$G$102,MATCH(VALUE(MID(O103,2,3)),$A$2:$A$102,0)),INDEX($N$2:$N$102,MATCH(VALUE(MID(O103,2,3)),$A$2:$A$102,0)),IF(INDEX($K$2:$K$102,MATCH(VALUE(MID(O103,2,3)),$A$2:$A$102,0))=INDEX($H$2:$H$102,MATCH(VALUE(MID(O103,2,3)),$A$2:$A$102,0)),INDEX($M$2:$M$102,MATCH(VALUE(MID(O103,2,3)),$A$2:$A$102,0)),O103)),O103),IFERROR(IF(VLOOKUP(RIGHT(O103,1)&amp;LEFT(O103,1),Clasificacion!$O$2:$Q$49,3,FALSE())="",O103,VLOOKUP(RIGHT(O103,1)&amp;LEFT(O103,1),Clasificacion!$O$2:$Q$49,3,FALSE())),O103)))))</f>
        <v>W99</v>
      </c>
      <c r="N103" s="1" t="str">
        <f>IF(P103="","",IF(LEFT(P103,1)="3",IFERROR(IF(VLOOKUP($A103&amp;"V",Asignacion_3ros!$A$2:$G$9,7,FALSE())="",P103,VLOOKUP($A103&amp;"V",Asignacion_3ros!$A$2:$G$9,7,FALSE())),P103),IF(LEFT(P103,1)="W",IFERROR(IF(INDEX($K$2:$K$102,MATCH(VALUE(MID(P103,2,3)),$A$2:$A$102,0))=INDEX($G$2:$G$102,MATCH(VALUE(MID(P103,2,3)),$A$2:$A$102,0)),INDEX($M$2:$M$102,MATCH(VALUE(MID(P103,2,3)),$A$2:$A$102,0)),IF(INDEX($K$2:$K$102,MATCH(VALUE(MID(P103,2,3)),$A$2:$A$102,0))=INDEX($H$2:$H$102,MATCH(VALUE(MID(P103,2,3)),$A$2:$A$102,0)),INDEX($N$2:$N$102,MATCH(VALUE(MID(P103,2,3)),$A$2:$A$102,0)),P103)),P103),IF(LEFT(P103,1)="L",IFERROR(IF(INDEX($K$2:$K$102,MATCH(VALUE(MID(P103,2,3)),$A$2:$A$102,0))=INDEX($G$2:$G$102,MATCH(VALUE(MID(P103,2,3)),$A$2:$A$102,0)),INDEX($N$2:$N$102,MATCH(VALUE(MID(P103,2,3)),$A$2:$A$102,0)),IF(INDEX($K$2:$K$102,MATCH(VALUE(MID(P103,2,3)),$A$2:$A$102,0))=INDEX($H$2:$H$102,MATCH(VALUE(MID(P103,2,3)),$A$2:$A$102,0)),INDEX($M$2:$M$102,MATCH(VALUE(MID(P103,2,3)),$A$2:$A$102,0)),P103)),P103),IFERROR(IF(VLOOKUP(RIGHT(P103,1)&amp;LEFT(P103,1),Clasificacion!$O$2:$Q$49,3,FALSE())="",P103,VLOOKUP(RIGHT(P103,1)&amp;LEFT(P103,1),Clasificacion!$O$2:$Q$49,3,FALSE())),P103)))))</f>
        <v>W100</v>
      </c>
      <c r="O103" s="1" t="s">
        <v>357</v>
      </c>
      <c r="P103" s="1" t="s">
        <v>358</v>
      </c>
      <c r="Q103" s="1" t="s">
        <v>266</v>
      </c>
    </row>
    <row r="104" spans="1:17" ht="14.25" customHeight="1" x14ac:dyDescent="0.25">
      <c r="A104" s="1">
        <v>103</v>
      </c>
      <c r="B104" s="1">
        <v>46221</v>
      </c>
      <c r="C104" s="85">
        <v>0.66666666666666663</v>
      </c>
      <c r="D104" s="1">
        <f>HOUR(tblPartidos[[#This Row],[Hora ET]])-1</f>
        <v>15</v>
      </c>
      <c r="E104" s="1" t="s">
        <v>359</v>
      </c>
      <c r="G104" s="1" t="str">
        <f>IF(O104="","",IF(LEFT(O104,1)="3",IFERROR(IF(VLOOKUP($A104&amp;"L",Asignacion_3ros!$A$2:$G$9,6,FALSE())="",O104,VLOOKUP($A104&amp;"L",Asignacion_3ros!$A$2:$G$9,6,FALSE())),O104),IF(LEFT(O104,1)="W",IFERROR(IF(INDEX($K$2:$K$103,MATCH(VALUE(MID(O104,2,3)),$A$2:$A$103,0))="",O104,INDEX($K$2:$K$103,MATCH(VALUE(MID(O104,2,3)),$A$2:$A$103,0))),O104),IF(LEFT(O104,1)="L",IFERROR(IF(INDEX($K$2:$K$103,MATCH(VALUE(MID(O104,2,3)),$A$2:$A$103,0))=INDEX($G$2:$G$103,MATCH(VALUE(MID(O104,2,3)),$A$2:$A$103,0)),INDEX($H$2:$H$103,MATCH(VALUE(MID(O104,2,3)),$A$2:$A$103,0)),IF(INDEX($K$2:$K$103,MATCH(VALUE(MID(O104,2,3)),$A$2:$A$103,0))=INDEX($H$2:$H$103,MATCH(VALUE(MID(O104,2,3)),$A$2:$A$103,0)),INDEX($G$2:$G$103,MATCH(VALUE(MID(O104,2,3)),$A$2:$A$103,0)),O104)),O104),IFERROR(IF(VLOOKUP(RIGHT(O104,1)&amp;LEFT(O104,1),Clasificacion!$O$2:$Q$49,2,FALSE())="",O104,VLOOKUP(RIGHT(O104,1)&amp;LEFT(O104,1),Clasificacion!$O$2:$Q$49,2,FALSE())),O104)))))</f>
        <v>L101</v>
      </c>
      <c r="H104" s="1" t="str">
        <f>IF(P104="","",IF(LEFT(P104,1)="3",IFERROR(IF(VLOOKUP($A104&amp;"V",Asignacion_3ros!$A$2:$G$9,6,FALSE())="",P104,VLOOKUP($A104&amp;"V",Asignacion_3ros!$A$2:$G$9,6,FALSE())),P104),IF(LEFT(P104,1)="W",IFERROR(IF(INDEX($K$2:$K$103,MATCH(VALUE(MID(P104,2,3)),$A$2:$A$103,0))="",P104,INDEX($K$2:$K$103,MATCH(VALUE(MID(P104,2,3)),$A$2:$A$103,0))),P104),IF(LEFT(P104,1)="L",IFERROR(IF(INDEX($K$2:$K$103,MATCH(VALUE(MID(P104,2,3)),$A$2:$A$103,0))=INDEX($G$2:$G$103,MATCH(VALUE(MID(P104,2,3)),$A$2:$A$103,0)),INDEX($H$2:$H$103,MATCH(VALUE(MID(P104,2,3)),$A$2:$A$103,0)),IF(INDEX($K$2:$K$103,MATCH(VALUE(MID(P104,2,3)),$A$2:$A$103,0))=INDEX($H$2:$H$103,MATCH(VALUE(MID(P104,2,3)),$A$2:$A$103,0)),INDEX($G$2:$G$103,MATCH(VALUE(MID(P104,2,3)),$A$2:$A$103,0)),P104)),P104),IFERROR(IF(VLOOKUP(RIGHT(P104,1)&amp;LEFT(P104,1),Clasificacion!$O$2:$Q$49,2,FALSE())="",P104,VLOOKUP(RIGHT(P104,1)&amp;LEFT(P104,1),Clasificacion!$O$2:$Q$49,2,FALSE())),P104)))))</f>
        <v>L102</v>
      </c>
      <c r="K104" s="1" t="str">
        <f t="shared" si="3"/>
        <v/>
      </c>
      <c r="L104" s="1" t="s">
        <v>284</v>
      </c>
      <c r="M104" s="1" t="str">
        <f>IF(O104="","",IF(LEFT(O104,1)="3",IFERROR(IF(VLOOKUP($A104&amp;"L",Asignacion_3ros!$A$2:$G$9,7,FALSE())="",O104,VLOOKUP($A104&amp;"L",Asignacion_3ros!$A$2:$G$9,7,FALSE())),O104),IF(LEFT(O104,1)="W",IFERROR(IF(INDEX($K$2:$K$103,MATCH(VALUE(MID(O104,2,3)),$A$2:$A$103,0))=INDEX($G$2:$G$103,MATCH(VALUE(MID(O104,2,3)),$A$2:$A$103,0)),INDEX($M$2:$M$103,MATCH(VALUE(MID(O104,2,3)),$A$2:$A$103,0)),IF(INDEX($K$2:$K$103,MATCH(VALUE(MID(O104,2,3)),$A$2:$A$103,0))=INDEX($H$2:$H$103,MATCH(VALUE(MID(O104,2,3)),$A$2:$A$103,0)),INDEX($N$2:$N$103,MATCH(VALUE(MID(O104,2,3)),$A$2:$A$103,0)),O104)),O104),IF(LEFT(O104,1)="L",IFERROR(IF(INDEX($K$2:$K$103,MATCH(VALUE(MID(O104,2,3)),$A$2:$A$103,0))=INDEX($G$2:$G$103,MATCH(VALUE(MID(O104,2,3)),$A$2:$A$103,0)),INDEX($N$2:$N$103,MATCH(VALUE(MID(O104,2,3)),$A$2:$A$103,0)),IF(INDEX($K$2:$K$103,MATCH(VALUE(MID(O104,2,3)),$A$2:$A$103,0))=INDEX($H$2:$H$103,MATCH(VALUE(MID(O104,2,3)),$A$2:$A$103,0)),INDEX($M$2:$M$103,MATCH(VALUE(MID(O104,2,3)),$A$2:$A$103,0)),O104)),O104),IFERROR(IF(VLOOKUP(RIGHT(O104,1)&amp;LEFT(O104,1),Clasificacion!$O$2:$Q$49,3,FALSE())="",O104,VLOOKUP(RIGHT(O104,1)&amp;LEFT(O104,1),Clasificacion!$O$2:$Q$49,3,FALSE())),O104)))))</f>
        <v>L101</v>
      </c>
      <c r="N104" s="1" t="str">
        <f>IF(P104="","",IF(LEFT(P104,1)="3",IFERROR(IF(VLOOKUP($A104&amp;"V",Asignacion_3ros!$A$2:$G$9,7,FALSE())="",P104,VLOOKUP($A104&amp;"V",Asignacion_3ros!$A$2:$G$9,7,FALSE())),P104),IF(LEFT(P104,1)="W",IFERROR(IF(INDEX($K$2:$K$103,MATCH(VALUE(MID(P104,2,3)),$A$2:$A$103,0))=INDEX($G$2:$G$103,MATCH(VALUE(MID(P104,2,3)),$A$2:$A$103,0)),INDEX($M$2:$M$103,MATCH(VALUE(MID(P104,2,3)),$A$2:$A$103,0)),IF(INDEX($K$2:$K$103,MATCH(VALUE(MID(P104,2,3)),$A$2:$A$103,0))=INDEX($H$2:$H$103,MATCH(VALUE(MID(P104,2,3)),$A$2:$A$103,0)),INDEX($N$2:$N$103,MATCH(VALUE(MID(P104,2,3)),$A$2:$A$103,0)),P104)),P104),IF(LEFT(P104,1)="L",IFERROR(IF(INDEX($K$2:$K$103,MATCH(VALUE(MID(P104,2,3)),$A$2:$A$103,0))=INDEX($G$2:$G$103,MATCH(VALUE(MID(P104,2,3)),$A$2:$A$103,0)),INDEX($N$2:$N$103,MATCH(VALUE(MID(P104,2,3)),$A$2:$A$103,0)),IF(INDEX($K$2:$K$103,MATCH(VALUE(MID(P104,2,3)),$A$2:$A$103,0))=INDEX($H$2:$H$103,MATCH(VALUE(MID(P104,2,3)),$A$2:$A$103,0)),INDEX($M$2:$M$103,MATCH(VALUE(MID(P104,2,3)),$A$2:$A$103,0)),P104)),P104),IFERROR(IF(VLOOKUP(RIGHT(P104,1)&amp;LEFT(P104,1),Clasificacion!$O$2:$Q$49,3,FALSE())="",P104,VLOOKUP(RIGHT(P104,1)&amp;LEFT(P104,1),Clasificacion!$O$2:$Q$49,3,FALSE())),P104)))))</f>
        <v>L102</v>
      </c>
      <c r="O104" s="1" t="s">
        <v>360</v>
      </c>
      <c r="P104" s="1" t="s">
        <v>361</v>
      </c>
      <c r="Q104" s="1" t="s">
        <v>266</v>
      </c>
    </row>
    <row r="105" spans="1:17" ht="14.25" customHeight="1" x14ac:dyDescent="0.25">
      <c r="A105" s="1">
        <v>104</v>
      </c>
      <c r="B105" s="1">
        <v>46222</v>
      </c>
      <c r="C105" s="85">
        <v>0.58333333333333337</v>
      </c>
      <c r="D105" s="1">
        <f>HOUR(tblPartidos[[#This Row],[Hora ET]])-1</f>
        <v>13</v>
      </c>
      <c r="E105" s="1" t="s">
        <v>362</v>
      </c>
      <c r="G105" s="1" t="str">
        <f>IF(O105="","",IF(LEFT(O105,1)="3",IFERROR(VLOOKUP($A105&amp;"L",Asignacion_3ros!$A$2:$G$9,6,FALSE()),""),IF(LEFT(O105,1)="W",IFERROR(INDEX($K$2:$K$104,MATCH(VALUE(MID(O105,2,3)),$A$2:$A$104,0)),""),IF(LEFT(O105,1)="L",IFERROR(IF(INDEX($K$2:$K$104,MATCH(VALUE(MID(O105,2,3)),$A$2:$A$104,0))=INDEX($G$2:$G$104,MATCH(VALUE(MID(O105,2,3)),$A$2:$A$104,0)),INDEX($H$2:$H$104,MATCH(VALUE(MID(O105,2,3)),$A$2:$A$104,0)),IF(INDEX($K$2:$K$104,MATCH(VALUE(MID(O105,2,3)),$A$2:$A$104,0))=INDEX($H$2:$H$104,MATCH(VALUE(MID(O105,2,3)),$A$2:$A$104,0)),INDEX($G$2:$G$104,MATCH(VALUE(MID(O105,2,3)),$A$2:$A$104,0)),"")),""),IFERROR(VLOOKUP(RIGHT(O105,1)&amp;LEFT(O105,1),Clasificacion!$O$2:$Q$49,2,FALSE()),"")))))</f>
        <v/>
      </c>
      <c r="H105" s="1" t="str">
        <f>IF(P105="","",IF(LEFT(P105,1)="3",IFERROR(VLOOKUP($A105&amp;"V",Asignacion_3ros!$A$2:$G$9,6,FALSE()),""),IF(LEFT(P105,1)="W",IFERROR(INDEX($K$2:$K$104,MATCH(VALUE(MID(P105,2,3)),$A$2:$A$104,0)),""),IF(LEFT(P105,1)="L",IFERROR(IF(INDEX($K$2:$K$104,MATCH(VALUE(MID(P105,2,3)),$A$2:$A$104,0))=INDEX($G$2:$G$104,MATCH(VALUE(MID(P105,2,3)),$A$2:$A$104,0)),INDEX($H$2:$H$104,MATCH(VALUE(MID(P105,2,3)),$A$2:$A$104,0)),IF(INDEX($K$2:$K$104,MATCH(VALUE(MID(P105,2,3)),$A$2:$A$104,0))=INDEX($H$2:$H$104,MATCH(VALUE(MID(P105,2,3)),$A$2:$A$104,0)),INDEX($G$2:$G$104,MATCH(VALUE(MID(P105,2,3)),$A$2:$A$104,0)),"")),""),IFERROR(VLOOKUP(RIGHT(P105,1)&amp;LEFT(P105,1),Clasificacion!$O$2:$Q$49,2,FALSE()),"")))))</f>
        <v/>
      </c>
      <c r="K105" s="1" t="str">
        <f t="shared" si="3"/>
        <v/>
      </c>
      <c r="L105" s="1" t="s">
        <v>275</v>
      </c>
      <c r="M105" s="1" t="str">
        <f>IF(O105="","",IF(LEFT(O105,1)="3",IFERROR(VLOOKUP($A105&amp;"L",Asignacion_3ros!$A$2:$G$9,7,FALSE()),""),IF(LEFT(O105,1)="W",IFERROR(IF(INDEX($K$2:$K$104,MATCH(VALUE(MID(O105,2,3)),$A$2:$A$104,0))=INDEX($G$2:$G$104,MATCH(VALUE(MID(O105,2,3)),$A$2:$A$104,0)),INDEX($M$2:$M$104,MATCH(VALUE(MID(O105,2,3)),$A$2:$A$104,0)),IF(INDEX($K$2:$K$104,MATCH(VALUE(MID(O105,2,3)),$A$2:$A$104,0))=INDEX($H$2:$H$104,MATCH(VALUE(MID(O105,2,3)),$A$2:$A$104,0)),INDEX($N$2:$N$104,MATCH(VALUE(MID(O105,2,3)),$A$2:$A$104,0)),"")),""),IF(LEFT(O105,1)="L",IFERROR(IF(INDEX($K$2:$K$104,MATCH(VALUE(MID(O105,2,3)),$A$2:$A$104,0))=INDEX($G$2:$G$104,MATCH(VALUE(MID(O105,2,3)),$A$2:$A$104,0)),INDEX($N$2:$N$104,MATCH(VALUE(MID(O105,2,3)),$A$2:$A$104,0)),IF(INDEX($K$2:$K$104,MATCH(VALUE(MID(O105,2,3)),$A$2:$A$104,0))=INDEX($H$2:$H$104,MATCH(VALUE(MID(O105,2,3)),$A$2:$A$104,0)),INDEX($M$2:$M$104,MATCH(VALUE(MID(O105,2,3)),$A$2:$A$104,0)),"")),""),IFERROR(VLOOKUP(RIGHT(O105,1)&amp;LEFT(O105,1),Clasificacion!$O$2:$Q$49,3,FALSE()),"")))))</f>
        <v/>
      </c>
      <c r="N105" s="1" t="str">
        <f>IF(P105="","",IF(LEFT(P105,1)="3",IFERROR(VLOOKUP($A105&amp;"V",Asignacion_3ros!$A$2:$G$9,7,FALSE()),""),IF(LEFT(P105,1)="W",IFERROR(IF(INDEX($K$2:$K$104,MATCH(VALUE(MID(P105,2,3)),$A$2:$A$104,0))=INDEX($G$2:$G$104,MATCH(VALUE(MID(P105,2,3)),$A$2:$A$104,0)),INDEX($M$2:$M$104,MATCH(VALUE(MID(P105,2,3)),$A$2:$A$104,0)),IF(INDEX($K$2:$K$104,MATCH(VALUE(MID(P105,2,3)),$A$2:$A$104,0))=INDEX($H$2:$H$104,MATCH(VALUE(MID(P105,2,3)),$A$2:$A$104,0)),INDEX($N$2:$N$104,MATCH(VALUE(MID(P105,2,3)),$A$2:$A$104,0)),"")),""),IF(LEFT(P105,1)="L",IFERROR(IF(INDEX($K$2:$K$104,MATCH(VALUE(MID(P105,2,3)),$A$2:$A$104,0))=INDEX($G$2:$G$104,MATCH(VALUE(MID(P105,2,3)),$A$2:$A$104,0)),INDEX($N$2:$N$104,MATCH(VALUE(MID(P105,2,3)),$A$2:$A$104,0)),IF(INDEX($K$2:$K$104,MATCH(VALUE(MID(P105,2,3)),$A$2:$A$104,0))=INDEX($H$2:$H$104,MATCH(VALUE(MID(P105,2,3)),$A$2:$A$104,0)),INDEX($M$2:$M$104,MATCH(VALUE(MID(P105,2,3)),$A$2:$A$104,0)),"")),""),IFERROR(VLOOKUP(RIGHT(P105,1)&amp;LEFT(P105,1),Clasificacion!$O$2:$Q$49,3,FALSE()),"")))))</f>
        <v/>
      </c>
      <c r="O105" s="1" t="s">
        <v>363</v>
      </c>
      <c r="P105" s="1" t="s">
        <v>364</v>
      </c>
      <c r="Q105" s="1" t="s">
        <v>266</v>
      </c>
    </row>
  </sheetData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zoomScale="80" zoomScaleNormal="80" workbookViewId="0">
      <pane xSplit="1" topLeftCell="B1" activePane="topRight" state="frozen"/>
      <selection activeCell="A19" sqref="A19"/>
      <selection pane="topRight" activeCell="K9" sqref="K9"/>
    </sheetView>
  </sheetViews>
  <sheetFormatPr baseColWidth="10" defaultColWidth="11" defaultRowHeight="15" x14ac:dyDescent="0.25"/>
  <cols>
    <col min="1" max="1" width="24.28515625" style="32" customWidth="1"/>
    <col min="2" max="2" width="10.42578125" style="33" customWidth="1"/>
    <col min="3" max="3" width="15.5703125" style="33" customWidth="1"/>
    <col min="4" max="4" width="10.42578125" style="52" customWidth="1"/>
    <col min="5" max="5" width="9.140625" style="32" customWidth="1"/>
    <col min="6" max="6" width="9.7109375" style="32" customWidth="1"/>
    <col min="7" max="7" width="11.5703125" style="33" customWidth="1"/>
    <col min="8" max="16384" width="11" style="32"/>
  </cols>
  <sheetData>
    <row r="1" spans="1:8" ht="19.5" customHeight="1" thickBot="1" x14ac:dyDescent="0.35">
      <c r="A1" s="68"/>
      <c r="B1" s="65" t="str">
        <f>Participantes!C$1</f>
        <v>México</v>
      </c>
      <c r="C1" s="61" t="str">
        <f>Participantes!D$1</f>
        <v>Sudáfrica</v>
      </c>
      <c r="D1" s="62" t="s">
        <v>365</v>
      </c>
      <c r="E1" s="63" t="str">
        <f>Participantes!E$1</f>
        <v>Corea</v>
      </c>
      <c r="F1" s="64" t="str">
        <f>Participantes!F$1</f>
        <v>Chequia</v>
      </c>
      <c r="G1" s="77" t="s">
        <v>366</v>
      </c>
      <c r="H1" s="80" t="s">
        <v>367</v>
      </c>
    </row>
    <row r="2" spans="1:8" s="34" customFormat="1" ht="20.25" hidden="1" customHeight="1" x14ac:dyDescent="0.3">
      <c r="A2" s="69" t="s">
        <v>368</v>
      </c>
      <c r="B2" s="66" t="str">
        <f>B1</f>
        <v>México</v>
      </c>
      <c r="C2" s="57" t="str">
        <f>C1</f>
        <v>Sudáfrica</v>
      </c>
      <c r="D2" s="58" t="s">
        <v>191</v>
      </c>
      <c r="E2" s="59" t="str">
        <f>E1</f>
        <v>Corea</v>
      </c>
      <c r="F2" s="60" t="str">
        <f>F1</f>
        <v>Chequia</v>
      </c>
      <c r="G2" s="60" t="s">
        <v>369</v>
      </c>
      <c r="H2" s="81"/>
    </row>
    <row r="3" spans="1:8" s="34" customFormat="1" ht="20.25" customHeight="1" thickBot="1" x14ac:dyDescent="0.35">
      <c r="A3" s="70" t="s">
        <v>370</v>
      </c>
      <c r="B3" s="67">
        <f>Grupo!B2</f>
        <v>2</v>
      </c>
      <c r="C3" s="53">
        <f>Grupo!C2</f>
        <v>0</v>
      </c>
      <c r="D3" s="54"/>
      <c r="E3" s="55">
        <f>Grupo!E2</f>
        <v>2</v>
      </c>
      <c r="F3" s="55">
        <f>Grupo!F2</f>
        <v>1</v>
      </c>
      <c r="G3" s="78"/>
      <c r="H3" s="82"/>
    </row>
    <row r="4" spans="1:8" ht="20.25" customHeight="1" x14ac:dyDescent="0.3">
      <c r="A4" s="71" t="str">
        <f>Participantes!B2</f>
        <v>Alberto</v>
      </c>
      <c r="B4" s="53">
        <f>Grupo!B3</f>
        <v>1</v>
      </c>
      <c r="C4" s="53">
        <f>Grupo!C3</f>
        <v>1</v>
      </c>
      <c r="D4" s="54">
        <f>Grupo!D3</f>
        <v>0</v>
      </c>
      <c r="E4" s="56">
        <f>Grupo!E3</f>
        <v>2</v>
      </c>
      <c r="F4" s="56">
        <f>Grupo!F3</f>
        <v>0</v>
      </c>
      <c r="G4" s="78">
        <f>Grupo!G3</f>
        <v>1</v>
      </c>
      <c r="H4" s="82">
        <f>Grupo!HJ3</f>
        <v>1</v>
      </c>
    </row>
    <row r="5" spans="1:8" ht="20.25" customHeight="1" x14ac:dyDescent="0.3">
      <c r="A5" s="72" t="str">
        <f>Participantes!B3</f>
        <v>Alexander</v>
      </c>
      <c r="B5" s="53">
        <f>Grupo!B4</f>
        <v>2</v>
      </c>
      <c r="C5" s="53">
        <f>Grupo!C4</f>
        <v>0</v>
      </c>
      <c r="D5" s="54">
        <f>Grupo!D4</f>
        <v>3</v>
      </c>
      <c r="E5" s="56">
        <f>Grupo!E4</f>
        <v>1</v>
      </c>
      <c r="F5" s="56">
        <f>Grupo!F4</f>
        <v>1</v>
      </c>
      <c r="G5" s="78">
        <f>Grupo!G4</f>
        <v>0</v>
      </c>
      <c r="H5" s="82">
        <f>Grupo!HJ4</f>
        <v>3</v>
      </c>
    </row>
    <row r="6" spans="1:8" ht="20.25" customHeight="1" x14ac:dyDescent="0.3">
      <c r="A6" s="72" t="str">
        <f>Participantes!B4</f>
        <v>Alfredo 1</v>
      </c>
      <c r="B6" s="53">
        <f>Grupo!B5</f>
        <v>2</v>
      </c>
      <c r="C6" s="53">
        <f>Grupo!C5</f>
        <v>1</v>
      </c>
      <c r="D6" s="54">
        <f>Grupo!D5</f>
        <v>1</v>
      </c>
      <c r="E6" s="56">
        <f>Grupo!E5</f>
        <v>1</v>
      </c>
      <c r="F6" s="56">
        <f>Grupo!F5</f>
        <v>1</v>
      </c>
      <c r="G6" s="78">
        <f>Grupo!G5</f>
        <v>0</v>
      </c>
      <c r="H6" s="82">
        <f>Grupo!HJ5</f>
        <v>1</v>
      </c>
    </row>
    <row r="7" spans="1:8" ht="20.25" customHeight="1" x14ac:dyDescent="0.3">
      <c r="A7" s="72" t="str">
        <f>Participantes!B5</f>
        <v>Alfredo 2</v>
      </c>
      <c r="B7" s="53">
        <f>Grupo!B6</f>
        <v>2</v>
      </c>
      <c r="C7" s="53">
        <f>Grupo!C6</f>
        <v>0</v>
      </c>
      <c r="D7" s="54">
        <f>Grupo!D6</f>
        <v>3</v>
      </c>
      <c r="E7" s="56">
        <f>Grupo!E6</f>
        <v>0</v>
      </c>
      <c r="F7" s="56">
        <f>Grupo!F6</f>
        <v>1</v>
      </c>
      <c r="G7" s="78">
        <f>Grupo!G6</f>
        <v>0</v>
      </c>
      <c r="H7" s="82">
        <f>Grupo!HJ6</f>
        <v>3</v>
      </c>
    </row>
    <row r="8" spans="1:8" ht="20.25" customHeight="1" x14ac:dyDescent="0.3">
      <c r="A8" s="72" t="str">
        <f>Participantes!B6</f>
        <v>Aneth</v>
      </c>
      <c r="B8" s="53">
        <f>Grupo!B7</f>
        <v>2</v>
      </c>
      <c r="C8" s="53">
        <f>Grupo!C7</f>
        <v>0</v>
      </c>
      <c r="D8" s="54">
        <f>Grupo!D7</f>
        <v>3</v>
      </c>
      <c r="E8" s="56">
        <f>Grupo!E7</f>
        <v>1</v>
      </c>
      <c r="F8" s="56">
        <f>Grupo!F7</f>
        <v>1</v>
      </c>
      <c r="G8" s="78">
        <f>Grupo!G7</f>
        <v>0</v>
      </c>
      <c r="H8" s="82">
        <f>Grupo!HJ7</f>
        <v>3</v>
      </c>
    </row>
    <row r="9" spans="1:8" ht="20.25" customHeight="1" x14ac:dyDescent="0.3">
      <c r="A9" s="72" t="str">
        <f>Participantes!B7</f>
        <v>Antonio</v>
      </c>
      <c r="B9" s="53">
        <f>Grupo!B8</f>
        <v>2</v>
      </c>
      <c r="C9" s="53">
        <f>Grupo!C8</f>
        <v>0</v>
      </c>
      <c r="D9" s="54">
        <f>Grupo!D8</f>
        <v>3</v>
      </c>
      <c r="E9" s="56">
        <f>Grupo!E8</f>
        <v>1</v>
      </c>
      <c r="F9" s="56">
        <f>Grupo!F8</f>
        <v>1</v>
      </c>
      <c r="G9" s="78">
        <f>Grupo!G8</f>
        <v>0</v>
      </c>
      <c r="H9" s="82">
        <f>Grupo!HJ8</f>
        <v>3</v>
      </c>
    </row>
    <row r="10" spans="1:8" ht="20.25" customHeight="1" x14ac:dyDescent="0.3">
      <c r="A10" s="72" t="str">
        <f>Participantes!B8</f>
        <v>Carlos</v>
      </c>
      <c r="B10" s="53">
        <f>Grupo!B9</f>
        <v>2</v>
      </c>
      <c r="C10" s="53">
        <f>Grupo!C9</f>
        <v>1</v>
      </c>
      <c r="D10" s="54">
        <f>Grupo!D9</f>
        <v>1</v>
      </c>
      <c r="E10" s="56">
        <f>Grupo!E9</f>
        <v>1</v>
      </c>
      <c r="F10" s="56">
        <f>Grupo!F9</f>
        <v>1</v>
      </c>
      <c r="G10" s="78">
        <f>Grupo!G9</f>
        <v>0</v>
      </c>
      <c r="H10" s="82">
        <f>Grupo!HJ9</f>
        <v>1</v>
      </c>
    </row>
    <row r="11" spans="1:8" ht="20.25" customHeight="1" x14ac:dyDescent="0.3">
      <c r="A11" s="72" t="str">
        <f>Participantes!B9</f>
        <v>Castillo L.</v>
      </c>
      <c r="B11" s="53">
        <f>Grupo!B10</f>
        <v>2</v>
      </c>
      <c r="C11" s="53">
        <f>Grupo!C10</f>
        <v>1</v>
      </c>
      <c r="D11" s="54">
        <f>Grupo!D10</f>
        <v>1</v>
      </c>
      <c r="E11" s="56">
        <f>Grupo!E10</f>
        <v>2</v>
      </c>
      <c r="F11" s="56">
        <f>Grupo!F10</f>
        <v>1</v>
      </c>
      <c r="G11" s="78">
        <f>Grupo!G10</f>
        <v>3</v>
      </c>
      <c r="H11" s="82">
        <f>Grupo!HJ10</f>
        <v>4</v>
      </c>
    </row>
    <row r="12" spans="1:8" ht="20.25" customHeight="1" x14ac:dyDescent="0.3">
      <c r="A12" s="72" t="str">
        <f>Participantes!B10</f>
        <v>Christofer</v>
      </c>
      <c r="B12" s="53">
        <f>Grupo!B11</f>
        <v>2</v>
      </c>
      <c r="C12" s="53">
        <f>Grupo!C11</f>
        <v>3</v>
      </c>
      <c r="D12" s="54">
        <f>Grupo!D11</f>
        <v>0</v>
      </c>
      <c r="E12" s="56">
        <f>Grupo!E11</f>
        <v>1</v>
      </c>
      <c r="F12" s="56">
        <f>Grupo!F11</f>
        <v>1</v>
      </c>
      <c r="G12" s="78">
        <f>Grupo!G11</f>
        <v>0</v>
      </c>
      <c r="H12" s="82">
        <f>Grupo!HJ11</f>
        <v>0</v>
      </c>
    </row>
    <row r="13" spans="1:8" ht="20.25" customHeight="1" x14ac:dyDescent="0.3">
      <c r="A13" s="72" t="str">
        <f>Participantes!B11</f>
        <v>Cynthia</v>
      </c>
      <c r="B13" s="53">
        <f>Grupo!B12</f>
        <v>1</v>
      </c>
      <c r="C13" s="53">
        <f>Grupo!C12</f>
        <v>2</v>
      </c>
      <c r="D13" s="54">
        <f>Grupo!D12</f>
        <v>0</v>
      </c>
      <c r="E13" s="56">
        <f>Grupo!E12</f>
        <v>1</v>
      </c>
      <c r="F13" s="56">
        <f>Grupo!F12</f>
        <v>0</v>
      </c>
      <c r="G13" s="78">
        <f>Grupo!G12</f>
        <v>1</v>
      </c>
      <c r="H13" s="82">
        <f>Grupo!HJ12</f>
        <v>1</v>
      </c>
    </row>
    <row r="14" spans="1:8" ht="20.25" customHeight="1" x14ac:dyDescent="0.3">
      <c r="A14" s="72" t="str">
        <f>Participantes!B12</f>
        <v>Edward</v>
      </c>
      <c r="B14" s="53">
        <f>Grupo!B13</f>
        <v>2</v>
      </c>
      <c r="C14" s="53">
        <f>Grupo!C13</f>
        <v>0</v>
      </c>
      <c r="D14" s="54">
        <f>Grupo!D13</f>
        <v>3</v>
      </c>
      <c r="E14" s="56">
        <f>Grupo!E13</f>
        <v>2</v>
      </c>
      <c r="F14" s="56">
        <f>Grupo!F13</f>
        <v>1</v>
      </c>
      <c r="G14" s="78">
        <f>Grupo!G13</f>
        <v>3</v>
      </c>
      <c r="H14" s="82">
        <f>Grupo!HJ13</f>
        <v>6</v>
      </c>
    </row>
    <row r="15" spans="1:8" ht="20.25" customHeight="1" x14ac:dyDescent="0.3">
      <c r="A15" s="72" t="str">
        <f>Participantes!B13</f>
        <v>Espinosa L.</v>
      </c>
      <c r="B15" s="53">
        <f>Grupo!B14</f>
        <v>2</v>
      </c>
      <c r="C15" s="53">
        <f>Grupo!C14</f>
        <v>1</v>
      </c>
      <c r="D15" s="54">
        <f>Grupo!D14</f>
        <v>1</v>
      </c>
      <c r="E15" s="56">
        <f>Grupo!E14</f>
        <v>1</v>
      </c>
      <c r="F15" s="56">
        <f>Grupo!F14</f>
        <v>0</v>
      </c>
      <c r="G15" s="78">
        <f>Grupo!G14</f>
        <v>1</v>
      </c>
      <c r="H15" s="82">
        <f>Grupo!HJ14</f>
        <v>2</v>
      </c>
    </row>
    <row r="16" spans="1:8" ht="20.25" customHeight="1" x14ac:dyDescent="0.3">
      <c r="A16" s="72" t="str">
        <f>Participantes!B14</f>
        <v>Freddy</v>
      </c>
      <c r="B16" s="53">
        <f>Grupo!B15</f>
        <v>3</v>
      </c>
      <c r="C16" s="53">
        <f>Grupo!C15</f>
        <v>1</v>
      </c>
      <c r="D16" s="54">
        <f>Grupo!D15</f>
        <v>1</v>
      </c>
      <c r="E16" s="56">
        <f>Grupo!E15</f>
        <v>1</v>
      </c>
      <c r="F16" s="56">
        <f>Grupo!F15</f>
        <v>1</v>
      </c>
      <c r="G16" s="78">
        <f>Grupo!G15</f>
        <v>0</v>
      </c>
      <c r="H16" s="82">
        <f>Grupo!HJ15</f>
        <v>1</v>
      </c>
    </row>
    <row r="17" spans="1:8" ht="20.25" customHeight="1" x14ac:dyDescent="0.3">
      <c r="A17" s="72" t="str">
        <f>Participantes!B15</f>
        <v>Isabel 1</v>
      </c>
      <c r="B17" s="53">
        <f>Grupo!B16</f>
        <v>3</v>
      </c>
      <c r="C17" s="53">
        <f>Grupo!C16</f>
        <v>1</v>
      </c>
      <c r="D17" s="54">
        <f>Grupo!D16</f>
        <v>1</v>
      </c>
      <c r="E17" s="56">
        <f>Grupo!E16</f>
        <v>1</v>
      </c>
      <c r="F17" s="56">
        <f>Grupo!F16</f>
        <v>1</v>
      </c>
      <c r="G17" s="78">
        <f>Grupo!G16</f>
        <v>0</v>
      </c>
      <c r="H17" s="82">
        <f>Grupo!HJ16</f>
        <v>1</v>
      </c>
    </row>
    <row r="18" spans="1:8" ht="20.25" customHeight="1" x14ac:dyDescent="0.3">
      <c r="A18" s="72" t="str">
        <f>Participantes!B16</f>
        <v>Isabel 2</v>
      </c>
      <c r="B18" s="53">
        <f>Grupo!B17</f>
        <v>1</v>
      </c>
      <c r="C18" s="53">
        <f>Grupo!C17</f>
        <v>0</v>
      </c>
      <c r="D18" s="54">
        <f>Grupo!D17</f>
        <v>1</v>
      </c>
      <c r="E18" s="56">
        <f>Grupo!E17</f>
        <v>2</v>
      </c>
      <c r="F18" s="56">
        <f>Grupo!F17</f>
        <v>0</v>
      </c>
      <c r="G18" s="78">
        <f>Grupo!G17</f>
        <v>1</v>
      </c>
      <c r="H18" s="82">
        <f>Grupo!HJ17</f>
        <v>2</v>
      </c>
    </row>
    <row r="19" spans="1:8" ht="20.25" customHeight="1" x14ac:dyDescent="0.3">
      <c r="A19" s="72" t="str">
        <f>Participantes!B17</f>
        <v>Javier</v>
      </c>
      <c r="B19" s="53">
        <f>Grupo!B18</f>
        <v>2</v>
      </c>
      <c r="C19" s="53">
        <f>Grupo!C18</f>
        <v>0</v>
      </c>
      <c r="D19" s="54">
        <f>Grupo!D18</f>
        <v>3</v>
      </c>
      <c r="E19" s="56">
        <f>Grupo!E18</f>
        <v>3</v>
      </c>
      <c r="F19" s="56">
        <f>Grupo!F18</f>
        <v>1</v>
      </c>
      <c r="G19" s="78">
        <f>Grupo!G18</f>
        <v>1</v>
      </c>
      <c r="H19" s="82">
        <f>Grupo!HJ18</f>
        <v>4</v>
      </c>
    </row>
    <row r="20" spans="1:8" ht="20.25" customHeight="1" x14ac:dyDescent="0.3">
      <c r="A20" s="72" t="str">
        <f>Participantes!B18</f>
        <v>Jose C 1</v>
      </c>
      <c r="B20" s="53">
        <f>Grupo!B19</f>
        <v>0</v>
      </c>
      <c r="C20" s="53">
        <f>Grupo!C19</f>
        <v>1</v>
      </c>
      <c r="D20" s="54">
        <f>Grupo!D19</f>
        <v>0</v>
      </c>
      <c r="E20" s="56">
        <f>Grupo!E19</f>
        <v>1</v>
      </c>
      <c r="F20" s="56">
        <f>Grupo!F19</f>
        <v>1</v>
      </c>
      <c r="G20" s="78">
        <f>Grupo!G19</f>
        <v>0</v>
      </c>
      <c r="H20" s="82">
        <f>Grupo!HJ19</f>
        <v>0</v>
      </c>
    </row>
    <row r="21" spans="1:8" ht="20.25" customHeight="1" x14ac:dyDescent="0.3">
      <c r="A21" s="72" t="str">
        <f>Participantes!B19</f>
        <v>Jose C 2</v>
      </c>
      <c r="B21" s="53">
        <f>Grupo!B20</f>
        <v>1</v>
      </c>
      <c r="C21" s="53">
        <f>Grupo!C20</f>
        <v>0</v>
      </c>
      <c r="D21" s="54">
        <f>Grupo!D20</f>
        <v>1</v>
      </c>
      <c r="E21" s="56">
        <f>Grupo!E20</f>
        <v>2</v>
      </c>
      <c r="F21" s="56">
        <f>Grupo!F20</f>
        <v>1</v>
      </c>
      <c r="G21" s="78">
        <f>Grupo!G20</f>
        <v>3</v>
      </c>
      <c r="H21" s="82">
        <f>Grupo!HJ20</f>
        <v>4</v>
      </c>
    </row>
    <row r="22" spans="1:8" ht="20.25" customHeight="1" x14ac:dyDescent="0.3">
      <c r="A22" s="72" t="str">
        <f>Participantes!B20</f>
        <v>Jose C Ahiza</v>
      </c>
      <c r="B22" s="53">
        <f>Grupo!B21</f>
        <v>2</v>
      </c>
      <c r="C22" s="53">
        <f>Grupo!C21</f>
        <v>1</v>
      </c>
      <c r="D22" s="54">
        <f>Grupo!D21</f>
        <v>1</v>
      </c>
      <c r="E22" s="56">
        <f>Grupo!E21</f>
        <v>2</v>
      </c>
      <c r="F22" s="56">
        <f>Grupo!F21</f>
        <v>1</v>
      </c>
      <c r="G22" s="78">
        <f>Grupo!G21</f>
        <v>3</v>
      </c>
      <c r="H22" s="82">
        <f>Grupo!HJ21</f>
        <v>4</v>
      </c>
    </row>
    <row r="23" spans="1:8" ht="20.25" customHeight="1" x14ac:dyDescent="0.3">
      <c r="A23" s="72" t="str">
        <f>Participantes!B21</f>
        <v>Jose C Ana</v>
      </c>
      <c r="B23" s="53">
        <f>Grupo!B22</f>
        <v>4</v>
      </c>
      <c r="C23" s="53">
        <f>Grupo!C22</f>
        <v>2</v>
      </c>
      <c r="D23" s="54">
        <f>Grupo!D22</f>
        <v>1</v>
      </c>
      <c r="E23" s="56">
        <f>Grupo!E22</f>
        <v>3</v>
      </c>
      <c r="F23" s="56">
        <f>Grupo!F22</f>
        <v>1</v>
      </c>
      <c r="G23" s="78">
        <f>Grupo!G22</f>
        <v>1</v>
      </c>
      <c r="H23" s="82">
        <f>Grupo!HJ22</f>
        <v>2</v>
      </c>
    </row>
    <row r="24" spans="1:8" ht="20.25" customHeight="1" x14ac:dyDescent="0.3">
      <c r="A24" s="72" t="str">
        <f>Participantes!B22</f>
        <v>Jose C Judith</v>
      </c>
      <c r="B24" s="53">
        <f>Grupo!B23</f>
        <v>3</v>
      </c>
      <c r="C24" s="53">
        <f>Grupo!C23</f>
        <v>2</v>
      </c>
      <c r="D24" s="54">
        <f>Grupo!D23</f>
        <v>1</v>
      </c>
      <c r="E24" s="56">
        <f>Grupo!E23</f>
        <v>2</v>
      </c>
      <c r="F24" s="56">
        <f>Grupo!F23</f>
        <v>2</v>
      </c>
      <c r="G24" s="78">
        <f>Grupo!G23</f>
        <v>0</v>
      </c>
      <c r="H24" s="82">
        <f>Grupo!HJ23</f>
        <v>1</v>
      </c>
    </row>
    <row r="25" spans="1:8" ht="20.25" customHeight="1" x14ac:dyDescent="0.3">
      <c r="A25" s="72" t="str">
        <f>Participantes!B23</f>
        <v>José de León</v>
      </c>
      <c r="B25" s="53">
        <f>Grupo!B24</f>
        <v>2</v>
      </c>
      <c r="C25" s="53">
        <f>Grupo!C24</f>
        <v>1</v>
      </c>
      <c r="D25" s="54">
        <f>Grupo!D24</f>
        <v>1</v>
      </c>
      <c r="E25" s="56">
        <f>Grupo!E24</f>
        <v>2</v>
      </c>
      <c r="F25" s="56">
        <f>Grupo!F24</f>
        <v>1</v>
      </c>
      <c r="G25" s="78">
        <f>Grupo!G24</f>
        <v>3</v>
      </c>
      <c r="H25" s="82">
        <f>Grupo!HJ24</f>
        <v>4</v>
      </c>
    </row>
    <row r="26" spans="1:8" ht="20.25" customHeight="1" x14ac:dyDescent="0.3">
      <c r="A26" s="72" t="str">
        <f>Participantes!B24</f>
        <v>Jovanna</v>
      </c>
      <c r="B26" s="53">
        <f>Grupo!B25</f>
        <v>5</v>
      </c>
      <c r="C26" s="53">
        <f>Grupo!C25</f>
        <v>2</v>
      </c>
      <c r="D26" s="54">
        <f>Grupo!D25</f>
        <v>1</v>
      </c>
      <c r="E26" s="56">
        <f>Grupo!E25</f>
        <v>1</v>
      </c>
      <c r="F26" s="56">
        <f>Grupo!F25</f>
        <v>3</v>
      </c>
      <c r="G26" s="78">
        <f>Grupo!G25</f>
        <v>0</v>
      </c>
      <c r="H26" s="82">
        <f>Grupo!HJ25</f>
        <v>1</v>
      </c>
    </row>
    <row r="27" spans="1:8" ht="20.25" customHeight="1" x14ac:dyDescent="0.3">
      <c r="A27" s="72" t="str">
        <f>Participantes!B25</f>
        <v>Karina</v>
      </c>
      <c r="B27" s="53">
        <f>Grupo!B26</f>
        <v>3</v>
      </c>
      <c r="C27" s="53">
        <f>Grupo!C26</f>
        <v>1</v>
      </c>
      <c r="D27" s="54">
        <f>Grupo!D26</f>
        <v>1</v>
      </c>
      <c r="E27" s="56">
        <f>Grupo!E26</f>
        <v>1</v>
      </c>
      <c r="F27" s="56">
        <f>Grupo!F26</f>
        <v>2</v>
      </c>
      <c r="G27" s="78">
        <f>Grupo!G26</f>
        <v>0</v>
      </c>
      <c r="H27" s="82">
        <f>Grupo!HJ26</f>
        <v>1</v>
      </c>
    </row>
    <row r="28" spans="1:8" ht="20.25" customHeight="1" x14ac:dyDescent="0.3">
      <c r="A28" s="72" t="str">
        <f>Participantes!B26</f>
        <v>Kattia 1</v>
      </c>
      <c r="B28" s="53">
        <f>Grupo!B27</f>
        <v>2</v>
      </c>
      <c r="C28" s="53">
        <f>Grupo!C27</f>
        <v>1</v>
      </c>
      <c r="D28" s="54">
        <f>Grupo!D27</f>
        <v>1</v>
      </c>
      <c r="E28" s="56">
        <f>Grupo!E27</f>
        <v>2</v>
      </c>
      <c r="F28" s="56">
        <f>Grupo!F27</f>
        <v>0</v>
      </c>
      <c r="G28" s="78">
        <f>Grupo!G27</f>
        <v>1</v>
      </c>
      <c r="H28" s="82">
        <f>Grupo!HJ27</f>
        <v>2</v>
      </c>
    </row>
    <row r="29" spans="1:8" ht="20.25" customHeight="1" x14ac:dyDescent="0.3">
      <c r="A29" s="72" t="str">
        <f>Participantes!B27</f>
        <v>Kattia 2</v>
      </c>
      <c r="B29" s="53">
        <f>Grupo!B28</f>
        <v>2</v>
      </c>
      <c r="C29" s="53">
        <f>Grupo!C28</f>
        <v>0</v>
      </c>
      <c r="D29" s="54">
        <f>Grupo!D28</f>
        <v>3</v>
      </c>
      <c r="E29" s="56">
        <f>Grupo!E28</f>
        <v>1</v>
      </c>
      <c r="F29" s="56">
        <f>Grupo!F28</f>
        <v>1</v>
      </c>
      <c r="G29" s="78">
        <f>Grupo!G28</f>
        <v>0</v>
      </c>
      <c r="H29" s="82">
        <f>Grupo!HJ28</f>
        <v>3</v>
      </c>
    </row>
    <row r="30" spans="1:8" ht="20.25" customHeight="1" x14ac:dyDescent="0.3">
      <c r="A30" s="72" t="str">
        <f>Participantes!B28</f>
        <v>Kevin</v>
      </c>
      <c r="B30" s="53">
        <f>Grupo!B29</f>
        <v>2</v>
      </c>
      <c r="C30" s="53">
        <f>Grupo!C29</f>
        <v>0</v>
      </c>
      <c r="D30" s="54">
        <f>Grupo!D29</f>
        <v>3</v>
      </c>
      <c r="E30" s="56">
        <f>Grupo!E29</f>
        <v>1</v>
      </c>
      <c r="F30" s="56">
        <f>Grupo!F29</f>
        <v>1</v>
      </c>
      <c r="G30" s="78">
        <f>Grupo!G29</f>
        <v>0</v>
      </c>
      <c r="H30" s="82">
        <f>Grupo!HJ29</f>
        <v>3</v>
      </c>
    </row>
    <row r="31" spans="1:8" ht="20.25" customHeight="1" x14ac:dyDescent="0.3">
      <c r="A31" s="72" t="str">
        <f>Participantes!B29</f>
        <v>Lizka</v>
      </c>
      <c r="B31" s="53">
        <f>Grupo!B30</f>
        <v>2</v>
      </c>
      <c r="C31" s="53">
        <f>Grupo!C30</f>
        <v>0</v>
      </c>
      <c r="D31" s="54">
        <f>Grupo!D30</f>
        <v>3</v>
      </c>
      <c r="E31" s="56">
        <f>Grupo!E30</f>
        <v>1</v>
      </c>
      <c r="F31" s="56">
        <f>Grupo!F30</f>
        <v>1</v>
      </c>
      <c r="G31" s="78">
        <f>Grupo!G30</f>
        <v>0</v>
      </c>
      <c r="H31" s="82">
        <f>Grupo!HJ30</f>
        <v>3</v>
      </c>
    </row>
    <row r="32" spans="1:8" ht="20.25" customHeight="1" x14ac:dyDescent="0.3">
      <c r="A32" s="72" t="str">
        <f>Participantes!B30</f>
        <v>Luis Peña</v>
      </c>
      <c r="B32" s="53">
        <f>Grupo!B31</f>
        <v>2</v>
      </c>
      <c r="C32" s="53">
        <f>Grupo!C31</f>
        <v>0</v>
      </c>
      <c r="D32" s="54">
        <f>Grupo!D31</f>
        <v>3</v>
      </c>
      <c r="E32" s="56">
        <f>Grupo!E31</f>
        <v>2</v>
      </c>
      <c r="F32" s="56">
        <f>Grupo!F31</f>
        <v>1</v>
      </c>
      <c r="G32" s="78">
        <f>Grupo!G31</f>
        <v>3</v>
      </c>
      <c r="H32" s="82">
        <f>Grupo!HJ31</f>
        <v>6</v>
      </c>
    </row>
    <row r="33" spans="1:8" ht="20.25" customHeight="1" x14ac:dyDescent="0.3">
      <c r="A33" s="72" t="str">
        <f>Participantes!B31</f>
        <v>Marco R.</v>
      </c>
      <c r="B33" s="53">
        <f>Grupo!B32</f>
        <v>2</v>
      </c>
      <c r="C33" s="53">
        <f>Grupo!C32</f>
        <v>1</v>
      </c>
      <c r="D33" s="54">
        <f>Grupo!D32</f>
        <v>1</v>
      </c>
      <c r="E33" s="56">
        <f>Grupo!E32</f>
        <v>1</v>
      </c>
      <c r="F33" s="56">
        <f>Grupo!F32</f>
        <v>1</v>
      </c>
      <c r="G33" s="78">
        <f>Grupo!G32</f>
        <v>0</v>
      </c>
      <c r="H33" s="82">
        <f>Grupo!HJ32</f>
        <v>1</v>
      </c>
    </row>
    <row r="34" spans="1:8" ht="20.25" customHeight="1" x14ac:dyDescent="0.3">
      <c r="A34" s="72" t="str">
        <f>Participantes!B32</f>
        <v>Maricela</v>
      </c>
      <c r="B34" s="53">
        <f>Grupo!B33</f>
        <v>3</v>
      </c>
      <c r="C34" s="53">
        <f>Grupo!C33</f>
        <v>1</v>
      </c>
      <c r="D34" s="54">
        <f>Grupo!D33</f>
        <v>1</v>
      </c>
      <c r="E34" s="56">
        <f>Grupo!E33</f>
        <v>2</v>
      </c>
      <c r="F34" s="56">
        <f>Grupo!F33</f>
        <v>2</v>
      </c>
      <c r="G34" s="78">
        <f>Grupo!G33</f>
        <v>0</v>
      </c>
      <c r="H34" s="82">
        <f>Grupo!HJ33</f>
        <v>1</v>
      </c>
    </row>
    <row r="35" spans="1:8" ht="20.25" customHeight="1" x14ac:dyDescent="0.3">
      <c r="A35" s="72" t="str">
        <f>Participantes!B33</f>
        <v>Marilyn</v>
      </c>
      <c r="B35" s="53">
        <f>Grupo!B34</f>
        <v>2</v>
      </c>
      <c r="C35" s="53">
        <f>Grupo!C34</f>
        <v>0</v>
      </c>
      <c r="D35" s="54">
        <f>Grupo!D34</f>
        <v>3</v>
      </c>
      <c r="E35" s="56">
        <f>Grupo!E34</f>
        <v>2</v>
      </c>
      <c r="F35" s="56">
        <f>Grupo!F34</f>
        <v>1</v>
      </c>
      <c r="G35" s="78">
        <f>Grupo!G34</f>
        <v>3</v>
      </c>
      <c r="H35" s="82">
        <f>Grupo!HJ34</f>
        <v>6</v>
      </c>
    </row>
    <row r="36" spans="1:8" ht="20.25" customHeight="1" x14ac:dyDescent="0.3">
      <c r="A36" s="72" t="str">
        <f>Participantes!B34</f>
        <v>Medica</v>
      </c>
      <c r="B36" s="53">
        <f>Grupo!B35</f>
        <v>2</v>
      </c>
      <c r="C36" s="53">
        <f>Grupo!C35</f>
        <v>1</v>
      </c>
      <c r="D36" s="54">
        <f>Grupo!D35</f>
        <v>1</v>
      </c>
      <c r="E36" s="56">
        <f>Grupo!E35</f>
        <v>1</v>
      </c>
      <c r="F36" s="56">
        <f>Grupo!F35</f>
        <v>1</v>
      </c>
      <c r="G36" s="78">
        <f>Grupo!G35</f>
        <v>0</v>
      </c>
      <c r="H36" s="82">
        <f>Grupo!HJ35</f>
        <v>1</v>
      </c>
    </row>
    <row r="37" spans="1:8" ht="20.25" customHeight="1" x14ac:dyDescent="0.3">
      <c r="A37" s="72" t="str">
        <f>Participantes!B35</f>
        <v>Milagros</v>
      </c>
      <c r="B37" s="53">
        <f>Grupo!B36</f>
        <v>2</v>
      </c>
      <c r="C37" s="53">
        <f>Grupo!C36</f>
        <v>0</v>
      </c>
      <c r="D37" s="54">
        <f>Grupo!D36</f>
        <v>3</v>
      </c>
      <c r="E37" s="56">
        <f>Grupo!E36</f>
        <v>3</v>
      </c>
      <c r="F37" s="56">
        <f>Grupo!F36</f>
        <v>1</v>
      </c>
      <c r="G37" s="78">
        <f>Grupo!G36</f>
        <v>1</v>
      </c>
      <c r="H37" s="82">
        <f>Grupo!HJ36</f>
        <v>4</v>
      </c>
    </row>
    <row r="38" spans="1:8" ht="20.25" customHeight="1" x14ac:dyDescent="0.3">
      <c r="A38" s="72" t="str">
        <f>Participantes!B36</f>
        <v>Mily CF 1</v>
      </c>
      <c r="B38" s="53">
        <f>Grupo!B37</f>
        <v>3</v>
      </c>
      <c r="C38" s="53">
        <f>Grupo!C37</f>
        <v>1</v>
      </c>
      <c r="D38" s="54">
        <f>Grupo!D37</f>
        <v>1</v>
      </c>
      <c r="E38" s="56">
        <f>Grupo!E37</f>
        <v>2</v>
      </c>
      <c r="F38" s="56">
        <f>Grupo!F37</f>
        <v>1</v>
      </c>
      <c r="G38" s="78">
        <f>Grupo!G37</f>
        <v>3</v>
      </c>
      <c r="H38" s="82">
        <f>Grupo!HJ37</f>
        <v>4</v>
      </c>
    </row>
    <row r="39" spans="1:8" ht="20.25" customHeight="1" x14ac:dyDescent="0.3">
      <c r="A39" s="72" t="str">
        <f>Participantes!B37</f>
        <v>Mily CF 2</v>
      </c>
      <c r="B39" s="53">
        <f>Grupo!B38</f>
        <v>2</v>
      </c>
      <c r="C39" s="53">
        <f>Grupo!C38</f>
        <v>1</v>
      </c>
      <c r="D39" s="54">
        <f>Grupo!D38</f>
        <v>1</v>
      </c>
      <c r="E39" s="56">
        <f>Grupo!E38</f>
        <v>2</v>
      </c>
      <c r="F39" s="56">
        <f>Grupo!F38</f>
        <v>0</v>
      </c>
      <c r="G39" s="78">
        <f>Grupo!G38</f>
        <v>1</v>
      </c>
      <c r="H39" s="82">
        <f>Grupo!HJ38</f>
        <v>2</v>
      </c>
    </row>
    <row r="40" spans="1:8" ht="20.25" customHeight="1" x14ac:dyDescent="0.3">
      <c r="A40" s="72" t="str">
        <f>Participantes!B38</f>
        <v>Mily Frida</v>
      </c>
      <c r="B40" s="53">
        <f>Grupo!B39</f>
        <v>2</v>
      </c>
      <c r="C40" s="53">
        <f>Grupo!C39</f>
        <v>0</v>
      </c>
      <c r="D40" s="54">
        <f>Grupo!D39</f>
        <v>3</v>
      </c>
      <c r="E40" s="56">
        <f>Grupo!E39</f>
        <v>1</v>
      </c>
      <c r="F40" s="56">
        <f>Grupo!F39</f>
        <v>1</v>
      </c>
      <c r="G40" s="78">
        <f>Grupo!G39</f>
        <v>0</v>
      </c>
      <c r="H40" s="82">
        <f>Grupo!HJ39</f>
        <v>3</v>
      </c>
    </row>
    <row r="41" spans="1:8" ht="20.25" customHeight="1" x14ac:dyDescent="0.3">
      <c r="A41" s="72" t="str">
        <f>Participantes!B39</f>
        <v>Mily Oliver</v>
      </c>
      <c r="B41" s="53">
        <f>Grupo!B40</f>
        <v>2</v>
      </c>
      <c r="C41" s="53">
        <f>Grupo!C40</f>
        <v>0</v>
      </c>
      <c r="D41" s="54">
        <f>Grupo!D40</f>
        <v>3</v>
      </c>
      <c r="E41" s="56">
        <f>Grupo!E40</f>
        <v>1</v>
      </c>
      <c r="F41" s="56">
        <f>Grupo!F40</f>
        <v>1</v>
      </c>
      <c r="G41" s="78">
        <f>Grupo!G40</f>
        <v>0</v>
      </c>
      <c r="H41" s="82">
        <f>Grupo!HJ40</f>
        <v>3</v>
      </c>
    </row>
    <row r="42" spans="1:8" ht="20.25" customHeight="1" x14ac:dyDescent="0.3">
      <c r="A42" s="72" t="str">
        <f>Participantes!B40</f>
        <v>Mily Zeynneth</v>
      </c>
      <c r="B42" s="53">
        <f>Grupo!B41</f>
        <v>3</v>
      </c>
      <c r="C42" s="53">
        <f>Grupo!C41</f>
        <v>1</v>
      </c>
      <c r="D42" s="54">
        <f>Grupo!D41</f>
        <v>1</v>
      </c>
      <c r="E42" s="56">
        <f>Grupo!E41</f>
        <v>2</v>
      </c>
      <c r="F42" s="56">
        <f>Grupo!F41</f>
        <v>2</v>
      </c>
      <c r="G42" s="78">
        <f>Grupo!G41</f>
        <v>0</v>
      </c>
      <c r="H42" s="82">
        <f>Grupo!HJ41</f>
        <v>1</v>
      </c>
    </row>
    <row r="43" spans="1:8" ht="20.25" customHeight="1" x14ac:dyDescent="0.3">
      <c r="A43" s="72" t="str">
        <f>Participantes!B41</f>
        <v>Nefreteri</v>
      </c>
      <c r="B43" s="53">
        <f>Grupo!B42</f>
        <v>1</v>
      </c>
      <c r="C43" s="53">
        <f>Grupo!C42</f>
        <v>2</v>
      </c>
      <c r="D43" s="54">
        <f>Grupo!D42</f>
        <v>0</v>
      </c>
      <c r="E43" s="56">
        <f>Grupo!E42</f>
        <v>3</v>
      </c>
      <c r="F43" s="56">
        <f>Grupo!F42</f>
        <v>0</v>
      </c>
      <c r="G43" s="78">
        <f>Grupo!G42</f>
        <v>1</v>
      </c>
      <c r="H43" s="82">
        <f>Grupo!HJ42</f>
        <v>1</v>
      </c>
    </row>
    <row r="44" spans="1:8" ht="20.25" customHeight="1" x14ac:dyDescent="0.3">
      <c r="A44" s="72" t="str">
        <f>Participantes!B42</f>
        <v>Ninoshka</v>
      </c>
      <c r="B44" s="53">
        <f>Grupo!B43</f>
        <v>2</v>
      </c>
      <c r="C44" s="53">
        <f>Grupo!C43</f>
        <v>1</v>
      </c>
      <c r="D44" s="54">
        <f>Grupo!D43</f>
        <v>1</v>
      </c>
      <c r="E44" s="56">
        <f>Grupo!E43</f>
        <v>1</v>
      </c>
      <c r="F44" s="56">
        <f>Grupo!F43</f>
        <v>1</v>
      </c>
      <c r="G44" s="78">
        <f>Grupo!G43</f>
        <v>0</v>
      </c>
      <c r="H44" s="82">
        <f>Grupo!HJ43</f>
        <v>1</v>
      </c>
    </row>
    <row r="45" spans="1:8" ht="20.25" customHeight="1" x14ac:dyDescent="0.3">
      <c r="A45" s="72" t="str">
        <f>Participantes!B43</f>
        <v>Osvaldo</v>
      </c>
      <c r="B45" s="53">
        <f>Grupo!B44</f>
        <v>2</v>
      </c>
      <c r="C45" s="53">
        <f>Grupo!C44</f>
        <v>1</v>
      </c>
      <c r="D45" s="54">
        <f>Grupo!D44</f>
        <v>1</v>
      </c>
      <c r="E45" s="56">
        <f>Grupo!E44</f>
        <v>2</v>
      </c>
      <c r="F45" s="56">
        <f>Grupo!F44</f>
        <v>1</v>
      </c>
      <c r="G45" s="78">
        <f>Grupo!G44</f>
        <v>3</v>
      </c>
      <c r="H45" s="82">
        <f>Grupo!HJ44</f>
        <v>4</v>
      </c>
    </row>
    <row r="46" spans="1:8" ht="20.25" customHeight="1" x14ac:dyDescent="0.3">
      <c r="A46" s="72" t="str">
        <f>Participantes!B44</f>
        <v>Peter</v>
      </c>
      <c r="B46" s="53">
        <f>Grupo!B45</f>
        <v>2</v>
      </c>
      <c r="C46" s="53">
        <f>Grupo!C45</f>
        <v>0</v>
      </c>
      <c r="D46" s="54">
        <f>Grupo!D45</f>
        <v>3</v>
      </c>
      <c r="E46" s="56">
        <f>Grupo!E45</f>
        <v>1</v>
      </c>
      <c r="F46" s="56">
        <f>Grupo!F45</f>
        <v>0</v>
      </c>
      <c r="G46" s="78">
        <f>Grupo!G45</f>
        <v>1</v>
      </c>
      <c r="H46" s="82">
        <f>Grupo!HJ45</f>
        <v>4</v>
      </c>
    </row>
    <row r="47" spans="1:8" ht="20.25" customHeight="1" x14ac:dyDescent="0.3">
      <c r="A47" s="72" t="str">
        <f>Participantes!B45</f>
        <v>Quinnie</v>
      </c>
      <c r="B47" s="53">
        <f>Grupo!B46</f>
        <v>2</v>
      </c>
      <c r="C47" s="53">
        <f>Grupo!C46</f>
        <v>0</v>
      </c>
      <c r="D47" s="54">
        <f>Grupo!D46</f>
        <v>3</v>
      </c>
      <c r="E47" s="56">
        <f>Grupo!E46</f>
        <v>1</v>
      </c>
      <c r="F47" s="56">
        <f>Grupo!F46</f>
        <v>1</v>
      </c>
      <c r="G47" s="78">
        <f>Grupo!G46</f>
        <v>0</v>
      </c>
      <c r="H47" s="82">
        <f>Grupo!HJ46</f>
        <v>3</v>
      </c>
    </row>
    <row r="48" spans="1:8" ht="20.25" customHeight="1" x14ac:dyDescent="0.3">
      <c r="A48" s="72" t="str">
        <f>Participantes!B46</f>
        <v>Radames</v>
      </c>
      <c r="B48" s="53">
        <f>Grupo!B47</f>
        <v>2</v>
      </c>
      <c r="C48" s="53">
        <f>Grupo!C47</f>
        <v>0</v>
      </c>
      <c r="D48" s="54">
        <f>Grupo!D47</f>
        <v>3</v>
      </c>
      <c r="E48" s="56">
        <f>Grupo!E47</f>
        <v>0</v>
      </c>
      <c r="F48" s="56">
        <f>Grupo!F47</f>
        <v>1</v>
      </c>
      <c r="G48" s="78">
        <f>Grupo!G47</f>
        <v>0</v>
      </c>
      <c r="H48" s="82">
        <f>Grupo!HJ47</f>
        <v>3</v>
      </c>
    </row>
    <row r="49" spans="1:8" ht="20.25" customHeight="1" x14ac:dyDescent="0.3">
      <c r="A49" s="72" t="str">
        <f>Participantes!B47</f>
        <v>Saul</v>
      </c>
      <c r="B49" s="53">
        <f>Grupo!B48</f>
        <v>2</v>
      </c>
      <c r="C49" s="53">
        <f>Grupo!C48</f>
        <v>0</v>
      </c>
      <c r="D49" s="54">
        <f>Grupo!D48</f>
        <v>3</v>
      </c>
      <c r="E49" s="56">
        <f>Grupo!E48</f>
        <v>1</v>
      </c>
      <c r="F49" s="56">
        <f>Grupo!F48</f>
        <v>1</v>
      </c>
      <c r="G49" s="78">
        <f>Grupo!G48</f>
        <v>0</v>
      </c>
      <c r="H49" s="82">
        <f>Grupo!HJ48</f>
        <v>3</v>
      </c>
    </row>
    <row r="50" spans="1:8" ht="20.25" customHeight="1" x14ac:dyDescent="0.3">
      <c r="A50" s="72" t="str">
        <f>Participantes!B48</f>
        <v>Silvia</v>
      </c>
      <c r="B50" s="53">
        <f>Grupo!B49</f>
        <v>2</v>
      </c>
      <c r="C50" s="53">
        <f>Grupo!C49</f>
        <v>0</v>
      </c>
      <c r="D50" s="54">
        <f>Grupo!D49</f>
        <v>3</v>
      </c>
      <c r="E50" s="56">
        <f>Grupo!E49</f>
        <v>1</v>
      </c>
      <c r="F50" s="56">
        <f>Grupo!F49</f>
        <v>1</v>
      </c>
      <c r="G50" s="78">
        <f>Grupo!G49</f>
        <v>0</v>
      </c>
      <c r="H50" s="82">
        <f>Grupo!HJ49</f>
        <v>3</v>
      </c>
    </row>
    <row r="51" spans="1:8" ht="20.25" customHeight="1" thickBot="1" x14ac:dyDescent="0.35">
      <c r="A51" s="73" t="str">
        <f>Participantes!B49</f>
        <v>Walder</v>
      </c>
      <c r="B51" s="74">
        <f>Grupo!B50</f>
        <v>3</v>
      </c>
      <c r="C51" s="74">
        <f>Grupo!C50</f>
        <v>1</v>
      </c>
      <c r="D51" s="75">
        <f>Grupo!D50</f>
        <v>1</v>
      </c>
      <c r="E51" s="76">
        <f>Grupo!E50</f>
        <v>2</v>
      </c>
      <c r="F51" s="76">
        <f>Grupo!F50</f>
        <v>2</v>
      </c>
      <c r="G51" s="79">
        <f>Grupo!G50</f>
        <v>0</v>
      </c>
      <c r="H51" s="83">
        <f>Grupo!HJ50</f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zoomScaleNormal="100" workbookViewId="0"/>
  </sheetViews>
  <sheetFormatPr baseColWidth="10" defaultColWidth="9" defaultRowHeight="15" x14ac:dyDescent="0.25"/>
  <cols>
    <col min="1" max="1" width="8" style="1" customWidth="1"/>
    <col min="2" max="2" width="10" style="1" customWidth="1"/>
    <col min="3" max="3" width="24" style="1" customWidth="1"/>
    <col min="4" max="10" width="6" style="1" customWidth="1"/>
    <col min="11" max="11" width="7" style="1" customWidth="1"/>
    <col min="12" max="13" width="16" style="1" customWidth="1"/>
    <col min="14" max="14" width="20" style="1" customWidth="1"/>
    <col min="15" max="17" width="14" style="1" customWidth="1"/>
  </cols>
  <sheetData>
    <row r="1" spans="1:26" ht="24" customHeight="1" x14ac:dyDescent="0.25">
      <c r="A1" s="3" t="s">
        <v>29</v>
      </c>
      <c r="B1" s="3" t="s">
        <v>31</v>
      </c>
      <c r="C1" s="3" t="s">
        <v>32</v>
      </c>
      <c r="D1" s="3" t="s">
        <v>371</v>
      </c>
      <c r="E1" s="3" t="s">
        <v>372</v>
      </c>
      <c r="F1" s="3" t="s">
        <v>373</v>
      </c>
      <c r="G1" s="3" t="s">
        <v>374</v>
      </c>
      <c r="H1" s="3" t="s">
        <v>375</v>
      </c>
      <c r="I1" s="3" t="s">
        <v>376</v>
      </c>
      <c r="J1" s="3" t="s">
        <v>377</v>
      </c>
      <c r="K1" s="3" t="s">
        <v>378</v>
      </c>
      <c r="L1" s="3" t="s">
        <v>379</v>
      </c>
      <c r="M1" s="3" t="s">
        <v>380</v>
      </c>
      <c r="N1" s="3" t="s">
        <v>381</v>
      </c>
      <c r="O1" s="3" t="s">
        <v>382</v>
      </c>
      <c r="P1" s="3" t="s">
        <v>383</v>
      </c>
      <c r="Q1" s="3" t="s">
        <v>384</v>
      </c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1" t="s">
        <v>33</v>
      </c>
      <c r="B2" s="1" t="s">
        <v>35</v>
      </c>
      <c r="C2" s="1" t="s">
        <v>36</v>
      </c>
      <c r="D2" s="1">
        <f>COUNTIFS(Partidos!$M$2:$M$73,B2,Partidos!$I$2:$I$73,"&lt;&gt;")+COUNTIFS(Partidos!$N$2:$N$73,B2,Partidos!$J$2:$J$73,"&lt;&gt;")</f>
        <v>1</v>
      </c>
      <c r="E2" s="1">
        <f>SUMPRODUCT((Partidos!$M$2:$M$73=B2)*(Partidos!$I$2:$I$73&lt;&gt;"")*(Partidos!$I$2:$I$73&gt;Partidos!$J$2:$J$73))+SUMPRODUCT((Partidos!$N$2:$N$73=B2)*(Partidos!$J$2:$J$73&lt;&gt;"")*(Partidos!$J$2:$J$73&gt;Partidos!$I$2:$I$73))</f>
        <v>1</v>
      </c>
      <c r="F2" s="1">
        <f>SUMPRODUCT((Partidos!$M$2:$M$73=B2)*(Partidos!$I$2:$I$73&lt;&gt;"")*(Partidos!$I$2:$I$73=Partidos!$J$2:$J$73))+SUMPRODUCT((Partidos!$N$2:$N$73=B2)*(Partidos!$J$2:$J$73&lt;&gt;"")*(Partidos!$J$2:$J$73=Partidos!$I$2:$I$73))</f>
        <v>0</v>
      </c>
      <c r="G2" s="1">
        <f t="shared" ref="G2:G49" si="0">D2-E2-F2</f>
        <v>0</v>
      </c>
      <c r="H2" s="1">
        <f>SUMIFS(Partidos!$I$2:$I$73,Partidos!$M$2:$M$73,B2)+SUMIFS(Partidos!$J$2:$J$73,Partidos!$N$2:$N$73,B2)</f>
        <v>2</v>
      </c>
      <c r="I2" s="1">
        <f>SUMIFS(Partidos!$J$2:$J$73,Partidos!$M$2:$M$73,B2)+SUMIFS(Partidos!$I$2:$I$73,Partidos!$N$2:$N$73,B2)</f>
        <v>0</v>
      </c>
      <c r="J2" s="1">
        <f t="shared" ref="J2:J49" si="1">H2-I2</f>
        <v>2</v>
      </c>
      <c r="K2" s="1">
        <f t="shared" ref="K2:K49" si="2">E2*3+F2</f>
        <v>3</v>
      </c>
      <c r="L2" s="1">
        <v>0</v>
      </c>
      <c r="M2" s="1">
        <f t="shared" ref="M2:M49" si="3">IF(COUNTIFS($A$2:$A$49,A2,$D$2:$D$49,"&gt;=1")&lt;4,"",1+COUNTIFS($A$2:$A$49,A2,$K$2:$K$49,"&gt;"&amp;K2)+COUNTIFS($A$2:$A$49,A2,$K$2:$K$49,K2,$L$2:$L$49,"&gt;"&amp;L2)+COUNTIFS($A$2:$A$49,A2,$K$2:$K$49,K2,$L$2:$L$49,L2,$J$2:$J$49,"&gt;"&amp;J2)+COUNTIFS($A$2:$A$49,A2,$K$2:$K$49,K2,$L$2:$L$49,L2,$J$2:$J$49,J2,$H$2:$H$49,"&gt;"&amp;H2)+SUMPRODUCT(($A$2:$A$49=A2)*($K$2:$K$49=K2)*($L$2:$L$49=L2)*($J$2:$J$49=J2)*($H$2:$H$49=H2)*(ROW($A$2:$A$49)&lt;ROW(A2))))</f>
        <v>1</v>
      </c>
      <c r="N2" s="1" t="str">
        <f t="shared" ref="N2:N49" si="4">IF(M2="","",IF(M2&lt;=2,"Directo",IF(M2=3,"Posible mejor 3°","")))</f>
        <v>Directo</v>
      </c>
      <c r="O2" s="1" t="str">
        <f t="shared" ref="O2:O49" si="5">IF(M2="","",A2&amp;M2)</f>
        <v>A1</v>
      </c>
      <c r="P2" s="1" t="str">
        <f t="shared" ref="P2:P49" si="6">C2</f>
        <v>México</v>
      </c>
      <c r="Q2" s="1" t="str">
        <f t="shared" ref="Q2:Q49" si="7">B2</f>
        <v>MEX</v>
      </c>
    </row>
    <row r="3" spans="1:26" ht="14.25" customHeight="1" x14ac:dyDescent="0.25">
      <c r="A3" s="1" t="s">
        <v>33</v>
      </c>
      <c r="B3" s="1" t="s">
        <v>38</v>
      </c>
      <c r="C3" s="1" t="s">
        <v>39</v>
      </c>
      <c r="D3" s="1">
        <f>COUNTIFS(Partidos!$M$2:$M$73,B3,Partidos!$I$2:$I$73,"&lt;&gt;")+COUNTIFS(Partidos!$N$2:$N$73,B3,Partidos!$J$2:$J$73,"&lt;&gt;")</f>
        <v>1</v>
      </c>
      <c r="E3" s="1">
        <f>SUMPRODUCT((Partidos!$M$2:$M$73=B3)*(Partidos!$I$2:$I$73&lt;&gt;"")*(Partidos!$I$2:$I$73&gt;Partidos!$J$2:$J$73))+SUMPRODUCT((Partidos!$N$2:$N$73=B3)*(Partidos!$J$2:$J$73&lt;&gt;"")*(Partidos!$J$2:$J$73&gt;Partidos!$I$2:$I$73))</f>
        <v>0</v>
      </c>
      <c r="F3" s="1">
        <f>SUMPRODUCT((Partidos!$M$2:$M$73=B3)*(Partidos!$I$2:$I$73&lt;&gt;"")*(Partidos!$I$2:$I$73=Partidos!$J$2:$J$73))+SUMPRODUCT((Partidos!$N$2:$N$73=B3)*(Partidos!$J$2:$J$73&lt;&gt;"")*(Partidos!$J$2:$J$73=Partidos!$I$2:$I$73))</f>
        <v>0</v>
      </c>
      <c r="G3" s="1">
        <f t="shared" si="0"/>
        <v>1</v>
      </c>
      <c r="H3" s="1">
        <f>SUMIFS(Partidos!$I$2:$I$73,Partidos!$M$2:$M$73,B3)+SUMIFS(Partidos!$J$2:$J$73,Partidos!$N$2:$N$73,B3)</f>
        <v>0</v>
      </c>
      <c r="I3" s="1">
        <f>SUMIFS(Partidos!$J$2:$J$73,Partidos!$M$2:$M$73,B3)+SUMIFS(Partidos!$I$2:$I$73,Partidos!$N$2:$N$73,B3)</f>
        <v>2</v>
      </c>
      <c r="J3" s="1">
        <f t="shared" si="1"/>
        <v>-2</v>
      </c>
      <c r="K3" s="1">
        <f t="shared" si="2"/>
        <v>0</v>
      </c>
      <c r="L3" s="1">
        <v>0</v>
      </c>
      <c r="M3" s="1">
        <f t="shared" si="3"/>
        <v>4</v>
      </c>
      <c r="N3" s="1" t="str">
        <f t="shared" si="4"/>
        <v/>
      </c>
      <c r="O3" s="1" t="str">
        <f t="shared" si="5"/>
        <v>A4</v>
      </c>
      <c r="P3" s="1" t="str">
        <f t="shared" si="6"/>
        <v>Sudáfrica</v>
      </c>
      <c r="Q3" s="1" t="str">
        <f t="shared" si="7"/>
        <v>RSA</v>
      </c>
    </row>
    <row r="4" spans="1:26" ht="14.25" customHeight="1" x14ac:dyDescent="0.25">
      <c r="A4" s="1" t="s">
        <v>33</v>
      </c>
      <c r="B4" s="1" t="s">
        <v>41</v>
      </c>
      <c r="C4" s="1" t="s">
        <v>42</v>
      </c>
      <c r="D4" s="1">
        <f>COUNTIFS(Partidos!$M$2:$M$73,B4,Partidos!$I$2:$I$73,"&lt;&gt;")+COUNTIFS(Partidos!$N$2:$N$73,B4,Partidos!$J$2:$J$73,"&lt;&gt;")</f>
        <v>1</v>
      </c>
      <c r="E4" s="1">
        <f>SUMPRODUCT((Partidos!$M$2:$M$73=B4)*(Partidos!$I$2:$I$73&lt;&gt;"")*(Partidos!$I$2:$I$73&gt;Partidos!$J$2:$J$73))+SUMPRODUCT((Partidos!$N$2:$N$73=B4)*(Partidos!$J$2:$J$73&lt;&gt;"")*(Partidos!$J$2:$J$73&gt;Partidos!$I$2:$I$73))</f>
        <v>1</v>
      </c>
      <c r="F4" s="1">
        <f>SUMPRODUCT((Partidos!$M$2:$M$73=B4)*(Partidos!$I$2:$I$73&lt;&gt;"")*(Partidos!$I$2:$I$73=Partidos!$J$2:$J$73))+SUMPRODUCT((Partidos!$N$2:$N$73=B4)*(Partidos!$J$2:$J$73&lt;&gt;"")*(Partidos!$J$2:$J$73=Partidos!$I$2:$I$73))</f>
        <v>0</v>
      </c>
      <c r="G4" s="1">
        <f t="shared" si="0"/>
        <v>0</v>
      </c>
      <c r="H4" s="1">
        <f>SUMIFS(Partidos!$I$2:$I$73,Partidos!$M$2:$M$73,B4)+SUMIFS(Partidos!$J$2:$J$73,Partidos!$N$2:$N$73,B4)</f>
        <v>2</v>
      </c>
      <c r="I4" s="1">
        <f>SUMIFS(Partidos!$J$2:$J$73,Partidos!$M$2:$M$73,B4)+SUMIFS(Partidos!$I$2:$I$73,Partidos!$N$2:$N$73,B4)</f>
        <v>1</v>
      </c>
      <c r="J4" s="1">
        <f t="shared" si="1"/>
        <v>1</v>
      </c>
      <c r="K4" s="1">
        <f t="shared" si="2"/>
        <v>3</v>
      </c>
      <c r="L4" s="1">
        <v>0</v>
      </c>
      <c r="M4" s="1">
        <f t="shared" si="3"/>
        <v>2</v>
      </c>
      <c r="N4" s="1" t="str">
        <f t="shared" si="4"/>
        <v>Directo</v>
      </c>
      <c r="O4" s="1" t="str">
        <f t="shared" si="5"/>
        <v>A2</v>
      </c>
      <c r="P4" s="1" t="str">
        <f t="shared" si="6"/>
        <v>Corea República</v>
      </c>
      <c r="Q4" s="1" t="str">
        <f t="shared" si="7"/>
        <v>KOR</v>
      </c>
    </row>
    <row r="5" spans="1:26" ht="14.25" customHeight="1" x14ac:dyDescent="0.25">
      <c r="A5" s="1" t="s">
        <v>33</v>
      </c>
      <c r="B5" s="1" t="s">
        <v>44</v>
      </c>
      <c r="C5" s="1" t="s">
        <v>45</v>
      </c>
      <c r="D5" s="1">
        <f>COUNTIFS(Partidos!$M$2:$M$73,B5,Partidos!$I$2:$I$73,"&lt;&gt;")+COUNTIFS(Partidos!$N$2:$N$73,B5,Partidos!$J$2:$J$73,"&lt;&gt;")</f>
        <v>1</v>
      </c>
      <c r="E5" s="1">
        <f>SUMPRODUCT((Partidos!$M$2:$M$73=B5)*(Partidos!$I$2:$I$73&lt;&gt;"")*(Partidos!$I$2:$I$73&gt;Partidos!$J$2:$J$73))+SUMPRODUCT((Partidos!$N$2:$N$73=B5)*(Partidos!$J$2:$J$73&lt;&gt;"")*(Partidos!$J$2:$J$73&gt;Partidos!$I$2:$I$73))</f>
        <v>0</v>
      </c>
      <c r="F5" s="1">
        <f>SUMPRODUCT((Partidos!$M$2:$M$73=B5)*(Partidos!$I$2:$I$73&lt;&gt;"")*(Partidos!$I$2:$I$73=Partidos!$J$2:$J$73))+SUMPRODUCT((Partidos!$N$2:$N$73=B5)*(Partidos!$J$2:$J$73&lt;&gt;"")*(Partidos!$J$2:$J$73=Partidos!$I$2:$I$73))</f>
        <v>0</v>
      </c>
      <c r="G5" s="1">
        <f t="shared" si="0"/>
        <v>1</v>
      </c>
      <c r="H5" s="1">
        <f>SUMIFS(Partidos!$I$2:$I$73,Partidos!$M$2:$M$73,B5)+SUMIFS(Partidos!$J$2:$J$73,Partidos!$N$2:$N$73,B5)</f>
        <v>1</v>
      </c>
      <c r="I5" s="1">
        <f>SUMIFS(Partidos!$J$2:$J$73,Partidos!$M$2:$M$73,B5)+SUMIFS(Partidos!$I$2:$I$73,Partidos!$N$2:$N$73,B5)</f>
        <v>2</v>
      </c>
      <c r="J5" s="1">
        <f t="shared" si="1"/>
        <v>-1</v>
      </c>
      <c r="K5" s="1">
        <f t="shared" si="2"/>
        <v>0</v>
      </c>
      <c r="L5" s="1">
        <v>0</v>
      </c>
      <c r="M5" s="1">
        <f t="shared" si="3"/>
        <v>3</v>
      </c>
      <c r="N5" s="1" t="str">
        <f t="shared" si="4"/>
        <v>Posible mejor 3°</v>
      </c>
      <c r="O5" s="1" t="str">
        <f t="shared" si="5"/>
        <v>A3</v>
      </c>
      <c r="P5" s="1" t="str">
        <f t="shared" si="6"/>
        <v>Chequia</v>
      </c>
      <c r="Q5" s="1" t="str">
        <f t="shared" si="7"/>
        <v>CZE</v>
      </c>
    </row>
    <row r="6" spans="1:26" ht="14.25" customHeight="1" x14ac:dyDescent="0.25">
      <c r="A6" s="1" t="s">
        <v>46</v>
      </c>
      <c r="B6" s="1" t="s">
        <v>48</v>
      </c>
      <c r="C6" s="1" t="s">
        <v>49</v>
      </c>
      <c r="D6" s="1">
        <f>COUNTIFS(Partidos!$M$2:$M$73,B6,Partidos!$I$2:$I$73,"&lt;&gt;")+COUNTIFS(Partidos!$N$2:$N$73,B6,Partidos!$J$2:$J$73,"&lt;&gt;")</f>
        <v>0</v>
      </c>
      <c r="E6" s="1">
        <f>SUMPRODUCT((Partidos!$M$2:$M$73=B6)*(Partidos!$I$2:$I$73&lt;&gt;"")*(Partidos!$I$2:$I$73&gt;Partidos!$J$2:$J$73))+SUMPRODUCT((Partidos!$N$2:$N$73=B6)*(Partidos!$J$2:$J$73&lt;&gt;"")*(Partidos!$J$2:$J$73&gt;Partidos!$I$2:$I$73))</f>
        <v>0</v>
      </c>
      <c r="F6" s="1">
        <f>SUMPRODUCT((Partidos!$M$2:$M$73=B6)*(Partidos!$I$2:$I$73&lt;&gt;"")*(Partidos!$I$2:$I$73=Partidos!$J$2:$J$73))+SUMPRODUCT((Partidos!$N$2:$N$73=B6)*(Partidos!$J$2:$J$73&lt;&gt;"")*(Partidos!$J$2:$J$73=Partidos!$I$2:$I$73))</f>
        <v>0</v>
      </c>
      <c r="G6" s="1">
        <f t="shared" si="0"/>
        <v>0</v>
      </c>
      <c r="H6" s="1">
        <f>SUMIFS(Partidos!$I$2:$I$73,Partidos!$M$2:$M$73,B6)+SUMIFS(Partidos!$J$2:$J$73,Partidos!$N$2:$N$73,B6)</f>
        <v>0</v>
      </c>
      <c r="I6" s="1">
        <f>SUMIFS(Partidos!$J$2:$J$73,Partidos!$M$2:$M$73,B6)+SUMIFS(Partidos!$I$2:$I$73,Partidos!$N$2:$N$73,B6)</f>
        <v>0</v>
      </c>
      <c r="J6" s="1">
        <f t="shared" si="1"/>
        <v>0</v>
      </c>
      <c r="K6" s="1">
        <f t="shared" si="2"/>
        <v>0</v>
      </c>
      <c r="L6" s="1">
        <v>0</v>
      </c>
      <c r="M6" s="1" t="str">
        <f t="shared" si="3"/>
        <v/>
      </c>
      <c r="N6" s="1" t="str">
        <f t="shared" si="4"/>
        <v/>
      </c>
      <c r="O6" s="1" t="str">
        <f t="shared" si="5"/>
        <v/>
      </c>
      <c r="P6" s="1" t="str">
        <f t="shared" si="6"/>
        <v>Canadá</v>
      </c>
      <c r="Q6" s="1" t="str">
        <f t="shared" si="7"/>
        <v>CAN</v>
      </c>
    </row>
    <row r="7" spans="1:26" ht="14.25" customHeight="1" x14ac:dyDescent="0.25">
      <c r="A7" s="1" t="s">
        <v>46</v>
      </c>
      <c r="B7" s="1" t="s">
        <v>51</v>
      </c>
      <c r="C7" s="1" t="s">
        <v>52</v>
      </c>
      <c r="D7" s="1">
        <f>COUNTIFS(Partidos!$M$2:$M$73,B7,Partidos!$I$2:$I$73,"&lt;&gt;")+COUNTIFS(Partidos!$N$2:$N$73,B7,Partidos!$J$2:$J$73,"&lt;&gt;")</f>
        <v>0</v>
      </c>
      <c r="E7" s="1">
        <f>SUMPRODUCT((Partidos!$M$2:$M$73=B7)*(Partidos!$I$2:$I$73&lt;&gt;"")*(Partidos!$I$2:$I$73&gt;Partidos!$J$2:$J$73))+SUMPRODUCT((Partidos!$N$2:$N$73=B7)*(Partidos!$J$2:$J$73&lt;&gt;"")*(Partidos!$J$2:$J$73&gt;Partidos!$I$2:$I$73))</f>
        <v>0</v>
      </c>
      <c r="F7" s="1">
        <f>SUMPRODUCT((Partidos!$M$2:$M$73=B7)*(Partidos!$I$2:$I$73&lt;&gt;"")*(Partidos!$I$2:$I$73=Partidos!$J$2:$J$73))+SUMPRODUCT((Partidos!$N$2:$N$73=B7)*(Partidos!$J$2:$J$73&lt;&gt;"")*(Partidos!$J$2:$J$73=Partidos!$I$2:$I$73))</f>
        <v>0</v>
      </c>
      <c r="G7" s="1">
        <f t="shared" si="0"/>
        <v>0</v>
      </c>
      <c r="H7" s="1">
        <f>SUMIFS(Partidos!$I$2:$I$73,Partidos!$M$2:$M$73,B7)+SUMIFS(Partidos!$J$2:$J$73,Partidos!$N$2:$N$73,B7)</f>
        <v>0</v>
      </c>
      <c r="I7" s="1">
        <f>SUMIFS(Partidos!$J$2:$J$73,Partidos!$M$2:$M$73,B7)+SUMIFS(Partidos!$I$2:$I$73,Partidos!$N$2:$N$73,B7)</f>
        <v>0</v>
      </c>
      <c r="J7" s="1">
        <f t="shared" si="1"/>
        <v>0</v>
      </c>
      <c r="K7" s="1">
        <f t="shared" si="2"/>
        <v>0</v>
      </c>
      <c r="L7" s="1">
        <v>0</v>
      </c>
      <c r="M7" s="1" t="str">
        <f t="shared" si="3"/>
        <v/>
      </c>
      <c r="N7" s="1" t="str">
        <f t="shared" si="4"/>
        <v/>
      </c>
      <c r="O7" s="1" t="str">
        <f t="shared" si="5"/>
        <v/>
      </c>
      <c r="P7" s="1" t="str">
        <f t="shared" si="6"/>
        <v>Bosnia y Herzegovina</v>
      </c>
      <c r="Q7" s="1" t="str">
        <f t="shared" si="7"/>
        <v>BIH</v>
      </c>
    </row>
    <row r="8" spans="1:26" ht="14.25" customHeight="1" x14ac:dyDescent="0.25">
      <c r="A8" s="1" t="s">
        <v>46</v>
      </c>
      <c r="B8" s="1" t="s">
        <v>54</v>
      </c>
      <c r="C8" s="1" t="s">
        <v>55</v>
      </c>
      <c r="D8" s="1">
        <f>COUNTIFS(Partidos!$M$2:$M$73,B8,Partidos!$I$2:$I$73,"&lt;&gt;")+COUNTIFS(Partidos!$N$2:$N$73,B8,Partidos!$J$2:$J$73,"&lt;&gt;")</f>
        <v>0</v>
      </c>
      <c r="E8" s="1">
        <f>SUMPRODUCT((Partidos!$M$2:$M$73=B8)*(Partidos!$I$2:$I$73&lt;&gt;"")*(Partidos!$I$2:$I$73&gt;Partidos!$J$2:$J$73))+SUMPRODUCT((Partidos!$N$2:$N$73=B8)*(Partidos!$J$2:$J$73&lt;&gt;"")*(Partidos!$J$2:$J$73&gt;Partidos!$I$2:$I$73))</f>
        <v>0</v>
      </c>
      <c r="F8" s="1">
        <f>SUMPRODUCT((Partidos!$M$2:$M$73=B8)*(Partidos!$I$2:$I$73&lt;&gt;"")*(Partidos!$I$2:$I$73=Partidos!$J$2:$J$73))+SUMPRODUCT((Partidos!$N$2:$N$73=B8)*(Partidos!$J$2:$J$73&lt;&gt;"")*(Partidos!$J$2:$J$73=Partidos!$I$2:$I$73))</f>
        <v>0</v>
      </c>
      <c r="G8" s="1">
        <f t="shared" si="0"/>
        <v>0</v>
      </c>
      <c r="H8" s="1">
        <f>SUMIFS(Partidos!$I$2:$I$73,Partidos!$M$2:$M$73,B8)+SUMIFS(Partidos!$J$2:$J$73,Partidos!$N$2:$N$73,B8)</f>
        <v>0</v>
      </c>
      <c r="I8" s="1">
        <f>SUMIFS(Partidos!$J$2:$J$73,Partidos!$M$2:$M$73,B8)+SUMIFS(Partidos!$I$2:$I$73,Partidos!$N$2:$N$73,B8)</f>
        <v>0</v>
      </c>
      <c r="J8" s="1">
        <f t="shared" si="1"/>
        <v>0</v>
      </c>
      <c r="K8" s="1">
        <f t="shared" si="2"/>
        <v>0</v>
      </c>
      <c r="L8" s="1">
        <v>0</v>
      </c>
      <c r="M8" s="1" t="str">
        <f t="shared" si="3"/>
        <v/>
      </c>
      <c r="N8" s="1" t="str">
        <f t="shared" si="4"/>
        <v/>
      </c>
      <c r="O8" s="1" t="str">
        <f t="shared" si="5"/>
        <v/>
      </c>
      <c r="P8" s="1" t="str">
        <f t="shared" si="6"/>
        <v>Qatar</v>
      </c>
      <c r="Q8" s="1" t="str">
        <f t="shared" si="7"/>
        <v>QAT</v>
      </c>
    </row>
    <row r="9" spans="1:26" ht="14.25" customHeight="1" x14ac:dyDescent="0.25">
      <c r="A9" s="1" t="s">
        <v>46</v>
      </c>
      <c r="B9" s="1" t="s">
        <v>57</v>
      </c>
      <c r="C9" s="1" t="s">
        <v>58</v>
      </c>
      <c r="D9" s="1">
        <f>COUNTIFS(Partidos!$M$2:$M$73,B9,Partidos!$I$2:$I$73,"&lt;&gt;")+COUNTIFS(Partidos!$N$2:$N$73,B9,Partidos!$J$2:$J$73,"&lt;&gt;")</f>
        <v>0</v>
      </c>
      <c r="E9" s="1">
        <f>SUMPRODUCT((Partidos!$M$2:$M$73=B9)*(Partidos!$I$2:$I$73&lt;&gt;"")*(Partidos!$I$2:$I$73&gt;Partidos!$J$2:$J$73))+SUMPRODUCT((Partidos!$N$2:$N$73=B9)*(Partidos!$J$2:$J$73&lt;&gt;"")*(Partidos!$J$2:$J$73&gt;Partidos!$I$2:$I$73))</f>
        <v>0</v>
      </c>
      <c r="F9" s="1">
        <f>SUMPRODUCT((Partidos!$M$2:$M$73=B9)*(Partidos!$I$2:$I$73&lt;&gt;"")*(Partidos!$I$2:$I$73=Partidos!$J$2:$J$73))+SUMPRODUCT((Partidos!$N$2:$N$73=B9)*(Partidos!$J$2:$J$73&lt;&gt;"")*(Partidos!$J$2:$J$73=Partidos!$I$2:$I$73))</f>
        <v>0</v>
      </c>
      <c r="G9" s="1">
        <f t="shared" si="0"/>
        <v>0</v>
      </c>
      <c r="H9" s="1">
        <f>SUMIFS(Partidos!$I$2:$I$73,Partidos!$M$2:$M$73,B9)+SUMIFS(Partidos!$J$2:$J$73,Partidos!$N$2:$N$73,B9)</f>
        <v>0</v>
      </c>
      <c r="I9" s="1">
        <f>SUMIFS(Partidos!$J$2:$J$73,Partidos!$M$2:$M$73,B9)+SUMIFS(Partidos!$I$2:$I$73,Partidos!$N$2:$N$73,B9)</f>
        <v>0</v>
      </c>
      <c r="J9" s="1">
        <f t="shared" si="1"/>
        <v>0</v>
      </c>
      <c r="K9" s="1">
        <f t="shared" si="2"/>
        <v>0</v>
      </c>
      <c r="L9" s="1">
        <v>0</v>
      </c>
      <c r="M9" s="1" t="str">
        <f t="shared" si="3"/>
        <v/>
      </c>
      <c r="N9" s="1" t="str">
        <f t="shared" si="4"/>
        <v/>
      </c>
      <c r="O9" s="1" t="str">
        <f t="shared" si="5"/>
        <v/>
      </c>
      <c r="P9" s="1" t="str">
        <f t="shared" si="6"/>
        <v>Suiza</v>
      </c>
      <c r="Q9" s="1" t="str">
        <f t="shared" si="7"/>
        <v>SUI</v>
      </c>
    </row>
    <row r="10" spans="1:26" ht="14.25" customHeight="1" x14ac:dyDescent="0.25">
      <c r="A10" s="1" t="s">
        <v>59</v>
      </c>
      <c r="B10" s="1" t="s">
        <v>61</v>
      </c>
      <c r="C10" s="1" t="s">
        <v>62</v>
      </c>
      <c r="D10" s="1">
        <f>COUNTIFS(Partidos!$M$2:$M$73,B10,Partidos!$I$2:$I$73,"&lt;&gt;")+COUNTIFS(Partidos!$N$2:$N$73,B10,Partidos!$J$2:$J$73,"&lt;&gt;")</f>
        <v>0</v>
      </c>
      <c r="E10" s="1">
        <f>SUMPRODUCT((Partidos!$M$2:$M$73=B10)*(Partidos!$I$2:$I$73&lt;&gt;"")*(Partidos!$I$2:$I$73&gt;Partidos!$J$2:$J$73))+SUMPRODUCT((Partidos!$N$2:$N$73=B10)*(Partidos!$J$2:$J$73&lt;&gt;"")*(Partidos!$J$2:$J$73&gt;Partidos!$I$2:$I$73))</f>
        <v>0</v>
      </c>
      <c r="F10" s="1">
        <f>SUMPRODUCT((Partidos!$M$2:$M$73=B10)*(Partidos!$I$2:$I$73&lt;&gt;"")*(Partidos!$I$2:$I$73=Partidos!$J$2:$J$73))+SUMPRODUCT((Partidos!$N$2:$N$73=B10)*(Partidos!$J$2:$J$73&lt;&gt;"")*(Partidos!$J$2:$J$73=Partidos!$I$2:$I$73))</f>
        <v>0</v>
      </c>
      <c r="G10" s="1">
        <f t="shared" si="0"/>
        <v>0</v>
      </c>
      <c r="H10" s="1">
        <f>SUMIFS(Partidos!$I$2:$I$73,Partidos!$M$2:$M$73,B10)+SUMIFS(Partidos!$J$2:$J$73,Partidos!$N$2:$N$73,B10)</f>
        <v>0</v>
      </c>
      <c r="I10" s="1">
        <f>SUMIFS(Partidos!$J$2:$J$73,Partidos!$M$2:$M$73,B10)+SUMIFS(Partidos!$I$2:$I$73,Partidos!$N$2:$N$73,B10)</f>
        <v>0</v>
      </c>
      <c r="J10" s="1">
        <f t="shared" si="1"/>
        <v>0</v>
      </c>
      <c r="K10" s="1">
        <f t="shared" si="2"/>
        <v>0</v>
      </c>
      <c r="L10" s="1">
        <v>0</v>
      </c>
      <c r="M10" s="1" t="str">
        <f t="shared" si="3"/>
        <v/>
      </c>
      <c r="N10" s="1" t="str">
        <f t="shared" si="4"/>
        <v/>
      </c>
      <c r="O10" s="1" t="str">
        <f t="shared" si="5"/>
        <v/>
      </c>
      <c r="P10" s="1" t="str">
        <f t="shared" si="6"/>
        <v>Brasil</v>
      </c>
      <c r="Q10" s="1" t="str">
        <f t="shared" si="7"/>
        <v>BRA</v>
      </c>
    </row>
    <row r="11" spans="1:26" ht="14.25" customHeight="1" x14ac:dyDescent="0.25">
      <c r="A11" s="1" t="s">
        <v>59</v>
      </c>
      <c r="B11" s="1" t="s">
        <v>64</v>
      </c>
      <c r="C11" s="1" t="s">
        <v>65</v>
      </c>
      <c r="D11" s="1">
        <f>COUNTIFS(Partidos!$M$2:$M$73,B11,Partidos!$I$2:$I$73,"&lt;&gt;")+COUNTIFS(Partidos!$N$2:$N$73,B11,Partidos!$J$2:$J$73,"&lt;&gt;")</f>
        <v>0</v>
      </c>
      <c r="E11" s="1">
        <f>SUMPRODUCT((Partidos!$M$2:$M$73=B11)*(Partidos!$I$2:$I$73&lt;&gt;"")*(Partidos!$I$2:$I$73&gt;Partidos!$J$2:$J$73))+SUMPRODUCT((Partidos!$N$2:$N$73=B11)*(Partidos!$J$2:$J$73&lt;&gt;"")*(Partidos!$J$2:$J$73&gt;Partidos!$I$2:$I$73))</f>
        <v>0</v>
      </c>
      <c r="F11" s="1">
        <f>SUMPRODUCT((Partidos!$M$2:$M$73=B11)*(Partidos!$I$2:$I$73&lt;&gt;"")*(Partidos!$I$2:$I$73=Partidos!$J$2:$J$73))+SUMPRODUCT((Partidos!$N$2:$N$73=B11)*(Partidos!$J$2:$J$73&lt;&gt;"")*(Partidos!$J$2:$J$73=Partidos!$I$2:$I$73))</f>
        <v>0</v>
      </c>
      <c r="G11" s="1">
        <f t="shared" si="0"/>
        <v>0</v>
      </c>
      <c r="H11" s="1">
        <f>SUMIFS(Partidos!$I$2:$I$73,Partidos!$M$2:$M$73,B11)+SUMIFS(Partidos!$J$2:$J$73,Partidos!$N$2:$N$73,B11)</f>
        <v>0</v>
      </c>
      <c r="I11" s="1">
        <f>SUMIFS(Partidos!$J$2:$J$73,Partidos!$M$2:$M$73,B11)+SUMIFS(Partidos!$I$2:$I$73,Partidos!$N$2:$N$73,B11)</f>
        <v>0</v>
      </c>
      <c r="J11" s="1">
        <f t="shared" si="1"/>
        <v>0</v>
      </c>
      <c r="K11" s="1">
        <f t="shared" si="2"/>
        <v>0</v>
      </c>
      <c r="L11" s="1">
        <v>0</v>
      </c>
      <c r="M11" s="1" t="str">
        <f t="shared" si="3"/>
        <v/>
      </c>
      <c r="N11" s="1" t="str">
        <f t="shared" si="4"/>
        <v/>
      </c>
      <c r="O11" s="1" t="str">
        <f t="shared" si="5"/>
        <v/>
      </c>
      <c r="P11" s="1" t="str">
        <f t="shared" si="6"/>
        <v>Marruecos</v>
      </c>
      <c r="Q11" s="1" t="str">
        <f t="shared" si="7"/>
        <v>MAR</v>
      </c>
    </row>
    <row r="12" spans="1:26" ht="14.25" customHeight="1" x14ac:dyDescent="0.25">
      <c r="A12" s="1" t="s">
        <v>59</v>
      </c>
      <c r="B12" s="1" t="s">
        <v>67</v>
      </c>
      <c r="C12" s="1" t="s">
        <v>68</v>
      </c>
      <c r="D12" s="1">
        <f>COUNTIFS(Partidos!$M$2:$M$73,B12,Partidos!$I$2:$I$73,"&lt;&gt;")+COUNTIFS(Partidos!$N$2:$N$73,B12,Partidos!$J$2:$J$73,"&lt;&gt;")</f>
        <v>0</v>
      </c>
      <c r="E12" s="1">
        <f>SUMPRODUCT((Partidos!$M$2:$M$73=B12)*(Partidos!$I$2:$I$73&lt;&gt;"")*(Partidos!$I$2:$I$73&gt;Partidos!$J$2:$J$73))+SUMPRODUCT((Partidos!$N$2:$N$73=B12)*(Partidos!$J$2:$J$73&lt;&gt;"")*(Partidos!$J$2:$J$73&gt;Partidos!$I$2:$I$73))</f>
        <v>0</v>
      </c>
      <c r="F12" s="1">
        <f>SUMPRODUCT((Partidos!$M$2:$M$73=B12)*(Partidos!$I$2:$I$73&lt;&gt;"")*(Partidos!$I$2:$I$73=Partidos!$J$2:$J$73))+SUMPRODUCT((Partidos!$N$2:$N$73=B12)*(Partidos!$J$2:$J$73&lt;&gt;"")*(Partidos!$J$2:$J$73=Partidos!$I$2:$I$73))</f>
        <v>0</v>
      </c>
      <c r="G12" s="1">
        <f t="shared" si="0"/>
        <v>0</v>
      </c>
      <c r="H12" s="1">
        <f>SUMIFS(Partidos!$I$2:$I$73,Partidos!$M$2:$M$73,B12)+SUMIFS(Partidos!$J$2:$J$73,Partidos!$N$2:$N$73,B12)</f>
        <v>0</v>
      </c>
      <c r="I12" s="1">
        <f>SUMIFS(Partidos!$J$2:$J$73,Partidos!$M$2:$M$73,B12)+SUMIFS(Partidos!$I$2:$I$73,Partidos!$N$2:$N$73,B12)</f>
        <v>0</v>
      </c>
      <c r="J12" s="1">
        <f t="shared" si="1"/>
        <v>0</v>
      </c>
      <c r="K12" s="1">
        <f t="shared" si="2"/>
        <v>0</v>
      </c>
      <c r="L12" s="1">
        <v>0</v>
      </c>
      <c r="M12" s="1" t="str">
        <f t="shared" si="3"/>
        <v/>
      </c>
      <c r="N12" s="1" t="str">
        <f t="shared" si="4"/>
        <v/>
      </c>
      <c r="O12" s="1" t="str">
        <f t="shared" si="5"/>
        <v/>
      </c>
      <c r="P12" s="1" t="str">
        <f t="shared" si="6"/>
        <v>Haití</v>
      </c>
      <c r="Q12" s="1" t="str">
        <f t="shared" si="7"/>
        <v>HAI</v>
      </c>
    </row>
    <row r="13" spans="1:26" ht="14.25" customHeight="1" x14ac:dyDescent="0.25">
      <c r="A13" s="1" t="s">
        <v>59</v>
      </c>
      <c r="B13" s="1" t="s">
        <v>70</v>
      </c>
      <c r="C13" s="1" t="s">
        <v>71</v>
      </c>
      <c r="D13" s="1">
        <f>COUNTIFS(Partidos!$M$2:$M$73,B13,Partidos!$I$2:$I$73,"&lt;&gt;")+COUNTIFS(Partidos!$N$2:$N$73,B13,Partidos!$J$2:$J$73,"&lt;&gt;")</f>
        <v>0</v>
      </c>
      <c r="E13" s="1">
        <f>SUMPRODUCT((Partidos!$M$2:$M$73=B13)*(Partidos!$I$2:$I$73&lt;&gt;"")*(Partidos!$I$2:$I$73&gt;Partidos!$J$2:$J$73))+SUMPRODUCT((Partidos!$N$2:$N$73=B13)*(Partidos!$J$2:$J$73&lt;&gt;"")*(Partidos!$J$2:$J$73&gt;Partidos!$I$2:$I$73))</f>
        <v>0</v>
      </c>
      <c r="F13" s="1">
        <f>SUMPRODUCT((Partidos!$M$2:$M$73=B13)*(Partidos!$I$2:$I$73&lt;&gt;"")*(Partidos!$I$2:$I$73=Partidos!$J$2:$J$73))+SUMPRODUCT((Partidos!$N$2:$N$73=B13)*(Partidos!$J$2:$J$73&lt;&gt;"")*(Partidos!$J$2:$J$73=Partidos!$I$2:$I$73))</f>
        <v>0</v>
      </c>
      <c r="G13" s="1">
        <f t="shared" si="0"/>
        <v>0</v>
      </c>
      <c r="H13" s="1">
        <f>SUMIFS(Partidos!$I$2:$I$73,Partidos!$M$2:$M$73,B13)+SUMIFS(Partidos!$J$2:$J$73,Partidos!$N$2:$N$73,B13)</f>
        <v>0</v>
      </c>
      <c r="I13" s="1">
        <f>SUMIFS(Partidos!$J$2:$J$73,Partidos!$M$2:$M$73,B13)+SUMIFS(Partidos!$I$2:$I$73,Partidos!$N$2:$N$73,B13)</f>
        <v>0</v>
      </c>
      <c r="J13" s="1">
        <f t="shared" si="1"/>
        <v>0</v>
      </c>
      <c r="K13" s="1">
        <f t="shared" si="2"/>
        <v>0</v>
      </c>
      <c r="L13" s="1">
        <v>0</v>
      </c>
      <c r="M13" s="1" t="str">
        <f t="shared" si="3"/>
        <v/>
      </c>
      <c r="N13" s="1" t="str">
        <f t="shared" si="4"/>
        <v/>
      </c>
      <c r="O13" s="1" t="str">
        <f t="shared" si="5"/>
        <v/>
      </c>
      <c r="P13" s="1" t="str">
        <f t="shared" si="6"/>
        <v>Escocia</v>
      </c>
      <c r="Q13" s="1" t="str">
        <f t="shared" si="7"/>
        <v>SCO</v>
      </c>
    </row>
    <row r="14" spans="1:26" ht="14.25" customHeight="1" x14ac:dyDescent="0.25">
      <c r="A14" s="1" t="s">
        <v>72</v>
      </c>
      <c r="B14" s="1" t="s">
        <v>74</v>
      </c>
      <c r="C14" s="1" t="s">
        <v>75</v>
      </c>
      <c r="D14" s="1">
        <f>COUNTIFS(Partidos!$M$2:$M$73,B14,Partidos!$I$2:$I$73,"&lt;&gt;")+COUNTIFS(Partidos!$N$2:$N$73,B14,Partidos!$J$2:$J$73,"&lt;&gt;")</f>
        <v>0</v>
      </c>
      <c r="E14" s="1">
        <f>SUMPRODUCT((Partidos!$M$2:$M$73=B14)*(Partidos!$I$2:$I$73&lt;&gt;"")*(Partidos!$I$2:$I$73&gt;Partidos!$J$2:$J$73))+SUMPRODUCT((Partidos!$N$2:$N$73=B14)*(Partidos!$J$2:$J$73&lt;&gt;"")*(Partidos!$J$2:$J$73&gt;Partidos!$I$2:$I$73))</f>
        <v>0</v>
      </c>
      <c r="F14" s="1">
        <f>SUMPRODUCT((Partidos!$M$2:$M$73=B14)*(Partidos!$I$2:$I$73&lt;&gt;"")*(Partidos!$I$2:$I$73=Partidos!$J$2:$J$73))+SUMPRODUCT((Partidos!$N$2:$N$73=B14)*(Partidos!$J$2:$J$73&lt;&gt;"")*(Partidos!$J$2:$J$73=Partidos!$I$2:$I$73))</f>
        <v>0</v>
      </c>
      <c r="G14" s="1">
        <f t="shared" si="0"/>
        <v>0</v>
      </c>
      <c r="H14" s="1">
        <f>SUMIFS(Partidos!$I$2:$I$73,Partidos!$M$2:$M$73,B14)+SUMIFS(Partidos!$J$2:$J$73,Partidos!$N$2:$N$73,B14)</f>
        <v>0</v>
      </c>
      <c r="I14" s="1">
        <f>SUMIFS(Partidos!$J$2:$J$73,Partidos!$M$2:$M$73,B14)+SUMIFS(Partidos!$I$2:$I$73,Partidos!$N$2:$N$73,B14)</f>
        <v>0</v>
      </c>
      <c r="J14" s="1">
        <f t="shared" si="1"/>
        <v>0</v>
      </c>
      <c r="K14" s="1">
        <f t="shared" si="2"/>
        <v>0</v>
      </c>
      <c r="L14" s="1">
        <v>0</v>
      </c>
      <c r="M14" s="1" t="str">
        <f t="shared" si="3"/>
        <v/>
      </c>
      <c r="N14" s="1" t="str">
        <f t="shared" si="4"/>
        <v/>
      </c>
      <c r="O14" s="1" t="str">
        <f t="shared" si="5"/>
        <v/>
      </c>
      <c r="P14" s="1" t="str">
        <f t="shared" si="6"/>
        <v>Estados Unidos</v>
      </c>
      <c r="Q14" s="1" t="str">
        <f t="shared" si="7"/>
        <v>USA</v>
      </c>
    </row>
    <row r="15" spans="1:26" ht="14.25" customHeight="1" x14ac:dyDescent="0.25">
      <c r="A15" s="1" t="s">
        <v>72</v>
      </c>
      <c r="B15" s="1" t="s">
        <v>77</v>
      </c>
      <c r="C15" s="1" t="s">
        <v>78</v>
      </c>
      <c r="D15" s="1">
        <f>COUNTIFS(Partidos!$M$2:$M$73,B15,Partidos!$I$2:$I$73,"&lt;&gt;")+COUNTIFS(Partidos!$N$2:$N$73,B15,Partidos!$J$2:$J$73,"&lt;&gt;")</f>
        <v>0</v>
      </c>
      <c r="E15" s="1">
        <f>SUMPRODUCT((Partidos!$M$2:$M$73=B15)*(Partidos!$I$2:$I$73&lt;&gt;"")*(Partidos!$I$2:$I$73&gt;Partidos!$J$2:$J$73))+SUMPRODUCT((Partidos!$N$2:$N$73=B15)*(Partidos!$J$2:$J$73&lt;&gt;"")*(Partidos!$J$2:$J$73&gt;Partidos!$I$2:$I$73))</f>
        <v>0</v>
      </c>
      <c r="F15" s="1">
        <f>SUMPRODUCT((Partidos!$M$2:$M$73=B15)*(Partidos!$I$2:$I$73&lt;&gt;"")*(Partidos!$I$2:$I$73=Partidos!$J$2:$J$73))+SUMPRODUCT((Partidos!$N$2:$N$73=B15)*(Partidos!$J$2:$J$73&lt;&gt;"")*(Partidos!$J$2:$J$73=Partidos!$I$2:$I$73))</f>
        <v>0</v>
      </c>
      <c r="G15" s="1">
        <f t="shared" si="0"/>
        <v>0</v>
      </c>
      <c r="H15" s="1">
        <f>SUMIFS(Partidos!$I$2:$I$73,Partidos!$M$2:$M$73,B15)+SUMIFS(Partidos!$J$2:$J$73,Partidos!$N$2:$N$73,B15)</f>
        <v>0</v>
      </c>
      <c r="I15" s="1">
        <f>SUMIFS(Partidos!$J$2:$J$73,Partidos!$M$2:$M$73,B15)+SUMIFS(Partidos!$I$2:$I$73,Partidos!$N$2:$N$73,B15)</f>
        <v>0</v>
      </c>
      <c r="J15" s="1">
        <f t="shared" si="1"/>
        <v>0</v>
      </c>
      <c r="K15" s="1">
        <f t="shared" si="2"/>
        <v>0</v>
      </c>
      <c r="L15" s="1">
        <v>0</v>
      </c>
      <c r="M15" s="1" t="str">
        <f t="shared" si="3"/>
        <v/>
      </c>
      <c r="N15" s="1" t="str">
        <f t="shared" si="4"/>
        <v/>
      </c>
      <c r="O15" s="1" t="str">
        <f t="shared" si="5"/>
        <v/>
      </c>
      <c r="P15" s="1" t="str">
        <f t="shared" si="6"/>
        <v>Paraguay</v>
      </c>
      <c r="Q15" s="1" t="str">
        <f t="shared" si="7"/>
        <v>PAR</v>
      </c>
    </row>
    <row r="16" spans="1:26" ht="14.25" customHeight="1" x14ac:dyDescent="0.25">
      <c r="A16" s="1" t="s">
        <v>72</v>
      </c>
      <c r="B16" s="1" t="s">
        <v>80</v>
      </c>
      <c r="C16" s="1" t="s">
        <v>81</v>
      </c>
      <c r="D16" s="1">
        <f>COUNTIFS(Partidos!$M$2:$M$73,B16,Partidos!$I$2:$I$73,"&lt;&gt;")+COUNTIFS(Partidos!$N$2:$N$73,B16,Partidos!$J$2:$J$73,"&lt;&gt;")</f>
        <v>0</v>
      </c>
      <c r="E16" s="1">
        <f>SUMPRODUCT((Partidos!$M$2:$M$73=B16)*(Partidos!$I$2:$I$73&lt;&gt;"")*(Partidos!$I$2:$I$73&gt;Partidos!$J$2:$J$73))+SUMPRODUCT((Partidos!$N$2:$N$73=B16)*(Partidos!$J$2:$J$73&lt;&gt;"")*(Partidos!$J$2:$J$73&gt;Partidos!$I$2:$I$73))</f>
        <v>0</v>
      </c>
      <c r="F16" s="1">
        <f>SUMPRODUCT((Partidos!$M$2:$M$73=B16)*(Partidos!$I$2:$I$73&lt;&gt;"")*(Partidos!$I$2:$I$73=Partidos!$J$2:$J$73))+SUMPRODUCT((Partidos!$N$2:$N$73=B16)*(Partidos!$J$2:$J$73&lt;&gt;"")*(Partidos!$J$2:$J$73=Partidos!$I$2:$I$73))</f>
        <v>0</v>
      </c>
      <c r="G16" s="1">
        <f t="shared" si="0"/>
        <v>0</v>
      </c>
      <c r="H16" s="1">
        <f>SUMIFS(Partidos!$I$2:$I$73,Partidos!$M$2:$M$73,B16)+SUMIFS(Partidos!$J$2:$J$73,Partidos!$N$2:$N$73,B16)</f>
        <v>0</v>
      </c>
      <c r="I16" s="1">
        <f>SUMIFS(Partidos!$J$2:$J$73,Partidos!$M$2:$M$73,B16)+SUMIFS(Partidos!$I$2:$I$73,Partidos!$N$2:$N$73,B16)</f>
        <v>0</v>
      </c>
      <c r="J16" s="1">
        <f t="shared" si="1"/>
        <v>0</v>
      </c>
      <c r="K16" s="1">
        <f t="shared" si="2"/>
        <v>0</v>
      </c>
      <c r="L16" s="1">
        <v>0</v>
      </c>
      <c r="M16" s="1" t="str">
        <f t="shared" si="3"/>
        <v/>
      </c>
      <c r="N16" s="1" t="str">
        <f t="shared" si="4"/>
        <v/>
      </c>
      <c r="O16" s="1" t="str">
        <f t="shared" si="5"/>
        <v/>
      </c>
      <c r="P16" s="1" t="str">
        <f t="shared" si="6"/>
        <v>Australia</v>
      </c>
      <c r="Q16" s="1" t="str">
        <f t="shared" si="7"/>
        <v>AUS</v>
      </c>
    </row>
    <row r="17" spans="1:17" ht="14.25" customHeight="1" x14ac:dyDescent="0.25">
      <c r="A17" s="1" t="s">
        <v>72</v>
      </c>
      <c r="B17" s="1" t="s">
        <v>83</v>
      </c>
      <c r="C17" s="1" t="s">
        <v>84</v>
      </c>
      <c r="D17" s="1">
        <f>COUNTIFS(Partidos!$M$2:$M$73,B17,Partidos!$I$2:$I$73,"&lt;&gt;")+COUNTIFS(Partidos!$N$2:$N$73,B17,Partidos!$J$2:$J$73,"&lt;&gt;")</f>
        <v>0</v>
      </c>
      <c r="E17" s="1">
        <f>SUMPRODUCT((Partidos!$M$2:$M$73=B17)*(Partidos!$I$2:$I$73&lt;&gt;"")*(Partidos!$I$2:$I$73&gt;Partidos!$J$2:$J$73))+SUMPRODUCT((Partidos!$N$2:$N$73=B17)*(Partidos!$J$2:$J$73&lt;&gt;"")*(Partidos!$J$2:$J$73&gt;Partidos!$I$2:$I$73))</f>
        <v>0</v>
      </c>
      <c r="F17" s="1">
        <f>SUMPRODUCT((Partidos!$M$2:$M$73=B17)*(Partidos!$I$2:$I$73&lt;&gt;"")*(Partidos!$I$2:$I$73=Partidos!$J$2:$J$73))+SUMPRODUCT((Partidos!$N$2:$N$73=B17)*(Partidos!$J$2:$J$73&lt;&gt;"")*(Partidos!$J$2:$J$73=Partidos!$I$2:$I$73))</f>
        <v>0</v>
      </c>
      <c r="G17" s="1">
        <f t="shared" si="0"/>
        <v>0</v>
      </c>
      <c r="H17" s="1">
        <f>SUMIFS(Partidos!$I$2:$I$73,Partidos!$M$2:$M$73,B17)+SUMIFS(Partidos!$J$2:$J$73,Partidos!$N$2:$N$73,B17)</f>
        <v>0</v>
      </c>
      <c r="I17" s="1">
        <f>SUMIFS(Partidos!$J$2:$J$73,Partidos!$M$2:$M$73,B17)+SUMIFS(Partidos!$I$2:$I$73,Partidos!$N$2:$N$73,B17)</f>
        <v>0</v>
      </c>
      <c r="J17" s="1">
        <f t="shared" si="1"/>
        <v>0</v>
      </c>
      <c r="K17" s="1">
        <f t="shared" si="2"/>
        <v>0</v>
      </c>
      <c r="L17" s="1">
        <v>0</v>
      </c>
      <c r="M17" s="1" t="str">
        <f t="shared" si="3"/>
        <v/>
      </c>
      <c r="N17" s="1" t="str">
        <f t="shared" si="4"/>
        <v/>
      </c>
      <c r="O17" s="1" t="str">
        <f t="shared" si="5"/>
        <v/>
      </c>
      <c r="P17" s="1" t="str">
        <f t="shared" si="6"/>
        <v>Türkiye</v>
      </c>
      <c r="Q17" s="1" t="str">
        <f t="shared" si="7"/>
        <v>TUR</v>
      </c>
    </row>
    <row r="18" spans="1:17" ht="14.25" customHeight="1" x14ac:dyDescent="0.25">
      <c r="A18" s="1" t="s">
        <v>85</v>
      </c>
      <c r="B18" s="1" t="s">
        <v>87</v>
      </c>
      <c r="C18" s="1" t="s">
        <v>88</v>
      </c>
      <c r="D18" s="1">
        <f>COUNTIFS(Partidos!$M$2:$M$73,B18,Partidos!$I$2:$I$73,"&lt;&gt;")+COUNTIFS(Partidos!$N$2:$N$73,B18,Partidos!$J$2:$J$73,"&lt;&gt;")</f>
        <v>0</v>
      </c>
      <c r="E18" s="1">
        <f>SUMPRODUCT((Partidos!$M$2:$M$73=B18)*(Partidos!$I$2:$I$73&lt;&gt;"")*(Partidos!$I$2:$I$73&gt;Partidos!$J$2:$J$73))+SUMPRODUCT((Partidos!$N$2:$N$73=B18)*(Partidos!$J$2:$J$73&lt;&gt;"")*(Partidos!$J$2:$J$73&gt;Partidos!$I$2:$I$73))</f>
        <v>0</v>
      </c>
      <c r="F18" s="1">
        <f>SUMPRODUCT((Partidos!$M$2:$M$73=B18)*(Partidos!$I$2:$I$73&lt;&gt;"")*(Partidos!$I$2:$I$73=Partidos!$J$2:$J$73))+SUMPRODUCT((Partidos!$N$2:$N$73=B18)*(Partidos!$J$2:$J$73&lt;&gt;"")*(Partidos!$J$2:$J$73=Partidos!$I$2:$I$73))</f>
        <v>0</v>
      </c>
      <c r="G18" s="1">
        <f t="shared" si="0"/>
        <v>0</v>
      </c>
      <c r="H18" s="1">
        <f>SUMIFS(Partidos!$I$2:$I$73,Partidos!$M$2:$M$73,B18)+SUMIFS(Partidos!$J$2:$J$73,Partidos!$N$2:$N$73,B18)</f>
        <v>0</v>
      </c>
      <c r="I18" s="1">
        <f>SUMIFS(Partidos!$J$2:$J$73,Partidos!$M$2:$M$73,B18)+SUMIFS(Partidos!$I$2:$I$73,Partidos!$N$2:$N$73,B18)</f>
        <v>0</v>
      </c>
      <c r="J18" s="1">
        <f t="shared" si="1"/>
        <v>0</v>
      </c>
      <c r="K18" s="1">
        <f t="shared" si="2"/>
        <v>0</v>
      </c>
      <c r="L18" s="1">
        <v>0</v>
      </c>
      <c r="M18" s="1" t="str">
        <f t="shared" si="3"/>
        <v/>
      </c>
      <c r="N18" s="1" t="str">
        <f t="shared" si="4"/>
        <v/>
      </c>
      <c r="O18" s="1" t="str">
        <f t="shared" si="5"/>
        <v/>
      </c>
      <c r="P18" s="1" t="str">
        <f t="shared" si="6"/>
        <v>Alemania</v>
      </c>
      <c r="Q18" s="1" t="str">
        <f t="shared" si="7"/>
        <v>GER</v>
      </c>
    </row>
    <row r="19" spans="1:17" ht="14.25" customHeight="1" x14ac:dyDescent="0.25">
      <c r="A19" s="1" t="s">
        <v>85</v>
      </c>
      <c r="B19" s="1" t="s">
        <v>90</v>
      </c>
      <c r="C19" s="1" t="s">
        <v>91</v>
      </c>
      <c r="D19" s="1">
        <f>COUNTIFS(Partidos!$M$2:$M$73,B19,Partidos!$I$2:$I$73,"&lt;&gt;")+COUNTIFS(Partidos!$N$2:$N$73,B19,Partidos!$J$2:$J$73,"&lt;&gt;")</f>
        <v>0</v>
      </c>
      <c r="E19" s="1">
        <f>SUMPRODUCT((Partidos!$M$2:$M$73=B19)*(Partidos!$I$2:$I$73&lt;&gt;"")*(Partidos!$I$2:$I$73&gt;Partidos!$J$2:$J$73))+SUMPRODUCT((Partidos!$N$2:$N$73=B19)*(Partidos!$J$2:$J$73&lt;&gt;"")*(Partidos!$J$2:$J$73&gt;Partidos!$I$2:$I$73))</f>
        <v>0</v>
      </c>
      <c r="F19" s="1">
        <f>SUMPRODUCT((Partidos!$M$2:$M$73=B19)*(Partidos!$I$2:$I$73&lt;&gt;"")*(Partidos!$I$2:$I$73=Partidos!$J$2:$J$73))+SUMPRODUCT((Partidos!$N$2:$N$73=B19)*(Partidos!$J$2:$J$73&lt;&gt;"")*(Partidos!$J$2:$J$73=Partidos!$I$2:$I$73))</f>
        <v>0</v>
      </c>
      <c r="G19" s="1">
        <f t="shared" si="0"/>
        <v>0</v>
      </c>
      <c r="H19" s="1">
        <f>SUMIFS(Partidos!$I$2:$I$73,Partidos!$M$2:$M$73,B19)+SUMIFS(Partidos!$J$2:$J$73,Partidos!$N$2:$N$73,B19)</f>
        <v>0</v>
      </c>
      <c r="I19" s="1">
        <f>SUMIFS(Partidos!$J$2:$J$73,Partidos!$M$2:$M$73,B19)+SUMIFS(Partidos!$I$2:$I$73,Partidos!$N$2:$N$73,B19)</f>
        <v>0</v>
      </c>
      <c r="J19" s="1">
        <f t="shared" si="1"/>
        <v>0</v>
      </c>
      <c r="K19" s="1">
        <f t="shared" si="2"/>
        <v>0</v>
      </c>
      <c r="L19" s="1">
        <v>0</v>
      </c>
      <c r="M19" s="1" t="str">
        <f t="shared" si="3"/>
        <v/>
      </c>
      <c r="N19" s="1" t="str">
        <f t="shared" si="4"/>
        <v/>
      </c>
      <c r="O19" s="1" t="str">
        <f t="shared" si="5"/>
        <v/>
      </c>
      <c r="P19" s="1" t="str">
        <f t="shared" si="6"/>
        <v>Curazao</v>
      </c>
      <c r="Q19" s="1" t="str">
        <f t="shared" si="7"/>
        <v>CUW</v>
      </c>
    </row>
    <row r="20" spans="1:17" ht="14.25" customHeight="1" x14ac:dyDescent="0.25">
      <c r="A20" s="1" t="s">
        <v>85</v>
      </c>
      <c r="B20" s="1" t="s">
        <v>93</v>
      </c>
      <c r="C20" s="1" t="s">
        <v>94</v>
      </c>
      <c r="D20" s="1">
        <f>COUNTIFS(Partidos!$M$2:$M$73,B20,Partidos!$I$2:$I$73,"&lt;&gt;")+COUNTIFS(Partidos!$N$2:$N$73,B20,Partidos!$J$2:$J$73,"&lt;&gt;")</f>
        <v>0</v>
      </c>
      <c r="E20" s="1">
        <f>SUMPRODUCT((Partidos!$M$2:$M$73=B20)*(Partidos!$I$2:$I$73&lt;&gt;"")*(Partidos!$I$2:$I$73&gt;Partidos!$J$2:$J$73))+SUMPRODUCT((Partidos!$N$2:$N$73=B20)*(Partidos!$J$2:$J$73&lt;&gt;"")*(Partidos!$J$2:$J$73&gt;Partidos!$I$2:$I$73))</f>
        <v>0</v>
      </c>
      <c r="F20" s="1">
        <f>SUMPRODUCT((Partidos!$M$2:$M$73=B20)*(Partidos!$I$2:$I$73&lt;&gt;"")*(Partidos!$I$2:$I$73=Partidos!$J$2:$J$73))+SUMPRODUCT((Partidos!$N$2:$N$73=B20)*(Partidos!$J$2:$J$73&lt;&gt;"")*(Partidos!$J$2:$J$73=Partidos!$I$2:$I$73))</f>
        <v>0</v>
      </c>
      <c r="G20" s="1">
        <f t="shared" si="0"/>
        <v>0</v>
      </c>
      <c r="H20" s="1">
        <f>SUMIFS(Partidos!$I$2:$I$73,Partidos!$M$2:$M$73,B20)+SUMIFS(Partidos!$J$2:$J$73,Partidos!$N$2:$N$73,B20)</f>
        <v>0</v>
      </c>
      <c r="I20" s="1">
        <f>SUMIFS(Partidos!$J$2:$J$73,Partidos!$M$2:$M$73,B20)+SUMIFS(Partidos!$I$2:$I$73,Partidos!$N$2:$N$73,B20)</f>
        <v>0</v>
      </c>
      <c r="J20" s="1">
        <f t="shared" si="1"/>
        <v>0</v>
      </c>
      <c r="K20" s="1">
        <f t="shared" si="2"/>
        <v>0</v>
      </c>
      <c r="L20" s="1">
        <v>0</v>
      </c>
      <c r="M20" s="1" t="str">
        <f t="shared" si="3"/>
        <v/>
      </c>
      <c r="N20" s="1" t="str">
        <f t="shared" si="4"/>
        <v/>
      </c>
      <c r="O20" s="1" t="str">
        <f t="shared" si="5"/>
        <v/>
      </c>
      <c r="P20" s="1" t="str">
        <f t="shared" si="6"/>
        <v>Costa de Marfil</v>
      </c>
      <c r="Q20" s="1" t="str">
        <f t="shared" si="7"/>
        <v>CIV</v>
      </c>
    </row>
    <row r="21" spans="1:17" ht="14.25" customHeight="1" x14ac:dyDescent="0.25">
      <c r="A21" s="1" t="s">
        <v>85</v>
      </c>
      <c r="B21" s="1" t="s">
        <v>96</v>
      </c>
      <c r="C21" s="1" t="s">
        <v>97</v>
      </c>
      <c r="D21" s="1">
        <f>COUNTIFS(Partidos!$M$2:$M$73,B21,Partidos!$I$2:$I$73,"&lt;&gt;")+COUNTIFS(Partidos!$N$2:$N$73,B21,Partidos!$J$2:$J$73,"&lt;&gt;")</f>
        <v>0</v>
      </c>
      <c r="E21" s="1">
        <f>SUMPRODUCT((Partidos!$M$2:$M$73=B21)*(Partidos!$I$2:$I$73&lt;&gt;"")*(Partidos!$I$2:$I$73&gt;Partidos!$J$2:$J$73))+SUMPRODUCT((Partidos!$N$2:$N$73=B21)*(Partidos!$J$2:$J$73&lt;&gt;"")*(Partidos!$J$2:$J$73&gt;Partidos!$I$2:$I$73))</f>
        <v>0</v>
      </c>
      <c r="F21" s="1">
        <f>SUMPRODUCT((Partidos!$M$2:$M$73=B21)*(Partidos!$I$2:$I$73&lt;&gt;"")*(Partidos!$I$2:$I$73=Partidos!$J$2:$J$73))+SUMPRODUCT((Partidos!$N$2:$N$73=B21)*(Partidos!$J$2:$J$73&lt;&gt;"")*(Partidos!$J$2:$J$73=Partidos!$I$2:$I$73))</f>
        <v>0</v>
      </c>
      <c r="G21" s="1">
        <f t="shared" si="0"/>
        <v>0</v>
      </c>
      <c r="H21" s="1">
        <f>SUMIFS(Partidos!$I$2:$I$73,Partidos!$M$2:$M$73,B21)+SUMIFS(Partidos!$J$2:$J$73,Partidos!$N$2:$N$73,B21)</f>
        <v>0</v>
      </c>
      <c r="I21" s="1">
        <f>SUMIFS(Partidos!$J$2:$J$73,Partidos!$M$2:$M$73,B21)+SUMIFS(Partidos!$I$2:$I$73,Partidos!$N$2:$N$73,B21)</f>
        <v>0</v>
      </c>
      <c r="J21" s="1">
        <f t="shared" si="1"/>
        <v>0</v>
      </c>
      <c r="K21" s="1">
        <f t="shared" si="2"/>
        <v>0</v>
      </c>
      <c r="L21" s="1">
        <v>0</v>
      </c>
      <c r="M21" s="1" t="str">
        <f t="shared" si="3"/>
        <v/>
      </c>
      <c r="N21" s="1" t="str">
        <f t="shared" si="4"/>
        <v/>
      </c>
      <c r="O21" s="1" t="str">
        <f t="shared" si="5"/>
        <v/>
      </c>
      <c r="P21" s="1" t="str">
        <f t="shared" si="6"/>
        <v>Ecuador</v>
      </c>
      <c r="Q21" s="1" t="str">
        <f t="shared" si="7"/>
        <v>ECU</v>
      </c>
    </row>
    <row r="22" spans="1:17" ht="14.25" customHeight="1" x14ac:dyDescent="0.25">
      <c r="A22" s="1" t="s">
        <v>98</v>
      </c>
      <c r="B22" s="1" t="s">
        <v>100</v>
      </c>
      <c r="C22" s="1" t="s">
        <v>101</v>
      </c>
      <c r="D22" s="1">
        <f>COUNTIFS(Partidos!$M$2:$M$73,B22,Partidos!$I$2:$I$73,"&lt;&gt;")+COUNTIFS(Partidos!$N$2:$N$73,B22,Partidos!$J$2:$J$73,"&lt;&gt;")</f>
        <v>0</v>
      </c>
      <c r="E22" s="1">
        <f>SUMPRODUCT((Partidos!$M$2:$M$73=B22)*(Partidos!$I$2:$I$73&lt;&gt;"")*(Partidos!$I$2:$I$73&gt;Partidos!$J$2:$J$73))+SUMPRODUCT((Partidos!$N$2:$N$73=B22)*(Partidos!$J$2:$J$73&lt;&gt;"")*(Partidos!$J$2:$J$73&gt;Partidos!$I$2:$I$73))</f>
        <v>0</v>
      </c>
      <c r="F22" s="1">
        <f>SUMPRODUCT((Partidos!$M$2:$M$73=B22)*(Partidos!$I$2:$I$73&lt;&gt;"")*(Partidos!$I$2:$I$73=Partidos!$J$2:$J$73))+SUMPRODUCT((Partidos!$N$2:$N$73=B22)*(Partidos!$J$2:$J$73&lt;&gt;"")*(Partidos!$J$2:$J$73=Partidos!$I$2:$I$73))</f>
        <v>0</v>
      </c>
      <c r="G22" s="1">
        <f t="shared" si="0"/>
        <v>0</v>
      </c>
      <c r="H22" s="1">
        <f>SUMIFS(Partidos!$I$2:$I$73,Partidos!$M$2:$M$73,B22)+SUMIFS(Partidos!$J$2:$J$73,Partidos!$N$2:$N$73,B22)</f>
        <v>0</v>
      </c>
      <c r="I22" s="1">
        <f>SUMIFS(Partidos!$J$2:$J$73,Partidos!$M$2:$M$73,B22)+SUMIFS(Partidos!$I$2:$I$73,Partidos!$N$2:$N$73,B22)</f>
        <v>0</v>
      </c>
      <c r="J22" s="1">
        <f t="shared" si="1"/>
        <v>0</v>
      </c>
      <c r="K22" s="1">
        <f t="shared" si="2"/>
        <v>0</v>
      </c>
      <c r="L22" s="1">
        <v>0</v>
      </c>
      <c r="M22" s="1" t="str">
        <f t="shared" si="3"/>
        <v/>
      </c>
      <c r="N22" s="1" t="str">
        <f t="shared" si="4"/>
        <v/>
      </c>
      <c r="O22" s="1" t="str">
        <f t="shared" si="5"/>
        <v/>
      </c>
      <c r="P22" s="1" t="str">
        <f t="shared" si="6"/>
        <v>Países Bajos</v>
      </c>
      <c r="Q22" s="1" t="str">
        <f t="shared" si="7"/>
        <v>NED</v>
      </c>
    </row>
    <row r="23" spans="1:17" ht="14.25" customHeight="1" x14ac:dyDescent="0.25">
      <c r="A23" s="1" t="s">
        <v>98</v>
      </c>
      <c r="B23" s="1" t="s">
        <v>103</v>
      </c>
      <c r="C23" s="1" t="s">
        <v>104</v>
      </c>
      <c r="D23" s="1">
        <f>COUNTIFS(Partidos!$M$2:$M$73,B23,Partidos!$I$2:$I$73,"&lt;&gt;")+COUNTIFS(Partidos!$N$2:$N$73,B23,Partidos!$J$2:$J$73,"&lt;&gt;")</f>
        <v>0</v>
      </c>
      <c r="E23" s="1">
        <f>SUMPRODUCT((Partidos!$M$2:$M$73=B23)*(Partidos!$I$2:$I$73&lt;&gt;"")*(Partidos!$I$2:$I$73&gt;Partidos!$J$2:$J$73))+SUMPRODUCT((Partidos!$N$2:$N$73=B23)*(Partidos!$J$2:$J$73&lt;&gt;"")*(Partidos!$J$2:$J$73&gt;Partidos!$I$2:$I$73))</f>
        <v>0</v>
      </c>
      <c r="F23" s="1">
        <f>SUMPRODUCT((Partidos!$M$2:$M$73=B23)*(Partidos!$I$2:$I$73&lt;&gt;"")*(Partidos!$I$2:$I$73=Partidos!$J$2:$J$73))+SUMPRODUCT((Partidos!$N$2:$N$73=B23)*(Partidos!$J$2:$J$73&lt;&gt;"")*(Partidos!$J$2:$J$73=Partidos!$I$2:$I$73))</f>
        <v>0</v>
      </c>
      <c r="G23" s="1">
        <f t="shared" si="0"/>
        <v>0</v>
      </c>
      <c r="H23" s="1">
        <f>SUMIFS(Partidos!$I$2:$I$73,Partidos!$M$2:$M$73,B23)+SUMIFS(Partidos!$J$2:$J$73,Partidos!$N$2:$N$73,B23)</f>
        <v>0</v>
      </c>
      <c r="I23" s="1">
        <f>SUMIFS(Partidos!$J$2:$J$73,Partidos!$M$2:$M$73,B23)+SUMIFS(Partidos!$I$2:$I$73,Partidos!$N$2:$N$73,B23)</f>
        <v>0</v>
      </c>
      <c r="J23" s="1">
        <f t="shared" si="1"/>
        <v>0</v>
      </c>
      <c r="K23" s="1">
        <f t="shared" si="2"/>
        <v>0</v>
      </c>
      <c r="L23" s="1">
        <v>0</v>
      </c>
      <c r="M23" s="1" t="str">
        <f t="shared" si="3"/>
        <v/>
      </c>
      <c r="N23" s="1" t="str">
        <f t="shared" si="4"/>
        <v/>
      </c>
      <c r="O23" s="1" t="str">
        <f t="shared" si="5"/>
        <v/>
      </c>
      <c r="P23" s="1" t="str">
        <f t="shared" si="6"/>
        <v>Japón</v>
      </c>
      <c r="Q23" s="1" t="str">
        <f t="shared" si="7"/>
        <v>JPN</v>
      </c>
    </row>
    <row r="24" spans="1:17" ht="14.25" customHeight="1" x14ac:dyDescent="0.25">
      <c r="A24" s="1" t="s">
        <v>98</v>
      </c>
      <c r="B24" s="1" t="s">
        <v>106</v>
      </c>
      <c r="C24" s="1" t="s">
        <v>107</v>
      </c>
      <c r="D24" s="1">
        <f>COUNTIFS(Partidos!$M$2:$M$73,B24,Partidos!$I$2:$I$73,"&lt;&gt;")+COUNTIFS(Partidos!$N$2:$N$73,B24,Partidos!$J$2:$J$73,"&lt;&gt;")</f>
        <v>0</v>
      </c>
      <c r="E24" s="1">
        <f>SUMPRODUCT((Partidos!$M$2:$M$73=B24)*(Partidos!$I$2:$I$73&lt;&gt;"")*(Partidos!$I$2:$I$73&gt;Partidos!$J$2:$J$73))+SUMPRODUCT((Partidos!$N$2:$N$73=B24)*(Partidos!$J$2:$J$73&lt;&gt;"")*(Partidos!$J$2:$J$73&gt;Partidos!$I$2:$I$73))</f>
        <v>0</v>
      </c>
      <c r="F24" s="1">
        <f>SUMPRODUCT((Partidos!$M$2:$M$73=B24)*(Partidos!$I$2:$I$73&lt;&gt;"")*(Partidos!$I$2:$I$73=Partidos!$J$2:$J$73))+SUMPRODUCT((Partidos!$N$2:$N$73=B24)*(Partidos!$J$2:$J$73&lt;&gt;"")*(Partidos!$J$2:$J$73=Partidos!$I$2:$I$73))</f>
        <v>0</v>
      </c>
      <c r="G24" s="1">
        <f t="shared" si="0"/>
        <v>0</v>
      </c>
      <c r="H24" s="1">
        <f>SUMIFS(Partidos!$I$2:$I$73,Partidos!$M$2:$M$73,B24)+SUMIFS(Partidos!$J$2:$J$73,Partidos!$N$2:$N$73,B24)</f>
        <v>0</v>
      </c>
      <c r="I24" s="1">
        <f>SUMIFS(Partidos!$J$2:$J$73,Partidos!$M$2:$M$73,B24)+SUMIFS(Partidos!$I$2:$I$73,Partidos!$N$2:$N$73,B24)</f>
        <v>0</v>
      </c>
      <c r="J24" s="1">
        <f t="shared" si="1"/>
        <v>0</v>
      </c>
      <c r="K24" s="1">
        <f t="shared" si="2"/>
        <v>0</v>
      </c>
      <c r="L24" s="1">
        <v>0</v>
      </c>
      <c r="M24" s="1" t="str">
        <f t="shared" si="3"/>
        <v/>
      </c>
      <c r="N24" s="1" t="str">
        <f t="shared" si="4"/>
        <v/>
      </c>
      <c r="O24" s="1" t="str">
        <f t="shared" si="5"/>
        <v/>
      </c>
      <c r="P24" s="1" t="str">
        <f t="shared" si="6"/>
        <v>Suecia</v>
      </c>
      <c r="Q24" s="1" t="str">
        <f t="shared" si="7"/>
        <v>SWE</v>
      </c>
    </row>
    <row r="25" spans="1:17" ht="14.25" customHeight="1" x14ac:dyDescent="0.25">
      <c r="A25" s="1" t="s">
        <v>98</v>
      </c>
      <c r="B25" s="1" t="s">
        <v>109</v>
      </c>
      <c r="C25" s="1" t="s">
        <v>110</v>
      </c>
      <c r="D25" s="1">
        <f>COUNTIFS(Partidos!$M$2:$M$73,B25,Partidos!$I$2:$I$73,"&lt;&gt;")+COUNTIFS(Partidos!$N$2:$N$73,B25,Partidos!$J$2:$J$73,"&lt;&gt;")</f>
        <v>0</v>
      </c>
      <c r="E25" s="1">
        <f>SUMPRODUCT((Partidos!$M$2:$M$73=B25)*(Partidos!$I$2:$I$73&lt;&gt;"")*(Partidos!$I$2:$I$73&gt;Partidos!$J$2:$J$73))+SUMPRODUCT((Partidos!$N$2:$N$73=B25)*(Partidos!$J$2:$J$73&lt;&gt;"")*(Partidos!$J$2:$J$73&gt;Partidos!$I$2:$I$73))</f>
        <v>0</v>
      </c>
      <c r="F25" s="1">
        <f>SUMPRODUCT((Partidos!$M$2:$M$73=B25)*(Partidos!$I$2:$I$73&lt;&gt;"")*(Partidos!$I$2:$I$73=Partidos!$J$2:$J$73))+SUMPRODUCT((Partidos!$N$2:$N$73=B25)*(Partidos!$J$2:$J$73&lt;&gt;"")*(Partidos!$J$2:$J$73=Partidos!$I$2:$I$73))</f>
        <v>0</v>
      </c>
      <c r="G25" s="1">
        <f t="shared" si="0"/>
        <v>0</v>
      </c>
      <c r="H25" s="1">
        <f>SUMIFS(Partidos!$I$2:$I$73,Partidos!$M$2:$M$73,B25)+SUMIFS(Partidos!$J$2:$J$73,Partidos!$N$2:$N$73,B25)</f>
        <v>0</v>
      </c>
      <c r="I25" s="1">
        <f>SUMIFS(Partidos!$J$2:$J$73,Partidos!$M$2:$M$73,B25)+SUMIFS(Partidos!$I$2:$I$73,Partidos!$N$2:$N$73,B25)</f>
        <v>0</v>
      </c>
      <c r="J25" s="1">
        <f t="shared" si="1"/>
        <v>0</v>
      </c>
      <c r="K25" s="1">
        <f t="shared" si="2"/>
        <v>0</v>
      </c>
      <c r="L25" s="1">
        <v>0</v>
      </c>
      <c r="M25" s="1" t="str">
        <f t="shared" si="3"/>
        <v/>
      </c>
      <c r="N25" s="1" t="str">
        <f t="shared" si="4"/>
        <v/>
      </c>
      <c r="O25" s="1" t="str">
        <f t="shared" si="5"/>
        <v/>
      </c>
      <c r="P25" s="1" t="str">
        <f t="shared" si="6"/>
        <v>Túnez</v>
      </c>
      <c r="Q25" s="1" t="str">
        <f t="shared" si="7"/>
        <v>TUN</v>
      </c>
    </row>
    <row r="26" spans="1:17" ht="14.25" customHeight="1" x14ac:dyDescent="0.25">
      <c r="A26" s="1" t="s">
        <v>111</v>
      </c>
      <c r="B26" s="1" t="s">
        <v>113</v>
      </c>
      <c r="C26" s="1" t="s">
        <v>114</v>
      </c>
      <c r="D26" s="1">
        <f>COUNTIFS(Partidos!$M$2:$M$73,B26,Partidos!$I$2:$I$73,"&lt;&gt;")+COUNTIFS(Partidos!$N$2:$N$73,B26,Partidos!$J$2:$J$73,"&lt;&gt;")</f>
        <v>0</v>
      </c>
      <c r="E26" s="1">
        <f>SUMPRODUCT((Partidos!$M$2:$M$73=B26)*(Partidos!$I$2:$I$73&lt;&gt;"")*(Partidos!$I$2:$I$73&gt;Partidos!$J$2:$J$73))+SUMPRODUCT((Partidos!$N$2:$N$73=B26)*(Partidos!$J$2:$J$73&lt;&gt;"")*(Partidos!$J$2:$J$73&gt;Partidos!$I$2:$I$73))</f>
        <v>0</v>
      </c>
      <c r="F26" s="1">
        <f>SUMPRODUCT((Partidos!$M$2:$M$73=B26)*(Partidos!$I$2:$I$73&lt;&gt;"")*(Partidos!$I$2:$I$73=Partidos!$J$2:$J$73))+SUMPRODUCT((Partidos!$N$2:$N$73=B26)*(Partidos!$J$2:$J$73&lt;&gt;"")*(Partidos!$J$2:$J$73=Partidos!$I$2:$I$73))</f>
        <v>0</v>
      </c>
      <c r="G26" s="1">
        <f t="shared" si="0"/>
        <v>0</v>
      </c>
      <c r="H26" s="1">
        <f>SUMIFS(Partidos!$I$2:$I$73,Partidos!$M$2:$M$73,B26)+SUMIFS(Partidos!$J$2:$J$73,Partidos!$N$2:$N$73,B26)</f>
        <v>0</v>
      </c>
      <c r="I26" s="1">
        <f>SUMIFS(Partidos!$J$2:$J$73,Partidos!$M$2:$M$73,B26)+SUMIFS(Partidos!$I$2:$I$73,Partidos!$N$2:$N$73,B26)</f>
        <v>0</v>
      </c>
      <c r="J26" s="1">
        <f t="shared" si="1"/>
        <v>0</v>
      </c>
      <c r="K26" s="1">
        <f t="shared" si="2"/>
        <v>0</v>
      </c>
      <c r="L26" s="1">
        <v>0</v>
      </c>
      <c r="M26" s="1" t="str">
        <f t="shared" si="3"/>
        <v/>
      </c>
      <c r="N26" s="1" t="str">
        <f t="shared" si="4"/>
        <v/>
      </c>
      <c r="O26" s="1" t="str">
        <f t="shared" si="5"/>
        <v/>
      </c>
      <c r="P26" s="1" t="str">
        <f t="shared" si="6"/>
        <v>Bélgica</v>
      </c>
      <c r="Q26" s="1" t="str">
        <f t="shared" si="7"/>
        <v>BEL</v>
      </c>
    </row>
    <row r="27" spans="1:17" ht="14.25" customHeight="1" x14ac:dyDescent="0.25">
      <c r="A27" s="1" t="s">
        <v>111</v>
      </c>
      <c r="B27" s="1" t="s">
        <v>116</v>
      </c>
      <c r="C27" s="1" t="s">
        <v>117</v>
      </c>
      <c r="D27" s="1">
        <f>COUNTIFS(Partidos!$M$2:$M$73,B27,Partidos!$I$2:$I$73,"&lt;&gt;")+COUNTIFS(Partidos!$N$2:$N$73,B27,Partidos!$J$2:$J$73,"&lt;&gt;")</f>
        <v>0</v>
      </c>
      <c r="E27" s="1">
        <f>SUMPRODUCT((Partidos!$M$2:$M$73=B27)*(Partidos!$I$2:$I$73&lt;&gt;"")*(Partidos!$I$2:$I$73&gt;Partidos!$J$2:$J$73))+SUMPRODUCT((Partidos!$N$2:$N$73=B27)*(Partidos!$J$2:$J$73&lt;&gt;"")*(Partidos!$J$2:$J$73&gt;Partidos!$I$2:$I$73))</f>
        <v>0</v>
      </c>
      <c r="F27" s="1">
        <f>SUMPRODUCT((Partidos!$M$2:$M$73=B27)*(Partidos!$I$2:$I$73&lt;&gt;"")*(Partidos!$I$2:$I$73=Partidos!$J$2:$J$73))+SUMPRODUCT((Partidos!$N$2:$N$73=B27)*(Partidos!$J$2:$J$73&lt;&gt;"")*(Partidos!$J$2:$J$73=Partidos!$I$2:$I$73))</f>
        <v>0</v>
      </c>
      <c r="G27" s="1">
        <f t="shared" si="0"/>
        <v>0</v>
      </c>
      <c r="H27" s="1">
        <f>SUMIFS(Partidos!$I$2:$I$73,Partidos!$M$2:$M$73,B27)+SUMIFS(Partidos!$J$2:$J$73,Partidos!$N$2:$N$73,B27)</f>
        <v>0</v>
      </c>
      <c r="I27" s="1">
        <f>SUMIFS(Partidos!$J$2:$J$73,Partidos!$M$2:$M$73,B27)+SUMIFS(Partidos!$I$2:$I$73,Partidos!$N$2:$N$73,B27)</f>
        <v>0</v>
      </c>
      <c r="J27" s="1">
        <f t="shared" si="1"/>
        <v>0</v>
      </c>
      <c r="K27" s="1">
        <f t="shared" si="2"/>
        <v>0</v>
      </c>
      <c r="L27" s="1">
        <v>0</v>
      </c>
      <c r="M27" s="1" t="str">
        <f t="shared" si="3"/>
        <v/>
      </c>
      <c r="N27" s="1" t="str">
        <f t="shared" si="4"/>
        <v/>
      </c>
      <c r="O27" s="1" t="str">
        <f t="shared" si="5"/>
        <v/>
      </c>
      <c r="P27" s="1" t="str">
        <f t="shared" si="6"/>
        <v>Egipto</v>
      </c>
      <c r="Q27" s="1" t="str">
        <f t="shared" si="7"/>
        <v>EGY</v>
      </c>
    </row>
    <row r="28" spans="1:17" ht="14.25" customHeight="1" x14ac:dyDescent="0.25">
      <c r="A28" s="1" t="s">
        <v>111</v>
      </c>
      <c r="B28" s="1" t="s">
        <v>119</v>
      </c>
      <c r="C28" s="1" t="s">
        <v>120</v>
      </c>
      <c r="D28" s="1">
        <f>COUNTIFS(Partidos!$M$2:$M$73,B28,Partidos!$I$2:$I$73,"&lt;&gt;")+COUNTIFS(Partidos!$N$2:$N$73,B28,Partidos!$J$2:$J$73,"&lt;&gt;")</f>
        <v>0</v>
      </c>
      <c r="E28" s="1">
        <f>SUMPRODUCT((Partidos!$M$2:$M$73=B28)*(Partidos!$I$2:$I$73&lt;&gt;"")*(Partidos!$I$2:$I$73&gt;Partidos!$J$2:$J$73))+SUMPRODUCT((Partidos!$N$2:$N$73=B28)*(Partidos!$J$2:$J$73&lt;&gt;"")*(Partidos!$J$2:$J$73&gt;Partidos!$I$2:$I$73))</f>
        <v>0</v>
      </c>
      <c r="F28" s="1">
        <f>SUMPRODUCT((Partidos!$M$2:$M$73=B28)*(Partidos!$I$2:$I$73&lt;&gt;"")*(Partidos!$I$2:$I$73=Partidos!$J$2:$J$73))+SUMPRODUCT((Partidos!$N$2:$N$73=B28)*(Partidos!$J$2:$J$73&lt;&gt;"")*(Partidos!$J$2:$J$73=Partidos!$I$2:$I$73))</f>
        <v>0</v>
      </c>
      <c r="G28" s="1">
        <f t="shared" si="0"/>
        <v>0</v>
      </c>
      <c r="H28" s="1">
        <f>SUMIFS(Partidos!$I$2:$I$73,Partidos!$M$2:$M$73,B28)+SUMIFS(Partidos!$J$2:$J$73,Partidos!$N$2:$N$73,B28)</f>
        <v>0</v>
      </c>
      <c r="I28" s="1">
        <f>SUMIFS(Partidos!$J$2:$J$73,Partidos!$M$2:$M$73,B28)+SUMIFS(Partidos!$I$2:$I$73,Partidos!$N$2:$N$73,B28)</f>
        <v>0</v>
      </c>
      <c r="J28" s="1">
        <f t="shared" si="1"/>
        <v>0</v>
      </c>
      <c r="K28" s="1">
        <f t="shared" si="2"/>
        <v>0</v>
      </c>
      <c r="L28" s="1">
        <v>0</v>
      </c>
      <c r="M28" s="1" t="str">
        <f t="shared" si="3"/>
        <v/>
      </c>
      <c r="N28" s="1" t="str">
        <f t="shared" si="4"/>
        <v/>
      </c>
      <c r="O28" s="1" t="str">
        <f t="shared" si="5"/>
        <v/>
      </c>
      <c r="P28" s="1" t="str">
        <f t="shared" si="6"/>
        <v>Irán</v>
      </c>
      <c r="Q28" s="1" t="str">
        <f t="shared" si="7"/>
        <v>IRN</v>
      </c>
    </row>
    <row r="29" spans="1:17" ht="14.25" customHeight="1" x14ac:dyDescent="0.25">
      <c r="A29" s="1" t="s">
        <v>111</v>
      </c>
      <c r="B29" s="1" t="s">
        <v>122</v>
      </c>
      <c r="C29" s="1" t="s">
        <v>123</v>
      </c>
      <c r="D29" s="1">
        <f>COUNTIFS(Partidos!$M$2:$M$73,B29,Partidos!$I$2:$I$73,"&lt;&gt;")+COUNTIFS(Partidos!$N$2:$N$73,B29,Partidos!$J$2:$J$73,"&lt;&gt;")</f>
        <v>0</v>
      </c>
      <c r="E29" s="1">
        <f>SUMPRODUCT((Partidos!$M$2:$M$73=B29)*(Partidos!$I$2:$I$73&lt;&gt;"")*(Partidos!$I$2:$I$73&gt;Partidos!$J$2:$J$73))+SUMPRODUCT((Partidos!$N$2:$N$73=B29)*(Partidos!$J$2:$J$73&lt;&gt;"")*(Partidos!$J$2:$J$73&gt;Partidos!$I$2:$I$73))</f>
        <v>0</v>
      </c>
      <c r="F29" s="1">
        <f>SUMPRODUCT((Partidos!$M$2:$M$73=B29)*(Partidos!$I$2:$I$73&lt;&gt;"")*(Partidos!$I$2:$I$73=Partidos!$J$2:$J$73))+SUMPRODUCT((Partidos!$N$2:$N$73=B29)*(Partidos!$J$2:$J$73&lt;&gt;"")*(Partidos!$J$2:$J$73=Partidos!$I$2:$I$73))</f>
        <v>0</v>
      </c>
      <c r="G29" s="1">
        <f t="shared" si="0"/>
        <v>0</v>
      </c>
      <c r="H29" s="1">
        <f>SUMIFS(Partidos!$I$2:$I$73,Partidos!$M$2:$M$73,B29)+SUMIFS(Partidos!$J$2:$J$73,Partidos!$N$2:$N$73,B29)</f>
        <v>0</v>
      </c>
      <c r="I29" s="1">
        <f>SUMIFS(Partidos!$J$2:$J$73,Partidos!$M$2:$M$73,B29)+SUMIFS(Partidos!$I$2:$I$73,Partidos!$N$2:$N$73,B29)</f>
        <v>0</v>
      </c>
      <c r="J29" s="1">
        <f t="shared" si="1"/>
        <v>0</v>
      </c>
      <c r="K29" s="1">
        <f t="shared" si="2"/>
        <v>0</v>
      </c>
      <c r="L29" s="1">
        <v>0</v>
      </c>
      <c r="M29" s="1" t="str">
        <f t="shared" si="3"/>
        <v/>
      </c>
      <c r="N29" s="1" t="str">
        <f t="shared" si="4"/>
        <v/>
      </c>
      <c r="O29" s="1" t="str">
        <f t="shared" si="5"/>
        <v/>
      </c>
      <c r="P29" s="1" t="str">
        <f t="shared" si="6"/>
        <v>Nueva Zelanda</v>
      </c>
      <c r="Q29" s="1" t="str">
        <f t="shared" si="7"/>
        <v>NZL</v>
      </c>
    </row>
    <row r="30" spans="1:17" ht="14.25" customHeight="1" x14ac:dyDescent="0.25">
      <c r="A30" s="1" t="s">
        <v>124</v>
      </c>
      <c r="B30" s="1" t="s">
        <v>126</v>
      </c>
      <c r="C30" s="1" t="s">
        <v>127</v>
      </c>
      <c r="D30" s="1">
        <f>COUNTIFS(Partidos!$M$2:$M$73,B30,Partidos!$I$2:$I$73,"&lt;&gt;")+COUNTIFS(Partidos!$N$2:$N$73,B30,Partidos!$J$2:$J$73,"&lt;&gt;")</f>
        <v>0</v>
      </c>
      <c r="E30" s="1">
        <f>SUMPRODUCT((Partidos!$M$2:$M$73=B30)*(Partidos!$I$2:$I$73&lt;&gt;"")*(Partidos!$I$2:$I$73&gt;Partidos!$J$2:$J$73))+SUMPRODUCT((Partidos!$N$2:$N$73=B30)*(Partidos!$J$2:$J$73&lt;&gt;"")*(Partidos!$J$2:$J$73&gt;Partidos!$I$2:$I$73))</f>
        <v>0</v>
      </c>
      <c r="F30" s="1">
        <f>SUMPRODUCT((Partidos!$M$2:$M$73=B30)*(Partidos!$I$2:$I$73&lt;&gt;"")*(Partidos!$I$2:$I$73=Partidos!$J$2:$J$73))+SUMPRODUCT((Partidos!$N$2:$N$73=B30)*(Partidos!$J$2:$J$73&lt;&gt;"")*(Partidos!$J$2:$J$73=Partidos!$I$2:$I$73))</f>
        <v>0</v>
      </c>
      <c r="G30" s="1">
        <f t="shared" si="0"/>
        <v>0</v>
      </c>
      <c r="H30" s="1">
        <f>SUMIFS(Partidos!$I$2:$I$73,Partidos!$M$2:$M$73,B30)+SUMIFS(Partidos!$J$2:$J$73,Partidos!$N$2:$N$73,B30)</f>
        <v>0</v>
      </c>
      <c r="I30" s="1">
        <f>SUMIFS(Partidos!$J$2:$J$73,Partidos!$M$2:$M$73,B30)+SUMIFS(Partidos!$I$2:$I$73,Partidos!$N$2:$N$73,B30)</f>
        <v>0</v>
      </c>
      <c r="J30" s="1">
        <f t="shared" si="1"/>
        <v>0</v>
      </c>
      <c r="K30" s="1">
        <f t="shared" si="2"/>
        <v>0</v>
      </c>
      <c r="L30" s="1">
        <v>0</v>
      </c>
      <c r="M30" s="1" t="str">
        <f t="shared" si="3"/>
        <v/>
      </c>
      <c r="N30" s="1" t="str">
        <f t="shared" si="4"/>
        <v/>
      </c>
      <c r="O30" s="1" t="str">
        <f t="shared" si="5"/>
        <v/>
      </c>
      <c r="P30" s="1" t="str">
        <f t="shared" si="6"/>
        <v>España</v>
      </c>
      <c r="Q30" s="1" t="str">
        <f t="shared" si="7"/>
        <v>ESP</v>
      </c>
    </row>
    <row r="31" spans="1:17" ht="14.25" customHeight="1" x14ac:dyDescent="0.25">
      <c r="A31" s="1" t="s">
        <v>124</v>
      </c>
      <c r="B31" s="1" t="s">
        <v>129</v>
      </c>
      <c r="C31" s="1" t="s">
        <v>130</v>
      </c>
      <c r="D31" s="1">
        <f>COUNTIFS(Partidos!$M$2:$M$73,B31,Partidos!$I$2:$I$73,"&lt;&gt;")+COUNTIFS(Partidos!$N$2:$N$73,B31,Partidos!$J$2:$J$73,"&lt;&gt;")</f>
        <v>0</v>
      </c>
      <c r="E31" s="1">
        <f>SUMPRODUCT((Partidos!$M$2:$M$73=B31)*(Partidos!$I$2:$I$73&lt;&gt;"")*(Partidos!$I$2:$I$73&gt;Partidos!$J$2:$J$73))+SUMPRODUCT((Partidos!$N$2:$N$73=B31)*(Partidos!$J$2:$J$73&lt;&gt;"")*(Partidos!$J$2:$J$73&gt;Partidos!$I$2:$I$73))</f>
        <v>0</v>
      </c>
      <c r="F31" s="1">
        <f>SUMPRODUCT((Partidos!$M$2:$M$73=B31)*(Partidos!$I$2:$I$73&lt;&gt;"")*(Partidos!$I$2:$I$73=Partidos!$J$2:$J$73))+SUMPRODUCT((Partidos!$N$2:$N$73=B31)*(Partidos!$J$2:$J$73&lt;&gt;"")*(Partidos!$J$2:$J$73=Partidos!$I$2:$I$73))</f>
        <v>0</v>
      </c>
      <c r="G31" s="1">
        <f t="shared" si="0"/>
        <v>0</v>
      </c>
      <c r="H31" s="1">
        <f>SUMIFS(Partidos!$I$2:$I$73,Partidos!$M$2:$M$73,B31)+SUMIFS(Partidos!$J$2:$J$73,Partidos!$N$2:$N$73,B31)</f>
        <v>0</v>
      </c>
      <c r="I31" s="1">
        <f>SUMIFS(Partidos!$J$2:$J$73,Partidos!$M$2:$M$73,B31)+SUMIFS(Partidos!$I$2:$I$73,Partidos!$N$2:$N$73,B31)</f>
        <v>0</v>
      </c>
      <c r="J31" s="1">
        <f t="shared" si="1"/>
        <v>0</v>
      </c>
      <c r="K31" s="1">
        <f t="shared" si="2"/>
        <v>0</v>
      </c>
      <c r="L31" s="1">
        <v>0</v>
      </c>
      <c r="M31" s="1" t="str">
        <f t="shared" si="3"/>
        <v/>
      </c>
      <c r="N31" s="1" t="str">
        <f t="shared" si="4"/>
        <v/>
      </c>
      <c r="O31" s="1" t="str">
        <f t="shared" si="5"/>
        <v/>
      </c>
      <c r="P31" s="1" t="str">
        <f t="shared" si="6"/>
        <v>Cabo Verde</v>
      </c>
      <c r="Q31" s="1" t="str">
        <f t="shared" si="7"/>
        <v>CPV</v>
      </c>
    </row>
    <row r="32" spans="1:17" ht="14.25" customHeight="1" x14ac:dyDescent="0.25">
      <c r="A32" s="1" t="s">
        <v>124</v>
      </c>
      <c r="B32" s="1" t="s">
        <v>132</v>
      </c>
      <c r="C32" s="1" t="s">
        <v>133</v>
      </c>
      <c r="D32" s="1">
        <f>COUNTIFS(Partidos!$M$2:$M$73,B32,Partidos!$I$2:$I$73,"&lt;&gt;")+COUNTIFS(Partidos!$N$2:$N$73,B32,Partidos!$J$2:$J$73,"&lt;&gt;")</f>
        <v>0</v>
      </c>
      <c r="E32" s="1">
        <f>SUMPRODUCT((Partidos!$M$2:$M$73=B32)*(Partidos!$I$2:$I$73&lt;&gt;"")*(Partidos!$I$2:$I$73&gt;Partidos!$J$2:$J$73))+SUMPRODUCT((Partidos!$N$2:$N$73=B32)*(Partidos!$J$2:$J$73&lt;&gt;"")*(Partidos!$J$2:$J$73&gt;Partidos!$I$2:$I$73))</f>
        <v>0</v>
      </c>
      <c r="F32" s="1">
        <f>SUMPRODUCT((Partidos!$M$2:$M$73=B32)*(Partidos!$I$2:$I$73&lt;&gt;"")*(Partidos!$I$2:$I$73=Partidos!$J$2:$J$73))+SUMPRODUCT((Partidos!$N$2:$N$73=B32)*(Partidos!$J$2:$J$73&lt;&gt;"")*(Partidos!$J$2:$J$73=Partidos!$I$2:$I$73))</f>
        <v>0</v>
      </c>
      <c r="G32" s="1">
        <f t="shared" si="0"/>
        <v>0</v>
      </c>
      <c r="H32" s="1">
        <f>SUMIFS(Partidos!$I$2:$I$73,Partidos!$M$2:$M$73,B32)+SUMIFS(Partidos!$J$2:$J$73,Partidos!$N$2:$N$73,B32)</f>
        <v>0</v>
      </c>
      <c r="I32" s="1">
        <f>SUMIFS(Partidos!$J$2:$J$73,Partidos!$M$2:$M$73,B32)+SUMIFS(Partidos!$I$2:$I$73,Partidos!$N$2:$N$73,B32)</f>
        <v>0</v>
      </c>
      <c r="J32" s="1">
        <f t="shared" si="1"/>
        <v>0</v>
      </c>
      <c r="K32" s="1">
        <f t="shared" si="2"/>
        <v>0</v>
      </c>
      <c r="L32" s="1">
        <v>0</v>
      </c>
      <c r="M32" s="1" t="str">
        <f t="shared" si="3"/>
        <v/>
      </c>
      <c r="N32" s="1" t="str">
        <f t="shared" si="4"/>
        <v/>
      </c>
      <c r="O32" s="1" t="str">
        <f t="shared" si="5"/>
        <v/>
      </c>
      <c r="P32" s="1" t="str">
        <f t="shared" si="6"/>
        <v>Arabia Saudita</v>
      </c>
      <c r="Q32" s="1" t="str">
        <f t="shared" si="7"/>
        <v>KSA</v>
      </c>
    </row>
    <row r="33" spans="1:17" ht="14.25" customHeight="1" x14ac:dyDescent="0.25">
      <c r="A33" s="1" t="s">
        <v>124</v>
      </c>
      <c r="B33" s="1" t="s">
        <v>135</v>
      </c>
      <c r="C33" s="1" t="s">
        <v>136</v>
      </c>
      <c r="D33" s="1">
        <f>COUNTIFS(Partidos!$M$2:$M$73,B33,Partidos!$I$2:$I$73,"&lt;&gt;")+COUNTIFS(Partidos!$N$2:$N$73,B33,Partidos!$J$2:$J$73,"&lt;&gt;")</f>
        <v>0</v>
      </c>
      <c r="E33" s="1">
        <f>SUMPRODUCT((Partidos!$M$2:$M$73=B33)*(Partidos!$I$2:$I$73&lt;&gt;"")*(Partidos!$I$2:$I$73&gt;Partidos!$J$2:$J$73))+SUMPRODUCT((Partidos!$N$2:$N$73=B33)*(Partidos!$J$2:$J$73&lt;&gt;"")*(Partidos!$J$2:$J$73&gt;Partidos!$I$2:$I$73))</f>
        <v>0</v>
      </c>
      <c r="F33" s="1">
        <f>SUMPRODUCT((Partidos!$M$2:$M$73=B33)*(Partidos!$I$2:$I$73&lt;&gt;"")*(Partidos!$I$2:$I$73=Partidos!$J$2:$J$73))+SUMPRODUCT((Partidos!$N$2:$N$73=B33)*(Partidos!$J$2:$J$73&lt;&gt;"")*(Partidos!$J$2:$J$73=Partidos!$I$2:$I$73))</f>
        <v>0</v>
      </c>
      <c r="G33" s="1">
        <f t="shared" si="0"/>
        <v>0</v>
      </c>
      <c r="H33" s="1">
        <f>SUMIFS(Partidos!$I$2:$I$73,Partidos!$M$2:$M$73,B33)+SUMIFS(Partidos!$J$2:$J$73,Partidos!$N$2:$N$73,B33)</f>
        <v>0</v>
      </c>
      <c r="I33" s="1">
        <f>SUMIFS(Partidos!$J$2:$J$73,Partidos!$M$2:$M$73,B33)+SUMIFS(Partidos!$I$2:$I$73,Partidos!$N$2:$N$73,B33)</f>
        <v>0</v>
      </c>
      <c r="J33" s="1">
        <f t="shared" si="1"/>
        <v>0</v>
      </c>
      <c r="K33" s="1">
        <f t="shared" si="2"/>
        <v>0</v>
      </c>
      <c r="L33" s="1">
        <v>0</v>
      </c>
      <c r="M33" s="1" t="str">
        <f t="shared" si="3"/>
        <v/>
      </c>
      <c r="N33" s="1" t="str">
        <f t="shared" si="4"/>
        <v/>
      </c>
      <c r="O33" s="1" t="str">
        <f t="shared" si="5"/>
        <v/>
      </c>
      <c r="P33" s="1" t="str">
        <f t="shared" si="6"/>
        <v>Uruguay</v>
      </c>
      <c r="Q33" s="1" t="str">
        <f t="shared" si="7"/>
        <v>URU</v>
      </c>
    </row>
    <row r="34" spans="1:17" ht="14.25" customHeight="1" x14ac:dyDescent="0.25">
      <c r="A34" s="1" t="s">
        <v>137</v>
      </c>
      <c r="B34" s="1" t="s">
        <v>139</v>
      </c>
      <c r="C34" s="1" t="s">
        <v>140</v>
      </c>
      <c r="D34" s="1">
        <f>COUNTIFS(Partidos!$M$2:$M$73,B34,Partidos!$I$2:$I$73,"&lt;&gt;")+COUNTIFS(Partidos!$N$2:$N$73,B34,Partidos!$J$2:$J$73,"&lt;&gt;")</f>
        <v>0</v>
      </c>
      <c r="E34" s="1">
        <f>SUMPRODUCT((Partidos!$M$2:$M$73=B34)*(Partidos!$I$2:$I$73&lt;&gt;"")*(Partidos!$I$2:$I$73&gt;Partidos!$J$2:$J$73))+SUMPRODUCT((Partidos!$N$2:$N$73=B34)*(Partidos!$J$2:$J$73&lt;&gt;"")*(Partidos!$J$2:$J$73&gt;Partidos!$I$2:$I$73))</f>
        <v>0</v>
      </c>
      <c r="F34" s="1">
        <f>SUMPRODUCT((Partidos!$M$2:$M$73=B34)*(Partidos!$I$2:$I$73&lt;&gt;"")*(Partidos!$I$2:$I$73=Partidos!$J$2:$J$73))+SUMPRODUCT((Partidos!$N$2:$N$73=B34)*(Partidos!$J$2:$J$73&lt;&gt;"")*(Partidos!$J$2:$J$73=Partidos!$I$2:$I$73))</f>
        <v>0</v>
      </c>
      <c r="G34" s="1">
        <f t="shared" si="0"/>
        <v>0</v>
      </c>
      <c r="H34" s="1">
        <f>SUMIFS(Partidos!$I$2:$I$73,Partidos!$M$2:$M$73,B34)+SUMIFS(Partidos!$J$2:$J$73,Partidos!$N$2:$N$73,B34)</f>
        <v>0</v>
      </c>
      <c r="I34" s="1">
        <f>SUMIFS(Partidos!$J$2:$J$73,Partidos!$M$2:$M$73,B34)+SUMIFS(Partidos!$I$2:$I$73,Partidos!$N$2:$N$73,B34)</f>
        <v>0</v>
      </c>
      <c r="J34" s="1">
        <f t="shared" si="1"/>
        <v>0</v>
      </c>
      <c r="K34" s="1">
        <f t="shared" si="2"/>
        <v>0</v>
      </c>
      <c r="L34" s="1">
        <v>0</v>
      </c>
      <c r="M34" s="1" t="str">
        <f t="shared" si="3"/>
        <v/>
      </c>
      <c r="N34" s="1" t="str">
        <f t="shared" si="4"/>
        <v/>
      </c>
      <c r="O34" s="1" t="str">
        <f t="shared" si="5"/>
        <v/>
      </c>
      <c r="P34" s="1" t="str">
        <f t="shared" si="6"/>
        <v>Francia</v>
      </c>
      <c r="Q34" s="1" t="str">
        <f t="shared" si="7"/>
        <v>FRA</v>
      </c>
    </row>
    <row r="35" spans="1:17" ht="14.25" customHeight="1" x14ac:dyDescent="0.25">
      <c r="A35" s="1" t="s">
        <v>137</v>
      </c>
      <c r="B35" s="1" t="s">
        <v>142</v>
      </c>
      <c r="C35" s="1" t="s">
        <v>143</v>
      </c>
      <c r="D35" s="1">
        <f>COUNTIFS(Partidos!$M$2:$M$73,B35,Partidos!$I$2:$I$73,"&lt;&gt;")+COUNTIFS(Partidos!$N$2:$N$73,B35,Partidos!$J$2:$J$73,"&lt;&gt;")</f>
        <v>0</v>
      </c>
      <c r="E35" s="1">
        <f>SUMPRODUCT((Partidos!$M$2:$M$73=B35)*(Partidos!$I$2:$I$73&lt;&gt;"")*(Partidos!$I$2:$I$73&gt;Partidos!$J$2:$J$73))+SUMPRODUCT((Partidos!$N$2:$N$73=B35)*(Partidos!$J$2:$J$73&lt;&gt;"")*(Partidos!$J$2:$J$73&gt;Partidos!$I$2:$I$73))</f>
        <v>0</v>
      </c>
      <c r="F35" s="1">
        <f>SUMPRODUCT((Partidos!$M$2:$M$73=B35)*(Partidos!$I$2:$I$73&lt;&gt;"")*(Partidos!$I$2:$I$73=Partidos!$J$2:$J$73))+SUMPRODUCT((Partidos!$N$2:$N$73=B35)*(Partidos!$J$2:$J$73&lt;&gt;"")*(Partidos!$J$2:$J$73=Partidos!$I$2:$I$73))</f>
        <v>0</v>
      </c>
      <c r="G35" s="1">
        <f t="shared" si="0"/>
        <v>0</v>
      </c>
      <c r="H35" s="1">
        <f>SUMIFS(Partidos!$I$2:$I$73,Partidos!$M$2:$M$73,B35)+SUMIFS(Partidos!$J$2:$J$73,Partidos!$N$2:$N$73,B35)</f>
        <v>0</v>
      </c>
      <c r="I35" s="1">
        <f>SUMIFS(Partidos!$J$2:$J$73,Partidos!$M$2:$M$73,B35)+SUMIFS(Partidos!$I$2:$I$73,Partidos!$N$2:$N$73,B35)</f>
        <v>0</v>
      </c>
      <c r="J35" s="1">
        <f t="shared" si="1"/>
        <v>0</v>
      </c>
      <c r="K35" s="1">
        <f t="shared" si="2"/>
        <v>0</v>
      </c>
      <c r="L35" s="1">
        <v>0</v>
      </c>
      <c r="M35" s="1" t="str">
        <f t="shared" si="3"/>
        <v/>
      </c>
      <c r="N35" s="1" t="str">
        <f t="shared" si="4"/>
        <v/>
      </c>
      <c r="O35" s="1" t="str">
        <f t="shared" si="5"/>
        <v/>
      </c>
      <c r="P35" s="1" t="str">
        <f t="shared" si="6"/>
        <v>Senegal</v>
      </c>
      <c r="Q35" s="1" t="str">
        <f t="shared" si="7"/>
        <v>SEN</v>
      </c>
    </row>
    <row r="36" spans="1:17" ht="14.25" customHeight="1" x14ac:dyDescent="0.25">
      <c r="A36" s="1" t="s">
        <v>137</v>
      </c>
      <c r="B36" s="1" t="s">
        <v>145</v>
      </c>
      <c r="C36" s="1" t="s">
        <v>146</v>
      </c>
      <c r="D36" s="1">
        <f>COUNTIFS(Partidos!$M$2:$M$73,B36,Partidos!$I$2:$I$73,"&lt;&gt;")+COUNTIFS(Partidos!$N$2:$N$73,B36,Partidos!$J$2:$J$73,"&lt;&gt;")</f>
        <v>0</v>
      </c>
      <c r="E36" s="1">
        <f>SUMPRODUCT((Partidos!$M$2:$M$73=B36)*(Partidos!$I$2:$I$73&lt;&gt;"")*(Partidos!$I$2:$I$73&gt;Partidos!$J$2:$J$73))+SUMPRODUCT((Partidos!$N$2:$N$73=B36)*(Partidos!$J$2:$J$73&lt;&gt;"")*(Partidos!$J$2:$J$73&gt;Partidos!$I$2:$I$73))</f>
        <v>0</v>
      </c>
      <c r="F36" s="1">
        <f>SUMPRODUCT((Partidos!$M$2:$M$73=B36)*(Partidos!$I$2:$I$73&lt;&gt;"")*(Partidos!$I$2:$I$73=Partidos!$J$2:$J$73))+SUMPRODUCT((Partidos!$N$2:$N$73=B36)*(Partidos!$J$2:$J$73&lt;&gt;"")*(Partidos!$J$2:$J$73=Partidos!$I$2:$I$73))</f>
        <v>0</v>
      </c>
      <c r="G36" s="1">
        <f t="shared" si="0"/>
        <v>0</v>
      </c>
      <c r="H36" s="1">
        <f>SUMIFS(Partidos!$I$2:$I$73,Partidos!$M$2:$M$73,B36)+SUMIFS(Partidos!$J$2:$J$73,Partidos!$N$2:$N$73,B36)</f>
        <v>0</v>
      </c>
      <c r="I36" s="1">
        <f>SUMIFS(Partidos!$J$2:$J$73,Partidos!$M$2:$M$73,B36)+SUMIFS(Partidos!$I$2:$I$73,Partidos!$N$2:$N$73,B36)</f>
        <v>0</v>
      </c>
      <c r="J36" s="1">
        <f t="shared" si="1"/>
        <v>0</v>
      </c>
      <c r="K36" s="1">
        <f t="shared" si="2"/>
        <v>0</v>
      </c>
      <c r="L36" s="1">
        <v>0</v>
      </c>
      <c r="M36" s="1" t="str">
        <f t="shared" si="3"/>
        <v/>
      </c>
      <c r="N36" s="1" t="str">
        <f t="shared" si="4"/>
        <v/>
      </c>
      <c r="O36" s="1" t="str">
        <f t="shared" si="5"/>
        <v/>
      </c>
      <c r="P36" s="1" t="str">
        <f t="shared" si="6"/>
        <v>Irak</v>
      </c>
      <c r="Q36" s="1" t="str">
        <f t="shared" si="7"/>
        <v>IRQ</v>
      </c>
    </row>
    <row r="37" spans="1:17" ht="14.25" customHeight="1" x14ac:dyDescent="0.25">
      <c r="A37" s="1" t="s">
        <v>137</v>
      </c>
      <c r="B37" s="1" t="s">
        <v>148</v>
      </c>
      <c r="C37" s="1" t="s">
        <v>149</v>
      </c>
      <c r="D37" s="1">
        <f>COUNTIFS(Partidos!$M$2:$M$73,B37,Partidos!$I$2:$I$73,"&lt;&gt;")+COUNTIFS(Partidos!$N$2:$N$73,B37,Partidos!$J$2:$J$73,"&lt;&gt;")</f>
        <v>0</v>
      </c>
      <c r="E37" s="1">
        <f>SUMPRODUCT((Partidos!$M$2:$M$73=B37)*(Partidos!$I$2:$I$73&lt;&gt;"")*(Partidos!$I$2:$I$73&gt;Partidos!$J$2:$J$73))+SUMPRODUCT((Partidos!$N$2:$N$73=B37)*(Partidos!$J$2:$J$73&lt;&gt;"")*(Partidos!$J$2:$J$73&gt;Partidos!$I$2:$I$73))</f>
        <v>0</v>
      </c>
      <c r="F37" s="1">
        <f>SUMPRODUCT((Partidos!$M$2:$M$73=B37)*(Partidos!$I$2:$I$73&lt;&gt;"")*(Partidos!$I$2:$I$73=Partidos!$J$2:$J$73))+SUMPRODUCT((Partidos!$N$2:$N$73=B37)*(Partidos!$J$2:$J$73&lt;&gt;"")*(Partidos!$J$2:$J$73=Partidos!$I$2:$I$73))</f>
        <v>0</v>
      </c>
      <c r="G37" s="1">
        <f t="shared" si="0"/>
        <v>0</v>
      </c>
      <c r="H37" s="1">
        <f>SUMIFS(Partidos!$I$2:$I$73,Partidos!$M$2:$M$73,B37)+SUMIFS(Partidos!$J$2:$J$73,Partidos!$N$2:$N$73,B37)</f>
        <v>0</v>
      </c>
      <c r="I37" s="1">
        <f>SUMIFS(Partidos!$J$2:$J$73,Partidos!$M$2:$M$73,B37)+SUMIFS(Partidos!$I$2:$I$73,Partidos!$N$2:$N$73,B37)</f>
        <v>0</v>
      </c>
      <c r="J37" s="1">
        <f t="shared" si="1"/>
        <v>0</v>
      </c>
      <c r="K37" s="1">
        <f t="shared" si="2"/>
        <v>0</v>
      </c>
      <c r="L37" s="1">
        <v>0</v>
      </c>
      <c r="M37" s="1" t="str">
        <f t="shared" si="3"/>
        <v/>
      </c>
      <c r="N37" s="1" t="str">
        <f t="shared" si="4"/>
        <v/>
      </c>
      <c r="O37" s="1" t="str">
        <f t="shared" si="5"/>
        <v/>
      </c>
      <c r="P37" s="1" t="str">
        <f t="shared" si="6"/>
        <v>Noruega</v>
      </c>
      <c r="Q37" s="1" t="str">
        <f t="shared" si="7"/>
        <v>NOR</v>
      </c>
    </row>
    <row r="38" spans="1:17" ht="14.25" customHeight="1" x14ac:dyDescent="0.25">
      <c r="A38" s="1" t="s">
        <v>150</v>
      </c>
      <c r="B38" s="1" t="s">
        <v>152</v>
      </c>
      <c r="C38" s="1" t="s">
        <v>153</v>
      </c>
      <c r="D38" s="1">
        <f>COUNTIFS(Partidos!$M$2:$M$73,B38,Partidos!$I$2:$I$73,"&lt;&gt;")+COUNTIFS(Partidos!$N$2:$N$73,B38,Partidos!$J$2:$J$73,"&lt;&gt;")</f>
        <v>0</v>
      </c>
      <c r="E38" s="1">
        <f>SUMPRODUCT((Partidos!$M$2:$M$73=B38)*(Partidos!$I$2:$I$73&lt;&gt;"")*(Partidos!$I$2:$I$73&gt;Partidos!$J$2:$J$73))+SUMPRODUCT((Partidos!$N$2:$N$73=B38)*(Partidos!$J$2:$J$73&lt;&gt;"")*(Partidos!$J$2:$J$73&gt;Partidos!$I$2:$I$73))</f>
        <v>0</v>
      </c>
      <c r="F38" s="1">
        <f>SUMPRODUCT((Partidos!$M$2:$M$73=B38)*(Partidos!$I$2:$I$73&lt;&gt;"")*(Partidos!$I$2:$I$73=Partidos!$J$2:$J$73))+SUMPRODUCT((Partidos!$N$2:$N$73=B38)*(Partidos!$J$2:$J$73&lt;&gt;"")*(Partidos!$J$2:$J$73=Partidos!$I$2:$I$73))</f>
        <v>0</v>
      </c>
      <c r="G38" s="1">
        <f t="shared" si="0"/>
        <v>0</v>
      </c>
      <c r="H38" s="1">
        <f>SUMIFS(Partidos!$I$2:$I$73,Partidos!$M$2:$M$73,B38)+SUMIFS(Partidos!$J$2:$J$73,Partidos!$N$2:$N$73,B38)</f>
        <v>0</v>
      </c>
      <c r="I38" s="1">
        <f>SUMIFS(Partidos!$J$2:$J$73,Partidos!$M$2:$M$73,B38)+SUMIFS(Partidos!$I$2:$I$73,Partidos!$N$2:$N$73,B38)</f>
        <v>0</v>
      </c>
      <c r="J38" s="1">
        <f t="shared" si="1"/>
        <v>0</v>
      </c>
      <c r="K38" s="1">
        <f t="shared" si="2"/>
        <v>0</v>
      </c>
      <c r="L38" s="1">
        <v>0</v>
      </c>
      <c r="M38" s="1" t="str">
        <f t="shared" si="3"/>
        <v/>
      </c>
      <c r="N38" s="1" t="str">
        <f t="shared" si="4"/>
        <v/>
      </c>
      <c r="O38" s="1" t="str">
        <f t="shared" si="5"/>
        <v/>
      </c>
      <c r="P38" s="1" t="str">
        <f t="shared" si="6"/>
        <v>Argentina</v>
      </c>
      <c r="Q38" s="1" t="str">
        <f t="shared" si="7"/>
        <v>ARG</v>
      </c>
    </row>
    <row r="39" spans="1:17" ht="14.25" customHeight="1" x14ac:dyDescent="0.25">
      <c r="A39" s="1" t="s">
        <v>150</v>
      </c>
      <c r="B39" s="1" t="s">
        <v>155</v>
      </c>
      <c r="C39" s="1" t="s">
        <v>156</v>
      </c>
      <c r="D39" s="1">
        <f>COUNTIFS(Partidos!$M$2:$M$73,B39,Partidos!$I$2:$I$73,"&lt;&gt;")+COUNTIFS(Partidos!$N$2:$N$73,B39,Partidos!$J$2:$J$73,"&lt;&gt;")</f>
        <v>0</v>
      </c>
      <c r="E39" s="1">
        <f>SUMPRODUCT((Partidos!$M$2:$M$73=B39)*(Partidos!$I$2:$I$73&lt;&gt;"")*(Partidos!$I$2:$I$73&gt;Partidos!$J$2:$J$73))+SUMPRODUCT((Partidos!$N$2:$N$73=B39)*(Partidos!$J$2:$J$73&lt;&gt;"")*(Partidos!$J$2:$J$73&gt;Partidos!$I$2:$I$73))</f>
        <v>0</v>
      </c>
      <c r="F39" s="1">
        <f>SUMPRODUCT((Partidos!$M$2:$M$73=B39)*(Partidos!$I$2:$I$73&lt;&gt;"")*(Partidos!$I$2:$I$73=Partidos!$J$2:$J$73))+SUMPRODUCT((Partidos!$N$2:$N$73=B39)*(Partidos!$J$2:$J$73&lt;&gt;"")*(Partidos!$J$2:$J$73=Partidos!$I$2:$I$73))</f>
        <v>0</v>
      </c>
      <c r="G39" s="1">
        <f t="shared" si="0"/>
        <v>0</v>
      </c>
      <c r="H39" s="1">
        <f>SUMIFS(Partidos!$I$2:$I$73,Partidos!$M$2:$M$73,B39)+SUMIFS(Partidos!$J$2:$J$73,Partidos!$N$2:$N$73,B39)</f>
        <v>0</v>
      </c>
      <c r="I39" s="1">
        <f>SUMIFS(Partidos!$J$2:$J$73,Partidos!$M$2:$M$73,B39)+SUMIFS(Partidos!$I$2:$I$73,Partidos!$N$2:$N$73,B39)</f>
        <v>0</v>
      </c>
      <c r="J39" s="1">
        <f t="shared" si="1"/>
        <v>0</v>
      </c>
      <c r="K39" s="1">
        <f t="shared" si="2"/>
        <v>0</v>
      </c>
      <c r="L39" s="1">
        <v>0</v>
      </c>
      <c r="M39" s="1" t="str">
        <f t="shared" si="3"/>
        <v/>
      </c>
      <c r="N39" s="1" t="str">
        <f t="shared" si="4"/>
        <v/>
      </c>
      <c r="O39" s="1" t="str">
        <f t="shared" si="5"/>
        <v/>
      </c>
      <c r="P39" s="1" t="str">
        <f t="shared" si="6"/>
        <v>Argelia</v>
      </c>
      <c r="Q39" s="1" t="str">
        <f t="shared" si="7"/>
        <v>ALG</v>
      </c>
    </row>
    <row r="40" spans="1:17" ht="14.25" customHeight="1" x14ac:dyDescent="0.25">
      <c r="A40" s="1" t="s">
        <v>150</v>
      </c>
      <c r="B40" s="1" t="s">
        <v>158</v>
      </c>
      <c r="C40" s="1" t="s">
        <v>159</v>
      </c>
      <c r="D40" s="1">
        <f>COUNTIFS(Partidos!$M$2:$M$73,B40,Partidos!$I$2:$I$73,"&lt;&gt;")+COUNTIFS(Partidos!$N$2:$N$73,B40,Partidos!$J$2:$J$73,"&lt;&gt;")</f>
        <v>0</v>
      </c>
      <c r="E40" s="1">
        <f>SUMPRODUCT((Partidos!$M$2:$M$73=B40)*(Partidos!$I$2:$I$73&lt;&gt;"")*(Partidos!$I$2:$I$73&gt;Partidos!$J$2:$J$73))+SUMPRODUCT((Partidos!$N$2:$N$73=B40)*(Partidos!$J$2:$J$73&lt;&gt;"")*(Partidos!$J$2:$J$73&gt;Partidos!$I$2:$I$73))</f>
        <v>0</v>
      </c>
      <c r="F40" s="1">
        <f>SUMPRODUCT((Partidos!$M$2:$M$73=B40)*(Partidos!$I$2:$I$73&lt;&gt;"")*(Partidos!$I$2:$I$73=Partidos!$J$2:$J$73))+SUMPRODUCT((Partidos!$N$2:$N$73=B40)*(Partidos!$J$2:$J$73&lt;&gt;"")*(Partidos!$J$2:$J$73=Partidos!$I$2:$I$73))</f>
        <v>0</v>
      </c>
      <c r="G40" s="1">
        <f t="shared" si="0"/>
        <v>0</v>
      </c>
      <c r="H40" s="1">
        <f>SUMIFS(Partidos!$I$2:$I$73,Partidos!$M$2:$M$73,B40)+SUMIFS(Partidos!$J$2:$J$73,Partidos!$N$2:$N$73,B40)</f>
        <v>0</v>
      </c>
      <c r="I40" s="1">
        <f>SUMIFS(Partidos!$J$2:$J$73,Partidos!$M$2:$M$73,B40)+SUMIFS(Partidos!$I$2:$I$73,Partidos!$N$2:$N$73,B40)</f>
        <v>0</v>
      </c>
      <c r="J40" s="1">
        <f t="shared" si="1"/>
        <v>0</v>
      </c>
      <c r="K40" s="1">
        <f t="shared" si="2"/>
        <v>0</v>
      </c>
      <c r="L40" s="1">
        <v>0</v>
      </c>
      <c r="M40" s="1" t="str">
        <f t="shared" si="3"/>
        <v/>
      </c>
      <c r="N40" s="1" t="str">
        <f t="shared" si="4"/>
        <v/>
      </c>
      <c r="O40" s="1" t="str">
        <f t="shared" si="5"/>
        <v/>
      </c>
      <c r="P40" s="1" t="str">
        <f t="shared" si="6"/>
        <v>Austria</v>
      </c>
      <c r="Q40" s="1" t="str">
        <f t="shared" si="7"/>
        <v>AUT</v>
      </c>
    </row>
    <row r="41" spans="1:17" ht="14.25" customHeight="1" x14ac:dyDescent="0.25">
      <c r="A41" s="1" t="s">
        <v>150</v>
      </c>
      <c r="B41" s="1" t="s">
        <v>161</v>
      </c>
      <c r="C41" s="1" t="s">
        <v>162</v>
      </c>
      <c r="D41" s="1">
        <f>COUNTIFS(Partidos!$M$2:$M$73,B41,Partidos!$I$2:$I$73,"&lt;&gt;")+COUNTIFS(Partidos!$N$2:$N$73,B41,Partidos!$J$2:$J$73,"&lt;&gt;")</f>
        <v>0</v>
      </c>
      <c r="E41" s="1">
        <f>SUMPRODUCT((Partidos!$M$2:$M$73=B41)*(Partidos!$I$2:$I$73&lt;&gt;"")*(Partidos!$I$2:$I$73&gt;Partidos!$J$2:$J$73))+SUMPRODUCT((Partidos!$N$2:$N$73=B41)*(Partidos!$J$2:$J$73&lt;&gt;"")*(Partidos!$J$2:$J$73&gt;Partidos!$I$2:$I$73))</f>
        <v>0</v>
      </c>
      <c r="F41" s="1">
        <f>SUMPRODUCT((Partidos!$M$2:$M$73=B41)*(Partidos!$I$2:$I$73&lt;&gt;"")*(Partidos!$I$2:$I$73=Partidos!$J$2:$J$73))+SUMPRODUCT((Partidos!$N$2:$N$73=B41)*(Partidos!$J$2:$J$73&lt;&gt;"")*(Partidos!$J$2:$J$73=Partidos!$I$2:$I$73))</f>
        <v>0</v>
      </c>
      <c r="G41" s="1">
        <f t="shared" si="0"/>
        <v>0</v>
      </c>
      <c r="H41" s="1">
        <f>SUMIFS(Partidos!$I$2:$I$73,Partidos!$M$2:$M$73,B41)+SUMIFS(Partidos!$J$2:$J$73,Partidos!$N$2:$N$73,B41)</f>
        <v>0</v>
      </c>
      <c r="I41" s="1">
        <f>SUMIFS(Partidos!$J$2:$J$73,Partidos!$M$2:$M$73,B41)+SUMIFS(Partidos!$I$2:$I$73,Partidos!$N$2:$N$73,B41)</f>
        <v>0</v>
      </c>
      <c r="J41" s="1">
        <f t="shared" si="1"/>
        <v>0</v>
      </c>
      <c r="K41" s="1">
        <f t="shared" si="2"/>
        <v>0</v>
      </c>
      <c r="L41" s="1">
        <v>0</v>
      </c>
      <c r="M41" s="1" t="str">
        <f t="shared" si="3"/>
        <v/>
      </c>
      <c r="N41" s="1" t="str">
        <f t="shared" si="4"/>
        <v/>
      </c>
      <c r="O41" s="1" t="str">
        <f t="shared" si="5"/>
        <v/>
      </c>
      <c r="P41" s="1" t="str">
        <f t="shared" si="6"/>
        <v>Jordania</v>
      </c>
      <c r="Q41" s="1" t="str">
        <f t="shared" si="7"/>
        <v>JOR</v>
      </c>
    </row>
    <row r="42" spans="1:17" ht="14.25" customHeight="1" x14ac:dyDescent="0.25">
      <c r="A42" s="1" t="s">
        <v>163</v>
      </c>
      <c r="B42" s="1" t="s">
        <v>165</v>
      </c>
      <c r="C42" s="1" t="s">
        <v>166</v>
      </c>
      <c r="D42" s="1">
        <f>COUNTIFS(Partidos!$M$2:$M$73,B42,Partidos!$I$2:$I$73,"&lt;&gt;")+COUNTIFS(Partidos!$N$2:$N$73,B42,Partidos!$J$2:$J$73,"&lt;&gt;")</f>
        <v>0</v>
      </c>
      <c r="E42" s="1">
        <f>SUMPRODUCT((Partidos!$M$2:$M$73=B42)*(Partidos!$I$2:$I$73&lt;&gt;"")*(Partidos!$I$2:$I$73&gt;Partidos!$J$2:$J$73))+SUMPRODUCT((Partidos!$N$2:$N$73=B42)*(Partidos!$J$2:$J$73&lt;&gt;"")*(Partidos!$J$2:$J$73&gt;Partidos!$I$2:$I$73))</f>
        <v>0</v>
      </c>
      <c r="F42" s="1">
        <f>SUMPRODUCT((Partidos!$M$2:$M$73=B42)*(Partidos!$I$2:$I$73&lt;&gt;"")*(Partidos!$I$2:$I$73=Partidos!$J$2:$J$73))+SUMPRODUCT((Partidos!$N$2:$N$73=B42)*(Partidos!$J$2:$J$73&lt;&gt;"")*(Partidos!$J$2:$J$73=Partidos!$I$2:$I$73))</f>
        <v>0</v>
      </c>
      <c r="G42" s="1">
        <f t="shared" si="0"/>
        <v>0</v>
      </c>
      <c r="H42" s="1">
        <f>SUMIFS(Partidos!$I$2:$I$73,Partidos!$M$2:$M$73,B42)+SUMIFS(Partidos!$J$2:$J$73,Partidos!$N$2:$N$73,B42)</f>
        <v>0</v>
      </c>
      <c r="I42" s="1">
        <f>SUMIFS(Partidos!$J$2:$J$73,Partidos!$M$2:$M$73,B42)+SUMIFS(Partidos!$I$2:$I$73,Partidos!$N$2:$N$73,B42)</f>
        <v>0</v>
      </c>
      <c r="J42" s="1">
        <f t="shared" si="1"/>
        <v>0</v>
      </c>
      <c r="K42" s="1">
        <f t="shared" si="2"/>
        <v>0</v>
      </c>
      <c r="L42" s="1">
        <v>0</v>
      </c>
      <c r="M42" s="1" t="str">
        <f t="shared" si="3"/>
        <v/>
      </c>
      <c r="N42" s="1" t="str">
        <f t="shared" si="4"/>
        <v/>
      </c>
      <c r="O42" s="1" t="str">
        <f t="shared" si="5"/>
        <v/>
      </c>
      <c r="P42" s="1" t="str">
        <f t="shared" si="6"/>
        <v>Portugal</v>
      </c>
      <c r="Q42" s="1" t="str">
        <f t="shared" si="7"/>
        <v>POR</v>
      </c>
    </row>
    <row r="43" spans="1:17" ht="14.25" customHeight="1" x14ac:dyDescent="0.25">
      <c r="A43" s="1" t="s">
        <v>163</v>
      </c>
      <c r="B43" s="1" t="s">
        <v>168</v>
      </c>
      <c r="C43" s="1" t="s">
        <v>169</v>
      </c>
      <c r="D43" s="1">
        <f>COUNTIFS(Partidos!$M$2:$M$73,B43,Partidos!$I$2:$I$73,"&lt;&gt;")+COUNTIFS(Partidos!$N$2:$N$73,B43,Partidos!$J$2:$J$73,"&lt;&gt;")</f>
        <v>0</v>
      </c>
      <c r="E43" s="1">
        <f>SUMPRODUCT((Partidos!$M$2:$M$73=B43)*(Partidos!$I$2:$I$73&lt;&gt;"")*(Partidos!$I$2:$I$73&gt;Partidos!$J$2:$J$73))+SUMPRODUCT((Partidos!$N$2:$N$73=B43)*(Partidos!$J$2:$J$73&lt;&gt;"")*(Partidos!$J$2:$J$73&gt;Partidos!$I$2:$I$73))</f>
        <v>0</v>
      </c>
      <c r="F43" s="1">
        <f>SUMPRODUCT((Partidos!$M$2:$M$73=B43)*(Partidos!$I$2:$I$73&lt;&gt;"")*(Partidos!$I$2:$I$73=Partidos!$J$2:$J$73))+SUMPRODUCT((Partidos!$N$2:$N$73=B43)*(Partidos!$J$2:$J$73&lt;&gt;"")*(Partidos!$J$2:$J$73=Partidos!$I$2:$I$73))</f>
        <v>0</v>
      </c>
      <c r="G43" s="1">
        <f t="shared" si="0"/>
        <v>0</v>
      </c>
      <c r="H43" s="1">
        <f>SUMIFS(Partidos!$I$2:$I$73,Partidos!$M$2:$M$73,B43)+SUMIFS(Partidos!$J$2:$J$73,Partidos!$N$2:$N$73,B43)</f>
        <v>0</v>
      </c>
      <c r="I43" s="1">
        <f>SUMIFS(Partidos!$J$2:$J$73,Partidos!$M$2:$M$73,B43)+SUMIFS(Partidos!$I$2:$I$73,Partidos!$N$2:$N$73,B43)</f>
        <v>0</v>
      </c>
      <c r="J43" s="1">
        <f t="shared" si="1"/>
        <v>0</v>
      </c>
      <c r="K43" s="1">
        <f t="shared" si="2"/>
        <v>0</v>
      </c>
      <c r="L43" s="1">
        <v>0</v>
      </c>
      <c r="M43" s="1" t="str">
        <f t="shared" si="3"/>
        <v/>
      </c>
      <c r="N43" s="1" t="str">
        <f t="shared" si="4"/>
        <v/>
      </c>
      <c r="O43" s="1" t="str">
        <f t="shared" si="5"/>
        <v/>
      </c>
      <c r="P43" s="1" t="str">
        <f t="shared" si="6"/>
        <v>RD Congo</v>
      </c>
      <c r="Q43" s="1" t="str">
        <f t="shared" si="7"/>
        <v>COD</v>
      </c>
    </row>
    <row r="44" spans="1:17" ht="14.25" customHeight="1" x14ac:dyDescent="0.25">
      <c r="A44" s="1" t="s">
        <v>163</v>
      </c>
      <c r="B44" s="1" t="s">
        <v>171</v>
      </c>
      <c r="C44" s="1" t="s">
        <v>172</v>
      </c>
      <c r="D44" s="1">
        <f>COUNTIFS(Partidos!$M$2:$M$73,B44,Partidos!$I$2:$I$73,"&lt;&gt;")+COUNTIFS(Partidos!$N$2:$N$73,B44,Partidos!$J$2:$J$73,"&lt;&gt;")</f>
        <v>0</v>
      </c>
      <c r="E44" s="1">
        <f>SUMPRODUCT((Partidos!$M$2:$M$73=B44)*(Partidos!$I$2:$I$73&lt;&gt;"")*(Partidos!$I$2:$I$73&gt;Partidos!$J$2:$J$73))+SUMPRODUCT((Partidos!$N$2:$N$73=B44)*(Partidos!$J$2:$J$73&lt;&gt;"")*(Partidos!$J$2:$J$73&gt;Partidos!$I$2:$I$73))</f>
        <v>0</v>
      </c>
      <c r="F44" s="1">
        <f>SUMPRODUCT((Partidos!$M$2:$M$73=B44)*(Partidos!$I$2:$I$73&lt;&gt;"")*(Partidos!$I$2:$I$73=Partidos!$J$2:$J$73))+SUMPRODUCT((Partidos!$N$2:$N$73=B44)*(Partidos!$J$2:$J$73&lt;&gt;"")*(Partidos!$J$2:$J$73=Partidos!$I$2:$I$73))</f>
        <v>0</v>
      </c>
      <c r="G44" s="1">
        <f t="shared" si="0"/>
        <v>0</v>
      </c>
      <c r="H44" s="1">
        <f>SUMIFS(Partidos!$I$2:$I$73,Partidos!$M$2:$M$73,B44)+SUMIFS(Partidos!$J$2:$J$73,Partidos!$N$2:$N$73,B44)</f>
        <v>0</v>
      </c>
      <c r="I44" s="1">
        <f>SUMIFS(Partidos!$J$2:$J$73,Partidos!$M$2:$M$73,B44)+SUMIFS(Partidos!$I$2:$I$73,Partidos!$N$2:$N$73,B44)</f>
        <v>0</v>
      </c>
      <c r="J44" s="1">
        <f t="shared" si="1"/>
        <v>0</v>
      </c>
      <c r="K44" s="1">
        <f t="shared" si="2"/>
        <v>0</v>
      </c>
      <c r="L44" s="1">
        <v>0</v>
      </c>
      <c r="M44" s="1" t="str">
        <f t="shared" si="3"/>
        <v/>
      </c>
      <c r="N44" s="1" t="str">
        <f t="shared" si="4"/>
        <v/>
      </c>
      <c r="O44" s="1" t="str">
        <f t="shared" si="5"/>
        <v/>
      </c>
      <c r="P44" s="1" t="str">
        <f t="shared" si="6"/>
        <v>Uzbekistán</v>
      </c>
      <c r="Q44" s="1" t="str">
        <f t="shared" si="7"/>
        <v>UZB</v>
      </c>
    </row>
    <row r="45" spans="1:17" ht="14.25" customHeight="1" x14ac:dyDescent="0.25">
      <c r="A45" s="1" t="s">
        <v>163</v>
      </c>
      <c r="B45" s="1" t="s">
        <v>174</v>
      </c>
      <c r="C45" s="1" t="s">
        <v>175</v>
      </c>
      <c r="D45" s="1">
        <f>COUNTIFS(Partidos!$M$2:$M$73,B45,Partidos!$I$2:$I$73,"&lt;&gt;")+COUNTIFS(Partidos!$N$2:$N$73,B45,Partidos!$J$2:$J$73,"&lt;&gt;")</f>
        <v>0</v>
      </c>
      <c r="E45" s="1">
        <f>SUMPRODUCT((Partidos!$M$2:$M$73=B45)*(Partidos!$I$2:$I$73&lt;&gt;"")*(Partidos!$I$2:$I$73&gt;Partidos!$J$2:$J$73))+SUMPRODUCT((Partidos!$N$2:$N$73=B45)*(Partidos!$J$2:$J$73&lt;&gt;"")*(Partidos!$J$2:$J$73&gt;Partidos!$I$2:$I$73))</f>
        <v>0</v>
      </c>
      <c r="F45" s="1">
        <f>SUMPRODUCT((Partidos!$M$2:$M$73=B45)*(Partidos!$I$2:$I$73&lt;&gt;"")*(Partidos!$I$2:$I$73=Partidos!$J$2:$J$73))+SUMPRODUCT((Partidos!$N$2:$N$73=B45)*(Partidos!$J$2:$J$73&lt;&gt;"")*(Partidos!$J$2:$J$73=Partidos!$I$2:$I$73))</f>
        <v>0</v>
      </c>
      <c r="G45" s="1">
        <f t="shared" si="0"/>
        <v>0</v>
      </c>
      <c r="H45" s="1">
        <f>SUMIFS(Partidos!$I$2:$I$73,Partidos!$M$2:$M$73,B45)+SUMIFS(Partidos!$J$2:$J$73,Partidos!$N$2:$N$73,B45)</f>
        <v>0</v>
      </c>
      <c r="I45" s="1">
        <f>SUMIFS(Partidos!$J$2:$J$73,Partidos!$M$2:$M$73,B45)+SUMIFS(Partidos!$I$2:$I$73,Partidos!$N$2:$N$73,B45)</f>
        <v>0</v>
      </c>
      <c r="J45" s="1">
        <f t="shared" si="1"/>
        <v>0</v>
      </c>
      <c r="K45" s="1">
        <f t="shared" si="2"/>
        <v>0</v>
      </c>
      <c r="L45" s="1">
        <v>0</v>
      </c>
      <c r="M45" s="1" t="str">
        <f t="shared" si="3"/>
        <v/>
      </c>
      <c r="N45" s="1" t="str">
        <f t="shared" si="4"/>
        <v/>
      </c>
      <c r="O45" s="1" t="str">
        <f t="shared" si="5"/>
        <v/>
      </c>
      <c r="P45" s="1" t="str">
        <f t="shared" si="6"/>
        <v>Colombia</v>
      </c>
      <c r="Q45" s="1" t="str">
        <f t="shared" si="7"/>
        <v>COL</v>
      </c>
    </row>
    <row r="46" spans="1:17" ht="14.25" customHeight="1" x14ac:dyDescent="0.25">
      <c r="A46" s="1" t="s">
        <v>176</v>
      </c>
      <c r="B46" s="1" t="s">
        <v>178</v>
      </c>
      <c r="C46" s="1" t="s">
        <v>179</v>
      </c>
      <c r="D46" s="1">
        <f>COUNTIFS(Partidos!$M$2:$M$73,B46,Partidos!$I$2:$I$73,"&lt;&gt;")+COUNTIFS(Partidos!$N$2:$N$73,B46,Partidos!$J$2:$J$73,"&lt;&gt;")</f>
        <v>0</v>
      </c>
      <c r="E46" s="1">
        <f>SUMPRODUCT((Partidos!$M$2:$M$73=B46)*(Partidos!$I$2:$I$73&lt;&gt;"")*(Partidos!$I$2:$I$73&gt;Partidos!$J$2:$J$73))+SUMPRODUCT((Partidos!$N$2:$N$73=B46)*(Partidos!$J$2:$J$73&lt;&gt;"")*(Partidos!$J$2:$J$73&gt;Partidos!$I$2:$I$73))</f>
        <v>0</v>
      </c>
      <c r="F46" s="1">
        <f>SUMPRODUCT((Partidos!$M$2:$M$73=B46)*(Partidos!$I$2:$I$73&lt;&gt;"")*(Partidos!$I$2:$I$73=Partidos!$J$2:$J$73))+SUMPRODUCT((Partidos!$N$2:$N$73=B46)*(Partidos!$J$2:$J$73&lt;&gt;"")*(Partidos!$J$2:$J$73=Partidos!$I$2:$I$73))</f>
        <v>0</v>
      </c>
      <c r="G46" s="1">
        <f t="shared" si="0"/>
        <v>0</v>
      </c>
      <c r="H46" s="1">
        <f>SUMIFS(Partidos!$I$2:$I$73,Partidos!$M$2:$M$73,B46)+SUMIFS(Partidos!$J$2:$J$73,Partidos!$N$2:$N$73,B46)</f>
        <v>0</v>
      </c>
      <c r="I46" s="1">
        <f>SUMIFS(Partidos!$J$2:$J$73,Partidos!$M$2:$M$73,B46)+SUMIFS(Partidos!$I$2:$I$73,Partidos!$N$2:$N$73,B46)</f>
        <v>0</v>
      </c>
      <c r="J46" s="1">
        <f t="shared" si="1"/>
        <v>0</v>
      </c>
      <c r="K46" s="1">
        <f t="shared" si="2"/>
        <v>0</v>
      </c>
      <c r="L46" s="1">
        <v>0</v>
      </c>
      <c r="M46" s="1" t="str">
        <f t="shared" si="3"/>
        <v/>
      </c>
      <c r="N46" s="1" t="str">
        <f t="shared" si="4"/>
        <v/>
      </c>
      <c r="O46" s="1" t="str">
        <f t="shared" si="5"/>
        <v/>
      </c>
      <c r="P46" s="1" t="str">
        <f t="shared" si="6"/>
        <v>Inglaterra</v>
      </c>
      <c r="Q46" s="1" t="str">
        <f t="shared" si="7"/>
        <v>ENG</v>
      </c>
    </row>
    <row r="47" spans="1:17" ht="14.25" customHeight="1" x14ac:dyDescent="0.25">
      <c r="A47" s="1" t="s">
        <v>176</v>
      </c>
      <c r="B47" s="1" t="s">
        <v>181</v>
      </c>
      <c r="C47" s="1" t="s">
        <v>182</v>
      </c>
      <c r="D47" s="1">
        <f>COUNTIFS(Partidos!$M$2:$M$73,B47,Partidos!$I$2:$I$73,"&lt;&gt;")+COUNTIFS(Partidos!$N$2:$N$73,B47,Partidos!$J$2:$J$73,"&lt;&gt;")</f>
        <v>0</v>
      </c>
      <c r="E47" s="1">
        <f>SUMPRODUCT((Partidos!$M$2:$M$73=B47)*(Partidos!$I$2:$I$73&lt;&gt;"")*(Partidos!$I$2:$I$73&gt;Partidos!$J$2:$J$73))+SUMPRODUCT((Partidos!$N$2:$N$73=B47)*(Partidos!$J$2:$J$73&lt;&gt;"")*(Partidos!$J$2:$J$73&gt;Partidos!$I$2:$I$73))</f>
        <v>0</v>
      </c>
      <c r="F47" s="1">
        <f>SUMPRODUCT((Partidos!$M$2:$M$73=B47)*(Partidos!$I$2:$I$73&lt;&gt;"")*(Partidos!$I$2:$I$73=Partidos!$J$2:$J$73))+SUMPRODUCT((Partidos!$N$2:$N$73=B47)*(Partidos!$J$2:$J$73&lt;&gt;"")*(Partidos!$J$2:$J$73=Partidos!$I$2:$I$73))</f>
        <v>0</v>
      </c>
      <c r="G47" s="1">
        <f t="shared" si="0"/>
        <v>0</v>
      </c>
      <c r="H47" s="1">
        <f>SUMIFS(Partidos!$I$2:$I$73,Partidos!$M$2:$M$73,B47)+SUMIFS(Partidos!$J$2:$J$73,Partidos!$N$2:$N$73,B47)</f>
        <v>0</v>
      </c>
      <c r="I47" s="1">
        <f>SUMIFS(Partidos!$J$2:$J$73,Partidos!$M$2:$M$73,B47)+SUMIFS(Partidos!$I$2:$I$73,Partidos!$N$2:$N$73,B47)</f>
        <v>0</v>
      </c>
      <c r="J47" s="1">
        <f t="shared" si="1"/>
        <v>0</v>
      </c>
      <c r="K47" s="1">
        <f t="shared" si="2"/>
        <v>0</v>
      </c>
      <c r="L47" s="1">
        <v>0</v>
      </c>
      <c r="M47" s="1" t="str">
        <f t="shared" si="3"/>
        <v/>
      </c>
      <c r="N47" s="1" t="str">
        <f t="shared" si="4"/>
        <v/>
      </c>
      <c r="O47" s="1" t="str">
        <f t="shared" si="5"/>
        <v/>
      </c>
      <c r="P47" s="1" t="str">
        <f t="shared" si="6"/>
        <v>Croacia</v>
      </c>
      <c r="Q47" s="1" t="str">
        <f t="shared" si="7"/>
        <v>CRO</v>
      </c>
    </row>
    <row r="48" spans="1:17" ht="14.25" customHeight="1" x14ac:dyDescent="0.25">
      <c r="A48" s="1" t="s">
        <v>176</v>
      </c>
      <c r="B48" s="1" t="s">
        <v>184</v>
      </c>
      <c r="C48" s="1" t="s">
        <v>185</v>
      </c>
      <c r="D48" s="1">
        <f>COUNTIFS(Partidos!$M$2:$M$73,B48,Partidos!$I$2:$I$73,"&lt;&gt;")+COUNTIFS(Partidos!$N$2:$N$73,B48,Partidos!$J$2:$J$73,"&lt;&gt;")</f>
        <v>0</v>
      </c>
      <c r="E48" s="1">
        <f>SUMPRODUCT((Partidos!$M$2:$M$73=B48)*(Partidos!$I$2:$I$73&lt;&gt;"")*(Partidos!$I$2:$I$73&gt;Partidos!$J$2:$J$73))+SUMPRODUCT((Partidos!$N$2:$N$73=B48)*(Partidos!$J$2:$J$73&lt;&gt;"")*(Partidos!$J$2:$J$73&gt;Partidos!$I$2:$I$73))</f>
        <v>0</v>
      </c>
      <c r="F48" s="1">
        <f>SUMPRODUCT((Partidos!$M$2:$M$73=B48)*(Partidos!$I$2:$I$73&lt;&gt;"")*(Partidos!$I$2:$I$73=Partidos!$J$2:$J$73))+SUMPRODUCT((Partidos!$N$2:$N$73=B48)*(Partidos!$J$2:$J$73&lt;&gt;"")*(Partidos!$J$2:$J$73=Partidos!$I$2:$I$73))</f>
        <v>0</v>
      </c>
      <c r="G48" s="1">
        <f t="shared" si="0"/>
        <v>0</v>
      </c>
      <c r="H48" s="1">
        <f>SUMIFS(Partidos!$I$2:$I$73,Partidos!$M$2:$M$73,B48)+SUMIFS(Partidos!$J$2:$J$73,Partidos!$N$2:$N$73,B48)</f>
        <v>0</v>
      </c>
      <c r="I48" s="1">
        <f>SUMIFS(Partidos!$J$2:$J$73,Partidos!$M$2:$M$73,B48)+SUMIFS(Partidos!$I$2:$I$73,Partidos!$N$2:$N$73,B48)</f>
        <v>0</v>
      </c>
      <c r="J48" s="1">
        <f t="shared" si="1"/>
        <v>0</v>
      </c>
      <c r="K48" s="1">
        <f t="shared" si="2"/>
        <v>0</v>
      </c>
      <c r="L48" s="1">
        <v>0</v>
      </c>
      <c r="M48" s="1" t="str">
        <f t="shared" si="3"/>
        <v/>
      </c>
      <c r="N48" s="1" t="str">
        <f t="shared" si="4"/>
        <v/>
      </c>
      <c r="O48" s="1" t="str">
        <f t="shared" si="5"/>
        <v/>
      </c>
      <c r="P48" s="1" t="str">
        <f t="shared" si="6"/>
        <v>Ghana</v>
      </c>
      <c r="Q48" s="1" t="str">
        <f t="shared" si="7"/>
        <v>GHA</v>
      </c>
    </row>
    <row r="49" spans="1:17" ht="14.25" customHeight="1" x14ac:dyDescent="0.25">
      <c r="A49" s="1" t="s">
        <v>176</v>
      </c>
      <c r="B49" s="1" t="s">
        <v>187</v>
      </c>
      <c r="C49" s="1" t="s">
        <v>188</v>
      </c>
      <c r="D49" s="1">
        <f>COUNTIFS(Partidos!$M$2:$M$73,B49,Partidos!$I$2:$I$73,"&lt;&gt;")+COUNTIFS(Partidos!$N$2:$N$73,B49,Partidos!$J$2:$J$73,"&lt;&gt;")</f>
        <v>0</v>
      </c>
      <c r="E49" s="1">
        <f>SUMPRODUCT((Partidos!$M$2:$M$73=B49)*(Partidos!$I$2:$I$73&lt;&gt;"")*(Partidos!$I$2:$I$73&gt;Partidos!$J$2:$J$73))+SUMPRODUCT((Partidos!$N$2:$N$73=B49)*(Partidos!$J$2:$J$73&lt;&gt;"")*(Partidos!$J$2:$J$73&gt;Partidos!$I$2:$I$73))</f>
        <v>0</v>
      </c>
      <c r="F49" s="1">
        <f>SUMPRODUCT((Partidos!$M$2:$M$73=B49)*(Partidos!$I$2:$I$73&lt;&gt;"")*(Partidos!$I$2:$I$73=Partidos!$J$2:$J$73))+SUMPRODUCT((Partidos!$N$2:$N$73=B49)*(Partidos!$J$2:$J$73&lt;&gt;"")*(Partidos!$J$2:$J$73=Partidos!$I$2:$I$73))</f>
        <v>0</v>
      </c>
      <c r="G49" s="1">
        <f t="shared" si="0"/>
        <v>0</v>
      </c>
      <c r="H49" s="1">
        <f>SUMIFS(Partidos!$I$2:$I$73,Partidos!$M$2:$M$73,B49)+SUMIFS(Partidos!$J$2:$J$73,Partidos!$N$2:$N$73,B49)</f>
        <v>0</v>
      </c>
      <c r="I49" s="1">
        <f>SUMIFS(Partidos!$J$2:$J$73,Partidos!$M$2:$M$73,B49)+SUMIFS(Partidos!$I$2:$I$73,Partidos!$N$2:$N$73,B49)</f>
        <v>0</v>
      </c>
      <c r="J49" s="1">
        <f t="shared" si="1"/>
        <v>0</v>
      </c>
      <c r="K49" s="1">
        <f t="shared" si="2"/>
        <v>0</v>
      </c>
      <c r="L49" s="1">
        <v>0</v>
      </c>
      <c r="M49" s="1" t="str">
        <f t="shared" si="3"/>
        <v/>
      </c>
      <c r="N49" s="1" t="str">
        <f t="shared" si="4"/>
        <v/>
      </c>
      <c r="O49" s="1" t="str">
        <f t="shared" si="5"/>
        <v/>
      </c>
      <c r="P49" s="1" t="str">
        <f t="shared" si="6"/>
        <v>Panamá</v>
      </c>
      <c r="Q49" s="1" t="str">
        <f t="shared" si="7"/>
        <v>PAN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6" style="1" customWidth="1"/>
    <col min="2" max="2" width="8" style="1" customWidth="1"/>
    <col min="3" max="3" width="9" style="1" customWidth="1"/>
    <col min="4" max="4" width="22" style="1" customWidth="1"/>
    <col min="5" max="12" width="6" style="1" customWidth="1"/>
    <col min="14" max="20" width="13" style="1" hidden="1" customWidth="1"/>
  </cols>
  <sheetData>
    <row r="1" spans="1:20" ht="15" customHeight="1" x14ac:dyDescent="0.25">
      <c r="A1" s="35" t="s">
        <v>385</v>
      </c>
      <c r="B1" s="35" t="s">
        <v>29</v>
      </c>
      <c r="C1" s="35" t="s">
        <v>31</v>
      </c>
      <c r="D1" s="35" t="s">
        <v>32</v>
      </c>
      <c r="E1" s="35" t="s">
        <v>371</v>
      </c>
      <c r="F1" s="35" t="s">
        <v>372</v>
      </c>
      <c r="G1" s="35" t="s">
        <v>373</v>
      </c>
      <c r="H1" s="35" t="s">
        <v>374</v>
      </c>
      <c r="I1" s="35" t="s">
        <v>375</v>
      </c>
      <c r="J1" s="35" t="s">
        <v>376</v>
      </c>
      <c r="K1" s="35" t="s">
        <v>377</v>
      </c>
      <c r="L1" s="35" t="s">
        <v>378</v>
      </c>
      <c r="N1" s="36" t="s">
        <v>386</v>
      </c>
      <c r="O1" s="36" t="s">
        <v>387</v>
      </c>
      <c r="P1" s="36" t="s">
        <v>388</v>
      </c>
      <c r="Q1" s="36" t="s">
        <v>389</v>
      </c>
      <c r="R1" s="36" t="s">
        <v>390</v>
      </c>
      <c r="S1" s="36" t="s">
        <v>195</v>
      </c>
      <c r="T1" s="36" t="s">
        <v>196</v>
      </c>
    </row>
    <row r="2" spans="1:20" ht="15" customHeight="1" x14ac:dyDescent="0.25">
      <c r="A2" s="37">
        <v>1</v>
      </c>
      <c r="B2" s="38" t="s">
        <v>33</v>
      </c>
      <c r="C2" s="37" t="str">
        <f>INDEX($N$2:$N$49,SUMPRODUCT(($O$2:$O$49="A")*($T$2:$T$49=1)*ROW($N$2:$N$49))-1)</f>
        <v>MEX</v>
      </c>
      <c r="D2" s="37" t="str">
        <f>VLOOKUP(C2,Clasificacion!$B$2:$C$49,2,FALSE())</f>
        <v>México</v>
      </c>
      <c r="E2" s="37">
        <f>VLOOKUP(C2,Clasificacion!$B$2:$K$49,3,FALSE())</f>
        <v>1</v>
      </c>
      <c r="F2" s="37">
        <f>VLOOKUP(C2,Clasificacion!$B$2:$K$49,4,FALSE())</f>
        <v>1</v>
      </c>
      <c r="G2" s="37">
        <f>VLOOKUP(C2,Clasificacion!$B$2:$K$49,5,FALSE())</f>
        <v>0</v>
      </c>
      <c r="H2" s="37">
        <f>VLOOKUP(C2,Clasificacion!$B$2:$K$49,6,FALSE())</f>
        <v>0</v>
      </c>
      <c r="I2" s="37">
        <f>VLOOKUP(C2,Clasificacion!$B$2:$K$49,7,FALSE())</f>
        <v>2</v>
      </c>
      <c r="J2" s="37">
        <f>VLOOKUP(C2,Clasificacion!$B$2:$K$49,8,FALSE())</f>
        <v>0</v>
      </c>
      <c r="K2" s="37">
        <f>VLOOKUP(C2,Clasificacion!$B$2:$K$49,9,FALSE())</f>
        <v>2</v>
      </c>
      <c r="L2" s="37">
        <f>VLOOKUP(C2,Clasificacion!$B$2:$K$49,10,FALSE())</f>
        <v>3</v>
      </c>
      <c r="N2" s="39" t="str">
        <f>Clasificacion!B2</f>
        <v>MEX</v>
      </c>
      <c r="O2" s="39" t="str">
        <f>Clasificacion!A2</f>
        <v>A</v>
      </c>
      <c r="P2" s="39">
        <f>Clasificacion!K2</f>
        <v>3</v>
      </c>
      <c r="Q2" s="39">
        <f>Clasificacion!J2</f>
        <v>2</v>
      </c>
      <c r="R2" s="39">
        <f>Clasificacion!H2</f>
        <v>2</v>
      </c>
      <c r="S2" s="39">
        <f t="shared" ref="S2:S49" si="0">P2*1000000+Q2*10000+R2*100-ROW()</f>
        <v>3020198</v>
      </c>
      <c r="T2" s="39">
        <f t="shared" ref="T2:T49" si="1">SUMPRODUCT(($O$2:$O$49=O2)*($S$2:$S$49&gt;S2))+1</f>
        <v>1</v>
      </c>
    </row>
    <row r="3" spans="1:20" ht="15" customHeight="1" x14ac:dyDescent="0.25">
      <c r="A3" s="40">
        <v>2</v>
      </c>
      <c r="B3" s="41" t="s">
        <v>33</v>
      </c>
      <c r="C3" s="40" t="str">
        <f>INDEX($N$2:$N$49,SUMPRODUCT(($O$2:$O$49="A")*($T$2:$T$49=2)*ROW($N$2:$N$49))-1)</f>
        <v>KOR</v>
      </c>
      <c r="D3" s="40" t="str">
        <f>VLOOKUP(C3,Clasificacion!$B$2:$C$49,2,FALSE())</f>
        <v>Corea República</v>
      </c>
      <c r="E3" s="40">
        <f>VLOOKUP(C3,Clasificacion!$B$2:$K$49,3,FALSE())</f>
        <v>1</v>
      </c>
      <c r="F3" s="40">
        <f>VLOOKUP(C3,Clasificacion!$B$2:$K$49,4,FALSE())</f>
        <v>1</v>
      </c>
      <c r="G3" s="40">
        <f>VLOOKUP(C3,Clasificacion!$B$2:$K$49,5,FALSE())</f>
        <v>0</v>
      </c>
      <c r="H3" s="40">
        <f>VLOOKUP(C3,Clasificacion!$B$2:$K$49,6,FALSE())</f>
        <v>0</v>
      </c>
      <c r="I3" s="40">
        <f>VLOOKUP(C3,Clasificacion!$B$2:$K$49,7,FALSE())</f>
        <v>2</v>
      </c>
      <c r="J3" s="40">
        <f>VLOOKUP(C3,Clasificacion!$B$2:$K$49,8,FALSE())</f>
        <v>1</v>
      </c>
      <c r="K3" s="40">
        <f>VLOOKUP(C3,Clasificacion!$B$2:$K$49,9,FALSE())</f>
        <v>1</v>
      </c>
      <c r="L3" s="40">
        <f>VLOOKUP(C3,Clasificacion!$B$2:$K$49,10,FALSE())</f>
        <v>3</v>
      </c>
      <c r="N3" s="39" t="str">
        <f>Clasificacion!B3</f>
        <v>RSA</v>
      </c>
      <c r="O3" s="39" t="str">
        <f>Clasificacion!A3</f>
        <v>A</v>
      </c>
      <c r="P3" s="39">
        <f>Clasificacion!K3</f>
        <v>0</v>
      </c>
      <c r="Q3" s="39">
        <f>Clasificacion!J3</f>
        <v>-2</v>
      </c>
      <c r="R3" s="39">
        <f>Clasificacion!H3</f>
        <v>0</v>
      </c>
      <c r="S3" s="39">
        <f t="shared" si="0"/>
        <v>-20003</v>
      </c>
      <c r="T3" s="39">
        <f t="shared" si="1"/>
        <v>4</v>
      </c>
    </row>
    <row r="4" spans="1:20" ht="15" customHeight="1" x14ac:dyDescent="0.25">
      <c r="A4" s="42">
        <v>3</v>
      </c>
      <c r="B4" s="43" t="s">
        <v>33</v>
      </c>
      <c r="C4" s="42" t="str">
        <f>INDEX($N$2:$N$49,SUMPRODUCT(($O$2:$O$49="A")*($T$2:$T$49=3)*ROW($N$2:$N$49))-1)</f>
        <v>CZE</v>
      </c>
      <c r="D4" s="42" t="str">
        <f>VLOOKUP(C4,Clasificacion!$B$2:$C$49,2,FALSE())</f>
        <v>Chequia</v>
      </c>
      <c r="E4" s="42">
        <f>VLOOKUP(C4,Clasificacion!$B$2:$K$49,3,FALSE())</f>
        <v>1</v>
      </c>
      <c r="F4" s="42">
        <f>VLOOKUP(C4,Clasificacion!$B$2:$K$49,4,FALSE())</f>
        <v>0</v>
      </c>
      <c r="G4" s="42">
        <f>VLOOKUP(C4,Clasificacion!$B$2:$K$49,5,FALSE())</f>
        <v>0</v>
      </c>
      <c r="H4" s="42">
        <f>VLOOKUP(C4,Clasificacion!$B$2:$K$49,6,FALSE())</f>
        <v>1</v>
      </c>
      <c r="I4" s="42">
        <f>VLOOKUP(C4,Clasificacion!$B$2:$K$49,7,FALSE())</f>
        <v>1</v>
      </c>
      <c r="J4" s="42">
        <f>VLOOKUP(C4,Clasificacion!$B$2:$K$49,8,FALSE())</f>
        <v>2</v>
      </c>
      <c r="K4" s="42">
        <f>VLOOKUP(C4,Clasificacion!$B$2:$K$49,9,FALSE())</f>
        <v>-1</v>
      </c>
      <c r="L4" s="42">
        <f>VLOOKUP(C4,Clasificacion!$B$2:$K$49,10,FALSE())</f>
        <v>0</v>
      </c>
      <c r="N4" s="39" t="str">
        <f>Clasificacion!B4</f>
        <v>KOR</v>
      </c>
      <c r="O4" s="39" t="str">
        <f>Clasificacion!A4</f>
        <v>A</v>
      </c>
      <c r="P4" s="39">
        <f>Clasificacion!K4</f>
        <v>3</v>
      </c>
      <c r="Q4" s="39">
        <f>Clasificacion!J4</f>
        <v>1</v>
      </c>
      <c r="R4" s="39">
        <f>Clasificacion!H4</f>
        <v>2</v>
      </c>
      <c r="S4" s="39">
        <f t="shared" si="0"/>
        <v>3010196</v>
      </c>
      <c r="T4" s="39">
        <f t="shared" si="1"/>
        <v>2</v>
      </c>
    </row>
    <row r="5" spans="1:20" ht="15" customHeight="1" x14ac:dyDescent="0.25">
      <c r="A5" s="42">
        <v>4</v>
      </c>
      <c r="B5" s="43" t="s">
        <v>33</v>
      </c>
      <c r="C5" s="42" t="str">
        <f>INDEX($N$2:$N$49,SUMPRODUCT(($O$2:$O$49="A")*($T$2:$T$49=4)*ROW($N$2:$N$49))-1)</f>
        <v>RSA</v>
      </c>
      <c r="D5" s="42" t="str">
        <f>VLOOKUP(C5,Clasificacion!$B$2:$C$49,2,FALSE())</f>
        <v>Sudáfrica</v>
      </c>
      <c r="E5" s="42">
        <f>VLOOKUP(C5,Clasificacion!$B$2:$K$49,3,FALSE())</f>
        <v>1</v>
      </c>
      <c r="F5" s="42">
        <f>VLOOKUP(C5,Clasificacion!$B$2:$K$49,4,FALSE())</f>
        <v>0</v>
      </c>
      <c r="G5" s="42">
        <f>VLOOKUP(C5,Clasificacion!$B$2:$K$49,5,FALSE())</f>
        <v>0</v>
      </c>
      <c r="H5" s="42">
        <f>VLOOKUP(C5,Clasificacion!$B$2:$K$49,6,FALSE())</f>
        <v>1</v>
      </c>
      <c r="I5" s="42">
        <f>VLOOKUP(C5,Clasificacion!$B$2:$K$49,7,FALSE())</f>
        <v>0</v>
      </c>
      <c r="J5" s="42">
        <f>VLOOKUP(C5,Clasificacion!$B$2:$K$49,8,FALSE())</f>
        <v>2</v>
      </c>
      <c r="K5" s="42">
        <f>VLOOKUP(C5,Clasificacion!$B$2:$K$49,9,FALSE())</f>
        <v>-2</v>
      </c>
      <c r="L5" s="42">
        <f>VLOOKUP(C5,Clasificacion!$B$2:$K$49,10,FALSE())</f>
        <v>0</v>
      </c>
      <c r="N5" s="39" t="str">
        <f>Clasificacion!B5</f>
        <v>CZE</v>
      </c>
      <c r="O5" s="39" t="str">
        <f>Clasificacion!A5</f>
        <v>A</v>
      </c>
      <c r="P5" s="39">
        <f>Clasificacion!K5</f>
        <v>0</v>
      </c>
      <c r="Q5" s="39">
        <f>Clasificacion!J5</f>
        <v>-1</v>
      </c>
      <c r="R5" s="39">
        <f>Clasificacion!H5</f>
        <v>1</v>
      </c>
      <c r="S5" s="39">
        <f t="shared" si="0"/>
        <v>-9905</v>
      </c>
      <c r="T5" s="39">
        <f t="shared" si="1"/>
        <v>3</v>
      </c>
    </row>
    <row r="6" spans="1:20" ht="15" customHeight="1" x14ac:dyDescent="0.25">
      <c r="A6" s="37">
        <v>1</v>
      </c>
      <c r="B6" s="38" t="s">
        <v>46</v>
      </c>
      <c r="C6" s="37" t="str">
        <f>INDEX($N$2:$N$49,SUMPRODUCT(($O$2:$O$49="B")*($T$2:$T$49=1)*ROW($N$2:$N$49))-1)</f>
        <v>CAN</v>
      </c>
      <c r="D6" s="37" t="str">
        <f>VLOOKUP(C6,Clasificacion!$B$2:$C$49,2,FALSE())</f>
        <v>Canadá</v>
      </c>
      <c r="E6" s="37">
        <f>VLOOKUP(C6,Clasificacion!$B$2:$K$49,3,FALSE())</f>
        <v>0</v>
      </c>
      <c r="F6" s="37">
        <f>VLOOKUP(C6,Clasificacion!$B$2:$K$49,4,FALSE())</f>
        <v>0</v>
      </c>
      <c r="G6" s="37">
        <f>VLOOKUP(C6,Clasificacion!$B$2:$K$49,5,FALSE())</f>
        <v>0</v>
      </c>
      <c r="H6" s="37">
        <f>VLOOKUP(C6,Clasificacion!$B$2:$K$49,6,FALSE())</f>
        <v>0</v>
      </c>
      <c r="I6" s="37">
        <f>VLOOKUP(C6,Clasificacion!$B$2:$K$49,7,FALSE())</f>
        <v>0</v>
      </c>
      <c r="J6" s="37">
        <f>VLOOKUP(C6,Clasificacion!$B$2:$K$49,8,FALSE())</f>
        <v>0</v>
      </c>
      <c r="K6" s="37">
        <f>VLOOKUP(C6,Clasificacion!$B$2:$K$49,9,FALSE())</f>
        <v>0</v>
      </c>
      <c r="L6" s="37">
        <f>VLOOKUP(C6,Clasificacion!$B$2:$K$49,10,FALSE())</f>
        <v>0</v>
      </c>
      <c r="N6" s="39" t="str">
        <f>Clasificacion!B6</f>
        <v>CAN</v>
      </c>
      <c r="O6" s="39" t="str">
        <f>Clasificacion!A6</f>
        <v>B</v>
      </c>
      <c r="P6" s="39">
        <f>Clasificacion!K6</f>
        <v>0</v>
      </c>
      <c r="Q6" s="39">
        <f>Clasificacion!J6</f>
        <v>0</v>
      </c>
      <c r="R6" s="39">
        <f>Clasificacion!H6</f>
        <v>0</v>
      </c>
      <c r="S6" s="39">
        <f t="shared" si="0"/>
        <v>-6</v>
      </c>
      <c r="T6" s="39">
        <f t="shared" si="1"/>
        <v>1</v>
      </c>
    </row>
    <row r="7" spans="1:20" ht="15" customHeight="1" x14ac:dyDescent="0.25">
      <c r="A7" s="40">
        <v>2</v>
      </c>
      <c r="B7" s="41" t="s">
        <v>46</v>
      </c>
      <c r="C7" s="40" t="str">
        <f>INDEX($N$2:$N$49,SUMPRODUCT(($O$2:$O$49="B")*($T$2:$T$49=2)*ROW($N$2:$N$49))-1)</f>
        <v>BIH</v>
      </c>
      <c r="D7" s="40" t="str">
        <f>VLOOKUP(C7,Clasificacion!$B$2:$C$49,2,FALSE())</f>
        <v>Bosnia y Herzegovina</v>
      </c>
      <c r="E7" s="40">
        <f>VLOOKUP(C7,Clasificacion!$B$2:$K$49,3,FALSE())</f>
        <v>0</v>
      </c>
      <c r="F7" s="40">
        <f>VLOOKUP(C7,Clasificacion!$B$2:$K$49,4,FALSE())</f>
        <v>0</v>
      </c>
      <c r="G7" s="40">
        <f>VLOOKUP(C7,Clasificacion!$B$2:$K$49,5,FALSE())</f>
        <v>0</v>
      </c>
      <c r="H7" s="40">
        <f>VLOOKUP(C7,Clasificacion!$B$2:$K$49,6,FALSE())</f>
        <v>0</v>
      </c>
      <c r="I7" s="40">
        <f>VLOOKUP(C7,Clasificacion!$B$2:$K$49,7,FALSE())</f>
        <v>0</v>
      </c>
      <c r="J7" s="40">
        <f>VLOOKUP(C7,Clasificacion!$B$2:$K$49,8,FALSE())</f>
        <v>0</v>
      </c>
      <c r="K7" s="40">
        <f>VLOOKUP(C7,Clasificacion!$B$2:$K$49,9,FALSE())</f>
        <v>0</v>
      </c>
      <c r="L7" s="40">
        <f>VLOOKUP(C7,Clasificacion!$B$2:$K$49,10,FALSE())</f>
        <v>0</v>
      </c>
      <c r="N7" s="39" t="str">
        <f>Clasificacion!B7</f>
        <v>BIH</v>
      </c>
      <c r="O7" s="39" t="str">
        <f>Clasificacion!A7</f>
        <v>B</v>
      </c>
      <c r="P7" s="39">
        <f>Clasificacion!K7</f>
        <v>0</v>
      </c>
      <c r="Q7" s="39">
        <f>Clasificacion!J7</f>
        <v>0</v>
      </c>
      <c r="R7" s="39">
        <f>Clasificacion!H7</f>
        <v>0</v>
      </c>
      <c r="S7" s="39">
        <f t="shared" si="0"/>
        <v>-7</v>
      </c>
      <c r="T7" s="39">
        <f t="shared" si="1"/>
        <v>2</v>
      </c>
    </row>
    <row r="8" spans="1:20" ht="15" customHeight="1" x14ac:dyDescent="0.25">
      <c r="A8" s="42">
        <v>3</v>
      </c>
      <c r="B8" s="43" t="s">
        <v>46</v>
      </c>
      <c r="C8" s="42" t="str">
        <f>INDEX($N$2:$N$49,SUMPRODUCT(($O$2:$O$49="B")*($T$2:$T$49=3)*ROW($N$2:$N$49))-1)</f>
        <v>QAT</v>
      </c>
      <c r="D8" s="42" t="str">
        <f>VLOOKUP(C8,Clasificacion!$B$2:$C$49,2,FALSE())</f>
        <v>Qatar</v>
      </c>
      <c r="E8" s="42">
        <f>VLOOKUP(C8,Clasificacion!$B$2:$K$49,3,FALSE())</f>
        <v>0</v>
      </c>
      <c r="F8" s="42">
        <f>VLOOKUP(C8,Clasificacion!$B$2:$K$49,4,FALSE())</f>
        <v>0</v>
      </c>
      <c r="G8" s="42">
        <f>VLOOKUP(C8,Clasificacion!$B$2:$K$49,5,FALSE())</f>
        <v>0</v>
      </c>
      <c r="H8" s="42">
        <f>VLOOKUP(C8,Clasificacion!$B$2:$K$49,6,FALSE())</f>
        <v>0</v>
      </c>
      <c r="I8" s="42">
        <f>VLOOKUP(C8,Clasificacion!$B$2:$K$49,7,FALSE())</f>
        <v>0</v>
      </c>
      <c r="J8" s="42">
        <f>VLOOKUP(C8,Clasificacion!$B$2:$K$49,8,FALSE())</f>
        <v>0</v>
      </c>
      <c r="K8" s="42">
        <f>VLOOKUP(C8,Clasificacion!$B$2:$K$49,9,FALSE())</f>
        <v>0</v>
      </c>
      <c r="L8" s="42">
        <f>VLOOKUP(C8,Clasificacion!$B$2:$K$49,10,FALSE())</f>
        <v>0</v>
      </c>
      <c r="N8" s="39" t="str">
        <f>Clasificacion!B8</f>
        <v>QAT</v>
      </c>
      <c r="O8" s="39" t="str">
        <f>Clasificacion!A8</f>
        <v>B</v>
      </c>
      <c r="P8" s="39">
        <f>Clasificacion!K8</f>
        <v>0</v>
      </c>
      <c r="Q8" s="39">
        <f>Clasificacion!J8</f>
        <v>0</v>
      </c>
      <c r="R8" s="39">
        <f>Clasificacion!H8</f>
        <v>0</v>
      </c>
      <c r="S8" s="39">
        <f t="shared" si="0"/>
        <v>-8</v>
      </c>
      <c r="T8" s="39">
        <f t="shared" si="1"/>
        <v>3</v>
      </c>
    </row>
    <row r="9" spans="1:20" ht="15" customHeight="1" x14ac:dyDescent="0.25">
      <c r="A9" s="42">
        <v>4</v>
      </c>
      <c r="B9" s="43" t="s">
        <v>46</v>
      </c>
      <c r="C9" s="42" t="str">
        <f>INDEX($N$2:$N$49,SUMPRODUCT(($O$2:$O$49="B")*($T$2:$T$49=4)*ROW($N$2:$N$49))-1)</f>
        <v>SUI</v>
      </c>
      <c r="D9" s="42" t="str">
        <f>VLOOKUP(C9,Clasificacion!$B$2:$C$49,2,FALSE())</f>
        <v>Suiza</v>
      </c>
      <c r="E9" s="42">
        <f>VLOOKUP(C9,Clasificacion!$B$2:$K$49,3,FALSE())</f>
        <v>0</v>
      </c>
      <c r="F9" s="42">
        <f>VLOOKUP(C9,Clasificacion!$B$2:$K$49,4,FALSE())</f>
        <v>0</v>
      </c>
      <c r="G9" s="42">
        <f>VLOOKUP(C9,Clasificacion!$B$2:$K$49,5,FALSE())</f>
        <v>0</v>
      </c>
      <c r="H9" s="42">
        <f>VLOOKUP(C9,Clasificacion!$B$2:$K$49,6,FALSE())</f>
        <v>0</v>
      </c>
      <c r="I9" s="42">
        <f>VLOOKUP(C9,Clasificacion!$B$2:$K$49,7,FALSE())</f>
        <v>0</v>
      </c>
      <c r="J9" s="42">
        <f>VLOOKUP(C9,Clasificacion!$B$2:$K$49,8,FALSE())</f>
        <v>0</v>
      </c>
      <c r="K9" s="42">
        <f>VLOOKUP(C9,Clasificacion!$B$2:$K$49,9,FALSE())</f>
        <v>0</v>
      </c>
      <c r="L9" s="42">
        <f>VLOOKUP(C9,Clasificacion!$B$2:$K$49,10,FALSE())</f>
        <v>0</v>
      </c>
      <c r="N9" s="39" t="str">
        <f>Clasificacion!B9</f>
        <v>SUI</v>
      </c>
      <c r="O9" s="39" t="str">
        <f>Clasificacion!A9</f>
        <v>B</v>
      </c>
      <c r="P9" s="39">
        <f>Clasificacion!K9</f>
        <v>0</v>
      </c>
      <c r="Q9" s="39">
        <f>Clasificacion!J9</f>
        <v>0</v>
      </c>
      <c r="R9" s="39">
        <f>Clasificacion!H9</f>
        <v>0</v>
      </c>
      <c r="S9" s="39">
        <f t="shared" si="0"/>
        <v>-9</v>
      </c>
      <c r="T9" s="39">
        <f t="shared" si="1"/>
        <v>4</v>
      </c>
    </row>
    <row r="10" spans="1:20" ht="15" customHeight="1" x14ac:dyDescent="0.25">
      <c r="A10" s="37">
        <v>1</v>
      </c>
      <c r="B10" s="38" t="s">
        <v>59</v>
      </c>
      <c r="C10" s="37" t="str">
        <f>INDEX($N$2:$N$49,SUMPRODUCT(($O$2:$O$49="C")*($T$2:$T$49=1)*ROW($N$2:$N$49))-1)</f>
        <v>BRA</v>
      </c>
      <c r="D10" s="37" t="str">
        <f>VLOOKUP(C10,Clasificacion!$B$2:$C$49,2,FALSE())</f>
        <v>Brasil</v>
      </c>
      <c r="E10" s="37">
        <f>VLOOKUP(C10,Clasificacion!$B$2:$K$49,3,FALSE())</f>
        <v>0</v>
      </c>
      <c r="F10" s="37">
        <f>VLOOKUP(C10,Clasificacion!$B$2:$K$49,4,FALSE())</f>
        <v>0</v>
      </c>
      <c r="G10" s="37">
        <f>VLOOKUP(C10,Clasificacion!$B$2:$K$49,5,FALSE())</f>
        <v>0</v>
      </c>
      <c r="H10" s="37">
        <f>VLOOKUP(C10,Clasificacion!$B$2:$K$49,6,FALSE())</f>
        <v>0</v>
      </c>
      <c r="I10" s="37">
        <f>VLOOKUP(C10,Clasificacion!$B$2:$K$49,7,FALSE())</f>
        <v>0</v>
      </c>
      <c r="J10" s="37">
        <f>VLOOKUP(C10,Clasificacion!$B$2:$K$49,8,FALSE())</f>
        <v>0</v>
      </c>
      <c r="K10" s="37">
        <f>VLOOKUP(C10,Clasificacion!$B$2:$K$49,9,FALSE())</f>
        <v>0</v>
      </c>
      <c r="L10" s="37">
        <f>VLOOKUP(C10,Clasificacion!$B$2:$K$49,10,FALSE())</f>
        <v>0</v>
      </c>
      <c r="N10" s="39" t="str">
        <f>Clasificacion!B10</f>
        <v>BRA</v>
      </c>
      <c r="O10" s="39" t="str">
        <f>Clasificacion!A10</f>
        <v>C</v>
      </c>
      <c r="P10" s="39">
        <f>Clasificacion!K10</f>
        <v>0</v>
      </c>
      <c r="Q10" s="39">
        <f>Clasificacion!J10</f>
        <v>0</v>
      </c>
      <c r="R10" s="39">
        <f>Clasificacion!H10</f>
        <v>0</v>
      </c>
      <c r="S10" s="39">
        <f t="shared" si="0"/>
        <v>-10</v>
      </c>
      <c r="T10" s="39">
        <f t="shared" si="1"/>
        <v>1</v>
      </c>
    </row>
    <row r="11" spans="1:20" ht="15" customHeight="1" x14ac:dyDescent="0.25">
      <c r="A11" s="40">
        <v>2</v>
      </c>
      <c r="B11" s="41" t="s">
        <v>59</v>
      </c>
      <c r="C11" s="40" t="str">
        <f>INDEX($N$2:$N$49,SUMPRODUCT(($O$2:$O$49="C")*($T$2:$T$49=2)*ROW($N$2:$N$49))-1)</f>
        <v>MAR</v>
      </c>
      <c r="D11" s="40" t="str">
        <f>VLOOKUP(C11,Clasificacion!$B$2:$C$49,2,FALSE())</f>
        <v>Marruecos</v>
      </c>
      <c r="E11" s="40">
        <f>VLOOKUP(C11,Clasificacion!$B$2:$K$49,3,FALSE())</f>
        <v>0</v>
      </c>
      <c r="F11" s="40">
        <f>VLOOKUP(C11,Clasificacion!$B$2:$K$49,4,FALSE())</f>
        <v>0</v>
      </c>
      <c r="G11" s="40">
        <f>VLOOKUP(C11,Clasificacion!$B$2:$K$49,5,FALSE())</f>
        <v>0</v>
      </c>
      <c r="H11" s="40">
        <f>VLOOKUP(C11,Clasificacion!$B$2:$K$49,6,FALSE())</f>
        <v>0</v>
      </c>
      <c r="I11" s="40">
        <f>VLOOKUP(C11,Clasificacion!$B$2:$K$49,7,FALSE())</f>
        <v>0</v>
      </c>
      <c r="J11" s="40">
        <f>VLOOKUP(C11,Clasificacion!$B$2:$K$49,8,FALSE())</f>
        <v>0</v>
      </c>
      <c r="K11" s="40">
        <f>VLOOKUP(C11,Clasificacion!$B$2:$K$49,9,FALSE())</f>
        <v>0</v>
      </c>
      <c r="L11" s="40">
        <f>VLOOKUP(C11,Clasificacion!$B$2:$K$49,10,FALSE())</f>
        <v>0</v>
      </c>
      <c r="N11" s="39" t="str">
        <f>Clasificacion!B11</f>
        <v>MAR</v>
      </c>
      <c r="O11" s="39" t="str">
        <f>Clasificacion!A11</f>
        <v>C</v>
      </c>
      <c r="P11" s="39">
        <f>Clasificacion!K11</f>
        <v>0</v>
      </c>
      <c r="Q11" s="39">
        <f>Clasificacion!J11</f>
        <v>0</v>
      </c>
      <c r="R11" s="39">
        <f>Clasificacion!H11</f>
        <v>0</v>
      </c>
      <c r="S11" s="39">
        <f t="shared" si="0"/>
        <v>-11</v>
      </c>
      <c r="T11" s="39">
        <f t="shared" si="1"/>
        <v>2</v>
      </c>
    </row>
    <row r="12" spans="1:20" ht="15" customHeight="1" x14ac:dyDescent="0.25">
      <c r="A12" s="42">
        <v>3</v>
      </c>
      <c r="B12" s="43" t="s">
        <v>59</v>
      </c>
      <c r="C12" s="42" t="str">
        <f>INDEX($N$2:$N$49,SUMPRODUCT(($O$2:$O$49="C")*($T$2:$T$49=3)*ROW($N$2:$N$49))-1)</f>
        <v>HAI</v>
      </c>
      <c r="D12" s="42" t="str">
        <f>VLOOKUP(C12,Clasificacion!$B$2:$C$49,2,FALSE())</f>
        <v>Haití</v>
      </c>
      <c r="E12" s="42">
        <f>VLOOKUP(C12,Clasificacion!$B$2:$K$49,3,FALSE())</f>
        <v>0</v>
      </c>
      <c r="F12" s="42">
        <f>VLOOKUP(C12,Clasificacion!$B$2:$K$49,4,FALSE())</f>
        <v>0</v>
      </c>
      <c r="G12" s="42">
        <f>VLOOKUP(C12,Clasificacion!$B$2:$K$49,5,FALSE())</f>
        <v>0</v>
      </c>
      <c r="H12" s="42">
        <f>VLOOKUP(C12,Clasificacion!$B$2:$K$49,6,FALSE())</f>
        <v>0</v>
      </c>
      <c r="I12" s="42">
        <f>VLOOKUP(C12,Clasificacion!$B$2:$K$49,7,FALSE())</f>
        <v>0</v>
      </c>
      <c r="J12" s="42">
        <f>VLOOKUP(C12,Clasificacion!$B$2:$K$49,8,FALSE())</f>
        <v>0</v>
      </c>
      <c r="K12" s="42">
        <f>VLOOKUP(C12,Clasificacion!$B$2:$K$49,9,FALSE())</f>
        <v>0</v>
      </c>
      <c r="L12" s="42">
        <f>VLOOKUP(C12,Clasificacion!$B$2:$K$49,10,FALSE())</f>
        <v>0</v>
      </c>
      <c r="N12" s="39" t="str">
        <f>Clasificacion!B12</f>
        <v>HAI</v>
      </c>
      <c r="O12" s="39" t="str">
        <f>Clasificacion!A12</f>
        <v>C</v>
      </c>
      <c r="P12" s="39">
        <f>Clasificacion!K12</f>
        <v>0</v>
      </c>
      <c r="Q12" s="39">
        <f>Clasificacion!J12</f>
        <v>0</v>
      </c>
      <c r="R12" s="39">
        <f>Clasificacion!H12</f>
        <v>0</v>
      </c>
      <c r="S12" s="39">
        <f t="shared" si="0"/>
        <v>-12</v>
      </c>
      <c r="T12" s="39">
        <f t="shared" si="1"/>
        <v>3</v>
      </c>
    </row>
    <row r="13" spans="1:20" ht="15" customHeight="1" x14ac:dyDescent="0.25">
      <c r="A13" s="42">
        <v>4</v>
      </c>
      <c r="B13" s="43" t="s">
        <v>59</v>
      </c>
      <c r="C13" s="42" t="str">
        <f>INDEX($N$2:$N$49,SUMPRODUCT(($O$2:$O$49="C")*($T$2:$T$49=4)*ROW($N$2:$N$49))-1)</f>
        <v>SCO</v>
      </c>
      <c r="D13" s="42" t="str">
        <f>VLOOKUP(C13,Clasificacion!$B$2:$C$49,2,FALSE())</f>
        <v>Escocia</v>
      </c>
      <c r="E13" s="42">
        <f>VLOOKUP(C13,Clasificacion!$B$2:$K$49,3,FALSE())</f>
        <v>0</v>
      </c>
      <c r="F13" s="42">
        <f>VLOOKUP(C13,Clasificacion!$B$2:$K$49,4,FALSE())</f>
        <v>0</v>
      </c>
      <c r="G13" s="42">
        <f>VLOOKUP(C13,Clasificacion!$B$2:$K$49,5,FALSE())</f>
        <v>0</v>
      </c>
      <c r="H13" s="42">
        <f>VLOOKUP(C13,Clasificacion!$B$2:$K$49,6,FALSE())</f>
        <v>0</v>
      </c>
      <c r="I13" s="42">
        <f>VLOOKUP(C13,Clasificacion!$B$2:$K$49,7,FALSE())</f>
        <v>0</v>
      </c>
      <c r="J13" s="42">
        <f>VLOOKUP(C13,Clasificacion!$B$2:$K$49,8,FALSE())</f>
        <v>0</v>
      </c>
      <c r="K13" s="42">
        <f>VLOOKUP(C13,Clasificacion!$B$2:$K$49,9,FALSE())</f>
        <v>0</v>
      </c>
      <c r="L13" s="42">
        <f>VLOOKUP(C13,Clasificacion!$B$2:$K$49,10,FALSE())</f>
        <v>0</v>
      </c>
      <c r="N13" s="39" t="str">
        <f>Clasificacion!B13</f>
        <v>SCO</v>
      </c>
      <c r="O13" s="39" t="str">
        <f>Clasificacion!A13</f>
        <v>C</v>
      </c>
      <c r="P13" s="39">
        <f>Clasificacion!K13</f>
        <v>0</v>
      </c>
      <c r="Q13" s="39">
        <f>Clasificacion!J13</f>
        <v>0</v>
      </c>
      <c r="R13" s="39">
        <f>Clasificacion!H13</f>
        <v>0</v>
      </c>
      <c r="S13" s="39">
        <f t="shared" si="0"/>
        <v>-13</v>
      </c>
      <c r="T13" s="39">
        <f t="shared" si="1"/>
        <v>4</v>
      </c>
    </row>
    <row r="14" spans="1:20" ht="15" customHeight="1" x14ac:dyDescent="0.25">
      <c r="A14" s="37">
        <v>1</v>
      </c>
      <c r="B14" s="38" t="s">
        <v>72</v>
      </c>
      <c r="C14" s="37" t="str">
        <f>INDEX($N$2:$N$49,SUMPRODUCT(($O$2:$O$49="D")*($T$2:$T$49=1)*ROW($N$2:$N$49))-1)</f>
        <v>USA</v>
      </c>
      <c r="D14" s="37" t="str">
        <f>VLOOKUP(C14,Clasificacion!$B$2:$C$49,2,FALSE())</f>
        <v>Estados Unidos</v>
      </c>
      <c r="E14" s="37">
        <f>VLOOKUP(C14,Clasificacion!$B$2:$K$49,3,FALSE())</f>
        <v>0</v>
      </c>
      <c r="F14" s="37">
        <f>VLOOKUP(C14,Clasificacion!$B$2:$K$49,4,FALSE())</f>
        <v>0</v>
      </c>
      <c r="G14" s="37">
        <f>VLOOKUP(C14,Clasificacion!$B$2:$K$49,5,FALSE())</f>
        <v>0</v>
      </c>
      <c r="H14" s="37">
        <f>VLOOKUP(C14,Clasificacion!$B$2:$K$49,6,FALSE())</f>
        <v>0</v>
      </c>
      <c r="I14" s="37">
        <f>VLOOKUP(C14,Clasificacion!$B$2:$K$49,7,FALSE())</f>
        <v>0</v>
      </c>
      <c r="J14" s="37">
        <f>VLOOKUP(C14,Clasificacion!$B$2:$K$49,8,FALSE())</f>
        <v>0</v>
      </c>
      <c r="K14" s="37">
        <f>VLOOKUP(C14,Clasificacion!$B$2:$K$49,9,FALSE())</f>
        <v>0</v>
      </c>
      <c r="L14" s="37">
        <f>VLOOKUP(C14,Clasificacion!$B$2:$K$49,10,FALSE())</f>
        <v>0</v>
      </c>
      <c r="N14" s="39" t="str">
        <f>Clasificacion!B14</f>
        <v>USA</v>
      </c>
      <c r="O14" s="39" t="str">
        <f>Clasificacion!A14</f>
        <v>D</v>
      </c>
      <c r="P14" s="39">
        <f>Clasificacion!K14</f>
        <v>0</v>
      </c>
      <c r="Q14" s="39">
        <f>Clasificacion!J14</f>
        <v>0</v>
      </c>
      <c r="R14" s="39">
        <f>Clasificacion!H14</f>
        <v>0</v>
      </c>
      <c r="S14" s="39">
        <f t="shared" si="0"/>
        <v>-14</v>
      </c>
      <c r="T14" s="39">
        <f t="shared" si="1"/>
        <v>1</v>
      </c>
    </row>
    <row r="15" spans="1:20" ht="15" customHeight="1" x14ac:dyDescent="0.25">
      <c r="A15" s="40">
        <v>2</v>
      </c>
      <c r="B15" s="41" t="s">
        <v>72</v>
      </c>
      <c r="C15" s="40" t="str">
        <f>INDEX($N$2:$N$49,SUMPRODUCT(($O$2:$O$49="D")*($T$2:$T$49=2)*ROW($N$2:$N$49))-1)</f>
        <v>PAR</v>
      </c>
      <c r="D15" s="40" t="str">
        <f>VLOOKUP(C15,Clasificacion!$B$2:$C$49,2,FALSE())</f>
        <v>Paraguay</v>
      </c>
      <c r="E15" s="40">
        <f>VLOOKUP(C15,Clasificacion!$B$2:$K$49,3,FALSE())</f>
        <v>0</v>
      </c>
      <c r="F15" s="40">
        <f>VLOOKUP(C15,Clasificacion!$B$2:$K$49,4,FALSE())</f>
        <v>0</v>
      </c>
      <c r="G15" s="40">
        <f>VLOOKUP(C15,Clasificacion!$B$2:$K$49,5,FALSE())</f>
        <v>0</v>
      </c>
      <c r="H15" s="40">
        <f>VLOOKUP(C15,Clasificacion!$B$2:$K$49,6,FALSE())</f>
        <v>0</v>
      </c>
      <c r="I15" s="40">
        <f>VLOOKUP(C15,Clasificacion!$B$2:$K$49,7,FALSE())</f>
        <v>0</v>
      </c>
      <c r="J15" s="40">
        <f>VLOOKUP(C15,Clasificacion!$B$2:$K$49,8,FALSE())</f>
        <v>0</v>
      </c>
      <c r="K15" s="40">
        <f>VLOOKUP(C15,Clasificacion!$B$2:$K$49,9,FALSE())</f>
        <v>0</v>
      </c>
      <c r="L15" s="40">
        <f>VLOOKUP(C15,Clasificacion!$B$2:$K$49,10,FALSE())</f>
        <v>0</v>
      </c>
      <c r="N15" s="39" t="str">
        <f>Clasificacion!B15</f>
        <v>PAR</v>
      </c>
      <c r="O15" s="39" t="str">
        <f>Clasificacion!A15</f>
        <v>D</v>
      </c>
      <c r="P15" s="39">
        <f>Clasificacion!K15</f>
        <v>0</v>
      </c>
      <c r="Q15" s="39">
        <f>Clasificacion!J15</f>
        <v>0</v>
      </c>
      <c r="R15" s="39">
        <f>Clasificacion!H15</f>
        <v>0</v>
      </c>
      <c r="S15" s="39">
        <f t="shared" si="0"/>
        <v>-15</v>
      </c>
      <c r="T15" s="39">
        <f t="shared" si="1"/>
        <v>2</v>
      </c>
    </row>
    <row r="16" spans="1:20" ht="15" customHeight="1" x14ac:dyDescent="0.25">
      <c r="A16" s="42">
        <v>3</v>
      </c>
      <c r="B16" s="43" t="s">
        <v>72</v>
      </c>
      <c r="C16" s="42" t="str">
        <f>INDEX($N$2:$N$49,SUMPRODUCT(($O$2:$O$49="D")*($T$2:$T$49=3)*ROW($N$2:$N$49))-1)</f>
        <v>AUS</v>
      </c>
      <c r="D16" s="42" t="str">
        <f>VLOOKUP(C16,Clasificacion!$B$2:$C$49,2,FALSE())</f>
        <v>Australia</v>
      </c>
      <c r="E16" s="42">
        <f>VLOOKUP(C16,Clasificacion!$B$2:$K$49,3,FALSE())</f>
        <v>0</v>
      </c>
      <c r="F16" s="42">
        <f>VLOOKUP(C16,Clasificacion!$B$2:$K$49,4,FALSE())</f>
        <v>0</v>
      </c>
      <c r="G16" s="42">
        <f>VLOOKUP(C16,Clasificacion!$B$2:$K$49,5,FALSE())</f>
        <v>0</v>
      </c>
      <c r="H16" s="42">
        <f>VLOOKUP(C16,Clasificacion!$B$2:$K$49,6,FALSE())</f>
        <v>0</v>
      </c>
      <c r="I16" s="42">
        <f>VLOOKUP(C16,Clasificacion!$B$2:$K$49,7,FALSE())</f>
        <v>0</v>
      </c>
      <c r="J16" s="42">
        <f>VLOOKUP(C16,Clasificacion!$B$2:$K$49,8,FALSE())</f>
        <v>0</v>
      </c>
      <c r="K16" s="42">
        <f>VLOOKUP(C16,Clasificacion!$B$2:$K$49,9,FALSE())</f>
        <v>0</v>
      </c>
      <c r="L16" s="42">
        <f>VLOOKUP(C16,Clasificacion!$B$2:$K$49,10,FALSE())</f>
        <v>0</v>
      </c>
      <c r="N16" s="39" t="str">
        <f>Clasificacion!B16</f>
        <v>AUS</v>
      </c>
      <c r="O16" s="39" t="str">
        <f>Clasificacion!A16</f>
        <v>D</v>
      </c>
      <c r="P16" s="39">
        <f>Clasificacion!K16</f>
        <v>0</v>
      </c>
      <c r="Q16" s="39">
        <f>Clasificacion!J16</f>
        <v>0</v>
      </c>
      <c r="R16" s="39">
        <f>Clasificacion!H16</f>
        <v>0</v>
      </c>
      <c r="S16" s="39">
        <f t="shared" si="0"/>
        <v>-16</v>
      </c>
      <c r="T16" s="39">
        <f t="shared" si="1"/>
        <v>3</v>
      </c>
    </row>
    <row r="17" spans="1:20" ht="15" customHeight="1" x14ac:dyDescent="0.25">
      <c r="A17" s="42">
        <v>4</v>
      </c>
      <c r="B17" s="43" t="s">
        <v>72</v>
      </c>
      <c r="C17" s="42" t="str">
        <f>INDEX($N$2:$N$49,SUMPRODUCT(($O$2:$O$49="D")*($T$2:$T$49=4)*ROW($N$2:$N$49))-1)</f>
        <v>TUR</v>
      </c>
      <c r="D17" s="42" t="str">
        <f>VLOOKUP(C17,Clasificacion!$B$2:$C$49,2,FALSE())</f>
        <v>Türkiye</v>
      </c>
      <c r="E17" s="42">
        <f>VLOOKUP(C17,Clasificacion!$B$2:$K$49,3,FALSE())</f>
        <v>0</v>
      </c>
      <c r="F17" s="42">
        <f>VLOOKUP(C17,Clasificacion!$B$2:$K$49,4,FALSE())</f>
        <v>0</v>
      </c>
      <c r="G17" s="42">
        <f>VLOOKUP(C17,Clasificacion!$B$2:$K$49,5,FALSE())</f>
        <v>0</v>
      </c>
      <c r="H17" s="42">
        <f>VLOOKUP(C17,Clasificacion!$B$2:$K$49,6,FALSE())</f>
        <v>0</v>
      </c>
      <c r="I17" s="42">
        <f>VLOOKUP(C17,Clasificacion!$B$2:$K$49,7,FALSE())</f>
        <v>0</v>
      </c>
      <c r="J17" s="42">
        <f>VLOOKUP(C17,Clasificacion!$B$2:$K$49,8,FALSE())</f>
        <v>0</v>
      </c>
      <c r="K17" s="42">
        <f>VLOOKUP(C17,Clasificacion!$B$2:$K$49,9,FALSE())</f>
        <v>0</v>
      </c>
      <c r="L17" s="42">
        <f>VLOOKUP(C17,Clasificacion!$B$2:$K$49,10,FALSE())</f>
        <v>0</v>
      </c>
      <c r="N17" s="39" t="str">
        <f>Clasificacion!B17</f>
        <v>TUR</v>
      </c>
      <c r="O17" s="39" t="str">
        <f>Clasificacion!A17</f>
        <v>D</v>
      </c>
      <c r="P17" s="39">
        <f>Clasificacion!K17</f>
        <v>0</v>
      </c>
      <c r="Q17" s="39">
        <f>Clasificacion!J17</f>
        <v>0</v>
      </c>
      <c r="R17" s="39">
        <f>Clasificacion!H17</f>
        <v>0</v>
      </c>
      <c r="S17" s="39">
        <f t="shared" si="0"/>
        <v>-17</v>
      </c>
      <c r="T17" s="39">
        <f t="shared" si="1"/>
        <v>4</v>
      </c>
    </row>
    <row r="18" spans="1:20" ht="15" customHeight="1" x14ac:dyDescent="0.25">
      <c r="A18" s="37">
        <v>1</v>
      </c>
      <c r="B18" s="38" t="s">
        <v>85</v>
      </c>
      <c r="C18" s="37" t="str">
        <f>INDEX($N$2:$N$49,SUMPRODUCT(($O$2:$O$49="E")*($T$2:$T$49=1)*ROW($N$2:$N$49))-1)</f>
        <v>GER</v>
      </c>
      <c r="D18" s="37" t="str">
        <f>VLOOKUP(C18,Clasificacion!$B$2:$C$49,2,FALSE())</f>
        <v>Alemania</v>
      </c>
      <c r="E18" s="37">
        <f>VLOOKUP(C18,Clasificacion!$B$2:$K$49,3,FALSE())</f>
        <v>0</v>
      </c>
      <c r="F18" s="37">
        <f>VLOOKUP(C18,Clasificacion!$B$2:$K$49,4,FALSE())</f>
        <v>0</v>
      </c>
      <c r="G18" s="37">
        <f>VLOOKUP(C18,Clasificacion!$B$2:$K$49,5,FALSE())</f>
        <v>0</v>
      </c>
      <c r="H18" s="37">
        <f>VLOOKUP(C18,Clasificacion!$B$2:$K$49,6,FALSE())</f>
        <v>0</v>
      </c>
      <c r="I18" s="37">
        <f>VLOOKUP(C18,Clasificacion!$B$2:$K$49,7,FALSE())</f>
        <v>0</v>
      </c>
      <c r="J18" s="37">
        <f>VLOOKUP(C18,Clasificacion!$B$2:$K$49,8,FALSE())</f>
        <v>0</v>
      </c>
      <c r="K18" s="37">
        <f>VLOOKUP(C18,Clasificacion!$B$2:$K$49,9,FALSE())</f>
        <v>0</v>
      </c>
      <c r="L18" s="37">
        <f>VLOOKUP(C18,Clasificacion!$B$2:$K$49,10,FALSE())</f>
        <v>0</v>
      </c>
      <c r="N18" s="39" t="str">
        <f>Clasificacion!B18</f>
        <v>GER</v>
      </c>
      <c r="O18" s="39" t="str">
        <f>Clasificacion!A18</f>
        <v>E</v>
      </c>
      <c r="P18" s="39">
        <f>Clasificacion!K18</f>
        <v>0</v>
      </c>
      <c r="Q18" s="39">
        <f>Clasificacion!J18</f>
        <v>0</v>
      </c>
      <c r="R18" s="39">
        <f>Clasificacion!H18</f>
        <v>0</v>
      </c>
      <c r="S18" s="39">
        <f t="shared" si="0"/>
        <v>-18</v>
      </c>
      <c r="T18" s="39">
        <f t="shared" si="1"/>
        <v>1</v>
      </c>
    </row>
    <row r="19" spans="1:20" ht="15" customHeight="1" x14ac:dyDescent="0.25">
      <c r="A19" s="40">
        <v>2</v>
      </c>
      <c r="B19" s="41" t="s">
        <v>85</v>
      </c>
      <c r="C19" s="40" t="str">
        <f>INDEX($N$2:$N$49,SUMPRODUCT(($O$2:$O$49="E")*($T$2:$T$49=2)*ROW($N$2:$N$49))-1)</f>
        <v>CUW</v>
      </c>
      <c r="D19" s="40" t="str">
        <f>VLOOKUP(C19,Clasificacion!$B$2:$C$49,2,FALSE())</f>
        <v>Curazao</v>
      </c>
      <c r="E19" s="40">
        <f>VLOOKUP(C19,Clasificacion!$B$2:$K$49,3,FALSE())</f>
        <v>0</v>
      </c>
      <c r="F19" s="40">
        <f>VLOOKUP(C19,Clasificacion!$B$2:$K$49,4,FALSE())</f>
        <v>0</v>
      </c>
      <c r="G19" s="40">
        <f>VLOOKUP(C19,Clasificacion!$B$2:$K$49,5,FALSE())</f>
        <v>0</v>
      </c>
      <c r="H19" s="40">
        <f>VLOOKUP(C19,Clasificacion!$B$2:$K$49,6,FALSE())</f>
        <v>0</v>
      </c>
      <c r="I19" s="40">
        <f>VLOOKUP(C19,Clasificacion!$B$2:$K$49,7,FALSE())</f>
        <v>0</v>
      </c>
      <c r="J19" s="40">
        <f>VLOOKUP(C19,Clasificacion!$B$2:$K$49,8,FALSE())</f>
        <v>0</v>
      </c>
      <c r="K19" s="40">
        <f>VLOOKUP(C19,Clasificacion!$B$2:$K$49,9,FALSE())</f>
        <v>0</v>
      </c>
      <c r="L19" s="40">
        <f>VLOOKUP(C19,Clasificacion!$B$2:$K$49,10,FALSE())</f>
        <v>0</v>
      </c>
      <c r="N19" s="39" t="str">
        <f>Clasificacion!B19</f>
        <v>CUW</v>
      </c>
      <c r="O19" s="39" t="str">
        <f>Clasificacion!A19</f>
        <v>E</v>
      </c>
      <c r="P19" s="39">
        <f>Clasificacion!K19</f>
        <v>0</v>
      </c>
      <c r="Q19" s="39">
        <f>Clasificacion!J19</f>
        <v>0</v>
      </c>
      <c r="R19" s="39">
        <f>Clasificacion!H19</f>
        <v>0</v>
      </c>
      <c r="S19" s="39">
        <f t="shared" si="0"/>
        <v>-19</v>
      </c>
      <c r="T19" s="39">
        <f t="shared" si="1"/>
        <v>2</v>
      </c>
    </row>
    <row r="20" spans="1:20" ht="15" customHeight="1" x14ac:dyDescent="0.25">
      <c r="A20" s="42">
        <v>3</v>
      </c>
      <c r="B20" s="43" t="s">
        <v>85</v>
      </c>
      <c r="C20" s="42" t="str">
        <f>INDEX($N$2:$N$49,SUMPRODUCT(($O$2:$O$49="E")*($T$2:$T$49=3)*ROW($N$2:$N$49))-1)</f>
        <v>CIV</v>
      </c>
      <c r="D20" s="42" t="str">
        <f>VLOOKUP(C20,Clasificacion!$B$2:$C$49,2,FALSE())</f>
        <v>Costa de Marfil</v>
      </c>
      <c r="E20" s="42">
        <f>VLOOKUP(C20,Clasificacion!$B$2:$K$49,3,FALSE())</f>
        <v>0</v>
      </c>
      <c r="F20" s="42">
        <f>VLOOKUP(C20,Clasificacion!$B$2:$K$49,4,FALSE())</f>
        <v>0</v>
      </c>
      <c r="G20" s="42">
        <f>VLOOKUP(C20,Clasificacion!$B$2:$K$49,5,FALSE())</f>
        <v>0</v>
      </c>
      <c r="H20" s="42">
        <f>VLOOKUP(C20,Clasificacion!$B$2:$K$49,6,FALSE())</f>
        <v>0</v>
      </c>
      <c r="I20" s="42">
        <f>VLOOKUP(C20,Clasificacion!$B$2:$K$49,7,FALSE())</f>
        <v>0</v>
      </c>
      <c r="J20" s="42">
        <f>VLOOKUP(C20,Clasificacion!$B$2:$K$49,8,FALSE())</f>
        <v>0</v>
      </c>
      <c r="K20" s="42">
        <f>VLOOKUP(C20,Clasificacion!$B$2:$K$49,9,FALSE())</f>
        <v>0</v>
      </c>
      <c r="L20" s="42">
        <f>VLOOKUP(C20,Clasificacion!$B$2:$K$49,10,FALSE())</f>
        <v>0</v>
      </c>
      <c r="N20" s="39" t="str">
        <f>Clasificacion!B20</f>
        <v>CIV</v>
      </c>
      <c r="O20" s="39" t="str">
        <f>Clasificacion!A20</f>
        <v>E</v>
      </c>
      <c r="P20" s="39">
        <f>Clasificacion!K20</f>
        <v>0</v>
      </c>
      <c r="Q20" s="39">
        <f>Clasificacion!J20</f>
        <v>0</v>
      </c>
      <c r="R20" s="39">
        <f>Clasificacion!H20</f>
        <v>0</v>
      </c>
      <c r="S20" s="39">
        <f t="shared" si="0"/>
        <v>-20</v>
      </c>
      <c r="T20" s="39">
        <f t="shared" si="1"/>
        <v>3</v>
      </c>
    </row>
    <row r="21" spans="1:20" ht="15" customHeight="1" x14ac:dyDescent="0.25">
      <c r="A21" s="42">
        <v>4</v>
      </c>
      <c r="B21" s="43" t="s">
        <v>85</v>
      </c>
      <c r="C21" s="42" t="str">
        <f>INDEX($N$2:$N$49,SUMPRODUCT(($O$2:$O$49="E")*($T$2:$T$49=4)*ROW($N$2:$N$49))-1)</f>
        <v>ECU</v>
      </c>
      <c r="D21" s="42" t="str">
        <f>VLOOKUP(C21,Clasificacion!$B$2:$C$49,2,FALSE())</f>
        <v>Ecuador</v>
      </c>
      <c r="E21" s="42">
        <f>VLOOKUP(C21,Clasificacion!$B$2:$K$49,3,FALSE())</f>
        <v>0</v>
      </c>
      <c r="F21" s="42">
        <f>VLOOKUP(C21,Clasificacion!$B$2:$K$49,4,FALSE())</f>
        <v>0</v>
      </c>
      <c r="G21" s="42">
        <f>VLOOKUP(C21,Clasificacion!$B$2:$K$49,5,FALSE())</f>
        <v>0</v>
      </c>
      <c r="H21" s="42">
        <f>VLOOKUP(C21,Clasificacion!$B$2:$K$49,6,FALSE())</f>
        <v>0</v>
      </c>
      <c r="I21" s="42">
        <f>VLOOKUP(C21,Clasificacion!$B$2:$K$49,7,FALSE())</f>
        <v>0</v>
      </c>
      <c r="J21" s="42">
        <f>VLOOKUP(C21,Clasificacion!$B$2:$K$49,8,FALSE())</f>
        <v>0</v>
      </c>
      <c r="K21" s="42">
        <f>VLOOKUP(C21,Clasificacion!$B$2:$K$49,9,FALSE())</f>
        <v>0</v>
      </c>
      <c r="L21" s="42">
        <f>VLOOKUP(C21,Clasificacion!$B$2:$K$49,10,FALSE())</f>
        <v>0</v>
      </c>
      <c r="N21" s="39" t="str">
        <f>Clasificacion!B21</f>
        <v>ECU</v>
      </c>
      <c r="O21" s="39" t="str">
        <f>Clasificacion!A21</f>
        <v>E</v>
      </c>
      <c r="P21" s="39">
        <f>Clasificacion!K21</f>
        <v>0</v>
      </c>
      <c r="Q21" s="39">
        <f>Clasificacion!J21</f>
        <v>0</v>
      </c>
      <c r="R21" s="39">
        <f>Clasificacion!H21</f>
        <v>0</v>
      </c>
      <c r="S21" s="39">
        <f t="shared" si="0"/>
        <v>-21</v>
      </c>
      <c r="T21" s="39">
        <f t="shared" si="1"/>
        <v>4</v>
      </c>
    </row>
    <row r="22" spans="1:20" ht="15" customHeight="1" x14ac:dyDescent="0.25">
      <c r="A22" s="37">
        <v>1</v>
      </c>
      <c r="B22" s="38" t="s">
        <v>98</v>
      </c>
      <c r="C22" s="37" t="str">
        <f>INDEX($N$2:$N$49,SUMPRODUCT(($O$2:$O$49="F")*($T$2:$T$49=1)*ROW($N$2:$N$49))-1)</f>
        <v>NED</v>
      </c>
      <c r="D22" s="37" t="str">
        <f>VLOOKUP(C22,Clasificacion!$B$2:$C$49,2,FALSE())</f>
        <v>Países Bajos</v>
      </c>
      <c r="E22" s="37">
        <f>VLOOKUP(C22,Clasificacion!$B$2:$K$49,3,FALSE())</f>
        <v>0</v>
      </c>
      <c r="F22" s="37">
        <f>VLOOKUP(C22,Clasificacion!$B$2:$K$49,4,FALSE())</f>
        <v>0</v>
      </c>
      <c r="G22" s="37">
        <f>VLOOKUP(C22,Clasificacion!$B$2:$K$49,5,FALSE())</f>
        <v>0</v>
      </c>
      <c r="H22" s="37">
        <f>VLOOKUP(C22,Clasificacion!$B$2:$K$49,6,FALSE())</f>
        <v>0</v>
      </c>
      <c r="I22" s="37">
        <f>VLOOKUP(C22,Clasificacion!$B$2:$K$49,7,FALSE())</f>
        <v>0</v>
      </c>
      <c r="J22" s="37">
        <f>VLOOKUP(C22,Clasificacion!$B$2:$K$49,8,FALSE())</f>
        <v>0</v>
      </c>
      <c r="K22" s="37">
        <f>VLOOKUP(C22,Clasificacion!$B$2:$K$49,9,FALSE())</f>
        <v>0</v>
      </c>
      <c r="L22" s="37">
        <f>VLOOKUP(C22,Clasificacion!$B$2:$K$49,10,FALSE())</f>
        <v>0</v>
      </c>
      <c r="N22" s="39" t="str">
        <f>Clasificacion!B22</f>
        <v>NED</v>
      </c>
      <c r="O22" s="39" t="str">
        <f>Clasificacion!A22</f>
        <v>F</v>
      </c>
      <c r="P22" s="39">
        <f>Clasificacion!K22</f>
        <v>0</v>
      </c>
      <c r="Q22" s="39">
        <f>Clasificacion!J22</f>
        <v>0</v>
      </c>
      <c r="R22" s="39">
        <f>Clasificacion!H22</f>
        <v>0</v>
      </c>
      <c r="S22" s="39">
        <f t="shared" si="0"/>
        <v>-22</v>
      </c>
      <c r="T22" s="39">
        <f t="shared" si="1"/>
        <v>1</v>
      </c>
    </row>
    <row r="23" spans="1:20" ht="15" customHeight="1" x14ac:dyDescent="0.25">
      <c r="A23" s="40">
        <v>2</v>
      </c>
      <c r="B23" s="41" t="s">
        <v>98</v>
      </c>
      <c r="C23" s="40" t="str">
        <f>INDEX($N$2:$N$49,SUMPRODUCT(($O$2:$O$49="F")*($T$2:$T$49=2)*ROW($N$2:$N$49))-1)</f>
        <v>JPN</v>
      </c>
      <c r="D23" s="40" t="str">
        <f>VLOOKUP(C23,Clasificacion!$B$2:$C$49,2,FALSE())</f>
        <v>Japón</v>
      </c>
      <c r="E23" s="40">
        <f>VLOOKUP(C23,Clasificacion!$B$2:$K$49,3,FALSE())</f>
        <v>0</v>
      </c>
      <c r="F23" s="40">
        <f>VLOOKUP(C23,Clasificacion!$B$2:$K$49,4,FALSE())</f>
        <v>0</v>
      </c>
      <c r="G23" s="40">
        <f>VLOOKUP(C23,Clasificacion!$B$2:$K$49,5,FALSE())</f>
        <v>0</v>
      </c>
      <c r="H23" s="40">
        <f>VLOOKUP(C23,Clasificacion!$B$2:$K$49,6,FALSE())</f>
        <v>0</v>
      </c>
      <c r="I23" s="40">
        <f>VLOOKUP(C23,Clasificacion!$B$2:$K$49,7,FALSE())</f>
        <v>0</v>
      </c>
      <c r="J23" s="40">
        <f>VLOOKUP(C23,Clasificacion!$B$2:$K$49,8,FALSE())</f>
        <v>0</v>
      </c>
      <c r="K23" s="40">
        <f>VLOOKUP(C23,Clasificacion!$B$2:$K$49,9,FALSE())</f>
        <v>0</v>
      </c>
      <c r="L23" s="40">
        <f>VLOOKUP(C23,Clasificacion!$B$2:$K$49,10,FALSE())</f>
        <v>0</v>
      </c>
      <c r="N23" s="39" t="str">
        <f>Clasificacion!B23</f>
        <v>JPN</v>
      </c>
      <c r="O23" s="39" t="str">
        <f>Clasificacion!A23</f>
        <v>F</v>
      </c>
      <c r="P23" s="39">
        <f>Clasificacion!K23</f>
        <v>0</v>
      </c>
      <c r="Q23" s="39">
        <f>Clasificacion!J23</f>
        <v>0</v>
      </c>
      <c r="R23" s="39">
        <f>Clasificacion!H23</f>
        <v>0</v>
      </c>
      <c r="S23" s="39">
        <f t="shared" si="0"/>
        <v>-23</v>
      </c>
      <c r="T23" s="39">
        <f t="shared" si="1"/>
        <v>2</v>
      </c>
    </row>
    <row r="24" spans="1:20" ht="15" customHeight="1" x14ac:dyDescent="0.25">
      <c r="A24" s="42">
        <v>3</v>
      </c>
      <c r="B24" s="43" t="s">
        <v>98</v>
      </c>
      <c r="C24" s="42" t="str">
        <f>INDEX($N$2:$N$49,SUMPRODUCT(($O$2:$O$49="F")*($T$2:$T$49=3)*ROW($N$2:$N$49))-1)</f>
        <v>SWE</v>
      </c>
      <c r="D24" s="42" t="str">
        <f>VLOOKUP(C24,Clasificacion!$B$2:$C$49,2,FALSE())</f>
        <v>Suecia</v>
      </c>
      <c r="E24" s="42">
        <f>VLOOKUP(C24,Clasificacion!$B$2:$K$49,3,FALSE())</f>
        <v>0</v>
      </c>
      <c r="F24" s="42">
        <f>VLOOKUP(C24,Clasificacion!$B$2:$K$49,4,FALSE())</f>
        <v>0</v>
      </c>
      <c r="G24" s="42">
        <f>VLOOKUP(C24,Clasificacion!$B$2:$K$49,5,FALSE())</f>
        <v>0</v>
      </c>
      <c r="H24" s="42">
        <f>VLOOKUP(C24,Clasificacion!$B$2:$K$49,6,FALSE())</f>
        <v>0</v>
      </c>
      <c r="I24" s="42">
        <f>VLOOKUP(C24,Clasificacion!$B$2:$K$49,7,FALSE())</f>
        <v>0</v>
      </c>
      <c r="J24" s="42">
        <f>VLOOKUP(C24,Clasificacion!$B$2:$K$49,8,FALSE())</f>
        <v>0</v>
      </c>
      <c r="K24" s="42">
        <f>VLOOKUP(C24,Clasificacion!$B$2:$K$49,9,FALSE())</f>
        <v>0</v>
      </c>
      <c r="L24" s="42">
        <f>VLOOKUP(C24,Clasificacion!$B$2:$K$49,10,FALSE())</f>
        <v>0</v>
      </c>
      <c r="N24" s="39" t="str">
        <f>Clasificacion!B24</f>
        <v>SWE</v>
      </c>
      <c r="O24" s="39" t="str">
        <f>Clasificacion!A24</f>
        <v>F</v>
      </c>
      <c r="P24" s="39">
        <f>Clasificacion!K24</f>
        <v>0</v>
      </c>
      <c r="Q24" s="39">
        <f>Clasificacion!J24</f>
        <v>0</v>
      </c>
      <c r="R24" s="39">
        <f>Clasificacion!H24</f>
        <v>0</v>
      </c>
      <c r="S24" s="39">
        <f t="shared" si="0"/>
        <v>-24</v>
      </c>
      <c r="T24" s="39">
        <f t="shared" si="1"/>
        <v>3</v>
      </c>
    </row>
    <row r="25" spans="1:20" ht="15" customHeight="1" x14ac:dyDescent="0.25">
      <c r="A25" s="42">
        <v>4</v>
      </c>
      <c r="B25" s="43" t="s">
        <v>98</v>
      </c>
      <c r="C25" s="42" t="str">
        <f>INDEX($N$2:$N$49,SUMPRODUCT(($O$2:$O$49="F")*($T$2:$T$49=4)*ROW($N$2:$N$49))-1)</f>
        <v>TUN</v>
      </c>
      <c r="D25" s="42" t="str">
        <f>VLOOKUP(C25,Clasificacion!$B$2:$C$49,2,FALSE())</f>
        <v>Túnez</v>
      </c>
      <c r="E25" s="42">
        <f>VLOOKUP(C25,Clasificacion!$B$2:$K$49,3,FALSE())</f>
        <v>0</v>
      </c>
      <c r="F25" s="42">
        <f>VLOOKUP(C25,Clasificacion!$B$2:$K$49,4,FALSE())</f>
        <v>0</v>
      </c>
      <c r="G25" s="42">
        <f>VLOOKUP(C25,Clasificacion!$B$2:$K$49,5,FALSE())</f>
        <v>0</v>
      </c>
      <c r="H25" s="42">
        <f>VLOOKUP(C25,Clasificacion!$B$2:$K$49,6,FALSE())</f>
        <v>0</v>
      </c>
      <c r="I25" s="42">
        <f>VLOOKUP(C25,Clasificacion!$B$2:$K$49,7,FALSE())</f>
        <v>0</v>
      </c>
      <c r="J25" s="42">
        <f>VLOOKUP(C25,Clasificacion!$B$2:$K$49,8,FALSE())</f>
        <v>0</v>
      </c>
      <c r="K25" s="42">
        <f>VLOOKUP(C25,Clasificacion!$B$2:$K$49,9,FALSE())</f>
        <v>0</v>
      </c>
      <c r="L25" s="42">
        <f>VLOOKUP(C25,Clasificacion!$B$2:$K$49,10,FALSE())</f>
        <v>0</v>
      </c>
      <c r="N25" s="39" t="str">
        <f>Clasificacion!B25</f>
        <v>TUN</v>
      </c>
      <c r="O25" s="39" t="str">
        <f>Clasificacion!A25</f>
        <v>F</v>
      </c>
      <c r="P25" s="39">
        <f>Clasificacion!K25</f>
        <v>0</v>
      </c>
      <c r="Q25" s="39">
        <f>Clasificacion!J25</f>
        <v>0</v>
      </c>
      <c r="R25" s="39">
        <f>Clasificacion!H25</f>
        <v>0</v>
      </c>
      <c r="S25" s="39">
        <f t="shared" si="0"/>
        <v>-25</v>
      </c>
      <c r="T25" s="39">
        <f t="shared" si="1"/>
        <v>4</v>
      </c>
    </row>
    <row r="26" spans="1:20" ht="15" customHeight="1" x14ac:dyDescent="0.25">
      <c r="A26" s="37">
        <v>1</v>
      </c>
      <c r="B26" s="38" t="s">
        <v>111</v>
      </c>
      <c r="C26" s="37" t="str">
        <f>INDEX($N$2:$N$49,SUMPRODUCT(($O$2:$O$49="G")*($T$2:$T$49=1)*ROW($N$2:$N$49))-1)</f>
        <v>BEL</v>
      </c>
      <c r="D26" s="37" t="str">
        <f>VLOOKUP(C26,Clasificacion!$B$2:$C$49,2,FALSE())</f>
        <v>Bélgica</v>
      </c>
      <c r="E26" s="37">
        <f>VLOOKUP(C26,Clasificacion!$B$2:$K$49,3,FALSE())</f>
        <v>0</v>
      </c>
      <c r="F26" s="37">
        <f>VLOOKUP(C26,Clasificacion!$B$2:$K$49,4,FALSE())</f>
        <v>0</v>
      </c>
      <c r="G26" s="37">
        <f>VLOOKUP(C26,Clasificacion!$B$2:$K$49,5,FALSE())</f>
        <v>0</v>
      </c>
      <c r="H26" s="37">
        <f>VLOOKUP(C26,Clasificacion!$B$2:$K$49,6,FALSE())</f>
        <v>0</v>
      </c>
      <c r="I26" s="37">
        <f>VLOOKUP(C26,Clasificacion!$B$2:$K$49,7,FALSE())</f>
        <v>0</v>
      </c>
      <c r="J26" s="37">
        <f>VLOOKUP(C26,Clasificacion!$B$2:$K$49,8,FALSE())</f>
        <v>0</v>
      </c>
      <c r="K26" s="37">
        <f>VLOOKUP(C26,Clasificacion!$B$2:$K$49,9,FALSE())</f>
        <v>0</v>
      </c>
      <c r="L26" s="37">
        <f>VLOOKUP(C26,Clasificacion!$B$2:$K$49,10,FALSE())</f>
        <v>0</v>
      </c>
      <c r="N26" s="39" t="str">
        <f>Clasificacion!B26</f>
        <v>BEL</v>
      </c>
      <c r="O26" s="39" t="str">
        <f>Clasificacion!A26</f>
        <v>G</v>
      </c>
      <c r="P26" s="39">
        <f>Clasificacion!K26</f>
        <v>0</v>
      </c>
      <c r="Q26" s="39">
        <f>Clasificacion!J26</f>
        <v>0</v>
      </c>
      <c r="R26" s="39">
        <f>Clasificacion!H26</f>
        <v>0</v>
      </c>
      <c r="S26" s="39">
        <f t="shared" si="0"/>
        <v>-26</v>
      </c>
      <c r="T26" s="39">
        <f t="shared" si="1"/>
        <v>1</v>
      </c>
    </row>
    <row r="27" spans="1:20" ht="15" customHeight="1" x14ac:dyDescent="0.25">
      <c r="A27" s="40">
        <v>2</v>
      </c>
      <c r="B27" s="41" t="s">
        <v>111</v>
      </c>
      <c r="C27" s="40" t="str">
        <f>INDEX($N$2:$N$49,SUMPRODUCT(($O$2:$O$49="G")*($T$2:$T$49=2)*ROW($N$2:$N$49))-1)</f>
        <v>EGY</v>
      </c>
      <c r="D27" s="40" t="str">
        <f>VLOOKUP(C27,Clasificacion!$B$2:$C$49,2,FALSE())</f>
        <v>Egipto</v>
      </c>
      <c r="E27" s="40">
        <f>VLOOKUP(C27,Clasificacion!$B$2:$K$49,3,FALSE())</f>
        <v>0</v>
      </c>
      <c r="F27" s="40">
        <f>VLOOKUP(C27,Clasificacion!$B$2:$K$49,4,FALSE())</f>
        <v>0</v>
      </c>
      <c r="G27" s="40">
        <f>VLOOKUP(C27,Clasificacion!$B$2:$K$49,5,FALSE())</f>
        <v>0</v>
      </c>
      <c r="H27" s="40">
        <f>VLOOKUP(C27,Clasificacion!$B$2:$K$49,6,FALSE())</f>
        <v>0</v>
      </c>
      <c r="I27" s="40">
        <f>VLOOKUP(C27,Clasificacion!$B$2:$K$49,7,FALSE())</f>
        <v>0</v>
      </c>
      <c r="J27" s="40">
        <f>VLOOKUP(C27,Clasificacion!$B$2:$K$49,8,FALSE())</f>
        <v>0</v>
      </c>
      <c r="K27" s="40">
        <f>VLOOKUP(C27,Clasificacion!$B$2:$K$49,9,FALSE())</f>
        <v>0</v>
      </c>
      <c r="L27" s="40">
        <f>VLOOKUP(C27,Clasificacion!$B$2:$K$49,10,FALSE())</f>
        <v>0</v>
      </c>
      <c r="N27" s="39" t="str">
        <f>Clasificacion!B27</f>
        <v>EGY</v>
      </c>
      <c r="O27" s="39" t="str">
        <f>Clasificacion!A27</f>
        <v>G</v>
      </c>
      <c r="P27" s="39">
        <f>Clasificacion!K27</f>
        <v>0</v>
      </c>
      <c r="Q27" s="39">
        <f>Clasificacion!J27</f>
        <v>0</v>
      </c>
      <c r="R27" s="39">
        <f>Clasificacion!H27</f>
        <v>0</v>
      </c>
      <c r="S27" s="39">
        <f t="shared" si="0"/>
        <v>-27</v>
      </c>
      <c r="T27" s="39">
        <f t="shared" si="1"/>
        <v>2</v>
      </c>
    </row>
    <row r="28" spans="1:20" ht="15" customHeight="1" x14ac:dyDescent="0.25">
      <c r="A28" s="42">
        <v>3</v>
      </c>
      <c r="B28" s="43" t="s">
        <v>111</v>
      </c>
      <c r="C28" s="42" t="str">
        <f>INDEX($N$2:$N$49,SUMPRODUCT(($O$2:$O$49="G")*($T$2:$T$49=3)*ROW($N$2:$N$49))-1)</f>
        <v>IRN</v>
      </c>
      <c r="D28" s="42" t="str">
        <f>VLOOKUP(C28,Clasificacion!$B$2:$C$49,2,FALSE())</f>
        <v>Irán</v>
      </c>
      <c r="E28" s="42">
        <f>VLOOKUP(C28,Clasificacion!$B$2:$K$49,3,FALSE())</f>
        <v>0</v>
      </c>
      <c r="F28" s="42">
        <f>VLOOKUP(C28,Clasificacion!$B$2:$K$49,4,FALSE())</f>
        <v>0</v>
      </c>
      <c r="G28" s="42">
        <f>VLOOKUP(C28,Clasificacion!$B$2:$K$49,5,FALSE())</f>
        <v>0</v>
      </c>
      <c r="H28" s="42">
        <f>VLOOKUP(C28,Clasificacion!$B$2:$K$49,6,FALSE())</f>
        <v>0</v>
      </c>
      <c r="I28" s="42">
        <f>VLOOKUP(C28,Clasificacion!$B$2:$K$49,7,FALSE())</f>
        <v>0</v>
      </c>
      <c r="J28" s="42">
        <f>VLOOKUP(C28,Clasificacion!$B$2:$K$49,8,FALSE())</f>
        <v>0</v>
      </c>
      <c r="K28" s="42">
        <f>VLOOKUP(C28,Clasificacion!$B$2:$K$49,9,FALSE())</f>
        <v>0</v>
      </c>
      <c r="L28" s="42">
        <f>VLOOKUP(C28,Clasificacion!$B$2:$K$49,10,FALSE())</f>
        <v>0</v>
      </c>
      <c r="N28" s="39" t="str">
        <f>Clasificacion!B28</f>
        <v>IRN</v>
      </c>
      <c r="O28" s="39" t="str">
        <f>Clasificacion!A28</f>
        <v>G</v>
      </c>
      <c r="P28" s="39">
        <f>Clasificacion!K28</f>
        <v>0</v>
      </c>
      <c r="Q28" s="39">
        <f>Clasificacion!J28</f>
        <v>0</v>
      </c>
      <c r="R28" s="39">
        <f>Clasificacion!H28</f>
        <v>0</v>
      </c>
      <c r="S28" s="39">
        <f t="shared" si="0"/>
        <v>-28</v>
      </c>
      <c r="T28" s="39">
        <f t="shared" si="1"/>
        <v>3</v>
      </c>
    </row>
    <row r="29" spans="1:20" ht="15" customHeight="1" x14ac:dyDescent="0.25">
      <c r="A29" s="42">
        <v>4</v>
      </c>
      <c r="B29" s="43" t="s">
        <v>111</v>
      </c>
      <c r="C29" s="42" t="str">
        <f>INDEX($N$2:$N$49,SUMPRODUCT(($O$2:$O$49="G")*($T$2:$T$49=4)*ROW($N$2:$N$49))-1)</f>
        <v>NZL</v>
      </c>
      <c r="D29" s="42" t="str">
        <f>VLOOKUP(C29,Clasificacion!$B$2:$C$49,2,FALSE())</f>
        <v>Nueva Zelanda</v>
      </c>
      <c r="E29" s="42">
        <f>VLOOKUP(C29,Clasificacion!$B$2:$K$49,3,FALSE())</f>
        <v>0</v>
      </c>
      <c r="F29" s="42">
        <f>VLOOKUP(C29,Clasificacion!$B$2:$K$49,4,FALSE())</f>
        <v>0</v>
      </c>
      <c r="G29" s="42">
        <f>VLOOKUP(C29,Clasificacion!$B$2:$K$49,5,FALSE())</f>
        <v>0</v>
      </c>
      <c r="H29" s="42">
        <f>VLOOKUP(C29,Clasificacion!$B$2:$K$49,6,FALSE())</f>
        <v>0</v>
      </c>
      <c r="I29" s="42">
        <f>VLOOKUP(C29,Clasificacion!$B$2:$K$49,7,FALSE())</f>
        <v>0</v>
      </c>
      <c r="J29" s="42">
        <f>VLOOKUP(C29,Clasificacion!$B$2:$K$49,8,FALSE())</f>
        <v>0</v>
      </c>
      <c r="K29" s="42">
        <f>VLOOKUP(C29,Clasificacion!$B$2:$K$49,9,FALSE())</f>
        <v>0</v>
      </c>
      <c r="L29" s="42">
        <f>VLOOKUP(C29,Clasificacion!$B$2:$K$49,10,FALSE())</f>
        <v>0</v>
      </c>
      <c r="N29" s="39" t="str">
        <f>Clasificacion!B29</f>
        <v>NZL</v>
      </c>
      <c r="O29" s="39" t="str">
        <f>Clasificacion!A29</f>
        <v>G</v>
      </c>
      <c r="P29" s="39">
        <f>Clasificacion!K29</f>
        <v>0</v>
      </c>
      <c r="Q29" s="39">
        <f>Clasificacion!J29</f>
        <v>0</v>
      </c>
      <c r="R29" s="39">
        <f>Clasificacion!H29</f>
        <v>0</v>
      </c>
      <c r="S29" s="39">
        <f t="shared" si="0"/>
        <v>-29</v>
      </c>
      <c r="T29" s="39">
        <f t="shared" si="1"/>
        <v>4</v>
      </c>
    </row>
    <row r="30" spans="1:20" ht="15" customHeight="1" x14ac:dyDescent="0.25">
      <c r="A30" s="37">
        <v>1</v>
      </c>
      <c r="B30" s="38" t="s">
        <v>124</v>
      </c>
      <c r="C30" s="37" t="str">
        <f>INDEX($N$2:$N$49,SUMPRODUCT(($O$2:$O$49="H")*($T$2:$T$49=1)*ROW($N$2:$N$49))-1)</f>
        <v>ESP</v>
      </c>
      <c r="D30" s="37" t="str">
        <f>VLOOKUP(C30,Clasificacion!$B$2:$C$49,2,FALSE())</f>
        <v>España</v>
      </c>
      <c r="E30" s="37">
        <f>VLOOKUP(C30,Clasificacion!$B$2:$K$49,3,FALSE())</f>
        <v>0</v>
      </c>
      <c r="F30" s="37">
        <f>VLOOKUP(C30,Clasificacion!$B$2:$K$49,4,FALSE())</f>
        <v>0</v>
      </c>
      <c r="G30" s="37">
        <f>VLOOKUP(C30,Clasificacion!$B$2:$K$49,5,FALSE())</f>
        <v>0</v>
      </c>
      <c r="H30" s="37">
        <f>VLOOKUP(C30,Clasificacion!$B$2:$K$49,6,FALSE())</f>
        <v>0</v>
      </c>
      <c r="I30" s="37">
        <f>VLOOKUP(C30,Clasificacion!$B$2:$K$49,7,FALSE())</f>
        <v>0</v>
      </c>
      <c r="J30" s="37">
        <f>VLOOKUP(C30,Clasificacion!$B$2:$K$49,8,FALSE())</f>
        <v>0</v>
      </c>
      <c r="K30" s="37">
        <f>VLOOKUP(C30,Clasificacion!$B$2:$K$49,9,FALSE())</f>
        <v>0</v>
      </c>
      <c r="L30" s="37">
        <f>VLOOKUP(C30,Clasificacion!$B$2:$K$49,10,FALSE())</f>
        <v>0</v>
      </c>
      <c r="N30" s="39" t="str">
        <f>Clasificacion!B30</f>
        <v>ESP</v>
      </c>
      <c r="O30" s="39" t="str">
        <f>Clasificacion!A30</f>
        <v>H</v>
      </c>
      <c r="P30" s="39">
        <f>Clasificacion!K30</f>
        <v>0</v>
      </c>
      <c r="Q30" s="39">
        <f>Clasificacion!J30</f>
        <v>0</v>
      </c>
      <c r="R30" s="39">
        <f>Clasificacion!H30</f>
        <v>0</v>
      </c>
      <c r="S30" s="39">
        <f t="shared" si="0"/>
        <v>-30</v>
      </c>
      <c r="T30" s="39">
        <f t="shared" si="1"/>
        <v>1</v>
      </c>
    </row>
    <row r="31" spans="1:20" ht="15" customHeight="1" x14ac:dyDescent="0.25">
      <c r="A31" s="40">
        <v>2</v>
      </c>
      <c r="B31" s="41" t="s">
        <v>124</v>
      </c>
      <c r="C31" s="40" t="str">
        <f>INDEX($N$2:$N$49,SUMPRODUCT(($O$2:$O$49="H")*($T$2:$T$49=2)*ROW($N$2:$N$49))-1)</f>
        <v>CPV</v>
      </c>
      <c r="D31" s="40" t="str">
        <f>VLOOKUP(C31,Clasificacion!$B$2:$C$49,2,FALSE())</f>
        <v>Cabo Verde</v>
      </c>
      <c r="E31" s="40">
        <f>VLOOKUP(C31,Clasificacion!$B$2:$K$49,3,FALSE())</f>
        <v>0</v>
      </c>
      <c r="F31" s="40">
        <f>VLOOKUP(C31,Clasificacion!$B$2:$K$49,4,FALSE())</f>
        <v>0</v>
      </c>
      <c r="G31" s="40">
        <f>VLOOKUP(C31,Clasificacion!$B$2:$K$49,5,FALSE())</f>
        <v>0</v>
      </c>
      <c r="H31" s="40">
        <f>VLOOKUP(C31,Clasificacion!$B$2:$K$49,6,FALSE())</f>
        <v>0</v>
      </c>
      <c r="I31" s="40">
        <f>VLOOKUP(C31,Clasificacion!$B$2:$K$49,7,FALSE())</f>
        <v>0</v>
      </c>
      <c r="J31" s="40">
        <f>VLOOKUP(C31,Clasificacion!$B$2:$K$49,8,FALSE())</f>
        <v>0</v>
      </c>
      <c r="K31" s="40">
        <f>VLOOKUP(C31,Clasificacion!$B$2:$K$49,9,FALSE())</f>
        <v>0</v>
      </c>
      <c r="L31" s="40">
        <f>VLOOKUP(C31,Clasificacion!$B$2:$K$49,10,FALSE())</f>
        <v>0</v>
      </c>
      <c r="N31" s="39" t="str">
        <f>Clasificacion!B31</f>
        <v>CPV</v>
      </c>
      <c r="O31" s="39" t="str">
        <f>Clasificacion!A31</f>
        <v>H</v>
      </c>
      <c r="P31" s="39">
        <f>Clasificacion!K31</f>
        <v>0</v>
      </c>
      <c r="Q31" s="39">
        <f>Clasificacion!J31</f>
        <v>0</v>
      </c>
      <c r="R31" s="39">
        <f>Clasificacion!H31</f>
        <v>0</v>
      </c>
      <c r="S31" s="39">
        <f t="shared" si="0"/>
        <v>-31</v>
      </c>
      <c r="T31" s="39">
        <f t="shared" si="1"/>
        <v>2</v>
      </c>
    </row>
    <row r="32" spans="1:20" ht="15" customHeight="1" x14ac:dyDescent="0.25">
      <c r="A32" s="42">
        <v>3</v>
      </c>
      <c r="B32" s="43" t="s">
        <v>124</v>
      </c>
      <c r="C32" s="42" t="str">
        <f>INDEX($N$2:$N$49,SUMPRODUCT(($O$2:$O$49="H")*($T$2:$T$49=3)*ROW($N$2:$N$49))-1)</f>
        <v>KSA</v>
      </c>
      <c r="D32" s="42" t="str">
        <f>VLOOKUP(C32,Clasificacion!$B$2:$C$49,2,FALSE())</f>
        <v>Arabia Saudita</v>
      </c>
      <c r="E32" s="42">
        <f>VLOOKUP(C32,Clasificacion!$B$2:$K$49,3,FALSE())</f>
        <v>0</v>
      </c>
      <c r="F32" s="42">
        <f>VLOOKUP(C32,Clasificacion!$B$2:$K$49,4,FALSE())</f>
        <v>0</v>
      </c>
      <c r="G32" s="42">
        <f>VLOOKUP(C32,Clasificacion!$B$2:$K$49,5,FALSE())</f>
        <v>0</v>
      </c>
      <c r="H32" s="42">
        <f>VLOOKUP(C32,Clasificacion!$B$2:$K$49,6,FALSE())</f>
        <v>0</v>
      </c>
      <c r="I32" s="42">
        <f>VLOOKUP(C32,Clasificacion!$B$2:$K$49,7,FALSE())</f>
        <v>0</v>
      </c>
      <c r="J32" s="42">
        <f>VLOOKUP(C32,Clasificacion!$B$2:$K$49,8,FALSE())</f>
        <v>0</v>
      </c>
      <c r="K32" s="42">
        <f>VLOOKUP(C32,Clasificacion!$B$2:$K$49,9,FALSE())</f>
        <v>0</v>
      </c>
      <c r="L32" s="42">
        <f>VLOOKUP(C32,Clasificacion!$B$2:$K$49,10,FALSE())</f>
        <v>0</v>
      </c>
      <c r="N32" s="39" t="str">
        <f>Clasificacion!B32</f>
        <v>KSA</v>
      </c>
      <c r="O32" s="39" t="str">
        <f>Clasificacion!A32</f>
        <v>H</v>
      </c>
      <c r="P32" s="39">
        <f>Clasificacion!K32</f>
        <v>0</v>
      </c>
      <c r="Q32" s="39">
        <f>Clasificacion!J32</f>
        <v>0</v>
      </c>
      <c r="R32" s="39">
        <f>Clasificacion!H32</f>
        <v>0</v>
      </c>
      <c r="S32" s="39">
        <f t="shared" si="0"/>
        <v>-32</v>
      </c>
      <c r="T32" s="39">
        <f t="shared" si="1"/>
        <v>3</v>
      </c>
    </row>
    <row r="33" spans="1:20" ht="15" customHeight="1" x14ac:dyDescent="0.25">
      <c r="A33" s="42">
        <v>4</v>
      </c>
      <c r="B33" s="43" t="s">
        <v>124</v>
      </c>
      <c r="C33" s="42" t="str">
        <f>INDEX($N$2:$N$49,SUMPRODUCT(($O$2:$O$49="H")*($T$2:$T$49=4)*ROW($N$2:$N$49))-1)</f>
        <v>URU</v>
      </c>
      <c r="D33" s="42" t="str">
        <f>VLOOKUP(C33,Clasificacion!$B$2:$C$49,2,FALSE())</f>
        <v>Uruguay</v>
      </c>
      <c r="E33" s="42">
        <f>VLOOKUP(C33,Clasificacion!$B$2:$K$49,3,FALSE())</f>
        <v>0</v>
      </c>
      <c r="F33" s="42">
        <f>VLOOKUP(C33,Clasificacion!$B$2:$K$49,4,FALSE())</f>
        <v>0</v>
      </c>
      <c r="G33" s="42">
        <f>VLOOKUP(C33,Clasificacion!$B$2:$K$49,5,FALSE())</f>
        <v>0</v>
      </c>
      <c r="H33" s="42">
        <f>VLOOKUP(C33,Clasificacion!$B$2:$K$49,6,FALSE())</f>
        <v>0</v>
      </c>
      <c r="I33" s="42">
        <f>VLOOKUP(C33,Clasificacion!$B$2:$K$49,7,FALSE())</f>
        <v>0</v>
      </c>
      <c r="J33" s="42">
        <f>VLOOKUP(C33,Clasificacion!$B$2:$K$49,8,FALSE())</f>
        <v>0</v>
      </c>
      <c r="K33" s="42">
        <f>VLOOKUP(C33,Clasificacion!$B$2:$K$49,9,FALSE())</f>
        <v>0</v>
      </c>
      <c r="L33" s="42">
        <f>VLOOKUP(C33,Clasificacion!$B$2:$K$49,10,FALSE())</f>
        <v>0</v>
      </c>
      <c r="N33" s="39" t="str">
        <f>Clasificacion!B33</f>
        <v>URU</v>
      </c>
      <c r="O33" s="39" t="str">
        <f>Clasificacion!A33</f>
        <v>H</v>
      </c>
      <c r="P33" s="39">
        <f>Clasificacion!K33</f>
        <v>0</v>
      </c>
      <c r="Q33" s="39">
        <f>Clasificacion!J33</f>
        <v>0</v>
      </c>
      <c r="R33" s="39">
        <f>Clasificacion!H33</f>
        <v>0</v>
      </c>
      <c r="S33" s="39">
        <f t="shared" si="0"/>
        <v>-33</v>
      </c>
      <c r="T33" s="39">
        <f t="shared" si="1"/>
        <v>4</v>
      </c>
    </row>
    <row r="34" spans="1:20" ht="15" customHeight="1" x14ac:dyDescent="0.25">
      <c r="A34" s="37">
        <v>1</v>
      </c>
      <c r="B34" s="38" t="s">
        <v>137</v>
      </c>
      <c r="C34" s="37" t="str">
        <f>INDEX($N$2:$N$49,SUMPRODUCT(($O$2:$O$49="I")*($T$2:$T$49=1)*ROW($N$2:$N$49))-1)</f>
        <v>FRA</v>
      </c>
      <c r="D34" s="37" t="str">
        <f>VLOOKUP(C34,Clasificacion!$B$2:$C$49,2,FALSE())</f>
        <v>Francia</v>
      </c>
      <c r="E34" s="37">
        <f>VLOOKUP(C34,Clasificacion!$B$2:$K$49,3,FALSE())</f>
        <v>0</v>
      </c>
      <c r="F34" s="37">
        <f>VLOOKUP(C34,Clasificacion!$B$2:$K$49,4,FALSE())</f>
        <v>0</v>
      </c>
      <c r="G34" s="37">
        <f>VLOOKUP(C34,Clasificacion!$B$2:$K$49,5,FALSE())</f>
        <v>0</v>
      </c>
      <c r="H34" s="37">
        <f>VLOOKUP(C34,Clasificacion!$B$2:$K$49,6,FALSE())</f>
        <v>0</v>
      </c>
      <c r="I34" s="37">
        <f>VLOOKUP(C34,Clasificacion!$B$2:$K$49,7,FALSE())</f>
        <v>0</v>
      </c>
      <c r="J34" s="37">
        <f>VLOOKUP(C34,Clasificacion!$B$2:$K$49,8,FALSE())</f>
        <v>0</v>
      </c>
      <c r="K34" s="37">
        <f>VLOOKUP(C34,Clasificacion!$B$2:$K$49,9,FALSE())</f>
        <v>0</v>
      </c>
      <c r="L34" s="37">
        <f>VLOOKUP(C34,Clasificacion!$B$2:$K$49,10,FALSE())</f>
        <v>0</v>
      </c>
      <c r="N34" s="39" t="str">
        <f>Clasificacion!B34</f>
        <v>FRA</v>
      </c>
      <c r="O34" s="39" t="str">
        <f>Clasificacion!A34</f>
        <v>I</v>
      </c>
      <c r="P34" s="39">
        <f>Clasificacion!K34</f>
        <v>0</v>
      </c>
      <c r="Q34" s="39">
        <f>Clasificacion!J34</f>
        <v>0</v>
      </c>
      <c r="R34" s="39">
        <f>Clasificacion!H34</f>
        <v>0</v>
      </c>
      <c r="S34" s="39">
        <f t="shared" si="0"/>
        <v>-34</v>
      </c>
      <c r="T34" s="39">
        <f t="shared" si="1"/>
        <v>1</v>
      </c>
    </row>
    <row r="35" spans="1:20" ht="15" customHeight="1" x14ac:dyDescent="0.25">
      <c r="A35" s="40">
        <v>2</v>
      </c>
      <c r="B35" s="41" t="s">
        <v>137</v>
      </c>
      <c r="C35" s="40" t="str">
        <f>INDEX($N$2:$N$49,SUMPRODUCT(($O$2:$O$49="I")*($T$2:$T$49=2)*ROW($N$2:$N$49))-1)</f>
        <v>SEN</v>
      </c>
      <c r="D35" s="40" t="str">
        <f>VLOOKUP(C35,Clasificacion!$B$2:$C$49,2,FALSE())</f>
        <v>Senegal</v>
      </c>
      <c r="E35" s="40">
        <f>VLOOKUP(C35,Clasificacion!$B$2:$K$49,3,FALSE())</f>
        <v>0</v>
      </c>
      <c r="F35" s="40">
        <f>VLOOKUP(C35,Clasificacion!$B$2:$K$49,4,FALSE())</f>
        <v>0</v>
      </c>
      <c r="G35" s="40">
        <f>VLOOKUP(C35,Clasificacion!$B$2:$K$49,5,FALSE())</f>
        <v>0</v>
      </c>
      <c r="H35" s="40">
        <f>VLOOKUP(C35,Clasificacion!$B$2:$K$49,6,FALSE())</f>
        <v>0</v>
      </c>
      <c r="I35" s="40">
        <f>VLOOKUP(C35,Clasificacion!$B$2:$K$49,7,FALSE())</f>
        <v>0</v>
      </c>
      <c r="J35" s="40">
        <f>VLOOKUP(C35,Clasificacion!$B$2:$K$49,8,FALSE())</f>
        <v>0</v>
      </c>
      <c r="K35" s="40">
        <f>VLOOKUP(C35,Clasificacion!$B$2:$K$49,9,FALSE())</f>
        <v>0</v>
      </c>
      <c r="L35" s="40">
        <f>VLOOKUP(C35,Clasificacion!$B$2:$K$49,10,FALSE())</f>
        <v>0</v>
      </c>
      <c r="N35" s="39" t="str">
        <f>Clasificacion!B35</f>
        <v>SEN</v>
      </c>
      <c r="O35" s="39" t="str">
        <f>Clasificacion!A35</f>
        <v>I</v>
      </c>
      <c r="P35" s="39">
        <f>Clasificacion!K35</f>
        <v>0</v>
      </c>
      <c r="Q35" s="39">
        <f>Clasificacion!J35</f>
        <v>0</v>
      </c>
      <c r="R35" s="39">
        <f>Clasificacion!H35</f>
        <v>0</v>
      </c>
      <c r="S35" s="39">
        <f t="shared" si="0"/>
        <v>-35</v>
      </c>
      <c r="T35" s="39">
        <f t="shared" si="1"/>
        <v>2</v>
      </c>
    </row>
    <row r="36" spans="1:20" ht="15" customHeight="1" x14ac:dyDescent="0.25">
      <c r="A36" s="42">
        <v>3</v>
      </c>
      <c r="B36" s="43" t="s">
        <v>137</v>
      </c>
      <c r="C36" s="42" t="str">
        <f>INDEX($N$2:$N$49,SUMPRODUCT(($O$2:$O$49="I")*($T$2:$T$49=3)*ROW($N$2:$N$49))-1)</f>
        <v>IRQ</v>
      </c>
      <c r="D36" s="42" t="str">
        <f>VLOOKUP(C36,Clasificacion!$B$2:$C$49,2,FALSE())</f>
        <v>Irak</v>
      </c>
      <c r="E36" s="42">
        <f>VLOOKUP(C36,Clasificacion!$B$2:$K$49,3,FALSE())</f>
        <v>0</v>
      </c>
      <c r="F36" s="42">
        <f>VLOOKUP(C36,Clasificacion!$B$2:$K$49,4,FALSE())</f>
        <v>0</v>
      </c>
      <c r="G36" s="42">
        <f>VLOOKUP(C36,Clasificacion!$B$2:$K$49,5,FALSE())</f>
        <v>0</v>
      </c>
      <c r="H36" s="42">
        <f>VLOOKUP(C36,Clasificacion!$B$2:$K$49,6,FALSE())</f>
        <v>0</v>
      </c>
      <c r="I36" s="42">
        <f>VLOOKUP(C36,Clasificacion!$B$2:$K$49,7,FALSE())</f>
        <v>0</v>
      </c>
      <c r="J36" s="42">
        <f>VLOOKUP(C36,Clasificacion!$B$2:$K$49,8,FALSE())</f>
        <v>0</v>
      </c>
      <c r="K36" s="42">
        <f>VLOOKUP(C36,Clasificacion!$B$2:$K$49,9,FALSE())</f>
        <v>0</v>
      </c>
      <c r="L36" s="42">
        <f>VLOOKUP(C36,Clasificacion!$B$2:$K$49,10,FALSE())</f>
        <v>0</v>
      </c>
      <c r="N36" s="39" t="str">
        <f>Clasificacion!B36</f>
        <v>IRQ</v>
      </c>
      <c r="O36" s="39" t="str">
        <f>Clasificacion!A36</f>
        <v>I</v>
      </c>
      <c r="P36" s="39">
        <f>Clasificacion!K36</f>
        <v>0</v>
      </c>
      <c r="Q36" s="39">
        <f>Clasificacion!J36</f>
        <v>0</v>
      </c>
      <c r="R36" s="39">
        <f>Clasificacion!H36</f>
        <v>0</v>
      </c>
      <c r="S36" s="39">
        <f t="shared" si="0"/>
        <v>-36</v>
      </c>
      <c r="T36" s="39">
        <f t="shared" si="1"/>
        <v>3</v>
      </c>
    </row>
    <row r="37" spans="1:20" ht="15" customHeight="1" x14ac:dyDescent="0.25">
      <c r="A37" s="42">
        <v>4</v>
      </c>
      <c r="B37" s="43" t="s">
        <v>137</v>
      </c>
      <c r="C37" s="42" t="str">
        <f>INDEX($N$2:$N$49,SUMPRODUCT(($O$2:$O$49="I")*($T$2:$T$49=4)*ROW($N$2:$N$49))-1)</f>
        <v>NOR</v>
      </c>
      <c r="D37" s="42" t="str">
        <f>VLOOKUP(C37,Clasificacion!$B$2:$C$49,2,FALSE())</f>
        <v>Noruega</v>
      </c>
      <c r="E37" s="42">
        <f>VLOOKUP(C37,Clasificacion!$B$2:$K$49,3,FALSE())</f>
        <v>0</v>
      </c>
      <c r="F37" s="42">
        <f>VLOOKUP(C37,Clasificacion!$B$2:$K$49,4,FALSE())</f>
        <v>0</v>
      </c>
      <c r="G37" s="42">
        <f>VLOOKUP(C37,Clasificacion!$B$2:$K$49,5,FALSE())</f>
        <v>0</v>
      </c>
      <c r="H37" s="42">
        <f>VLOOKUP(C37,Clasificacion!$B$2:$K$49,6,FALSE())</f>
        <v>0</v>
      </c>
      <c r="I37" s="42">
        <f>VLOOKUP(C37,Clasificacion!$B$2:$K$49,7,FALSE())</f>
        <v>0</v>
      </c>
      <c r="J37" s="42">
        <f>VLOOKUP(C37,Clasificacion!$B$2:$K$49,8,FALSE())</f>
        <v>0</v>
      </c>
      <c r="K37" s="42">
        <f>VLOOKUP(C37,Clasificacion!$B$2:$K$49,9,FALSE())</f>
        <v>0</v>
      </c>
      <c r="L37" s="42">
        <f>VLOOKUP(C37,Clasificacion!$B$2:$K$49,10,FALSE())</f>
        <v>0</v>
      </c>
      <c r="N37" s="39" t="str">
        <f>Clasificacion!B37</f>
        <v>NOR</v>
      </c>
      <c r="O37" s="39" t="str">
        <f>Clasificacion!A37</f>
        <v>I</v>
      </c>
      <c r="P37" s="39">
        <f>Clasificacion!K37</f>
        <v>0</v>
      </c>
      <c r="Q37" s="39">
        <f>Clasificacion!J37</f>
        <v>0</v>
      </c>
      <c r="R37" s="39">
        <f>Clasificacion!H37</f>
        <v>0</v>
      </c>
      <c r="S37" s="39">
        <f t="shared" si="0"/>
        <v>-37</v>
      </c>
      <c r="T37" s="39">
        <f t="shared" si="1"/>
        <v>4</v>
      </c>
    </row>
    <row r="38" spans="1:20" ht="15" customHeight="1" x14ac:dyDescent="0.25">
      <c r="A38" s="37">
        <v>1</v>
      </c>
      <c r="B38" s="38" t="s">
        <v>150</v>
      </c>
      <c r="C38" s="37" t="str">
        <f>INDEX($N$2:$N$49,SUMPRODUCT(($O$2:$O$49="J")*($T$2:$T$49=1)*ROW($N$2:$N$49))-1)</f>
        <v>ARG</v>
      </c>
      <c r="D38" s="37" t="str">
        <f>VLOOKUP(C38,Clasificacion!$B$2:$C$49,2,FALSE())</f>
        <v>Argentina</v>
      </c>
      <c r="E38" s="37">
        <f>VLOOKUP(C38,Clasificacion!$B$2:$K$49,3,FALSE())</f>
        <v>0</v>
      </c>
      <c r="F38" s="37">
        <f>VLOOKUP(C38,Clasificacion!$B$2:$K$49,4,FALSE())</f>
        <v>0</v>
      </c>
      <c r="G38" s="37">
        <f>VLOOKUP(C38,Clasificacion!$B$2:$K$49,5,FALSE())</f>
        <v>0</v>
      </c>
      <c r="H38" s="37">
        <f>VLOOKUP(C38,Clasificacion!$B$2:$K$49,6,FALSE())</f>
        <v>0</v>
      </c>
      <c r="I38" s="37">
        <f>VLOOKUP(C38,Clasificacion!$B$2:$K$49,7,FALSE())</f>
        <v>0</v>
      </c>
      <c r="J38" s="37">
        <f>VLOOKUP(C38,Clasificacion!$B$2:$K$49,8,FALSE())</f>
        <v>0</v>
      </c>
      <c r="K38" s="37">
        <f>VLOOKUP(C38,Clasificacion!$B$2:$K$49,9,FALSE())</f>
        <v>0</v>
      </c>
      <c r="L38" s="37">
        <f>VLOOKUP(C38,Clasificacion!$B$2:$K$49,10,FALSE())</f>
        <v>0</v>
      </c>
      <c r="N38" s="39" t="str">
        <f>Clasificacion!B38</f>
        <v>ARG</v>
      </c>
      <c r="O38" s="39" t="str">
        <f>Clasificacion!A38</f>
        <v>J</v>
      </c>
      <c r="P38" s="39">
        <f>Clasificacion!K38</f>
        <v>0</v>
      </c>
      <c r="Q38" s="39">
        <f>Clasificacion!J38</f>
        <v>0</v>
      </c>
      <c r="R38" s="39">
        <f>Clasificacion!H38</f>
        <v>0</v>
      </c>
      <c r="S38" s="39">
        <f t="shared" si="0"/>
        <v>-38</v>
      </c>
      <c r="T38" s="39">
        <f t="shared" si="1"/>
        <v>1</v>
      </c>
    </row>
    <row r="39" spans="1:20" ht="15" customHeight="1" x14ac:dyDescent="0.25">
      <c r="A39" s="40">
        <v>2</v>
      </c>
      <c r="B39" s="41" t="s">
        <v>150</v>
      </c>
      <c r="C39" s="40" t="str">
        <f>INDEX($N$2:$N$49,SUMPRODUCT(($O$2:$O$49="J")*($T$2:$T$49=2)*ROW($N$2:$N$49))-1)</f>
        <v>ALG</v>
      </c>
      <c r="D39" s="40" t="str">
        <f>VLOOKUP(C39,Clasificacion!$B$2:$C$49,2,FALSE())</f>
        <v>Argelia</v>
      </c>
      <c r="E39" s="40">
        <f>VLOOKUP(C39,Clasificacion!$B$2:$K$49,3,FALSE())</f>
        <v>0</v>
      </c>
      <c r="F39" s="40">
        <f>VLOOKUP(C39,Clasificacion!$B$2:$K$49,4,FALSE())</f>
        <v>0</v>
      </c>
      <c r="G39" s="40">
        <f>VLOOKUP(C39,Clasificacion!$B$2:$K$49,5,FALSE())</f>
        <v>0</v>
      </c>
      <c r="H39" s="40">
        <f>VLOOKUP(C39,Clasificacion!$B$2:$K$49,6,FALSE())</f>
        <v>0</v>
      </c>
      <c r="I39" s="40">
        <f>VLOOKUP(C39,Clasificacion!$B$2:$K$49,7,FALSE())</f>
        <v>0</v>
      </c>
      <c r="J39" s="40">
        <f>VLOOKUP(C39,Clasificacion!$B$2:$K$49,8,FALSE())</f>
        <v>0</v>
      </c>
      <c r="K39" s="40">
        <f>VLOOKUP(C39,Clasificacion!$B$2:$K$49,9,FALSE())</f>
        <v>0</v>
      </c>
      <c r="L39" s="40">
        <f>VLOOKUP(C39,Clasificacion!$B$2:$K$49,10,FALSE())</f>
        <v>0</v>
      </c>
      <c r="N39" s="39" t="str">
        <f>Clasificacion!B39</f>
        <v>ALG</v>
      </c>
      <c r="O39" s="39" t="str">
        <f>Clasificacion!A39</f>
        <v>J</v>
      </c>
      <c r="P39" s="39">
        <f>Clasificacion!K39</f>
        <v>0</v>
      </c>
      <c r="Q39" s="39">
        <f>Clasificacion!J39</f>
        <v>0</v>
      </c>
      <c r="R39" s="39">
        <f>Clasificacion!H39</f>
        <v>0</v>
      </c>
      <c r="S39" s="39">
        <f t="shared" si="0"/>
        <v>-39</v>
      </c>
      <c r="T39" s="39">
        <f t="shared" si="1"/>
        <v>2</v>
      </c>
    </row>
    <row r="40" spans="1:20" ht="15" customHeight="1" x14ac:dyDescent="0.25">
      <c r="A40" s="42">
        <v>3</v>
      </c>
      <c r="B40" s="43" t="s">
        <v>150</v>
      </c>
      <c r="C40" s="42" t="str">
        <f>INDEX($N$2:$N$49,SUMPRODUCT(($O$2:$O$49="J")*($T$2:$T$49=3)*ROW($N$2:$N$49))-1)</f>
        <v>AUT</v>
      </c>
      <c r="D40" s="42" t="str">
        <f>VLOOKUP(C40,Clasificacion!$B$2:$C$49,2,FALSE())</f>
        <v>Austria</v>
      </c>
      <c r="E40" s="42">
        <f>VLOOKUP(C40,Clasificacion!$B$2:$K$49,3,FALSE())</f>
        <v>0</v>
      </c>
      <c r="F40" s="42">
        <f>VLOOKUP(C40,Clasificacion!$B$2:$K$49,4,FALSE())</f>
        <v>0</v>
      </c>
      <c r="G40" s="42">
        <f>VLOOKUP(C40,Clasificacion!$B$2:$K$49,5,FALSE())</f>
        <v>0</v>
      </c>
      <c r="H40" s="42">
        <f>VLOOKUP(C40,Clasificacion!$B$2:$K$49,6,FALSE())</f>
        <v>0</v>
      </c>
      <c r="I40" s="42">
        <f>VLOOKUP(C40,Clasificacion!$B$2:$K$49,7,FALSE())</f>
        <v>0</v>
      </c>
      <c r="J40" s="42">
        <f>VLOOKUP(C40,Clasificacion!$B$2:$K$49,8,FALSE())</f>
        <v>0</v>
      </c>
      <c r="K40" s="42">
        <f>VLOOKUP(C40,Clasificacion!$B$2:$K$49,9,FALSE())</f>
        <v>0</v>
      </c>
      <c r="L40" s="42">
        <f>VLOOKUP(C40,Clasificacion!$B$2:$K$49,10,FALSE())</f>
        <v>0</v>
      </c>
      <c r="N40" s="39" t="str">
        <f>Clasificacion!B40</f>
        <v>AUT</v>
      </c>
      <c r="O40" s="39" t="str">
        <f>Clasificacion!A40</f>
        <v>J</v>
      </c>
      <c r="P40" s="39">
        <f>Clasificacion!K40</f>
        <v>0</v>
      </c>
      <c r="Q40" s="39">
        <f>Clasificacion!J40</f>
        <v>0</v>
      </c>
      <c r="R40" s="39">
        <f>Clasificacion!H40</f>
        <v>0</v>
      </c>
      <c r="S40" s="39">
        <f t="shared" si="0"/>
        <v>-40</v>
      </c>
      <c r="T40" s="39">
        <f t="shared" si="1"/>
        <v>3</v>
      </c>
    </row>
    <row r="41" spans="1:20" ht="15" customHeight="1" x14ac:dyDescent="0.25">
      <c r="A41" s="42">
        <v>4</v>
      </c>
      <c r="B41" s="43" t="s">
        <v>150</v>
      </c>
      <c r="C41" s="42" t="str">
        <f>INDEX($N$2:$N$49,SUMPRODUCT(($O$2:$O$49="J")*($T$2:$T$49=4)*ROW($N$2:$N$49))-1)</f>
        <v>JOR</v>
      </c>
      <c r="D41" s="42" t="str">
        <f>VLOOKUP(C41,Clasificacion!$B$2:$C$49,2,FALSE())</f>
        <v>Jordania</v>
      </c>
      <c r="E41" s="42">
        <f>VLOOKUP(C41,Clasificacion!$B$2:$K$49,3,FALSE())</f>
        <v>0</v>
      </c>
      <c r="F41" s="42">
        <f>VLOOKUP(C41,Clasificacion!$B$2:$K$49,4,FALSE())</f>
        <v>0</v>
      </c>
      <c r="G41" s="42">
        <f>VLOOKUP(C41,Clasificacion!$B$2:$K$49,5,FALSE())</f>
        <v>0</v>
      </c>
      <c r="H41" s="42">
        <f>VLOOKUP(C41,Clasificacion!$B$2:$K$49,6,FALSE())</f>
        <v>0</v>
      </c>
      <c r="I41" s="42">
        <f>VLOOKUP(C41,Clasificacion!$B$2:$K$49,7,FALSE())</f>
        <v>0</v>
      </c>
      <c r="J41" s="42">
        <f>VLOOKUP(C41,Clasificacion!$B$2:$K$49,8,FALSE())</f>
        <v>0</v>
      </c>
      <c r="K41" s="42">
        <f>VLOOKUP(C41,Clasificacion!$B$2:$K$49,9,FALSE())</f>
        <v>0</v>
      </c>
      <c r="L41" s="42">
        <f>VLOOKUP(C41,Clasificacion!$B$2:$K$49,10,FALSE())</f>
        <v>0</v>
      </c>
      <c r="N41" s="39" t="str">
        <f>Clasificacion!B41</f>
        <v>JOR</v>
      </c>
      <c r="O41" s="39" t="str">
        <f>Clasificacion!A41</f>
        <v>J</v>
      </c>
      <c r="P41" s="39">
        <f>Clasificacion!K41</f>
        <v>0</v>
      </c>
      <c r="Q41" s="39">
        <f>Clasificacion!J41</f>
        <v>0</v>
      </c>
      <c r="R41" s="39">
        <f>Clasificacion!H41</f>
        <v>0</v>
      </c>
      <c r="S41" s="39">
        <f t="shared" si="0"/>
        <v>-41</v>
      </c>
      <c r="T41" s="39">
        <f t="shared" si="1"/>
        <v>4</v>
      </c>
    </row>
    <row r="42" spans="1:20" ht="15" customHeight="1" x14ac:dyDescent="0.25">
      <c r="A42" s="37">
        <v>1</v>
      </c>
      <c r="B42" s="38" t="s">
        <v>163</v>
      </c>
      <c r="C42" s="37" t="str">
        <f>INDEX($N$2:$N$49,SUMPRODUCT(($O$2:$O$49="K")*($T$2:$T$49=1)*ROW($N$2:$N$49))-1)</f>
        <v>POR</v>
      </c>
      <c r="D42" s="37" t="str">
        <f>VLOOKUP(C42,Clasificacion!$B$2:$C$49,2,FALSE())</f>
        <v>Portugal</v>
      </c>
      <c r="E42" s="37">
        <f>VLOOKUP(C42,Clasificacion!$B$2:$K$49,3,FALSE())</f>
        <v>0</v>
      </c>
      <c r="F42" s="37">
        <f>VLOOKUP(C42,Clasificacion!$B$2:$K$49,4,FALSE())</f>
        <v>0</v>
      </c>
      <c r="G42" s="37">
        <f>VLOOKUP(C42,Clasificacion!$B$2:$K$49,5,FALSE())</f>
        <v>0</v>
      </c>
      <c r="H42" s="37">
        <f>VLOOKUP(C42,Clasificacion!$B$2:$K$49,6,FALSE())</f>
        <v>0</v>
      </c>
      <c r="I42" s="37">
        <f>VLOOKUP(C42,Clasificacion!$B$2:$K$49,7,FALSE())</f>
        <v>0</v>
      </c>
      <c r="J42" s="37">
        <f>VLOOKUP(C42,Clasificacion!$B$2:$K$49,8,FALSE())</f>
        <v>0</v>
      </c>
      <c r="K42" s="37">
        <f>VLOOKUP(C42,Clasificacion!$B$2:$K$49,9,FALSE())</f>
        <v>0</v>
      </c>
      <c r="L42" s="37">
        <f>VLOOKUP(C42,Clasificacion!$B$2:$K$49,10,FALSE())</f>
        <v>0</v>
      </c>
      <c r="N42" s="39" t="str">
        <f>Clasificacion!B42</f>
        <v>POR</v>
      </c>
      <c r="O42" s="39" t="str">
        <f>Clasificacion!A42</f>
        <v>K</v>
      </c>
      <c r="P42" s="39">
        <f>Clasificacion!K42</f>
        <v>0</v>
      </c>
      <c r="Q42" s="39">
        <f>Clasificacion!J42</f>
        <v>0</v>
      </c>
      <c r="R42" s="39">
        <f>Clasificacion!H42</f>
        <v>0</v>
      </c>
      <c r="S42" s="39">
        <f t="shared" si="0"/>
        <v>-42</v>
      </c>
      <c r="T42" s="39">
        <f t="shared" si="1"/>
        <v>1</v>
      </c>
    </row>
    <row r="43" spans="1:20" ht="15" customHeight="1" x14ac:dyDescent="0.25">
      <c r="A43" s="40">
        <v>2</v>
      </c>
      <c r="B43" s="41" t="s">
        <v>163</v>
      </c>
      <c r="C43" s="40" t="str">
        <f>INDEX($N$2:$N$49,SUMPRODUCT(($O$2:$O$49="K")*($T$2:$T$49=2)*ROW($N$2:$N$49))-1)</f>
        <v>COD</v>
      </c>
      <c r="D43" s="40" t="str">
        <f>VLOOKUP(C43,Clasificacion!$B$2:$C$49,2,FALSE())</f>
        <v>RD Congo</v>
      </c>
      <c r="E43" s="40">
        <f>VLOOKUP(C43,Clasificacion!$B$2:$K$49,3,FALSE())</f>
        <v>0</v>
      </c>
      <c r="F43" s="40">
        <f>VLOOKUP(C43,Clasificacion!$B$2:$K$49,4,FALSE())</f>
        <v>0</v>
      </c>
      <c r="G43" s="40">
        <f>VLOOKUP(C43,Clasificacion!$B$2:$K$49,5,FALSE())</f>
        <v>0</v>
      </c>
      <c r="H43" s="40">
        <f>VLOOKUP(C43,Clasificacion!$B$2:$K$49,6,FALSE())</f>
        <v>0</v>
      </c>
      <c r="I43" s="40">
        <f>VLOOKUP(C43,Clasificacion!$B$2:$K$49,7,FALSE())</f>
        <v>0</v>
      </c>
      <c r="J43" s="40">
        <f>VLOOKUP(C43,Clasificacion!$B$2:$K$49,8,FALSE())</f>
        <v>0</v>
      </c>
      <c r="K43" s="40">
        <f>VLOOKUP(C43,Clasificacion!$B$2:$K$49,9,FALSE())</f>
        <v>0</v>
      </c>
      <c r="L43" s="40">
        <f>VLOOKUP(C43,Clasificacion!$B$2:$K$49,10,FALSE())</f>
        <v>0</v>
      </c>
      <c r="N43" s="39" t="str">
        <f>Clasificacion!B43</f>
        <v>COD</v>
      </c>
      <c r="O43" s="39" t="str">
        <f>Clasificacion!A43</f>
        <v>K</v>
      </c>
      <c r="P43" s="39">
        <f>Clasificacion!K43</f>
        <v>0</v>
      </c>
      <c r="Q43" s="39">
        <f>Clasificacion!J43</f>
        <v>0</v>
      </c>
      <c r="R43" s="39">
        <f>Clasificacion!H43</f>
        <v>0</v>
      </c>
      <c r="S43" s="39">
        <f t="shared" si="0"/>
        <v>-43</v>
      </c>
      <c r="T43" s="39">
        <f t="shared" si="1"/>
        <v>2</v>
      </c>
    </row>
    <row r="44" spans="1:20" ht="15" customHeight="1" x14ac:dyDescent="0.25">
      <c r="A44" s="42">
        <v>3</v>
      </c>
      <c r="B44" s="43" t="s">
        <v>163</v>
      </c>
      <c r="C44" s="42" t="str">
        <f>INDEX($N$2:$N$49,SUMPRODUCT(($O$2:$O$49="K")*($T$2:$T$49=3)*ROW($N$2:$N$49))-1)</f>
        <v>UZB</v>
      </c>
      <c r="D44" s="42" t="str">
        <f>VLOOKUP(C44,Clasificacion!$B$2:$C$49,2,FALSE())</f>
        <v>Uzbekistán</v>
      </c>
      <c r="E44" s="42">
        <f>VLOOKUP(C44,Clasificacion!$B$2:$K$49,3,FALSE())</f>
        <v>0</v>
      </c>
      <c r="F44" s="42">
        <f>VLOOKUP(C44,Clasificacion!$B$2:$K$49,4,FALSE())</f>
        <v>0</v>
      </c>
      <c r="G44" s="42">
        <f>VLOOKUP(C44,Clasificacion!$B$2:$K$49,5,FALSE())</f>
        <v>0</v>
      </c>
      <c r="H44" s="42">
        <f>VLOOKUP(C44,Clasificacion!$B$2:$K$49,6,FALSE())</f>
        <v>0</v>
      </c>
      <c r="I44" s="42">
        <f>VLOOKUP(C44,Clasificacion!$B$2:$K$49,7,FALSE())</f>
        <v>0</v>
      </c>
      <c r="J44" s="42">
        <f>VLOOKUP(C44,Clasificacion!$B$2:$K$49,8,FALSE())</f>
        <v>0</v>
      </c>
      <c r="K44" s="42">
        <f>VLOOKUP(C44,Clasificacion!$B$2:$K$49,9,FALSE())</f>
        <v>0</v>
      </c>
      <c r="L44" s="42">
        <f>VLOOKUP(C44,Clasificacion!$B$2:$K$49,10,FALSE())</f>
        <v>0</v>
      </c>
      <c r="N44" s="39" t="str">
        <f>Clasificacion!B44</f>
        <v>UZB</v>
      </c>
      <c r="O44" s="39" t="str">
        <f>Clasificacion!A44</f>
        <v>K</v>
      </c>
      <c r="P44" s="39">
        <f>Clasificacion!K44</f>
        <v>0</v>
      </c>
      <c r="Q44" s="39">
        <f>Clasificacion!J44</f>
        <v>0</v>
      </c>
      <c r="R44" s="39">
        <f>Clasificacion!H44</f>
        <v>0</v>
      </c>
      <c r="S44" s="39">
        <f t="shared" si="0"/>
        <v>-44</v>
      </c>
      <c r="T44" s="39">
        <f t="shared" si="1"/>
        <v>3</v>
      </c>
    </row>
    <row r="45" spans="1:20" ht="15" customHeight="1" x14ac:dyDescent="0.25">
      <c r="A45" s="42">
        <v>4</v>
      </c>
      <c r="B45" s="43" t="s">
        <v>163</v>
      </c>
      <c r="C45" s="42" t="str">
        <f>INDEX($N$2:$N$49,SUMPRODUCT(($O$2:$O$49="K")*($T$2:$T$49=4)*ROW($N$2:$N$49))-1)</f>
        <v>COL</v>
      </c>
      <c r="D45" s="42" t="str">
        <f>VLOOKUP(C45,Clasificacion!$B$2:$C$49,2,FALSE())</f>
        <v>Colombia</v>
      </c>
      <c r="E45" s="42">
        <f>VLOOKUP(C45,Clasificacion!$B$2:$K$49,3,FALSE())</f>
        <v>0</v>
      </c>
      <c r="F45" s="42">
        <f>VLOOKUP(C45,Clasificacion!$B$2:$K$49,4,FALSE())</f>
        <v>0</v>
      </c>
      <c r="G45" s="42">
        <f>VLOOKUP(C45,Clasificacion!$B$2:$K$49,5,FALSE())</f>
        <v>0</v>
      </c>
      <c r="H45" s="42">
        <f>VLOOKUP(C45,Clasificacion!$B$2:$K$49,6,FALSE())</f>
        <v>0</v>
      </c>
      <c r="I45" s="42">
        <f>VLOOKUP(C45,Clasificacion!$B$2:$K$49,7,FALSE())</f>
        <v>0</v>
      </c>
      <c r="J45" s="42">
        <f>VLOOKUP(C45,Clasificacion!$B$2:$K$49,8,FALSE())</f>
        <v>0</v>
      </c>
      <c r="K45" s="42">
        <f>VLOOKUP(C45,Clasificacion!$B$2:$K$49,9,FALSE())</f>
        <v>0</v>
      </c>
      <c r="L45" s="42">
        <f>VLOOKUP(C45,Clasificacion!$B$2:$K$49,10,FALSE())</f>
        <v>0</v>
      </c>
      <c r="N45" s="39" t="str">
        <f>Clasificacion!B45</f>
        <v>COL</v>
      </c>
      <c r="O45" s="39" t="str">
        <f>Clasificacion!A45</f>
        <v>K</v>
      </c>
      <c r="P45" s="39">
        <f>Clasificacion!K45</f>
        <v>0</v>
      </c>
      <c r="Q45" s="39">
        <f>Clasificacion!J45</f>
        <v>0</v>
      </c>
      <c r="R45" s="39">
        <f>Clasificacion!H45</f>
        <v>0</v>
      </c>
      <c r="S45" s="39">
        <f t="shared" si="0"/>
        <v>-45</v>
      </c>
      <c r="T45" s="39">
        <f t="shared" si="1"/>
        <v>4</v>
      </c>
    </row>
    <row r="46" spans="1:20" ht="15" customHeight="1" x14ac:dyDescent="0.25">
      <c r="A46" s="37">
        <v>1</v>
      </c>
      <c r="B46" s="38" t="s">
        <v>176</v>
      </c>
      <c r="C46" s="37" t="str">
        <f>INDEX($N$2:$N$49,SUMPRODUCT(($O$2:$O$49="L")*($T$2:$T$49=1)*ROW($N$2:$N$49))-1)</f>
        <v>ENG</v>
      </c>
      <c r="D46" s="37" t="str">
        <f>VLOOKUP(C46,Clasificacion!$B$2:$C$49,2,FALSE())</f>
        <v>Inglaterra</v>
      </c>
      <c r="E46" s="37">
        <f>VLOOKUP(C46,Clasificacion!$B$2:$K$49,3,FALSE())</f>
        <v>0</v>
      </c>
      <c r="F46" s="37">
        <f>VLOOKUP(C46,Clasificacion!$B$2:$K$49,4,FALSE())</f>
        <v>0</v>
      </c>
      <c r="G46" s="37">
        <f>VLOOKUP(C46,Clasificacion!$B$2:$K$49,5,FALSE())</f>
        <v>0</v>
      </c>
      <c r="H46" s="37">
        <f>VLOOKUP(C46,Clasificacion!$B$2:$K$49,6,FALSE())</f>
        <v>0</v>
      </c>
      <c r="I46" s="37">
        <f>VLOOKUP(C46,Clasificacion!$B$2:$K$49,7,FALSE())</f>
        <v>0</v>
      </c>
      <c r="J46" s="37">
        <f>VLOOKUP(C46,Clasificacion!$B$2:$K$49,8,FALSE())</f>
        <v>0</v>
      </c>
      <c r="K46" s="37">
        <f>VLOOKUP(C46,Clasificacion!$B$2:$K$49,9,FALSE())</f>
        <v>0</v>
      </c>
      <c r="L46" s="37">
        <f>VLOOKUP(C46,Clasificacion!$B$2:$K$49,10,FALSE())</f>
        <v>0</v>
      </c>
      <c r="N46" s="39" t="str">
        <f>Clasificacion!B46</f>
        <v>ENG</v>
      </c>
      <c r="O46" s="39" t="str">
        <f>Clasificacion!A46</f>
        <v>L</v>
      </c>
      <c r="P46" s="39">
        <f>Clasificacion!K46</f>
        <v>0</v>
      </c>
      <c r="Q46" s="39">
        <f>Clasificacion!J46</f>
        <v>0</v>
      </c>
      <c r="R46" s="39">
        <f>Clasificacion!H46</f>
        <v>0</v>
      </c>
      <c r="S46" s="39">
        <f t="shared" si="0"/>
        <v>-46</v>
      </c>
      <c r="T46" s="39">
        <f t="shared" si="1"/>
        <v>1</v>
      </c>
    </row>
    <row r="47" spans="1:20" ht="15" customHeight="1" x14ac:dyDescent="0.25">
      <c r="A47" s="40">
        <v>2</v>
      </c>
      <c r="B47" s="41" t="s">
        <v>176</v>
      </c>
      <c r="C47" s="40" t="str">
        <f>INDEX($N$2:$N$49,SUMPRODUCT(($O$2:$O$49="L")*($T$2:$T$49=2)*ROW($N$2:$N$49))-1)</f>
        <v>CRO</v>
      </c>
      <c r="D47" s="40" t="str">
        <f>VLOOKUP(C47,Clasificacion!$B$2:$C$49,2,FALSE())</f>
        <v>Croacia</v>
      </c>
      <c r="E47" s="40">
        <f>VLOOKUP(C47,Clasificacion!$B$2:$K$49,3,FALSE())</f>
        <v>0</v>
      </c>
      <c r="F47" s="40">
        <f>VLOOKUP(C47,Clasificacion!$B$2:$K$49,4,FALSE())</f>
        <v>0</v>
      </c>
      <c r="G47" s="40">
        <f>VLOOKUP(C47,Clasificacion!$B$2:$K$49,5,FALSE())</f>
        <v>0</v>
      </c>
      <c r="H47" s="40">
        <f>VLOOKUP(C47,Clasificacion!$B$2:$K$49,6,FALSE())</f>
        <v>0</v>
      </c>
      <c r="I47" s="40">
        <f>VLOOKUP(C47,Clasificacion!$B$2:$K$49,7,FALSE())</f>
        <v>0</v>
      </c>
      <c r="J47" s="40">
        <f>VLOOKUP(C47,Clasificacion!$B$2:$K$49,8,FALSE())</f>
        <v>0</v>
      </c>
      <c r="K47" s="40">
        <f>VLOOKUP(C47,Clasificacion!$B$2:$K$49,9,FALSE())</f>
        <v>0</v>
      </c>
      <c r="L47" s="40">
        <f>VLOOKUP(C47,Clasificacion!$B$2:$K$49,10,FALSE())</f>
        <v>0</v>
      </c>
      <c r="N47" s="39" t="str">
        <f>Clasificacion!B47</f>
        <v>CRO</v>
      </c>
      <c r="O47" s="39" t="str">
        <f>Clasificacion!A47</f>
        <v>L</v>
      </c>
      <c r="P47" s="39">
        <f>Clasificacion!K47</f>
        <v>0</v>
      </c>
      <c r="Q47" s="39">
        <f>Clasificacion!J47</f>
        <v>0</v>
      </c>
      <c r="R47" s="39">
        <f>Clasificacion!H47</f>
        <v>0</v>
      </c>
      <c r="S47" s="39">
        <f t="shared" si="0"/>
        <v>-47</v>
      </c>
      <c r="T47" s="39">
        <f t="shared" si="1"/>
        <v>2</v>
      </c>
    </row>
    <row r="48" spans="1:20" ht="15" customHeight="1" x14ac:dyDescent="0.25">
      <c r="A48" s="42">
        <v>3</v>
      </c>
      <c r="B48" s="43" t="s">
        <v>176</v>
      </c>
      <c r="C48" s="42" t="str">
        <f>INDEX($N$2:$N$49,SUMPRODUCT(($O$2:$O$49="L")*($T$2:$T$49=3)*ROW($N$2:$N$49))-1)</f>
        <v>GHA</v>
      </c>
      <c r="D48" s="42" t="str">
        <f>VLOOKUP(C48,Clasificacion!$B$2:$C$49,2,FALSE())</f>
        <v>Ghana</v>
      </c>
      <c r="E48" s="42">
        <f>VLOOKUP(C48,Clasificacion!$B$2:$K$49,3,FALSE())</f>
        <v>0</v>
      </c>
      <c r="F48" s="42">
        <f>VLOOKUP(C48,Clasificacion!$B$2:$K$49,4,FALSE())</f>
        <v>0</v>
      </c>
      <c r="G48" s="42">
        <f>VLOOKUP(C48,Clasificacion!$B$2:$K$49,5,FALSE())</f>
        <v>0</v>
      </c>
      <c r="H48" s="42">
        <f>VLOOKUP(C48,Clasificacion!$B$2:$K$49,6,FALSE())</f>
        <v>0</v>
      </c>
      <c r="I48" s="42">
        <f>VLOOKUP(C48,Clasificacion!$B$2:$K$49,7,FALSE())</f>
        <v>0</v>
      </c>
      <c r="J48" s="42">
        <f>VLOOKUP(C48,Clasificacion!$B$2:$K$49,8,FALSE())</f>
        <v>0</v>
      </c>
      <c r="K48" s="42">
        <f>VLOOKUP(C48,Clasificacion!$B$2:$K$49,9,FALSE())</f>
        <v>0</v>
      </c>
      <c r="L48" s="42">
        <f>VLOOKUP(C48,Clasificacion!$B$2:$K$49,10,FALSE())</f>
        <v>0</v>
      </c>
      <c r="N48" s="39" t="str">
        <f>Clasificacion!B48</f>
        <v>GHA</v>
      </c>
      <c r="O48" s="39" t="str">
        <f>Clasificacion!A48</f>
        <v>L</v>
      </c>
      <c r="P48" s="39">
        <f>Clasificacion!K48</f>
        <v>0</v>
      </c>
      <c r="Q48" s="39">
        <f>Clasificacion!J48</f>
        <v>0</v>
      </c>
      <c r="R48" s="39">
        <f>Clasificacion!H48</f>
        <v>0</v>
      </c>
      <c r="S48" s="39">
        <f t="shared" si="0"/>
        <v>-48</v>
      </c>
      <c r="T48" s="39">
        <f t="shared" si="1"/>
        <v>3</v>
      </c>
    </row>
    <row r="49" spans="1:20" ht="15" customHeight="1" x14ac:dyDescent="0.25">
      <c r="A49" s="42">
        <v>4</v>
      </c>
      <c r="B49" s="43" t="s">
        <v>176</v>
      </c>
      <c r="C49" s="42" t="str">
        <f>INDEX($N$2:$N$49,SUMPRODUCT(($O$2:$O$49="L")*($T$2:$T$49=4)*ROW($N$2:$N$49))-1)</f>
        <v>PAN</v>
      </c>
      <c r="D49" s="42" t="str">
        <f>VLOOKUP(C49,Clasificacion!$B$2:$C$49,2,FALSE())</f>
        <v>Panamá</v>
      </c>
      <c r="E49" s="42">
        <f>VLOOKUP(C49,Clasificacion!$B$2:$K$49,3,FALSE())</f>
        <v>0</v>
      </c>
      <c r="F49" s="42">
        <f>VLOOKUP(C49,Clasificacion!$B$2:$K$49,4,FALSE())</f>
        <v>0</v>
      </c>
      <c r="G49" s="42">
        <f>VLOOKUP(C49,Clasificacion!$B$2:$K$49,5,FALSE())</f>
        <v>0</v>
      </c>
      <c r="H49" s="42">
        <f>VLOOKUP(C49,Clasificacion!$B$2:$K$49,6,FALSE())</f>
        <v>0</v>
      </c>
      <c r="I49" s="42">
        <f>VLOOKUP(C49,Clasificacion!$B$2:$K$49,7,FALSE())</f>
        <v>0</v>
      </c>
      <c r="J49" s="42">
        <f>VLOOKUP(C49,Clasificacion!$B$2:$K$49,8,FALSE())</f>
        <v>0</v>
      </c>
      <c r="K49" s="42">
        <f>VLOOKUP(C49,Clasificacion!$B$2:$K$49,9,FALSE())</f>
        <v>0</v>
      </c>
      <c r="L49" s="42">
        <f>VLOOKUP(C49,Clasificacion!$B$2:$K$49,10,FALSE())</f>
        <v>0</v>
      </c>
      <c r="N49" s="39" t="str">
        <f>Clasificacion!B49</f>
        <v>PAN</v>
      </c>
      <c r="O49" s="39" t="str">
        <f>Clasificacion!A49</f>
        <v>L</v>
      </c>
      <c r="P49" s="39">
        <f>Clasificacion!K49</f>
        <v>0</v>
      </c>
      <c r="Q49" s="39">
        <f>Clasificacion!J49</f>
        <v>0</v>
      </c>
      <c r="R49" s="39">
        <f>Clasificacion!H49</f>
        <v>0</v>
      </c>
      <c r="S49" s="39">
        <f t="shared" si="0"/>
        <v>-49</v>
      </c>
      <c r="T49" s="39">
        <f t="shared" si="1"/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zoomScaleNormal="100" workbookViewId="0"/>
  </sheetViews>
  <sheetFormatPr baseColWidth="10" defaultColWidth="9" defaultRowHeight="15" x14ac:dyDescent="0.25"/>
  <cols>
    <col min="1" max="1" width="8" style="1" customWidth="1"/>
    <col min="2" max="2" width="10" style="1" customWidth="1"/>
    <col min="3" max="3" width="24" style="1" customWidth="1"/>
    <col min="4" max="6" width="7" style="1" customWidth="1"/>
    <col min="7" max="7" width="16" style="1" customWidth="1"/>
    <col min="8" max="8" width="15" style="1" customWidth="1"/>
    <col min="9" max="9" width="20" style="1" customWidth="1"/>
  </cols>
  <sheetData>
    <row r="1" spans="1:26" ht="24" customHeight="1" x14ac:dyDescent="0.25">
      <c r="A1" s="3" t="s">
        <v>29</v>
      </c>
      <c r="B1" s="3" t="s">
        <v>31</v>
      </c>
      <c r="C1" s="3" t="s">
        <v>32</v>
      </c>
      <c r="D1" s="3" t="s">
        <v>378</v>
      </c>
      <c r="E1" s="3" t="s">
        <v>377</v>
      </c>
      <c r="F1" s="3" t="s">
        <v>375</v>
      </c>
      <c r="G1" s="3" t="s">
        <v>379</v>
      </c>
      <c r="H1" s="3" t="s">
        <v>391</v>
      </c>
      <c r="I1" s="3" t="s">
        <v>392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1" t="s">
        <v>33</v>
      </c>
      <c r="B2" s="1" t="str">
        <f>IFERROR(INDEX(Clasificacion!$B$2:$B$49,SUMPRODUCT((Clasificacion!$A$2:$A$49=A2)*(Clasificacion!$M$2:$M$49=3)*(ROW(Clasificacion!$B$2:$B$49)-ROW(Clasificacion!$B$2)+1))),"")</f>
        <v>CZE</v>
      </c>
      <c r="C2" s="1" t="str">
        <f>IF(B2="","",INDEX(Clasificacion!$C$2:$C$49,MATCH(B2,Clasificacion!$B$2:$B$49,0)))</f>
        <v>Chequia</v>
      </c>
      <c r="D2" s="1">
        <f>IF(B2="","",INDEX(Clasificacion!$K$2:$K$49,MATCH(B2,Clasificacion!$B$2:$B$49,0)))</f>
        <v>0</v>
      </c>
      <c r="E2" s="1">
        <f>IF(B2="","",INDEX(Clasificacion!$J$2:$J$49,MATCH(B2,Clasificacion!$B$2:$B$49,0)))</f>
        <v>-1</v>
      </c>
      <c r="F2" s="1">
        <f>IF(B2="","",INDEX(Clasificacion!$H$2:$H$49,MATCH(B2,Clasificacion!$B$2:$B$49,0)))</f>
        <v>1</v>
      </c>
      <c r="G2" s="1">
        <f>IF(B2="","",INDEX(Clasificacion!$L$2:$L$49,MATCH(B2,Clasificacion!$B$2:$B$49,0)))</f>
        <v>0</v>
      </c>
      <c r="H2" s="1">
        <f t="shared" ref="H2:H13" si="0">IF(B2="","",1+COUNTIFS($D$2:$D$13,"&gt;"&amp;D2)+COUNTIFS($D$2:$D$13,D2,$G$2:$G$13,"&gt;"&amp;G2)+COUNTIFS($D$2:$D$13,D2,$G$2:$G$13,G2,$E$2:$E$13,"&gt;"&amp;E2)+COUNTIFS($D$2:$D$13,D2,$G$2:$G$13,G2,$E$2:$E$13,E2,$F$2:$F$13,"&gt;"&amp;F2)+SUMPRODUCT(($D$2:$D$13=D2)*($G$2:$G$13=G2)*($E$2:$E$13=E2)*($F$2:$F$13=F2)*(ROW($A$2:$A$13)&lt;ROW(A2))))</f>
        <v>10</v>
      </c>
      <c r="I2" s="1" t="str">
        <f t="shared" ref="I2:I13" si="1">IF(H2="","",IF(H2&lt;=8,"Sí","No"))</f>
        <v>No</v>
      </c>
    </row>
    <row r="3" spans="1:26" ht="14.25" customHeight="1" x14ac:dyDescent="0.25">
      <c r="A3" s="1" t="s">
        <v>46</v>
      </c>
      <c r="B3" s="1" t="str">
        <f>IFERROR(INDEX(Clasificacion!$B$2:$B$49,SUMPRODUCT((Clasificacion!$A$2:$A$49=A3)*(Clasificacion!$M$2:$M$49=3)*(ROW(Clasificacion!$B$2:$B$49)-ROW(Clasificacion!$B$2)+1))),"")</f>
        <v>RSA</v>
      </c>
      <c r="C3" s="1" t="str">
        <f>IF(B3="","",INDEX(Clasificacion!$C$2:$C$49,MATCH(B3,Clasificacion!$B$2:$B$49,0)))</f>
        <v>Sudáfrica</v>
      </c>
      <c r="D3" s="1">
        <f>IF(B3="","",INDEX(Clasificacion!$K$2:$K$49,MATCH(B3,Clasificacion!$B$2:$B$49,0)))</f>
        <v>0</v>
      </c>
      <c r="E3" s="1">
        <f>IF(B3="","",INDEX(Clasificacion!$J$2:$J$49,MATCH(B3,Clasificacion!$B$2:$B$49,0)))</f>
        <v>-2</v>
      </c>
      <c r="F3" s="1">
        <f>IF(B3="","",INDEX(Clasificacion!$H$2:$H$49,MATCH(B3,Clasificacion!$B$2:$B$49,0)))</f>
        <v>0</v>
      </c>
      <c r="G3" s="1">
        <f>IF(B3="","",INDEX(Clasificacion!$L$2:$L$49,MATCH(B3,Clasificacion!$B$2:$B$49,0)))</f>
        <v>0</v>
      </c>
      <c r="H3" s="1">
        <f t="shared" si="0"/>
        <v>12</v>
      </c>
      <c r="I3" s="1" t="str">
        <f t="shared" si="1"/>
        <v>No</v>
      </c>
    </row>
    <row r="4" spans="1:26" ht="14.25" customHeight="1" x14ac:dyDescent="0.25">
      <c r="A4" s="1" t="s">
        <v>59</v>
      </c>
      <c r="B4" s="1" t="str">
        <f>IFERROR(INDEX(Clasificacion!$B$2:$B$49,SUMPRODUCT((Clasificacion!$A$2:$A$49=A4)*(Clasificacion!$M$2:$M$49=3)*(ROW(Clasificacion!$B$2:$B$49)-ROW(Clasificacion!$B$2)+1))),"")</f>
        <v>KOR</v>
      </c>
      <c r="C4" s="1" t="str">
        <f>IF(B4="","",INDEX(Clasificacion!$C$2:$C$49,MATCH(B4,Clasificacion!$B$2:$B$49,0)))</f>
        <v>Corea República</v>
      </c>
      <c r="D4" s="1">
        <f>IF(B4="","",INDEX(Clasificacion!$K$2:$K$49,MATCH(B4,Clasificacion!$B$2:$B$49,0)))</f>
        <v>3</v>
      </c>
      <c r="E4" s="1">
        <f>IF(B4="","",INDEX(Clasificacion!$J$2:$J$49,MATCH(B4,Clasificacion!$B$2:$B$49,0)))</f>
        <v>1</v>
      </c>
      <c r="F4" s="1">
        <f>IF(B4="","",INDEX(Clasificacion!$H$2:$H$49,MATCH(B4,Clasificacion!$B$2:$B$49,0)))</f>
        <v>2</v>
      </c>
      <c r="G4" s="1">
        <f>IF(B4="","",INDEX(Clasificacion!$L$2:$L$49,MATCH(B4,Clasificacion!$B$2:$B$49,0)))</f>
        <v>0</v>
      </c>
      <c r="H4" s="1">
        <f t="shared" si="0"/>
        <v>1</v>
      </c>
      <c r="I4" s="1" t="str">
        <f t="shared" si="1"/>
        <v>Sí</v>
      </c>
    </row>
    <row r="5" spans="1:26" ht="14.25" customHeight="1" x14ac:dyDescent="0.25">
      <c r="A5" s="1" t="s">
        <v>72</v>
      </c>
      <c r="B5" s="1" t="str">
        <f>IFERROR(INDEX(Clasificacion!$B$2:$B$49,SUMPRODUCT((Clasificacion!$A$2:$A$49=A5)*(Clasificacion!$M$2:$M$49=3)*(ROW(Clasificacion!$B$2:$B$49)-ROW(Clasificacion!$B$2)+1))),"")</f>
        <v>CZE</v>
      </c>
      <c r="C5" s="1" t="str">
        <f>IF(B5="","",INDEX(Clasificacion!$C$2:$C$49,MATCH(B5,Clasificacion!$B$2:$B$49,0)))</f>
        <v>Chequia</v>
      </c>
      <c r="D5" s="1">
        <f>IF(B5="","",INDEX(Clasificacion!$K$2:$K$49,MATCH(B5,Clasificacion!$B$2:$B$49,0)))</f>
        <v>0</v>
      </c>
      <c r="E5" s="1">
        <f>IF(B5="","",INDEX(Clasificacion!$J$2:$J$49,MATCH(B5,Clasificacion!$B$2:$B$49,0)))</f>
        <v>-1</v>
      </c>
      <c r="F5" s="1">
        <f>IF(B5="","",INDEX(Clasificacion!$H$2:$H$49,MATCH(B5,Clasificacion!$B$2:$B$49,0)))</f>
        <v>1</v>
      </c>
      <c r="G5" s="1">
        <f>IF(B5="","",INDEX(Clasificacion!$L$2:$L$49,MATCH(B5,Clasificacion!$B$2:$B$49,0)))</f>
        <v>0</v>
      </c>
      <c r="H5" s="1">
        <f t="shared" si="0"/>
        <v>11</v>
      </c>
      <c r="I5" s="1" t="str">
        <f t="shared" si="1"/>
        <v>No</v>
      </c>
    </row>
    <row r="6" spans="1:26" ht="14.25" customHeight="1" x14ac:dyDescent="0.25">
      <c r="A6" s="1" t="s">
        <v>85</v>
      </c>
      <c r="B6" s="1" t="str">
        <f>IFERROR(INDEX(Clasificacion!$B$2:$B$49,SUMPRODUCT((Clasificacion!$A$2:$A$49=A6)*(Clasificacion!$M$2:$M$49=3)*(ROW(Clasificacion!$B$2:$B$49)-ROW(Clasificacion!$B$2)+1))),"")</f>
        <v>CAN</v>
      </c>
      <c r="C6" s="1" t="str">
        <f>IF(B6="","",INDEX(Clasificacion!$C$2:$C$49,MATCH(B6,Clasificacion!$B$2:$B$49,0)))</f>
        <v>Canadá</v>
      </c>
      <c r="D6" s="1">
        <f>IF(B6="","",INDEX(Clasificacion!$K$2:$K$49,MATCH(B6,Clasificacion!$B$2:$B$49,0)))</f>
        <v>0</v>
      </c>
      <c r="E6" s="1">
        <f>IF(B6="","",INDEX(Clasificacion!$J$2:$J$49,MATCH(B6,Clasificacion!$B$2:$B$49,0)))</f>
        <v>0</v>
      </c>
      <c r="F6" s="1">
        <f>IF(B6="","",INDEX(Clasificacion!$H$2:$H$49,MATCH(B6,Clasificacion!$B$2:$B$49,0)))</f>
        <v>0</v>
      </c>
      <c r="G6" s="1">
        <f>IF(B6="","",INDEX(Clasificacion!$L$2:$L$49,MATCH(B6,Clasificacion!$B$2:$B$49,0)))</f>
        <v>0</v>
      </c>
      <c r="H6" s="1">
        <f t="shared" si="0"/>
        <v>2</v>
      </c>
      <c r="I6" s="1" t="str">
        <f t="shared" si="1"/>
        <v>Sí</v>
      </c>
    </row>
    <row r="7" spans="1:26" ht="14.25" customHeight="1" x14ac:dyDescent="0.25">
      <c r="A7" s="1" t="s">
        <v>98</v>
      </c>
      <c r="B7" s="1" t="str">
        <f>IFERROR(INDEX(Clasificacion!$B$2:$B$49,SUMPRODUCT((Clasificacion!$A$2:$A$49=A7)*(Clasificacion!$M$2:$M$49=3)*(ROW(Clasificacion!$B$2:$B$49)-ROW(Clasificacion!$B$2)+1))),"")</f>
        <v>BIH</v>
      </c>
      <c r="C7" s="1" t="str">
        <f>IF(B7="","",INDEX(Clasificacion!$C$2:$C$49,MATCH(B7,Clasificacion!$B$2:$B$49,0)))</f>
        <v>Bosnia y Herzegovina</v>
      </c>
      <c r="D7" s="1">
        <f>IF(B7="","",INDEX(Clasificacion!$K$2:$K$49,MATCH(B7,Clasificacion!$B$2:$B$49,0)))</f>
        <v>0</v>
      </c>
      <c r="E7" s="1">
        <f>IF(B7="","",INDEX(Clasificacion!$J$2:$J$49,MATCH(B7,Clasificacion!$B$2:$B$49,0)))</f>
        <v>0</v>
      </c>
      <c r="F7" s="1">
        <f>IF(B7="","",INDEX(Clasificacion!$H$2:$H$49,MATCH(B7,Clasificacion!$B$2:$B$49,0)))</f>
        <v>0</v>
      </c>
      <c r="G7" s="1">
        <f>IF(B7="","",INDEX(Clasificacion!$L$2:$L$49,MATCH(B7,Clasificacion!$B$2:$B$49,0)))</f>
        <v>0</v>
      </c>
      <c r="H7" s="1">
        <f t="shared" si="0"/>
        <v>3</v>
      </c>
      <c r="I7" s="1" t="str">
        <f t="shared" si="1"/>
        <v>Sí</v>
      </c>
    </row>
    <row r="8" spans="1:26" ht="14.25" customHeight="1" x14ac:dyDescent="0.25">
      <c r="A8" s="1" t="s">
        <v>111</v>
      </c>
      <c r="B8" s="1" t="str">
        <f>IFERROR(INDEX(Clasificacion!$B$2:$B$49,SUMPRODUCT((Clasificacion!$A$2:$A$49=A8)*(Clasificacion!$M$2:$M$49=3)*(ROW(Clasificacion!$B$2:$B$49)-ROW(Clasificacion!$B$2)+1))),"")</f>
        <v>QAT</v>
      </c>
      <c r="C8" s="1" t="str">
        <f>IF(B8="","",INDEX(Clasificacion!$C$2:$C$49,MATCH(B8,Clasificacion!$B$2:$B$49,0)))</f>
        <v>Qatar</v>
      </c>
      <c r="D8" s="1">
        <f>IF(B8="","",INDEX(Clasificacion!$K$2:$K$49,MATCH(B8,Clasificacion!$B$2:$B$49,0)))</f>
        <v>0</v>
      </c>
      <c r="E8" s="1">
        <f>IF(B8="","",INDEX(Clasificacion!$J$2:$J$49,MATCH(B8,Clasificacion!$B$2:$B$49,0)))</f>
        <v>0</v>
      </c>
      <c r="F8" s="1">
        <f>IF(B8="","",INDEX(Clasificacion!$H$2:$H$49,MATCH(B8,Clasificacion!$B$2:$B$49,0)))</f>
        <v>0</v>
      </c>
      <c r="G8" s="1">
        <f>IF(B8="","",INDEX(Clasificacion!$L$2:$L$49,MATCH(B8,Clasificacion!$B$2:$B$49,0)))</f>
        <v>0</v>
      </c>
      <c r="H8" s="1">
        <f t="shared" si="0"/>
        <v>4</v>
      </c>
      <c r="I8" s="1" t="str">
        <f t="shared" si="1"/>
        <v>Sí</v>
      </c>
    </row>
    <row r="9" spans="1:26" ht="14.25" customHeight="1" x14ac:dyDescent="0.25">
      <c r="A9" s="1" t="s">
        <v>124</v>
      </c>
      <c r="B9" s="1" t="str">
        <f>IFERROR(INDEX(Clasificacion!$B$2:$B$49,SUMPRODUCT((Clasificacion!$A$2:$A$49=A9)*(Clasificacion!$M$2:$M$49=3)*(ROW(Clasificacion!$B$2:$B$49)-ROW(Clasificacion!$B$2)+1))),"")</f>
        <v>SUI</v>
      </c>
      <c r="C9" s="1" t="str">
        <f>IF(B9="","",INDEX(Clasificacion!$C$2:$C$49,MATCH(B9,Clasificacion!$B$2:$B$49,0)))</f>
        <v>Suiza</v>
      </c>
      <c r="D9" s="1">
        <f>IF(B9="","",INDEX(Clasificacion!$K$2:$K$49,MATCH(B9,Clasificacion!$B$2:$B$49,0)))</f>
        <v>0</v>
      </c>
      <c r="E9" s="1">
        <f>IF(B9="","",INDEX(Clasificacion!$J$2:$J$49,MATCH(B9,Clasificacion!$B$2:$B$49,0)))</f>
        <v>0</v>
      </c>
      <c r="F9" s="1">
        <f>IF(B9="","",INDEX(Clasificacion!$H$2:$H$49,MATCH(B9,Clasificacion!$B$2:$B$49,0)))</f>
        <v>0</v>
      </c>
      <c r="G9" s="1">
        <f>IF(B9="","",INDEX(Clasificacion!$L$2:$L$49,MATCH(B9,Clasificacion!$B$2:$B$49,0)))</f>
        <v>0</v>
      </c>
      <c r="H9" s="1">
        <f t="shared" si="0"/>
        <v>5</v>
      </c>
      <c r="I9" s="1" t="str">
        <f t="shared" si="1"/>
        <v>Sí</v>
      </c>
    </row>
    <row r="10" spans="1:26" ht="14.25" customHeight="1" x14ac:dyDescent="0.25">
      <c r="A10" s="1" t="s">
        <v>137</v>
      </c>
      <c r="B10" s="1" t="str">
        <f>IFERROR(INDEX(Clasificacion!$B$2:$B$49,SUMPRODUCT((Clasificacion!$A$2:$A$49=A10)*(Clasificacion!$M$2:$M$49=3)*(ROW(Clasificacion!$B$2:$B$49)-ROW(Clasificacion!$B$2)+1))),"")</f>
        <v>BRA</v>
      </c>
      <c r="C10" s="1" t="str">
        <f>IF(B10="","",INDEX(Clasificacion!$C$2:$C$49,MATCH(B10,Clasificacion!$B$2:$B$49,0)))</f>
        <v>Brasil</v>
      </c>
      <c r="D10" s="1">
        <f>IF(B10="","",INDEX(Clasificacion!$K$2:$K$49,MATCH(B10,Clasificacion!$B$2:$B$49,0)))</f>
        <v>0</v>
      </c>
      <c r="E10" s="1">
        <f>IF(B10="","",INDEX(Clasificacion!$J$2:$J$49,MATCH(B10,Clasificacion!$B$2:$B$49,0)))</f>
        <v>0</v>
      </c>
      <c r="F10" s="1">
        <f>IF(B10="","",INDEX(Clasificacion!$H$2:$H$49,MATCH(B10,Clasificacion!$B$2:$B$49,0)))</f>
        <v>0</v>
      </c>
      <c r="G10" s="1">
        <f>IF(B10="","",INDEX(Clasificacion!$L$2:$L$49,MATCH(B10,Clasificacion!$B$2:$B$49,0)))</f>
        <v>0</v>
      </c>
      <c r="H10" s="1">
        <f t="shared" si="0"/>
        <v>6</v>
      </c>
      <c r="I10" s="1" t="str">
        <f t="shared" si="1"/>
        <v>Sí</v>
      </c>
    </row>
    <row r="11" spans="1:26" ht="14.25" customHeight="1" x14ac:dyDescent="0.25">
      <c r="A11" s="1" t="s">
        <v>150</v>
      </c>
      <c r="B11" s="1" t="str">
        <f>IFERROR(INDEX(Clasificacion!$B$2:$B$49,SUMPRODUCT((Clasificacion!$A$2:$A$49=A11)*(Clasificacion!$M$2:$M$49=3)*(ROW(Clasificacion!$B$2:$B$49)-ROW(Clasificacion!$B$2)+1))),"")</f>
        <v>MAR</v>
      </c>
      <c r="C11" s="1" t="str">
        <f>IF(B11="","",INDEX(Clasificacion!$C$2:$C$49,MATCH(B11,Clasificacion!$B$2:$B$49,0)))</f>
        <v>Marruecos</v>
      </c>
      <c r="D11" s="1">
        <f>IF(B11="","",INDEX(Clasificacion!$K$2:$K$49,MATCH(B11,Clasificacion!$B$2:$B$49,0)))</f>
        <v>0</v>
      </c>
      <c r="E11" s="1">
        <f>IF(B11="","",INDEX(Clasificacion!$J$2:$J$49,MATCH(B11,Clasificacion!$B$2:$B$49,0)))</f>
        <v>0</v>
      </c>
      <c r="F11" s="1">
        <f>IF(B11="","",INDEX(Clasificacion!$H$2:$H$49,MATCH(B11,Clasificacion!$B$2:$B$49,0)))</f>
        <v>0</v>
      </c>
      <c r="G11" s="1">
        <f>IF(B11="","",INDEX(Clasificacion!$L$2:$L$49,MATCH(B11,Clasificacion!$B$2:$B$49,0)))</f>
        <v>0</v>
      </c>
      <c r="H11" s="1">
        <f t="shared" si="0"/>
        <v>7</v>
      </c>
      <c r="I11" s="1" t="str">
        <f t="shared" si="1"/>
        <v>Sí</v>
      </c>
    </row>
    <row r="12" spans="1:26" ht="14.25" customHeight="1" x14ac:dyDescent="0.25">
      <c r="A12" s="1" t="s">
        <v>163</v>
      </c>
      <c r="B12" s="1" t="str">
        <f>IFERROR(INDEX(Clasificacion!$B$2:$B$49,SUMPRODUCT((Clasificacion!$A$2:$A$49=A12)*(Clasificacion!$M$2:$M$49=3)*(ROW(Clasificacion!$B$2:$B$49)-ROW(Clasificacion!$B$2)+1))),"")</f>
        <v>HAI</v>
      </c>
      <c r="C12" s="1" t="str">
        <f>IF(B12="","",INDEX(Clasificacion!$C$2:$C$49,MATCH(B12,Clasificacion!$B$2:$B$49,0)))</f>
        <v>Haití</v>
      </c>
      <c r="D12" s="1">
        <f>IF(B12="","",INDEX(Clasificacion!$K$2:$K$49,MATCH(B12,Clasificacion!$B$2:$B$49,0)))</f>
        <v>0</v>
      </c>
      <c r="E12" s="1">
        <f>IF(B12="","",INDEX(Clasificacion!$J$2:$J$49,MATCH(B12,Clasificacion!$B$2:$B$49,0)))</f>
        <v>0</v>
      </c>
      <c r="F12" s="1">
        <f>IF(B12="","",INDEX(Clasificacion!$H$2:$H$49,MATCH(B12,Clasificacion!$B$2:$B$49,0)))</f>
        <v>0</v>
      </c>
      <c r="G12" s="1">
        <f>IF(B12="","",INDEX(Clasificacion!$L$2:$L$49,MATCH(B12,Clasificacion!$B$2:$B$49,0)))</f>
        <v>0</v>
      </c>
      <c r="H12" s="1">
        <f t="shared" si="0"/>
        <v>8</v>
      </c>
      <c r="I12" s="1" t="str">
        <f t="shared" si="1"/>
        <v>Sí</v>
      </c>
    </row>
    <row r="13" spans="1:26" ht="14.25" customHeight="1" x14ac:dyDescent="0.25">
      <c r="A13" s="1" t="s">
        <v>176</v>
      </c>
      <c r="B13" s="1" t="str">
        <f>IFERROR(INDEX(Clasificacion!$B$2:$B$49,SUMPRODUCT((Clasificacion!$A$2:$A$49=A13)*(Clasificacion!$M$2:$M$49=3)*(ROW(Clasificacion!$B$2:$B$49)-ROW(Clasificacion!$B$2)+1))),"")</f>
        <v>SCO</v>
      </c>
      <c r="C13" s="1" t="str">
        <f>IF(B13="","",INDEX(Clasificacion!$C$2:$C$49,MATCH(B13,Clasificacion!$B$2:$B$49,0)))</f>
        <v>Escocia</v>
      </c>
      <c r="D13" s="1">
        <f>IF(B13="","",INDEX(Clasificacion!$K$2:$K$49,MATCH(B13,Clasificacion!$B$2:$B$49,0)))</f>
        <v>0</v>
      </c>
      <c r="E13" s="1">
        <f>IF(B13="","",INDEX(Clasificacion!$J$2:$J$49,MATCH(B13,Clasificacion!$B$2:$B$49,0)))</f>
        <v>0</v>
      </c>
      <c r="F13" s="1">
        <f>IF(B13="","",INDEX(Clasificacion!$H$2:$H$49,MATCH(B13,Clasificacion!$B$2:$B$49,0)))</f>
        <v>0</v>
      </c>
      <c r="G13" s="1">
        <f>IF(B13="","",INDEX(Clasificacion!$L$2:$L$49,MATCH(B13,Clasificacion!$B$2:$B$49,0)))</f>
        <v>0</v>
      </c>
      <c r="H13" s="1">
        <f t="shared" si="0"/>
        <v>9</v>
      </c>
      <c r="I13" s="1" t="str">
        <f t="shared" si="1"/>
        <v>No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Views>
    <sheetView zoomScaleNormal="100" workbookViewId="0"/>
  </sheetViews>
  <sheetFormatPr baseColWidth="10" defaultColWidth="9" defaultRowHeight="15" x14ac:dyDescent="0.25"/>
  <cols>
    <col min="1" max="1" width="7" style="1" customWidth="1"/>
    <col min="2" max="2" width="12" style="1" customWidth="1"/>
    <col min="3" max="3" width="10" style="1" customWidth="1"/>
    <col min="4" max="4" width="16" style="1" customWidth="1"/>
    <col min="5" max="7" width="24" style="1" customWidth="1"/>
    <col min="8" max="8" width="22" style="1" customWidth="1"/>
  </cols>
  <sheetData>
    <row r="1" spans="1:26" ht="24" customHeight="1" x14ac:dyDescent="0.25">
      <c r="A1" s="3" t="s">
        <v>248</v>
      </c>
      <c r="B1" s="30" t="s">
        <v>249</v>
      </c>
      <c r="C1" s="3" t="s">
        <v>250</v>
      </c>
      <c r="D1" s="3" t="s">
        <v>251</v>
      </c>
      <c r="E1" s="3" t="s">
        <v>393</v>
      </c>
      <c r="F1" s="3" t="s">
        <v>394</v>
      </c>
      <c r="G1" s="3" t="s">
        <v>257</v>
      </c>
      <c r="H1" s="3" t="s">
        <v>395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1">
        <v>73</v>
      </c>
      <c r="B2" s="1">
        <v>46201</v>
      </c>
      <c r="C2" s="1" t="s">
        <v>264</v>
      </c>
      <c r="D2" s="1" t="s">
        <v>292</v>
      </c>
      <c r="E2" s="1" t="s">
        <v>293</v>
      </c>
      <c r="F2" s="1" t="s">
        <v>294</v>
      </c>
      <c r="G2" s="1" t="s">
        <v>271</v>
      </c>
      <c r="H2" s="1" t="str">
        <f>INDEX(Partidos!$K$2:$K$105,MATCH(A2,Partidos!$A$2:$A$105,0))</f>
        <v/>
      </c>
    </row>
    <row r="3" spans="1:26" ht="14.25" customHeight="1" x14ac:dyDescent="0.25">
      <c r="A3" s="1">
        <v>74</v>
      </c>
      <c r="B3" s="1">
        <v>46201</v>
      </c>
      <c r="C3" s="1" t="s">
        <v>295</v>
      </c>
      <c r="D3" s="1" t="s">
        <v>292</v>
      </c>
      <c r="E3" s="1" t="s">
        <v>296</v>
      </c>
      <c r="F3" s="1" t="s">
        <v>297</v>
      </c>
      <c r="G3" s="1" t="s">
        <v>272</v>
      </c>
      <c r="H3" s="1" t="str">
        <f>INDEX(Partidos!$K$2:$K$105,MATCH(A3,Partidos!$A$2:$A$105,0))</f>
        <v/>
      </c>
    </row>
    <row r="4" spans="1:26" ht="14.25" customHeight="1" x14ac:dyDescent="0.25">
      <c r="A4" s="1">
        <v>75</v>
      </c>
      <c r="B4" s="1">
        <v>46202</v>
      </c>
      <c r="C4" s="1" t="s">
        <v>270</v>
      </c>
      <c r="D4" s="1" t="s">
        <v>292</v>
      </c>
      <c r="E4" s="1" t="s">
        <v>298</v>
      </c>
      <c r="F4" s="1" t="s">
        <v>299</v>
      </c>
      <c r="G4" s="1" t="s">
        <v>283</v>
      </c>
      <c r="H4" s="1" t="str">
        <f>INDEX(Partidos!$K$2:$K$105,MATCH(A4,Partidos!$A$2:$A$105,0))</f>
        <v/>
      </c>
    </row>
    <row r="5" spans="1:26" ht="14.25" customHeight="1" x14ac:dyDescent="0.25">
      <c r="A5" s="1">
        <v>76</v>
      </c>
      <c r="B5" s="1">
        <v>46202</v>
      </c>
      <c r="C5" s="1" t="s">
        <v>279</v>
      </c>
      <c r="D5" s="1" t="s">
        <v>292</v>
      </c>
      <c r="E5" s="1" t="s">
        <v>300</v>
      </c>
      <c r="F5" s="1" t="s">
        <v>301</v>
      </c>
      <c r="G5" s="1" t="s">
        <v>280</v>
      </c>
      <c r="H5" s="1" t="str">
        <f>INDEX(Partidos!$K$2:$K$105,MATCH(A5,Partidos!$A$2:$A$105,0))</f>
        <v/>
      </c>
    </row>
    <row r="6" spans="1:26" ht="14.25" customHeight="1" x14ac:dyDescent="0.25">
      <c r="A6" s="1">
        <v>77</v>
      </c>
      <c r="B6" s="1">
        <v>46202</v>
      </c>
      <c r="C6" s="1" t="s">
        <v>291</v>
      </c>
      <c r="D6" s="1" t="s">
        <v>292</v>
      </c>
      <c r="E6" s="1" t="s">
        <v>302</v>
      </c>
      <c r="F6" s="1" t="s">
        <v>303</v>
      </c>
      <c r="G6" s="1" t="s">
        <v>275</v>
      </c>
      <c r="H6" s="1" t="str">
        <f>INDEX(Partidos!$K$2:$K$105,MATCH(A6,Partidos!$A$2:$A$105,0))</f>
        <v/>
      </c>
    </row>
    <row r="7" spans="1:26" ht="14.25" customHeight="1" x14ac:dyDescent="0.25">
      <c r="A7" s="1">
        <v>78</v>
      </c>
      <c r="B7" s="1">
        <v>46203</v>
      </c>
      <c r="C7" s="1" t="s">
        <v>279</v>
      </c>
      <c r="D7" s="1" t="s">
        <v>292</v>
      </c>
      <c r="E7" s="1" t="s">
        <v>304</v>
      </c>
      <c r="F7" s="1" t="s">
        <v>305</v>
      </c>
      <c r="G7" s="1" t="s">
        <v>282</v>
      </c>
      <c r="H7" s="1" t="str">
        <f>INDEX(Partidos!$K$2:$K$105,MATCH(A7,Partidos!$A$2:$A$105,0))</f>
        <v/>
      </c>
    </row>
    <row r="8" spans="1:26" ht="14.25" customHeight="1" x14ac:dyDescent="0.25">
      <c r="A8" s="1">
        <v>79</v>
      </c>
      <c r="B8" s="1">
        <v>46203</v>
      </c>
      <c r="C8" s="1" t="s">
        <v>270</v>
      </c>
      <c r="D8" s="1" t="s">
        <v>292</v>
      </c>
      <c r="E8" s="1" t="s">
        <v>306</v>
      </c>
      <c r="F8" s="1" t="s">
        <v>307</v>
      </c>
      <c r="G8" s="1" t="s">
        <v>265</v>
      </c>
      <c r="H8" s="1" t="str">
        <f>INDEX(Partidos!$K$2:$K$105,MATCH(A8,Partidos!$A$2:$A$105,0))</f>
        <v/>
      </c>
    </row>
    <row r="9" spans="1:26" ht="14.25" customHeight="1" x14ac:dyDescent="0.25">
      <c r="A9" s="1">
        <v>80</v>
      </c>
      <c r="B9" s="1">
        <v>46203</v>
      </c>
      <c r="C9" s="1" t="s">
        <v>285</v>
      </c>
      <c r="D9" s="1" t="s">
        <v>292</v>
      </c>
      <c r="E9" s="1" t="s">
        <v>308</v>
      </c>
      <c r="F9" s="1" t="s">
        <v>309</v>
      </c>
      <c r="G9" s="1" t="s">
        <v>286</v>
      </c>
      <c r="H9" s="1" t="str">
        <f>INDEX(Partidos!$K$2:$K$105,MATCH(A9,Partidos!$A$2:$A$105,0))</f>
        <v/>
      </c>
    </row>
    <row r="10" spans="1:26" ht="14.25" customHeight="1" x14ac:dyDescent="0.25">
      <c r="A10" s="1">
        <v>81</v>
      </c>
      <c r="B10" s="1">
        <v>46204</v>
      </c>
      <c r="C10" s="1" t="s">
        <v>290</v>
      </c>
      <c r="D10" s="1" t="s">
        <v>292</v>
      </c>
      <c r="E10" s="1" t="s">
        <v>310</v>
      </c>
      <c r="F10" s="1" t="s">
        <v>311</v>
      </c>
      <c r="G10" s="1" t="s">
        <v>276</v>
      </c>
      <c r="H10" s="1" t="str">
        <f>INDEX(Partidos!$K$2:$K$105,MATCH(A10,Partidos!$A$2:$A$105,0))</f>
        <v/>
      </c>
    </row>
    <row r="11" spans="1:26" ht="14.25" customHeight="1" x14ac:dyDescent="0.25">
      <c r="A11" s="1">
        <v>82</v>
      </c>
      <c r="B11" s="1">
        <v>46204</v>
      </c>
      <c r="C11" s="1" t="s">
        <v>281</v>
      </c>
      <c r="D11" s="1" t="s">
        <v>292</v>
      </c>
      <c r="E11" s="1" t="s">
        <v>312</v>
      </c>
      <c r="F11" s="1" t="s">
        <v>313</v>
      </c>
      <c r="G11" s="1" t="s">
        <v>287</v>
      </c>
      <c r="H11" s="1" t="str">
        <f>INDEX(Partidos!$K$2:$K$105,MATCH(A11,Partidos!$A$2:$A$105,0))</f>
        <v/>
      </c>
    </row>
    <row r="12" spans="1:26" ht="14.25" customHeight="1" x14ac:dyDescent="0.25">
      <c r="A12" s="1">
        <v>83</v>
      </c>
      <c r="B12" s="1">
        <v>46205</v>
      </c>
      <c r="C12" s="1" t="s">
        <v>277</v>
      </c>
      <c r="D12" s="1" t="s">
        <v>292</v>
      </c>
      <c r="E12" s="1" t="s">
        <v>314</v>
      </c>
      <c r="F12" s="1" t="s">
        <v>315</v>
      </c>
      <c r="G12" s="1" t="s">
        <v>269</v>
      </c>
      <c r="H12" s="1" t="str">
        <f>INDEX(Partidos!$K$2:$K$105,MATCH(A12,Partidos!$A$2:$A$105,0))</f>
        <v/>
      </c>
    </row>
    <row r="13" spans="1:26" ht="14.25" customHeight="1" x14ac:dyDescent="0.25">
      <c r="A13" s="1">
        <v>84</v>
      </c>
      <c r="B13" s="1">
        <v>46205</v>
      </c>
      <c r="C13" s="1" t="s">
        <v>264</v>
      </c>
      <c r="D13" s="1" t="s">
        <v>292</v>
      </c>
      <c r="E13" s="1" t="s">
        <v>316</v>
      </c>
      <c r="F13" s="1" t="s">
        <v>317</v>
      </c>
      <c r="G13" s="1" t="s">
        <v>271</v>
      </c>
      <c r="H13" s="1" t="str">
        <f>INDEX(Partidos!$K$2:$K$105,MATCH(A13,Partidos!$A$2:$A$105,0))</f>
        <v/>
      </c>
    </row>
    <row r="14" spans="1:26" ht="14.25" customHeight="1" x14ac:dyDescent="0.25">
      <c r="A14" s="1">
        <v>85</v>
      </c>
      <c r="B14" s="1">
        <v>46206</v>
      </c>
      <c r="C14" s="1" t="s">
        <v>289</v>
      </c>
      <c r="D14" s="1" t="s">
        <v>292</v>
      </c>
      <c r="E14" s="1" t="s">
        <v>318</v>
      </c>
      <c r="F14" s="1" t="s">
        <v>319</v>
      </c>
      <c r="G14" s="1" t="s">
        <v>273</v>
      </c>
      <c r="H14" s="1" t="str">
        <f>INDEX(Partidos!$K$2:$K$105,MATCH(A14,Partidos!$A$2:$A$105,0))</f>
        <v/>
      </c>
    </row>
    <row r="15" spans="1:26" ht="14.25" customHeight="1" x14ac:dyDescent="0.25">
      <c r="A15" s="1">
        <v>86</v>
      </c>
      <c r="B15" s="1">
        <v>46206</v>
      </c>
      <c r="C15" s="1" t="s">
        <v>274</v>
      </c>
      <c r="D15" s="1" t="s">
        <v>292</v>
      </c>
      <c r="E15" s="1" t="s">
        <v>320</v>
      </c>
      <c r="F15" s="1" t="s">
        <v>321</v>
      </c>
      <c r="G15" s="1" t="s">
        <v>284</v>
      </c>
      <c r="H15" s="1" t="str">
        <f>INDEX(Partidos!$K$2:$K$105,MATCH(A15,Partidos!$A$2:$A$105,0))</f>
        <v/>
      </c>
    </row>
    <row r="16" spans="1:26" ht="14.25" customHeight="1" x14ac:dyDescent="0.25">
      <c r="A16" s="1">
        <v>87</v>
      </c>
      <c r="B16" s="1">
        <v>46206</v>
      </c>
      <c r="C16" s="1" t="s">
        <v>322</v>
      </c>
      <c r="D16" s="1" t="s">
        <v>292</v>
      </c>
      <c r="E16" s="1" t="s">
        <v>323</v>
      </c>
      <c r="F16" s="1" t="s">
        <v>324</v>
      </c>
      <c r="G16" s="1" t="s">
        <v>288</v>
      </c>
      <c r="H16" s="1" t="str">
        <f>INDEX(Partidos!$K$2:$K$105,MATCH(A16,Partidos!$A$2:$A$105,0))</f>
        <v/>
      </c>
    </row>
    <row r="17" spans="1:8" ht="14.25" customHeight="1" x14ac:dyDescent="0.25">
      <c r="A17" s="1">
        <v>88</v>
      </c>
      <c r="B17" s="1">
        <v>46206</v>
      </c>
      <c r="C17" s="1" t="s">
        <v>325</v>
      </c>
      <c r="D17" s="1" t="s">
        <v>292</v>
      </c>
      <c r="E17" s="1" t="s">
        <v>326</v>
      </c>
      <c r="F17" s="1" t="s">
        <v>327</v>
      </c>
      <c r="G17" s="1" t="s">
        <v>282</v>
      </c>
      <c r="H17" s="1" t="str">
        <f>INDEX(Partidos!$K$2:$K$105,MATCH(A17,Partidos!$A$2:$A$105,0))</f>
        <v/>
      </c>
    </row>
    <row r="18" spans="1:8" ht="14.25" customHeight="1" x14ac:dyDescent="0.25">
      <c r="A18" s="1">
        <v>89</v>
      </c>
      <c r="B18" s="1">
        <v>46207</v>
      </c>
      <c r="C18" s="1" t="s">
        <v>291</v>
      </c>
      <c r="D18" s="1" t="s">
        <v>328</v>
      </c>
      <c r="E18" s="1" t="s">
        <v>329</v>
      </c>
      <c r="F18" s="1" t="s">
        <v>330</v>
      </c>
      <c r="G18" s="1" t="s">
        <v>278</v>
      </c>
      <c r="H18" s="1" t="str">
        <f>INDEX(Partidos!$K$2:$K$105,MATCH(A18,Partidos!$A$2:$A$105,0))</f>
        <v/>
      </c>
    </row>
    <row r="19" spans="1:8" ht="14.25" customHeight="1" x14ac:dyDescent="0.25">
      <c r="A19" s="1">
        <v>90</v>
      </c>
      <c r="B19" s="1">
        <v>46207</v>
      </c>
      <c r="C19" s="1" t="s">
        <v>279</v>
      </c>
      <c r="D19" s="1" t="s">
        <v>328</v>
      </c>
      <c r="E19" s="1" t="s">
        <v>331</v>
      </c>
      <c r="F19" s="1" t="s">
        <v>332</v>
      </c>
      <c r="G19" s="1" t="s">
        <v>280</v>
      </c>
      <c r="H19" s="1" t="str">
        <f>INDEX(Partidos!$K$2:$K$105,MATCH(A19,Partidos!$A$2:$A$105,0))</f>
        <v/>
      </c>
    </row>
    <row r="20" spans="1:8" ht="14.25" customHeight="1" x14ac:dyDescent="0.25">
      <c r="A20" s="1">
        <v>91</v>
      </c>
      <c r="B20" s="1">
        <v>46208</v>
      </c>
      <c r="C20" s="1" t="s">
        <v>281</v>
      </c>
      <c r="D20" s="1" t="s">
        <v>328</v>
      </c>
      <c r="E20" s="1" t="s">
        <v>333</v>
      </c>
      <c r="F20" s="1" t="s">
        <v>334</v>
      </c>
      <c r="G20" s="1" t="s">
        <v>275</v>
      </c>
      <c r="H20" s="1" t="str">
        <f>INDEX(Partidos!$K$2:$K$105,MATCH(A20,Partidos!$A$2:$A$105,0))</f>
        <v/>
      </c>
    </row>
    <row r="21" spans="1:8" ht="14.25" customHeight="1" x14ac:dyDescent="0.25">
      <c r="A21" s="1">
        <v>92</v>
      </c>
      <c r="B21" s="1">
        <v>46208</v>
      </c>
      <c r="C21" s="1" t="s">
        <v>290</v>
      </c>
      <c r="D21" s="1" t="s">
        <v>328</v>
      </c>
      <c r="E21" s="1" t="s">
        <v>335</v>
      </c>
      <c r="F21" s="1" t="s">
        <v>336</v>
      </c>
      <c r="G21" s="1" t="s">
        <v>265</v>
      </c>
      <c r="H21" s="1" t="str">
        <f>INDEX(Partidos!$K$2:$K$105,MATCH(A21,Partidos!$A$2:$A$105,0))</f>
        <v/>
      </c>
    </row>
    <row r="22" spans="1:8" ht="14.25" customHeight="1" x14ac:dyDescent="0.25">
      <c r="A22" s="1">
        <v>93</v>
      </c>
      <c r="B22" s="1">
        <v>46209</v>
      </c>
      <c r="C22" s="1" t="s">
        <v>264</v>
      </c>
      <c r="D22" s="1" t="s">
        <v>328</v>
      </c>
      <c r="E22" s="1" t="s">
        <v>337</v>
      </c>
      <c r="F22" s="1" t="s">
        <v>338</v>
      </c>
      <c r="G22" s="1" t="s">
        <v>282</v>
      </c>
      <c r="H22" s="1" t="str">
        <f>INDEX(Partidos!$K$2:$K$105,MATCH(A22,Partidos!$A$2:$A$105,0))</f>
        <v/>
      </c>
    </row>
    <row r="23" spans="1:8" ht="14.25" customHeight="1" x14ac:dyDescent="0.25">
      <c r="A23" s="1">
        <v>94</v>
      </c>
      <c r="B23" s="1">
        <v>46209</v>
      </c>
      <c r="C23" s="1" t="s">
        <v>290</v>
      </c>
      <c r="D23" s="1" t="s">
        <v>328</v>
      </c>
      <c r="E23" s="1" t="s">
        <v>339</v>
      </c>
      <c r="F23" s="1" t="s">
        <v>340</v>
      </c>
      <c r="G23" s="1" t="s">
        <v>287</v>
      </c>
      <c r="H23" s="1" t="str">
        <f>INDEX(Partidos!$K$2:$K$105,MATCH(A23,Partidos!$A$2:$A$105,0))</f>
        <v/>
      </c>
    </row>
    <row r="24" spans="1:8" ht="14.25" customHeight="1" x14ac:dyDescent="0.25">
      <c r="A24" s="1">
        <v>95</v>
      </c>
      <c r="B24" s="1">
        <v>46210</v>
      </c>
      <c r="C24" s="1" t="s">
        <v>285</v>
      </c>
      <c r="D24" s="1" t="s">
        <v>328</v>
      </c>
      <c r="E24" s="1" t="s">
        <v>341</v>
      </c>
      <c r="F24" s="1" t="s">
        <v>342</v>
      </c>
      <c r="G24" s="1" t="s">
        <v>286</v>
      </c>
      <c r="H24" s="1" t="str">
        <f>INDEX(Partidos!$K$2:$K$105,MATCH(A24,Partidos!$A$2:$A$105,0))</f>
        <v/>
      </c>
    </row>
    <row r="25" spans="1:8" ht="14.25" customHeight="1" x14ac:dyDescent="0.25">
      <c r="A25" s="1">
        <v>96</v>
      </c>
      <c r="B25" s="1">
        <v>46210</v>
      </c>
      <c r="C25" s="1" t="s">
        <v>281</v>
      </c>
      <c r="D25" s="1" t="s">
        <v>328</v>
      </c>
      <c r="E25" s="1" t="s">
        <v>343</v>
      </c>
      <c r="F25" s="1" t="s">
        <v>344</v>
      </c>
      <c r="G25" s="1" t="s">
        <v>273</v>
      </c>
      <c r="H25" s="1" t="str">
        <f>INDEX(Partidos!$K$2:$K$105,MATCH(A25,Partidos!$A$2:$A$105,0))</f>
        <v/>
      </c>
    </row>
    <row r="26" spans="1:8" ht="14.25" customHeight="1" x14ac:dyDescent="0.25">
      <c r="A26" s="1">
        <v>97</v>
      </c>
      <c r="B26" s="1">
        <v>46212</v>
      </c>
      <c r="C26" s="1" t="s">
        <v>281</v>
      </c>
      <c r="D26" s="1" t="s">
        <v>345</v>
      </c>
      <c r="E26" s="1" t="s">
        <v>346</v>
      </c>
      <c r="F26" s="1" t="s">
        <v>347</v>
      </c>
      <c r="G26" s="1" t="s">
        <v>272</v>
      </c>
      <c r="H26" s="1" t="str">
        <f>INDEX(Partidos!$K$2:$K$105,MATCH(A26,Partidos!$A$2:$A$105,0))</f>
        <v/>
      </c>
    </row>
    <row r="27" spans="1:8" ht="14.25" customHeight="1" x14ac:dyDescent="0.25">
      <c r="A27" s="1">
        <v>98</v>
      </c>
      <c r="B27" s="1">
        <v>46213</v>
      </c>
      <c r="C27" s="1" t="s">
        <v>264</v>
      </c>
      <c r="D27" s="1" t="s">
        <v>345</v>
      </c>
      <c r="E27" s="1" t="s">
        <v>348</v>
      </c>
      <c r="F27" s="1" t="s">
        <v>349</v>
      </c>
      <c r="G27" s="1" t="s">
        <v>271</v>
      </c>
      <c r="H27" s="1" t="str">
        <f>INDEX(Partidos!$K$2:$K$105,MATCH(A27,Partidos!$A$2:$A$105,0))</f>
        <v/>
      </c>
    </row>
    <row r="28" spans="1:8" ht="14.25" customHeight="1" x14ac:dyDescent="0.25">
      <c r="A28" s="1">
        <v>99</v>
      </c>
      <c r="B28" s="1">
        <v>46214</v>
      </c>
      <c r="C28" s="1" t="s">
        <v>291</v>
      </c>
      <c r="D28" s="1" t="s">
        <v>345</v>
      </c>
      <c r="E28" s="1" t="s">
        <v>350</v>
      </c>
      <c r="F28" s="1" t="s">
        <v>351</v>
      </c>
      <c r="G28" s="1" t="s">
        <v>284</v>
      </c>
      <c r="H28" s="1" t="str">
        <f>INDEX(Partidos!$K$2:$K$105,MATCH(A28,Partidos!$A$2:$A$105,0))</f>
        <v/>
      </c>
    </row>
    <row r="29" spans="1:8" ht="14.25" customHeight="1" x14ac:dyDescent="0.25">
      <c r="A29" s="1">
        <v>100</v>
      </c>
      <c r="B29" s="1">
        <v>46214</v>
      </c>
      <c r="C29" s="1" t="s">
        <v>270</v>
      </c>
      <c r="D29" s="1" t="s">
        <v>345</v>
      </c>
      <c r="E29" s="1" t="s">
        <v>352</v>
      </c>
      <c r="F29" s="1" t="s">
        <v>353</v>
      </c>
      <c r="G29" s="1" t="s">
        <v>288</v>
      </c>
      <c r="H29" s="1" t="str">
        <f>INDEX(Partidos!$K$2:$K$105,MATCH(A29,Partidos!$A$2:$A$105,0))</f>
        <v/>
      </c>
    </row>
    <row r="30" spans="1:8" ht="14.25" customHeight="1" x14ac:dyDescent="0.25">
      <c r="A30" s="1">
        <v>101</v>
      </c>
      <c r="B30" s="1">
        <v>46217</v>
      </c>
      <c r="C30" s="1" t="s">
        <v>264</v>
      </c>
      <c r="D30" s="1" t="s">
        <v>354</v>
      </c>
      <c r="E30" s="1" t="s">
        <v>355</v>
      </c>
      <c r="F30" s="1" t="s">
        <v>356</v>
      </c>
      <c r="G30" s="1" t="s">
        <v>282</v>
      </c>
      <c r="H30" s="1" t="str">
        <f>INDEX(Partidos!$K$2:$K$105,MATCH(A30,Partidos!$A$2:$A$105,0))</f>
        <v/>
      </c>
    </row>
    <row r="31" spans="1:8" ht="14.25" customHeight="1" x14ac:dyDescent="0.25">
      <c r="A31" s="1">
        <v>102</v>
      </c>
      <c r="B31" s="1">
        <v>46218</v>
      </c>
      <c r="C31" s="1" t="s">
        <v>264</v>
      </c>
      <c r="D31" s="1" t="s">
        <v>354</v>
      </c>
      <c r="E31" s="1" t="s">
        <v>357</v>
      </c>
      <c r="F31" s="1" t="s">
        <v>358</v>
      </c>
      <c r="G31" s="1" t="s">
        <v>286</v>
      </c>
      <c r="H31" s="1" t="str">
        <f>INDEX(Partidos!$K$2:$K$105,MATCH(A31,Partidos!$A$2:$A$105,0))</f>
        <v/>
      </c>
    </row>
    <row r="32" spans="1:8" ht="14.25" customHeight="1" x14ac:dyDescent="0.25">
      <c r="A32" s="1">
        <v>103</v>
      </c>
      <c r="B32" s="1">
        <v>46221</v>
      </c>
      <c r="C32" s="1" t="s">
        <v>291</v>
      </c>
      <c r="D32" s="1" t="s">
        <v>359</v>
      </c>
      <c r="E32" s="1" t="s">
        <v>360</v>
      </c>
      <c r="F32" s="1" t="s">
        <v>361</v>
      </c>
      <c r="G32" s="1" t="s">
        <v>284</v>
      </c>
      <c r="H32" s="1" t="str">
        <f>INDEX(Partidos!$K$2:$K$105,MATCH(A32,Partidos!$A$2:$A$105,0))</f>
        <v/>
      </c>
    </row>
    <row r="33" spans="1:8" ht="14.25" customHeight="1" x14ac:dyDescent="0.25">
      <c r="A33" s="1">
        <v>104</v>
      </c>
      <c r="B33" s="1">
        <v>46222</v>
      </c>
      <c r="C33" s="1" t="s">
        <v>264</v>
      </c>
      <c r="D33" s="1" t="s">
        <v>362</v>
      </c>
      <c r="E33" s="1" t="s">
        <v>363</v>
      </c>
      <c r="F33" s="1" t="s">
        <v>364</v>
      </c>
      <c r="G33" s="1" t="s">
        <v>275</v>
      </c>
      <c r="H33" s="1" t="str">
        <f>INDEX(Partidos!$K$2:$K$105,MATCH(A33,Partidos!$A$2:$A$105,0))</f>
        <v/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zoomScaleNormal="100" workbookViewId="0"/>
  </sheetViews>
  <sheetFormatPr baseColWidth="10" defaultColWidth="9" defaultRowHeight="15" x14ac:dyDescent="0.25"/>
  <cols>
    <col min="1" max="1" width="28" style="1" customWidth="1"/>
    <col min="2" max="2" width="90" style="1" customWidth="1"/>
    <col min="3" max="3" width="60" style="1" customWidth="1"/>
  </cols>
  <sheetData>
    <row r="1" spans="1:26" ht="24" customHeight="1" x14ac:dyDescent="0.25">
      <c r="A1" s="3" t="s">
        <v>396</v>
      </c>
      <c r="B1" s="3" t="s">
        <v>397</v>
      </c>
      <c r="C1" s="3" t="s">
        <v>27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1" t="s">
        <v>398</v>
      </c>
      <c r="B2" s="1" t="s">
        <v>399</v>
      </c>
      <c r="C2" s="1" t="s">
        <v>400</v>
      </c>
    </row>
    <row r="3" spans="1:26" ht="14.25" customHeight="1" x14ac:dyDescent="0.25">
      <c r="A3" s="1" t="s">
        <v>401</v>
      </c>
      <c r="B3" s="1" t="s">
        <v>402</v>
      </c>
      <c r="C3" s="1" t="s">
        <v>403</v>
      </c>
    </row>
    <row r="4" spans="1:26" ht="14.25" customHeight="1" x14ac:dyDescent="0.25">
      <c r="A4" s="1" t="s">
        <v>263</v>
      </c>
      <c r="C4" s="1" t="s">
        <v>404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"/>
  <sheetViews>
    <sheetView zoomScaleNormal="100" workbookViewId="0"/>
  </sheetViews>
  <sheetFormatPr baseColWidth="10" defaultColWidth="9" defaultRowHeight="15" x14ac:dyDescent="0.25"/>
  <cols>
    <col min="1" max="3" width="14" style="1" customWidth="1"/>
    <col min="4" max="4" width="18" style="1" customWidth="1"/>
    <col min="5" max="5" width="14" style="1" customWidth="1"/>
    <col min="6" max="6" width="22" style="1" customWidth="1"/>
    <col min="7" max="7" width="14" style="1" customWidth="1"/>
    <col min="8" max="8" width="18" style="1" customWidth="1"/>
    <col min="9" max="19" width="14" style="1" customWidth="1"/>
  </cols>
  <sheetData>
    <row r="1" spans="1:23" ht="15" customHeight="1" x14ac:dyDescent="0.25">
      <c r="A1" s="44" t="s">
        <v>405</v>
      </c>
      <c r="B1" s="44" t="s">
        <v>406</v>
      </c>
      <c r="C1" s="44" t="s">
        <v>407</v>
      </c>
      <c r="D1" s="44" t="s">
        <v>408</v>
      </c>
      <c r="E1" s="44" t="s">
        <v>409</v>
      </c>
      <c r="F1" s="44" t="s">
        <v>32</v>
      </c>
      <c r="G1" s="44" t="s">
        <v>31</v>
      </c>
      <c r="H1" s="44" t="s">
        <v>410</v>
      </c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1" t="s">
        <v>411</v>
      </c>
    </row>
    <row r="2" spans="1:23" ht="14.25" customHeight="1" x14ac:dyDescent="0.25">
      <c r="A2" s="1" t="s">
        <v>412</v>
      </c>
      <c r="B2" s="1">
        <v>74</v>
      </c>
      <c r="C2" s="1" t="s">
        <v>413</v>
      </c>
      <c r="D2" s="1" t="s">
        <v>297</v>
      </c>
      <c r="E2" s="1" t="str">
        <f>IF($H$2="","",IFERROR(INDEX(Tabla_3ros!$B$2:$I$496,MATCH($H$2,Tabla_3ros!$A$2:$A$496,0),MATCH(B2,Tabla_3ros!$B$1:$I$1,0)),""))</f>
        <v>C</v>
      </c>
      <c r="F2" s="1" t="str">
        <f>IF(E2="","",VLOOKUP(E2,Mejores_Terceros!$A$2:$C$13,3,FALSE()))</f>
        <v>Corea República</v>
      </c>
      <c r="G2" s="1" t="str">
        <f>IF(E2="","",VLOOKUP(E2,Mejores_Terceros!$A$2:$C$13,2,FALSE()))</f>
        <v>KOR</v>
      </c>
      <c r="H2" s="1" t="str">
        <f>IF(Mejores_Terceros!$I$2="Sí",Mejores_Terceros!$A$2,"")&amp;IF(Mejores_Terceros!$I$3="Sí",Mejores_Terceros!$A$3,"")&amp;IF(Mejores_Terceros!$I$4="Sí",Mejores_Terceros!$A$4,"")&amp;IF(Mejores_Terceros!$I$5="Sí",Mejores_Terceros!$A$5,"")&amp;IF(Mejores_Terceros!$I$6="Sí",Mejores_Terceros!$A$6,"")&amp;IF(Mejores_Terceros!$I$7="Sí",Mejores_Terceros!$A$7,"")&amp;IF(Mejores_Terceros!$I$8="Sí",Mejores_Terceros!$A$8,"")&amp;IF(Mejores_Terceros!$I$9="Sí",Mejores_Terceros!$A$9,"")&amp;IF(Mejores_Terceros!$I$10="Sí",Mejores_Terceros!$A$10,"")&amp;IF(Mejores_Terceros!$I$11="Sí",Mejores_Terceros!$A$11,"")&amp;IF(Mejores_Terceros!$I$12="Sí",Mejores_Terceros!$A$12,"")&amp;IF(Mejores_Terceros!$I$13="Sí",Mejores_Terceros!$A$13,"")</f>
        <v>CEFGHIJK</v>
      </c>
      <c r="W2" s="1" t="str">
        <f>IF(MIN(H2:S2)=999,"",IF(H2=MIN(H2:S2),"A",IF(I2=MIN(H2:S2),"B",IF(J2=MIN(H2:S2),"C",IF(K2=MIN(H2:S2),"D",IF(L2=MIN(H2:S2),"E",IF(M2=MIN(H2:S2),"F",IF(N2=MIN(H2:S2),"G",IF(O2=MIN(H2:S2),"H",IF(P2=MIN(H2:S2),"I",IF(Q2=MIN(H2:S2),"J",IF(R2=MIN(H2:S2),"K",IF(S2=MIN(H2:S2),"L","")))))))))))))</f>
        <v>B</v>
      </c>
    </row>
    <row r="3" spans="1:23" ht="14.25" customHeight="1" x14ac:dyDescent="0.25">
      <c r="A3" s="1" t="s">
        <v>414</v>
      </c>
      <c r="B3" s="1">
        <v>77</v>
      </c>
      <c r="C3" s="1" t="s">
        <v>413</v>
      </c>
      <c r="D3" s="1" t="s">
        <v>303</v>
      </c>
      <c r="E3" s="1" t="str">
        <f>IF($H$2="","",IFERROR(INDEX(Tabla_3ros!$B$2:$I$496,MATCH($H$2,Tabla_3ros!$A$2:$A$496,0),MATCH(B3,Tabla_3ros!$B$1:$I$1,0)),""))</f>
        <v>F</v>
      </c>
      <c r="F3" s="1" t="str">
        <f>IF(E3="","",VLOOKUP(E3,Mejores_Terceros!$A$2:$C$13,3,FALSE()))</f>
        <v>Bosnia y Herzegovina</v>
      </c>
      <c r="G3" s="1" t="str">
        <f>IF(E3="","",VLOOKUP(E3,Mejores_Terceros!$A$2:$C$13,2,FALSE()))</f>
        <v>BIH</v>
      </c>
      <c r="H3" s="1" t="str">
        <f t="shared" ref="H3:H9" si="0">$H$2</f>
        <v>CEFGHIJK</v>
      </c>
    </row>
    <row r="4" spans="1:23" ht="14.25" customHeight="1" x14ac:dyDescent="0.25">
      <c r="A4" s="1" t="s">
        <v>415</v>
      </c>
      <c r="B4" s="1">
        <v>79</v>
      </c>
      <c r="C4" s="1" t="s">
        <v>413</v>
      </c>
      <c r="D4" s="1" t="s">
        <v>307</v>
      </c>
      <c r="E4" s="1" t="str">
        <f>IF($H$2="","",IFERROR(INDEX(Tabla_3ros!$B$2:$I$496,MATCH($H$2,Tabla_3ros!$A$2:$A$496,0),MATCH(B4,Tabla_3ros!$B$1:$I$1,0)),""))</f>
        <v>H</v>
      </c>
      <c r="F4" s="1" t="str">
        <f>IF(E4="","",VLOOKUP(E4,Mejores_Terceros!$A$2:$C$13,3,FALSE()))</f>
        <v>Suiza</v>
      </c>
      <c r="G4" s="1" t="str">
        <f>IF(E4="","",VLOOKUP(E4,Mejores_Terceros!$A$2:$C$13,2,FALSE()))</f>
        <v>SUI</v>
      </c>
      <c r="H4" s="1" t="str">
        <f t="shared" si="0"/>
        <v>CEFGHIJK</v>
      </c>
    </row>
    <row r="5" spans="1:23" ht="14.25" customHeight="1" x14ac:dyDescent="0.25">
      <c r="A5" s="1" t="s">
        <v>416</v>
      </c>
      <c r="B5" s="1">
        <v>80</v>
      </c>
      <c r="C5" s="1" t="s">
        <v>413</v>
      </c>
      <c r="D5" s="1" t="s">
        <v>309</v>
      </c>
      <c r="E5" s="1" t="str">
        <f>IF($H$2="","",IFERROR(INDEX(Tabla_3ros!$B$2:$I$496,MATCH($H$2,Tabla_3ros!$A$2:$A$496,0),MATCH(B5,Tabla_3ros!$B$1:$I$1,0)),""))</f>
        <v>K</v>
      </c>
      <c r="F5" s="1" t="str">
        <f>IF(E5="","",VLOOKUP(E5,Mejores_Terceros!$A$2:$C$13,3,FALSE()))</f>
        <v>Haití</v>
      </c>
      <c r="G5" s="1" t="str">
        <f>IF(E5="","",VLOOKUP(E5,Mejores_Terceros!$A$2:$C$13,2,FALSE()))</f>
        <v>HAI</v>
      </c>
      <c r="H5" s="1" t="str">
        <f t="shared" si="0"/>
        <v>CEFGHIJK</v>
      </c>
    </row>
    <row r="6" spans="1:23" ht="14.25" customHeight="1" x14ac:dyDescent="0.25">
      <c r="A6" s="1" t="s">
        <v>417</v>
      </c>
      <c r="B6" s="1">
        <v>81</v>
      </c>
      <c r="C6" s="1" t="s">
        <v>413</v>
      </c>
      <c r="D6" s="1" t="s">
        <v>311</v>
      </c>
      <c r="E6" s="1" t="str">
        <f>IF($H$2="","",IFERROR(INDEX(Tabla_3ros!$B$2:$I$496,MATCH($H$2,Tabla_3ros!$A$2:$A$496,0),MATCH(B6,Tabla_3ros!$B$1:$I$1,0)),""))</f>
        <v>I</v>
      </c>
      <c r="F6" s="1" t="str">
        <f>IF(E6="","",VLOOKUP(E6,Mejores_Terceros!$A$2:$C$13,3,FALSE()))</f>
        <v>Brasil</v>
      </c>
      <c r="G6" s="1" t="str">
        <f>IF(E6="","",VLOOKUP(E6,Mejores_Terceros!$A$2:$C$13,2,FALSE()))</f>
        <v>BRA</v>
      </c>
      <c r="H6" s="1" t="str">
        <f t="shared" si="0"/>
        <v>CEFGHIJK</v>
      </c>
    </row>
    <row r="7" spans="1:23" ht="14.25" customHeight="1" x14ac:dyDescent="0.25">
      <c r="A7" s="1" t="s">
        <v>418</v>
      </c>
      <c r="B7" s="1">
        <v>82</v>
      </c>
      <c r="C7" s="1" t="s">
        <v>413</v>
      </c>
      <c r="D7" s="1" t="s">
        <v>313</v>
      </c>
      <c r="E7" s="1" t="str">
        <f>IF($H$2="","",IFERROR(INDEX(Tabla_3ros!$B$2:$I$496,MATCH($H$2,Tabla_3ros!$A$2:$A$496,0),MATCH(B7,Tabla_3ros!$B$1:$I$1,0)),""))</f>
        <v>J</v>
      </c>
      <c r="F7" s="1" t="str">
        <f>IF(E7="","",VLOOKUP(E7,Mejores_Terceros!$A$2:$C$13,3,FALSE()))</f>
        <v>Marruecos</v>
      </c>
      <c r="G7" s="1" t="str">
        <f>IF(E7="","",VLOOKUP(E7,Mejores_Terceros!$A$2:$C$13,2,FALSE()))</f>
        <v>MAR</v>
      </c>
      <c r="H7" s="1" t="str">
        <f t="shared" si="0"/>
        <v>CEFGHIJK</v>
      </c>
    </row>
    <row r="8" spans="1:23" ht="14.25" customHeight="1" x14ac:dyDescent="0.25">
      <c r="A8" s="1" t="s">
        <v>419</v>
      </c>
      <c r="B8" s="1">
        <v>85</v>
      </c>
      <c r="C8" s="1" t="s">
        <v>413</v>
      </c>
      <c r="D8" s="1" t="s">
        <v>319</v>
      </c>
      <c r="E8" s="1" t="str">
        <f>IF($H$2="","",IFERROR(INDEX(Tabla_3ros!$B$2:$I$496,MATCH($H$2,Tabla_3ros!$A$2:$A$496,0),MATCH(B8,Tabla_3ros!$B$1:$I$1,0)),""))</f>
        <v>G</v>
      </c>
      <c r="F8" s="1" t="str">
        <f>IF(E8="","",VLOOKUP(E8,Mejores_Terceros!$A$2:$C$13,3,FALSE()))</f>
        <v>Qatar</v>
      </c>
      <c r="G8" s="1" t="str">
        <f>IF(E8="","",VLOOKUP(E8,Mejores_Terceros!$A$2:$C$13,2,FALSE()))</f>
        <v>QAT</v>
      </c>
      <c r="H8" s="1" t="str">
        <f t="shared" si="0"/>
        <v>CEFGHIJK</v>
      </c>
    </row>
    <row r="9" spans="1:23" ht="14.25" customHeight="1" x14ac:dyDescent="0.25">
      <c r="A9" s="1" t="s">
        <v>420</v>
      </c>
      <c r="B9" s="1">
        <v>87</v>
      </c>
      <c r="C9" s="1" t="s">
        <v>413</v>
      </c>
      <c r="D9" s="1" t="s">
        <v>324</v>
      </c>
      <c r="E9" s="1" t="str">
        <f>IF($H$2="","",IFERROR(INDEX(Tabla_3ros!$B$2:$I$496,MATCH($H$2,Tabla_3ros!$A$2:$A$496,0),MATCH(B9,Tabla_3ros!$B$1:$I$1,0)),""))</f>
        <v>E</v>
      </c>
      <c r="F9" s="1" t="str">
        <f>IF(E9="","",VLOOKUP(E9,Mejores_Terceros!$A$2:$C$13,3,FALSE()))</f>
        <v>Canadá</v>
      </c>
      <c r="G9" s="1" t="str">
        <f>IF(E9="","",VLOOKUP(E9,Mejores_Terceros!$A$2:$C$13,2,FALSE()))</f>
        <v>CAN</v>
      </c>
      <c r="H9" s="1" t="str">
        <f t="shared" si="0"/>
        <v>CEFGHIJK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6"/>
  <sheetViews>
    <sheetView zoomScaleNormal="100" workbookViewId="0"/>
  </sheetViews>
  <sheetFormatPr baseColWidth="10" defaultColWidth="9" defaultRowHeight="15" x14ac:dyDescent="0.25"/>
  <cols>
    <col min="1" max="1" width="16" style="1" customWidth="1"/>
    <col min="2" max="9" width="12" style="1" customWidth="1"/>
  </cols>
  <sheetData>
    <row r="1" spans="1:9" ht="15" customHeight="1" x14ac:dyDescent="0.25">
      <c r="A1" s="44" t="s">
        <v>421</v>
      </c>
      <c r="B1" s="44">
        <v>74</v>
      </c>
      <c r="C1" s="44">
        <v>77</v>
      </c>
      <c r="D1" s="44">
        <v>79</v>
      </c>
      <c r="E1" s="44">
        <v>80</v>
      </c>
      <c r="F1" s="44">
        <v>81</v>
      </c>
      <c r="G1" s="44">
        <v>82</v>
      </c>
      <c r="H1" s="44">
        <v>85</v>
      </c>
      <c r="I1" s="44">
        <v>87</v>
      </c>
    </row>
    <row r="2" spans="1:9" ht="14.25" customHeight="1" x14ac:dyDescent="0.25">
      <c r="A2" s="1" t="s">
        <v>422</v>
      </c>
      <c r="B2" s="1" t="s">
        <v>59</v>
      </c>
      <c r="C2" s="1" t="s">
        <v>111</v>
      </c>
      <c r="D2" s="1" t="s">
        <v>124</v>
      </c>
      <c r="E2" s="1" t="s">
        <v>85</v>
      </c>
      <c r="F2" s="1" t="s">
        <v>46</v>
      </c>
      <c r="G2" s="1" t="s">
        <v>33</v>
      </c>
      <c r="H2" s="1" t="s">
        <v>98</v>
      </c>
      <c r="I2" s="1" t="s">
        <v>72</v>
      </c>
    </row>
    <row r="3" spans="1:9" ht="14.25" customHeight="1" x14ac:dyDescent="0.25">
      <c r="A3" s="1" t="s">
        <v>423</v>
      </c>
      <c r="B3" s="1" t="s">
        <v>46</v>
      </c>
      <c r="C3" s="1" t="s">
        <v>98</v>
      </c>
      <c r="D3" s="1" t="s">
        <v>59</v>
      </c>
      <c r="E3" s="1" t="s">
        <v>85</v>
      </c>
      <c r="F3" s="1" t="s">
        <v>137</v>
      </c>
      <c r="G3" s="1" t="s">
        <v>33</v>
      </c>
      <c r="H3" s="1" t="s">
        <v>111</v>
      </c>
      <c r="I3" s="1" t="s">
        <v>72</v>
      </c>
    </row>
    <row r="4" spans="1:9" ht="14.25" customHeight="1" x14ac:dyDescent="0.25">
      <c r="A4" s="1" t="s">
        <v>424</v>
      </c>
      <c r="B4" s="1" t="s">
        <v>46</v>
      </c>
      <c r="C4" s="1" t="s">
        <v>98</v>
      </c>
      <c r="D4" s="1" t="s">
        <v>59</v>
      </c>
      <c r="E4" s="1" t="s">
        <v>85</v>
      </c>
      <c r="F4" s="1" t="s">
        <v>150</v>
      </c>
      <c r="G4" s="1" t="s">
        <v>33</v>
      </c>
      <c r="H4" s="1" t="s">
        <v>111</v>
      </c>
      <c r="I4" s="1" t="s">
        <v>72</v>
      </c>
    </row>
    <row r="5" spans="1:9" ht="14.25" customHeight="1" x14ac:dyDescent="0.25">
      <c r="A5" s="1" t="s">
        <v>425</v>
      </c>
      <c r="B5" s="1" t="s">
        <v>46</v>
      </c>
      <c r="C5" s="1" t="s">
        <v>98</v>
      </c>
      <c r="D5" s="1" t="s">
        <v>59</v>
      </c>
      <c r="E5" s="1" t="s">
        <v>163</v>
      </c>
      <c r="F5" s="1" t="s">
        <v>85</v>
      </c>
      <c r="G5" s="1" t="s">
        <v>33</v>
      </c>
      <c r="H5" s="1" t="s">
        <v>111</v>
      </c>
      <c r="I5" s="1" t="s">
        <v>72</v>
      </c>
    </row>
    <row r="6" spans="1:9" ht="14.25" customHeight="1" x14ac:dyDescent="0.25">
      <c r="A6" s="1" t="s">
        <v>426</v>
      </c>
      <c r="B6" s="1" t="s">
        <v>72</v>
      </c>
      <c r="C6" s="1" t="s">
        <v>111</v>
      </c>
      <c r="D6" s="1" t="s">
        <v>59</v>
      </c>
      <c r="E6" s="1" t="s">
        <v>85</v>
      </c>
      <c r="F6" s="1" t="s">
        <v>46</v>
      </c>
      <c r="G6" s="1" t="s">
        <v>33</v>
      </c>
      <c r="H6" s="1" t="s">
        <v>98</v>
      </c>
      <c r="I6" s="1" t="s">
        <v>176</v>
      </c>
    </row>
    <row r="7" spans="1:9" ht="14.25" customHeight="1" x14ac:dyDescent="0.25">
      <c r="A7" s="1" t="s">
        <v>427</v>
      </c>
      <c r="B7" s="1" t="s">
        <v>33</v>
      </c>
      <c r="C7" s="1" t="s">
        <v>59</v>
      </c>
      <c r="D7" s="1" t="s">
        <v>124</v>
      </c>
      <c r="E7" s="1" t="s">
        <v>85</v>
      </c>
      <c r="F7" s="1" t="s">
        <v>46</v>
      </c>
      <c r="G7" s="1" t="s">
        <v>137</v>
      </c>
      <c r="H7" s="1" t="s">
        <v>98</v>
      </c>
      <c r="I7" s="1" t="s">
        <v>72</v>
      </c>
    </row>
    <row r="8" spans="1:9" ht="14.25" customHeight="1" x14ac:dyDescent="0.25">
      <c r="A8" s="1" t="s">
        <v>428</v>
      </c>
      <c r="B8" s="1" t="s">
        <v>33</v>
      </c>
      <c r="C8" s="1" t="s">
        <v>124</v>
      </c>
      <c r="D8" s="1" t="s">
        <v>59</v>
      </c>
      <c r="E8" s="1" t="s">
        <v>85</v>
      </c>
      <c r="F8" s="1" t="s">
        <v>46</v>
      </c>
      <c r="G8" s="1" t="s">
        <v>150</v>
      </c>
      <c r="H8" s="1" t="s">
        <v>98</v>
      </c>
      <c r="I8" s="1" t="s">
        <v>72</v>
      </c>
    </row>
    <row r="9" spans="1:9" ht="14.25" customHeight="1" x14ac:dyDescent="0.25">
      <c r="A9" s="1" t="s">
        <v>429</v>
      </c>
      <c r="B9" s="1" t="s">
        <v>59</v>
      </c>
      <c r="C9" s="1" t="s">
        <v>124</v>
      </c>
      <c r="D9" s="1" t="s">
        <v>98</v>
      </c>
      <c r="E9" s="1" t="s">
        <v>163</v>
      </c>
      <c r="F9" s="1" t="s">
        <v>46</v>
      </c>
      <c r="G9" s="1" t="s">
        <v>33</v>
      </c>
      <c r="H9" s="1" t="s">
        <v>85</v>
      </c>
      <c r="I9" s="1" t="s">
        <v>72</v>
      </c>
    </row>
    <row r="10" spans="1:9" ht="14.25" customHeight="1" x14ac:dyDescent="0.25">
      <c r="A10" s="1" t="s">
        <v>430</v>
      </c>
      <c r="B10" s="1" t="s">
        <v>72</v>
      </c>
      <c r="C10" s="1" t="s">
        <v>124</v>
      </c>
      <c r="D10" s="1" t="s">
        <v>59</v>
      </c>
      <c r="E10" s="1" t="s">
        <v>85</v>
      </c>
      <c r="F10" s="1" t="s">
        <v>46</v>
      </c>
      <c r="G10" s="1" t="s">
        <v>33</v>
      </c>
      <c r="H10" s="1" t="s">
        <v>98</v>
      </c>
      <c r="I10" s="1" t="s">
        <v>176</v>
      </c>
    </row>
    <row r="11" spans="1:9" ht="14.25" customHeight="1" x14ac:dyDescent="0.25">
      <c r="A11" s="1" t="s">
        <v>431</v>
      </c>
      <c r="B11" s="1" t="s">
        <v>46</v>
      </c>
      <c r="C11" s="1" t="s">
        <v>59</v>
      </c>
      <c r="D11" s="1" t="s">
        <v>98</v>
      </c>
      <c r="E11" s="1" t="s">
        <v>85</v>
      </c>
      <c r="F11" s="1" t="s">
        <v>150</v>
      </c>
      <c r="G11" s="1" t="s">
        <v>33</v>
      </c>
      <c r="H11" s="1" t="s">
        <v>137</v>
      </c>
      <c r="I11" s="1" t="s">
        <v>72</v>
      </c>
    </row>
    <row r="12" spans="1:9" ht="14.25" customHeight="1" x14ac:dyDescent="0.25">
      <c r="A12" s="1" t="s">
        <v>432</v>
      </c>
      <c r="B12" s="1" t="s">
        <v>46</v>
      </c>
      <c r="C12" s="1" t="s">
        <v>59</v>
      </c>
      <c r="D12" s="1" t="s">
        <v>98</v>
      </c>
      <c r="E12" s="1" t="s">
        <v>163</v>
      </c>
      <c r="F12" s="1" t="s">
        <v>137</v>
      </c>
      <c r="G12" s="1" t="s">
        <v>33</v>
      </c>
      <c r="H12" s="1" t="s">
        <v>85</v>
      </c>
      <c r="I12" s="1" t="s">
        <v>72</v>
      </c>
    </row>
    <row r="13" spans="1:9" ht="14.25" customHeight="1" x14ac:dyDescent="0.25">
      <c r="A13" s="1" t="s">
        <v>433</v>
      </c>
      <c r="B13" s="1" t="s">
        <v>72</v>
      </c>
      <c r="C13" s="1" t="s">
        <v>59</v>
      </c>
      <c r="D13" s="1" t="s">
        <v>137</v>
      </c>
      <c r="E13" s="1" t="s">
        <v>85</v>
      </c>
      <c r="F13" s="1" t="s">
        <v>46</v>
      </c>
      <c r="G13" s="1" t="s">
        <v>33</v>
      </c>
      <c r="H13" s="1" t="s">
        <v>98</v>
      </c>
      <c r="I13" s="1" t="s">
        <v>176</v>
      </c>
    </row>
    <row r="14" spans="1:9" ht="14.25" customHeight="1" x14ac:dyDescent="0.25">
      <c r="A14" s="1" t="s">
        <v>434</v>
      </c>
      <c r="B14" s="1" t="s">
        <v>46</v>
      </c>
      <c r="C14" s="1" t="s">
        <v>59</v>
      </c>
      <c r="D14" s="1" t="s">
        <v>85</v>
      </c>
      <c r="E14" s="1" t="s">
        <v>163</v>
      </c>
      <c r="F14" s="1" t="s">
        <v>150</v>
      </c>
      <c r="G14" s="1" t="s">
        <v>33</v>
      </c>
      <c r="H14" s="1" t="s">
        <v>98</v>
      </c>
      <c r="I14" s="1" t="s">
        <v>72</v>
      </c>
    </row>
    <row r="15" spans="1:9" ht="14.25" customHeight="1" x14ac:dyDescent="0.25">
      <c r="A15" s="1" t="s">
        <v>435</v>
      </c>
      <c r="B15" s="1" t="s">
        <v>46</v>
      </c>
      <c r="C15" s="1" t="s">
        <v>72</v>
      </c>
      <c r="D15" s="1" t="s">
        <v>59</v>
      </c>
      <c r="E15" s="1" t="s">
        <v>85</v>
      </c>
      <c r="F15" s="1" t="s">
        <v>150</v>
      </c>
      <c r="G15" s="1" t="s">
        <v>33</v>
      </c>
      <c r="H15" s="1" t="s">
        <v>98</v>
      </c>
      <c r="I15" s="1" t="s">
        <v>176</v>
      </c>
    </row>
    <row r="16" spans="1:9" ht="14.25" customHeight="1" x14ac:dyDescent="0.25">
      <c r="A16" s="1" t="s">
        <v>436</v>
      </c>
      <c r="B16" s="1" t="s">
        <v>98</v>
      </c>
      <c r="C16" s="1" t="s">
        <v>72</v>
      </c>
      <c r="D16" s="1" t="s">
        <v>59</v>
      </c>
      <c r="E16" s="1" t="s">
        <v>163</v>
      </c>
      <c r="F16" s="1" t="s">
        <v>46</v>
      </c>
      <c r="G16" s="1" t="s">
        <v>33</v>
      </c>
      <c r="H16" s="1" t="s">
        <v>85</v>
      </c>
      <c r="I16" s="1" t="s">
        <v>176</v>
      </c>
    </row>
    <row r="17" spans="1:9" ht="14.25" customHeight="1" x14ac:dyDescent="0.25">
      <c r="A17" s="1" t="s">
        <v>437</v>
      </c>
      <c r="B17" s="1" t="s">
        <v>33</v>
      </c>
      <c r="C17" s="1" t="s">
        <v>59</v>
      </c>
      <c r="D17" s="1" t="s">
        <v>137</v>
      </c>
      <c r="E17" s="1" t="s">
        <v>85</v>
      </c>
      <c r="F17" s="1" t="s">
        <v>46</v>
      </c>
      <c r="G17" s="1" t="s">
        <v>124</v>
      </c>
      <c r="H17" s="1" t="s">
        <v>111</v>
      </c>
      <c r="I17" s="1" t="s">
        <v>72</v>
      </c>
    </row>
    <row r="18" spans="1:9" ht="14.25" customHeight="1" x14ac:dyDescent="0.25">
      <c r="A18" s="1" t="s">
        <v>438</v>
      </c>
      <c r="B18" s="1" t="s">
        <v>33</v>
      </c>
      <c r="C18" s="1" t="s">
        <v>124</v>
      </c>
      <c r="D18" s="1" t="s">
        <v>59</v>
      </c>
      <c r="E18" s="1" t="s">
        <v>85</v>
      </c>
      <c r="F18" s="1" t="s">
        <v>46</v>
      </c>
      <c r="G18" s="1" t="s">
        <v>150</v>
      </c>
      <c r="H18" s="1" t="s">
        <v>111</v>
      </c>
      <c r="I18" s="1" t="s">
        <v>72</v>
      </c>
    </row>
    <row r="19" spans="1:9" ht="14.25" customHeight="1" x14ac:dyDescent="0.25">
      <c r="A19" s="1" t="s">
        <v>439</v>
      </c>
      <c r="B19" s="1" t="s">
        <v>33</v>
      </c>
      <c r="C19" s="1" t="s">
        <v>111</v>
      </c>
      <c r="D19" s="1" t="s">
        <v>59</v>
      </c>
      <c r="E19" s="1" t="s">
        <v>163</v>
      </c>
      <c r="F19" s="1" t="s">
        <v>46</v>
      </c>
      <c r="G19" s="1" t="s">
        <v>124</v>
      </c>
      <c r="H19" s="1" t="s">
        <v>85</v>
      </c>
      <c r="I19" s="1" t="s">
        <v>72</v>
      </c>
    </row>
    <row r="20" spans="1:9" ht="14.25" customHeight="1" x14ac:dyDescent="0.25">
      <c r="A20" s="1" t="s">
        <v>440</v>
      </c>
      <c r="B20" s="1" t="s">
        <v>72</v>
      </c>
      <c r="C20" s="1" t="s">
        <v>124</v>
      </c>
      <c r="D20" s="1" t="s">
        <v>59</v>
      </c>
      <c r="E20" s="1" t="s">
        <v>85</v>
      </c>
      <c r="F20" s="1" t="s">
        <v>46</v>
      </c>
      <c r="G20" s="1" t="s">
        <v>33</v>
      </c>
      <c r="H20" s="1" t="s">
        <v>111</v>
      </c>
      <c r="I20" s="1" t="s">
        <v>176</v>
      </c>
    </row>
    <row r="21" spans="1:9" ht="14.25" customHeight="1" x14ac:dyDescent="0.25">
      <c r="A21" s="1" t="s">
        <v>441</v>
      </c>
      <c r="B21" s="1" t="s">
        <v>72</v>
      </c>
      <c r="C21" s="1" t="s">
        <v>59</v>
      </c>
      <c r="D21" s="1" t="s">
        <v>85</v>
      </c>
      <c r="E21" s="1" t="s">
        <v>137</v>
      </c>
      <c r="F21" s="1" t="s">
        <v>46</v>
      </c>
      <c r="G21" s="1" t="s">
        <v>33</v>
      </c>
      <c r="H21" s="1" t="s">
        <v>111</v>
      </c>
      <c r="I21" s="1" t="s">
        <v>150</v>
      </c>
    </row>
    <row r="22" spans="1:9" ht="14.25" customHeight="1" x14ac:dyDescent="0.25">
      <c r="A22" s="1" t="s">
        <v>442</v>
      </c>
      <c r="B22" s="1" t="s">
        <v>72</v>
      </c>
      <c r="C22" s="1" t="s">
        <v>59</v>
      </c>
      <c r="D22" s="1" t="s">
        <v>85</v>
      </c>
      <c r="E22" s="1" t="s">
        <v>163</v>
      </c>
      <c r="F22" s="1" t="s">
        <v>46</v>
      </c>
      <c r="G22" s="1" t="s">
        <v>33</v>
      </c>
      <c r="H22" s="1" t="s">
        <v>111</v>
      </c>
      <c r="I22" s="1" t="s">
        <v>137</v>
      </c>
    </row>
    <row r="23" spans="1:9" ht="14.25" customHeight="1" x14ac:dyDescent="0.25">
      <c r="A23" s="1" t="s">
        <v>443</v>
      </c>
      <c r="B23" s="1" t="s">
        <v>72</v>
      </c>
      <c r="C23" s="1" t="s">
        <v>111</v>
      </c>
      <c r="D23" s="1" t="s">
        <v>59</v>
      </c>
      <c r="E23" s="1" t="s">
        <v>85</v>
      </c>
      <c r="F23" s="1" t="s">
        <v>46</v>
      </c>
      <c r="G23" s="1" t="s">
        <v>33</v>
      </c>
      <c r="H23" s="1" t="s">
        <v>137</v>
      </c>
      <c r="I23" s="1" t="s">
        <v>176</v>
      </c>
    </row>
    <row r="24" spans="1:9" ht="14.25" customHeight="1" x14ac:dyDescent="0.25">
      <c r="A24" s="1" t="s">
        <v>444</v>
      </c>
      <c r="B24" s="1" t="s">
        <v>33</v>
      </c>
      <c r="C24" s="1" t="s">
        <v>72</v>
      </c>
      <c r="D24" s="1" t="s">
        <v>59</v>
      </c>
      <c r="E24" s="1" t="s">
        <v>163</v>
      </c>
      <c r="F24" s="1" t="s">
        <v>46</v>
      </c>
      <c r="G24" s="1" t="s">
        <v>150</v>
      </c>
      <c r="H24" s="1" t="s">
        <v>111</v>
      </c>
      <c r="I24" s="1" t="s">
        <v>85</v>
      </c>
    </row>
    <row r="25" spans="1:9" ht="14.25" customHeight="1" x14ac:dyDescent="0.25">
      <c r="A25" s="1" t="s">
        <v>445</v>
      </c>
      <c r="B25" s="1" t="s">
        <v>33</v>
      </c>
      <c r="C25" s="1" t="s">
        <v>72</v>
      </c>
      <c r="D25" s="1" t="s">
        <v>59</v>
      </c>
      <c r="E25" s="1" t="s">
        <v>85</v>
      </c>
      <c r="F25" s="1" t="s">
        <v>46</v>
      </c>
      <c r="G25" s="1" t="s">
        <v>150</v>
      </c>
      <c r="H25" s="1" t="s">
        <v>111</v>
      </c>
      <c r="I25" s="1" t="s">
        <v>176</v>
      </c>
    </row>
    <row r="26" spans="1:9" ht="14.25" customHeight="1" x14ac:dyDescent="0.25">
      <c r="A26" s="1" t="s">
        <v>446</v>
      </c>
      <c r="B26" s="1" t="s">
        <v>72</v>
      </c>
      <c r="C26" s="1" t="s">
        <v>111</v>
      </c>
      <c r="D26" s="1" t="s">
        <v>59</v>
      </c>
      <c r="E26" s="1" t="s">
        <v>163</v>
      </c>
      <c r="F26" s="1" t="s">
        <v>46</v>
      </c>
      <c r="G26" s="1" t="s">
        <v>33</v>
      </c>
      <c r="H26" s="1" t="s">
        <v>85</v>
      </c>
      <c r="I26" s="1" t="s">
        <v>176</v>
      </c>
    </row>
    <row r="27" spans="1:9" ht="14.25" customHeight="1" x14ac:dyDescent="0.25">
      <c r="A27" s="1" t="s">
        <v>447</v>
      </c>
      <c r="B27" s="1" t="s">
        <v>33</v>
      </c>
      <c r="C27" s="1" t="s">
        <v>59</v>
      </c>
      <c r="D27" s="1" t="s">
        <v>124</v>
      </c>
      <c r="E27" s="1" t="s">
        <v>137</v>
      </c>
      <c r="F27" s="1" t="s">
        <v>46</v>
      </c>
      <c r="G27" s="1" t="s">
        <v>150</v>
      </c>
      <c r="H27" s="1" t="s">
        <v>85</v>
      </c>
      <c r="I27" s="1" t="s">
        <v>72</v>
      </c>
    </row>
    <row r="28" spans="1:9" ht="14.25" customHeight="1" x14ac:dyDescent="0.25">
      <c r="A28" s="1" t="s">
        <v>448</v>
      </c>
      <c r="B28" s="1" t="s">
        <v>33</v>
      </c>
      <c r="C28" s="1" t="s">
        <v>59</v>
      </c>
      <c r="D28" s="1" t="s">
        <v>124</v>
      </c>
      <c r="E28" s="1" t="s">
        <v>163</v>
      </c>
      <c r="F28" s="1" t="s">
        <v>46</v>
      </c>
      <c r="G28" s="1" t="s">
        <v>137</v>
      </c>
      <c r="H28" s="1" t="s">
        <v>85</v>
      </c>
      <c r="I28" s="1" t="s">
        <v>72</v>
      </c>
    </row>
    <row r="29" spans="1:9" ht="14.25" customHeight="1" x14ac:dyDescent="0.25">
      <c r="A29" s="1" t="s">
        <v>449</v>
      </c>
      <c r="B29" s="1" t="s">
        <v>72</v>
      </c>
      <c r="C29" s="1" t="s">
        <v>59</v>
      </c>
      <c r="D29" s="1" t="s">
        <v>137</v>
      </c>
      <c r="E29" s="1" t="s">
        <v>124</v>
      </c>
      <c r="F29" s="1" t="s">
        <v>46</v>
      </c>
      <c r="G29" s="1" t="s">
        <v>33</v>
      </c>
      <c r="H29" s="1" t="s">
        <v>85</v>
      </c>
      <c r="I29" s="1" t="s">
        <v>176</v>
      </c>
    </row>
    <row r="30" spans="1:9" ht="14.25" customHeight="1" x14ac:dyDescent="0.25">
      <c r="A30" s="1" t="s">
        <v>450</v>
      </c>
      <c r="B30" s="1" t="s">
        <v>33</v>
      </c>
      <c r="C30" s="1" t="s">
        <v>124</v>
      </c>
      <c r="D30" s="1" t="s">
        <v>59</v>
      </c>
      <c r="E30" s="1" t="s">
        <v>163</v>
      </c>
      <c r="F30" s="1" t="s">
        <v>46</v>
      </c>
      <c r="G30" s="1" t="s">
        <v>150</v>
      </c>
      <c r="H30" s="1" t="s">
        <v>85</v>
      </c>
      <c r="I30" s="1" t="s">
        <v>72</v>
      </c>
    </row>
    <row r="31" spans="1:9" ht="14.25" customHeight="1" x14ac:dyDescent="0.25">
      <c r="A31" s="1" t="s">
        <v>451</v>
      </c>
      <c r="B31" s="1" t="s">
        <v>33</v>
      </c>
      <c r="C31" s="1" t="s">
        <v>72</v>
      </c>
      <c r="D31" s="1" t="s">
        <v>59</v>
      </c>
      <c r="E31" s="1" t="s">
        <v>124</v>
      </c>
      <c r="F31" s="1" t="s">
        <v>46</v>
      </c>
      <c r="G31" s="1" t="s">
        <v>150</v>
      </c>
      <c r="H31" s="1" t="s">
        <v>85</v>
      </c>
      <c r="I31" s="1" t="s">
        <v>176</v>
      </c>
    </row>
    <row r="32" spans="1:9" ht="14.25" customHeight="1" x14ac:dyDescent="0.25">
      <c r="A32" s="1" t="s">
        <v>452</v>
      </c>
      <c r="B32" s="1" t="s">
        <v>72</v>
      </c>
      <c r="C32" s="1" t="s">
        <v>124</v>
      </c>
      <c r="D32" s="1" t="s">
        <v>59</v>
      </c>
      <c r="E32" s="1" t="s">
        <v>163</v>
      </c>
      <c r="F32" s="1" t="s">
        <v>46</v>
      </c>
      <c r="G32" s="1" t="s">
        <v>33</v>
      </c>
      <c r="H32" s="1" t="s">
        <v>85</v>
      </c>
      <c r="I32" s="1" t="s">
        <v>176</v>
      </c>
    </row>
    <row r="33" spans="1:9" ht="14.25" customHeight="1" x14ac:dyDescent="0.25">
      <c r="A33" s="1" t="s">
        <v>453</v>
      </c>
      <c r="B33" s="1" t="s">
        <v>72</v>
      </c>
      <c r="C33" s="1" t="s">
        <v>59</v>
      </c>
      <c r="D33" s="1" t="s">
        <v>85</v>
      </c>
      <c r="E33" s="1" t="s">
        <v>163</v>
      </c>
      <c r="F33" s="1" t="s">
        <v>46</v>
      </c>
      <c r="G33" s="1" t="s">
        <v>33</v>
      </c>
      <c r="H33" s="1" t="s">
        <v>137</v>
      </c>
      <c r="I33" s="1" t="s">
        <v>150</v>
      </c>
    </row>
    <row r="34" spans="1:9" ht="14.25" customHeight="1" x14ac:dyDescent="0.25">
      <c r="A34" s="1" t="s">
        <v>454</v>
      </c>
      <c r="B34" s="1" t="s">
        <v>72</v>
      </c>
      <c r="C34" s="1" t="s">
        <v>59</v>
      </c>
      <c r="D34" s="1" t="s">
        <v>85</v>
      </c>
      <c r="E34" s="1" t="s">
        <v>137</v>
      </c>
      <c r="F34" s="1" t="s">
        <v>46</v>
      </c>
      <c r="G34" s="1" t="s">
        <v>33</v>
      </c>
      <c r="H34" s="1" t="s">
        <v>150</v>
      </c>
      <c r="I34" s="1" t="s">
        <v>176</v>
      </c>
    </row>
    <row r="35" spans="1:9" ht="14.25" customHeight="1" x14ac:dyDescent="0.25">
      <c r="A35" s="1" t="s">
        <v>455</v>
      </c>
      <c r="B35" s="1" t="s">
        <v>72</v>
      </c>
      <c r="C35" s="1" t="s">
        <v>59</v>
      </c>
      <c r="D35" s="1" t="s">
        <v>137</v>
      </c>
      <c r="E35" s="1" t="s">
        <v>163</v>
      </c>
      <c r="F35" s="1" t="s">
        <v>46</v>
      </c>
      <c r="G35" s="1" t="s">
        <v>33</v>
      </c>
      <c r="H35" s="1" t="s">
        <v>85</v>
      </c>
      <c r="I35" s="1" t="s">
        <v>176</v>
      </c>
    </row>
    <row r="36" spans="1:9" ht="14.25" customHeight="1" x14ac:dyDescent="0.25">
      <c r="A36" s="1" t="s">
        <v>456</v>
      </c>
      <c r="B36" s="1" t="s">
        <v>72</v>
      </c>
      <c r="C36" s="1" t="s">
        <v>59</v>
      </c>
      <c r="D36" s="1" t="s">
        <v>85</v>
      </c>
      <c r="E36" s="1" t="s">
        <v>163</v>
      </c>
      <c r="F36" s="1" t="s">
        <v>46</v>
      </c>
      <c r="G36" s="1" t="s">
        <v>33</v>
      </c>
      <c r="H36" s="1" t="s">
        <v>150</v>
      </c>
      <c r="I36" s="1" t="s">
        <v>176</v>
      </c>
    </row>
    <row r="37" spans="1:9" ht="14.25" customHeight="1" x14ac:dyDescent="0.25">
      <c r="A37" s="1" t="s">
        <v>457</v>
      </c>
      <c r="B37" s="1" t="s">
        <v>59</v>
      </c>
      <c r="C37" s="1" t="s">
        <v>111</v>
      </c>
      <c r="D37" s="1" t="s">
        <v>98</v>
      </c>
      <c r="E37" s="1" t="s">
        <v>124</v>
      </c>
      <c r="F37" s="1" t="s">
        <v>46</v>
      </c>
      <c r="G37" s="1" t="s">
        <v>33</v>
      </c>
      <c r="H37" s="1" t="s">
        <v>137</v>
      </c>
      <c r="I37" s="1" t="s">
        <v>72</v>
      </c>
    </row>
    <row r="38" spans="1:9" ht="14.25" customHeight="1" x14ac:dyDescent="0.25">
      <c r="A38" s="1" t="s">
        <v>458</v>
      </c>
      <c r="B38" s="1" t="s">
        <v>46</v>
      </c>
      <c r="C38" s="1" t="s">
        <v>98</v>
      </c>
      <c r="D38" s="1" t="s">
        <v>59</v>
      </c>
      <c r="E38" s="1" t="s">
        <v>124</v>
      </c>
      <c r="F38" s="1" t="s">
        <v>150</v>
      </c>
      <c r="G38" s="1" t="s">
        <v>33</v>
      </c>
      <c r="H38" s="1" t="s">
        <v>111</v>
      </c>
      <c r="I38" s="1" t="s">
        <v>72</v>
      </c>
    </row>
    <row r="39" spans="1:9" ht="14.25" customHeight="1" x14ac:dyDescent="0.25">
      <c r="A39" s="1" t="s">
        <v>459</v>
      </c>
      <c r="B39" s="1" t="s">
        <v>59</v>
      </c>
      <c r="C39" s="1" t="s">
        <v>111</v>
      </c>
      <c r="D39" s="1" t="s">
        <v>124</v>
      </c>
      <c r="E39" s="1" t="s">
        <v>163</v>
      </c>
      <c r="F39" s="1" t="s">
        <v>46</v>
      </c>
      <c r="G39" s="1" t="s">
        <v>33</v>
      </c>
      <c r="H39" s="1" t="s">
        <v>98</v>
      </c>
      <c r="I39" s="1" t="s">
        <v>72</v>
      </c>
    </row>
    <row r="40" spans="1:9" ht="14.25" customHeight="1" x14ac:dyDescent="0.25">
      <c r="A40" s="1" t="s">
        <v>460</v>
      </c>
      <c r="B40" s="1" t="s">
        <v>72</v>
      </c>
      <c r="C40" s="1" t="s">
        <v>111</v>
      </c>
      <c r="D40" s="1" t="s">
        <v>59</v>
      </c>
      <c r="E40" s="1" t="s">
        <v>124</v>
      </c>
      <c r="F40" s="1" t="s">
        <v>46</v>
      </c>
      <c r="G40" s="1" t="s">
        <v>33</v>
      </c>
      <c r="H40" s="1" t="s">
        <v>98</v>
      </c>
      <c r="I40" s="1" t="s">
        <v>176</v>
      </c>
    </row>
    <row r="41" spans="1:9" ht="14.25" customHeight="1" x14ac:dyDescent="0.25">
      <c r="A41" s="1" t="s">
        <v>461</v>
      </c>
      <c r="B41" s="1" t="s">
        <v>46</v>
      </c>
      <c r="C41" s="1" t="s">
        <v>98</v>
      </c>
      <c r="D41" s="1" t="s">
        <v>59</v>
      </c>
      <c r="E41" s="1" t="s">
        <v>137</v>
      </c>
      <c r="F41" s="1" t="s">
        <v>150</v>
      </c>
      <c r="G41" s="1" t="s">
        <v>33</v>
      </c>
      <c r="H41" s="1" t="s">
        <v>111</v>
      </c>
      <c r="I41" s="1" t="s">
        <v>72</v>
      </c>
    </row>
    <row r="42" spans="1:9" ht="14.25" customHeight="1" x14ac:dyDescent="0.25">
      <c r="A42" s="1" t="s">
        <v>462</v>
      </c>
      <c r="B42" s="1" t="s">
        <v>46</v>
      </c>
      <c r="C42" s="1" t="s">
        <v>98</v>
      </c>
      <c r="D42" s="1" t="s">
        <v>59</v>
      </c>
      <c r="E42" s="1" t="s">
        <v>163</v>
      </c>
      <c r="F42" s="1" t="s">
        <v>137</v>
      </c>
      <c r="G42" s="1" t="s">
        <v>33</v>
      </c>
      <c r="H42" s="1" t="s">
        <v>111</v>
      </c>
      <c r="I42" s="1" t="s">
        <v>72</v>
      </c>
    </row>
    <row r="43" spans="1:9" ht="14.25" customHeight="1" x14ac:dyDescent="0.25">
      <c r="A43" s="1" t="s">
        <v>463</v>
      </c>
      <c r="B43" s="1" t="s">
        <v>72</v>
      </c>
      <c r="C43" s="1" t="s">
        <v>111</v>
      </c>
      <c r="D43" s="1" t="s">
        <v>59</v>
      </c>
      <c r="E43" s="1" t="s">
        <v>137</v>
      </c>
      <c r="F43" s="1" t="s">
        <v>46</v>
      </c>
      <c r="G43" s="1" t="s">
        <v>33</v>
      </c>
      <c r="H43" s="1" t="s">
        <v>98</v>
      </c>
      <c r="I43" s="1" t="s">
        <v>176</v>
      </c>
    </row>
    <row r="44" spans="1:9" ht="14.25" customHeight="1" x14ac:dyDescent="0.25">
      <c r="A44" s="1" t="s">
        <v>464</v>
      </c>
      <c r="B44" s="1" t="s">
        <v>46</v>
      </c>
      <c r="C44" s="1" t="s">
        <v>98</v>
      </c>
      <c r="D44" s="1" t="s">
        <v>59</v>
      </c>
      <c r="E44" s="1" t="s">
        <v>163</v>
      </c>
      <c r="F44" s="1" t="s">
        <v>150</v>
      </c>
      <c r="G44" s="1" t="s">
        <v>33</v>
      </c>
      <c r="H44" s="1" t="s">
        <v>111</v>
      </c>
      <c r="I44" s="1" t="s">
        <v>72</v>
      </c>
    </row>
    <row r="45" spans="1:9" ht="14.25" customHeight="1" x14ac:dyDescent="0.25">
      <c r="A45" s="1" t="s">
        <v>465</v>
      </c>
      <c r="B45" s="1" t="s">
        <v>72</v>
      </c>
      <c r="C45" s="1" t="s">
        <v>111</v>
      </c>
      <c r="D45" s="1" t="s">
        <v>59</v>
      </c>
      <c r="E45" s="1" t="s">
        <v>150</v>
      </c>
      <c r="F45" s="1" t="s">
        <v>46</v>
      </c>
      <c r="G45" s="1" t="s">
        <v>33</v>
      </c>
      <c r="H45" s="1" t="s">
        <v>98</v>
      </c>
      <c r="I45" s="1" t="s">
        <v>176</v>
      </c>
    </row>
    <row r="46" spans="1:9" ht="14.25" customHeight="1" x14ac:dyDescent="0.25">
      <c r="A46" s="1" t="s">
        <v>466</v>
      </c>
      <c r="B46" s="1" t="s">
        <v>72</v>
      </c>
      <c r="C46" s="1" t="s">
        <v>111</v>
      </c>
      <c r="D46" s="1" t="s">
        <v>59</v>
      </c>
      <c r="E46" s="1" t="s">
        <v>163</v>
      </c>
      <c r="F46" s="1" t="s">
        <v>46</v>
      </c>
      <c r="G46" s="1" t="s">
        <v>33</v>
      </c>
      <c r="H46" s="1" t="s">
        <v>98</v>
      </c>
      <c r="I46" s="1" t="s">
        <v>176</v>
      </c>
    </row>
    <row r="47" spans="1:9" ht="14.25" customHeight="1" x14ac:dyDescent="0.25">
      <c r="A47" s="1" t="s">
        <v>467</v>
      </c>
      <c r="B47" s="1" t="s">
        <v>46</v>
      </c>
      <c r="C47" s="1" t="s">
        <v>59</v>
      </c>
      <c r="D47" s="1" t="s">
        <v>137</v>
      </c>
      <c r="E47" s="1" t="s">
        <v>124</v>
      </c>
      <c r="F47" s="1" t="s">
        <v>150</v>
      </c>
      <c r="G47" s="1" t="s">
        <v>33</v>
      </c>
      <c r="H47" s="1" t="s">
        <v>98</v>
      </c>
      <c r="I47" s="1" t="s">
        <v>72</v>
      </c>
    </row>
    <row r="48" spans="1:9" ht="14.25" customHeight="1" x14ac:dyDescent="0.25">
      <c r="A48" s="1" t="s">
        <v>468</v>
      </c>
      <c r="B48" s="1" t="s">
        <v>33</v>
      </c>
      <c r="C48" s="1" t="s">
        <v>59</v>
      </c>
      <c r="D48" s="1" t="s">
        <v>124</v>
      </c>
      <c r="E48" s="1" t="s">
        <v>163</v>
      </c>
      <c r="F48" s="1" t="s">
        <v>46</v>
      </c>
      <c r="G48" s="1" t="s">
        <v>137</v>
      </c>
      <c r="H48" s="1" t="s">
        <v>98</v>
      </c>
      <c r="I48" s="1" t="s">
        <v>72</v>
      </c>
    </row>
    <row r="49" spans="1:9" ht="14.25" customHeight="1" x14ac:dyDescent="0.25">
      <c r="A49" s="1" t="s">
        <v>469</v>
      </c>
      <c r="B49" s="1" t="s">
        <v>72</v>
      </c>
      <c r="C49" s="1" t="s">
        <v>59</v>
      </c>
      <c r="D49" s="1" t="s">
        <v>137</v>
      </c>
      <c r="E49" s="1" t="s">
        <v>124</v>
      </c>
      <c r="F49" s="1" t="s">
        <v>46</v>
      </c>
      <c r="G49" s="1" t="s">
        <v>33</v>
      </c>
      <c r="H49" s="1" t="s">
        <v>98</v>
      </c>
      <c r="I49" s="1" t="s">
        <v>176</v>
      </c>
    </row>
    <row r="50" spans="1:9" ht="14.25" customHeight="1" x14ac:dyDescent="0.25">
      <c r="A50" s="1" t="s">
        <v>470</v>
      </c>
      <c r="B50" s="1" t="s">
        <v>33</v>
      </c>
      <c r="C50" s="1" t="s">
        <v>124</v>
      </c>
      <c r="D50" s="1" t="s">
        <v>59</v>
      </c>
      <c r="E50" s="1" t="s">
        <v>163</v>
      </c>
      <c r="F50" s="1" t="s">
        <v>46</v>
      </c>
      <c r="G50" s="1" t="s">
        <v>150</v>
      </c>
      <c r="H50" s="1" t="s">
        <v>98</v>
      </c>
      <c r="I50" s="1" t="s">
        <v>72</v>
      </c>
    </row>
    <row r="51" spans="1:9" ht="14.25" customHeight="1" x14ac:dyDescent="0.25">
      <c r="A51" s="1" t="s">
        <v>471</v>
      </c>
      <c r="B51" s="1" t="s">
        <v>46</v>
      </c>
      <c r="C51" s="1" t="s">
        <v>72</v>
      </c>
      <c r="D51" s="1" t="s">
        <v>59</v>
      </c>
      <c r="E51" s="1" t="s">
        <v>124</v>
      </c>
      <c r="F51" s="1" t="s">
        <v>150</v>
      </c>
      <c r="G51" s="1" t="s">
        <v>33</v>
      </c>
      <c r="H51" s="1" t="s">
        <v>98</v>
      </c>
      <c r="I51" s="1" t="s">
        <v>176</v>
      </c>
    </row>
    <row r="52" spans="1:9" ht="14.25" customHeight="1" x14ac:dyDescent="0.25">
      <c r="A52" s="1" t="s">
        <v>472</v>
      </c>
      <c r="B52" s="1" t="s">
        <v>72</v>
      </c>
      <c r="C52" s="1" t="s">
        <v>124</v>
      </c>
      <c r="D52" s="1" t="s">
        <v>59</v>
      </c>
      <c r="E52" s="1" t="s">
        <v>163</v>
      </c>
      <c r="F52" s="1" t="s">
        <v>46</v>
      </c>
      <c r="G52" s="1" t="s">
        <v>33</v>
      </c>
      <c r="H52" s="1" t="s">
        <v>98</v>
      </c>
      <c r="I52" s="1" t="s">
        <v>176</v>
      </c>
    </row>
    <row r="53" spans="1:9" ht="14.25" customHeight="1" x14ac:dyDescent="0.25">
      <c r="A53" s="1" t="s">
        <v>473</v>
      </c>
      <c r="B53" s="1" t="s">
        <v>46</v>
      </c>
      <c r="C53" s="1" t="s">
        <v>59</v>
      </c>
      <c r="D53" s="1" t="s">
        <v>98</v>
      </c>
      <c r="E53" s="1" t="s">
        <v>163</v>
      </c>
      <c r="F53" s="1" t="s">
        <v>150</v>
      </c>
      <c r="G53" s="1" t="s">
        <v>33</v>
      </c>
      <c r="H53" s="1" t="s">
        <v>137</v>
      </c>
      <c r="I53" s="1" t="s">
        <v>72</v>
      </c>
    </row>
    <row r="54" spans="1:9" ht="14.25" customHeight="1" x14ac:dyDescent="0.25">
      <c r="A54" s="1" t="s">
        <v>474</v>
      </c>
      <c r="B54" s="1" t="s">
        <v>46</v>
      </c>
      <c r="C54" s="1" t="s">
        <v>72</v>
      </c>
      <c r="D54" s="1" t="s">
        <v>59</v>
      </c>
      <c r="E54" s="1" t="s">
        <v>137</v>
      </c>
      <c r="F54" s="1" t="s">
        <v>150</v>
      </c>
      <c r="G54" s="1" t="s">
        <v>33</v>
      </c>
      <c r="H54" s="1" t="s">
        <v>98</v>
      </c>
      <c r="I54" s="1" t="s">
        <v>176</v>
      </c>
    </row>
    <row r="55" spans="1:9" ht="14.25" customHeight="1" x14ac:dyDescent="0.25">
      <c r="A55" s="1" t="s">
        <v>475</v>
      </c>
      <c r="B55" s="1" t="s">
        <v>72</v>
      </c>
      <c r="C55" s="1" t="s">
        <v>59</v>
      </c>
      <c r="D55" s="1" t="s">
        <v>137</v>
      </c>
      <c r="E55" s="1" t="s">
        <v>163</v>
      </c>
      <c r="F55" s="1" t="s">
        <v>46</v>
      </c>
      <c r="G55" s="1" t="s">
        <v>33</v>
      </c>
      <c r="H55" s="1" t="s">
        <v>98</v>
      </c>
      <c r="I55" s="1" t="s">
        <v>176</v>
      </c>
    </row>
    <row r="56" spans="1:9" ht="14.25" customHeight="1" x14ac:dyDescent="0.25">
      <c r="A56" s="1" t="s">
        <v>476</v>
      </c>
      <c r="B56" s="1" t="s">
        <v>46</v>
      </c>
      <c r="C56" s="1" t="s">
        <v>72</v>
      </c>
      <c r="D56" s="1" t="s">
        <v>59</v>
      </c>
      <c r="E56" s="1" t="s">
        <v>163</v>
      </c>
      <c r="F56" s="1" t="s">
        <v>150</v>
      </c>
      <c r="G56" s="1" t="s">
        <v>33</v>
      </c>
      <c r="H56" s="1" t="s">
        <v>98</v>
      </c>
      <c r="I56" s="1" t="s">
        <v>176</v>
      </c>
    </row>
    <row r="57" spans="1:9" ht="14.25" customHeight="1" x14ac:dyDescent="0.25">
      <c r="A57" s="1" t="s">
        <v>477</v>
      </c>
      <c r="B57" s="1" t="s">
        <v>33</v>
      </c>
      <c r="C57" s="1" t="s">
        <v>72</v>
      </c>
      <c r="D57" s="1" t="s">
        <v>59</v>
      </c>
      <c r="E57" s="1" t="s">
        <v>124</v>
      </c>
      <c r="F57" s="1" t="s">
        <v>46</v>
      </c>
      <c r="G57" s="1" t="s">
        <v>150</v>
      </c>
      <c r="H57" s="1" t="s">
        <v>111</v>
      </c>
      <c r="I57" s="1" t="s">
        <v>137</v>
      </c>
    </row>
    <row r="58" spans="1:9" ht="14.25" customHeight="1" x14ac:dyDescent="0.25">
      <c r="A58" s="1" t="s">
        <v>478</v>
      </c>
      <c r="B58" s="1" t="s">
        <v>33</v>
      </c>
      <c r="C58" s="1" t="s">
        <v>59</v>
      </c>
      <c r="D58" s="1" t="s">
        <v>137</v>
      </c>
      <c r="E58" s="1" t="s">
        <v>163</v>
      </c>
      <c r="F58" s="1" t="s">
        <v>46</v>
      </c>
      <c r="G58" s="1" t="s">
        <v>124</v>
      </c>
      <c r="H58" s="1" t="s">
        <v>111</v>
      </c>
      <c r="I58" s="1" t="s">
        <v>72</v>
      </c>
    </row>
    <row r="59" spans="1:9" ht="14.25" customHeight="1" x14ac:dyDescent="0.25">
      <c r="A59" s="1" t="s">
        <v>479</v>
      </c>
      <c r="B59" s="1" t="s">
        <v>33</v>
      </c>
      <c r="C59" s="1" t="s">
        <v>72</v>
      </c>
      <c r="D59" s="1" t="s">
        <v>59</v>
      </c>
      <c r="E59" s="1" t="s">
        <v>124</v>
      </c>
      <c r="F59" s="1" t="s">
        <v>46</v>
      </c>
      <c r="G59" s="1" t="s">
        <v>137</v>
      </c>
      <c r="H59" s="1" t="s">
        <v>111</v>
      </c>
      <c r="I59" s="1" t="s">
        <v>176</v>
      </c>
    </row>
    <row r="60" spans="1:9" ht="14.25" customHeight="1" x14ac:dyDescent="0.25">
      <c r="A60" s="1" t="s">
        <v>480</v>
      </c>
      <c r="B60" s="1" t="s">
        <v>33</v>
      </c>
      <c r="C60" s="1" t="s">
        <v>124</v>
      </c>
      <c r="D60" s="1" t="s">
        <v>59</v>
      </c>
      <c r="E60" s="1" t="s">
        <v>163</v>
      </c>
      <c r="F60" s="1" t="s">
        <v>46</v>
      </c>
      <c r="G60" s="1" t="s">
        <v>150</v>
      </c>
      <c r="H60" s="1" t="s">
        <v>111</v>
      </c>
      <c r="I60" s="1" t="s">
        <v>72</v>
      </c>
    </row>
    <row r="61" spans="1:9" ht="14.25" customHeight="1" x14ac:dyDescent="0.25">
      <c r="A61" s="1" t="s">
        <v>481</v>
      </c>
      <c r="B61" s="1" t="s">
        <v>33</v>
      </c>
      <c r="C61" s="1" t="s">
        <v>72</v>
      </c>
      <c r="D61" s="1" t="s">
        <v>59</v>
      </c>
      <c r="E61" s="1" t="s">
        <v>124</v>
      </c>
      <c r="F61" s="1" t="s">
        <v>46</v>
      </c>
      <c r="G61" s="1" t="s">
        <v>150</v>
      </c>
      <c r="H61" s="1" t="s">
        <v>111</v>
      </c>
      <c r="I61" s="1" t="s">
        <v>176</v>
      </c>
    </row>
    <row r="62" spans="1:9" ht="14.25" customHeight="1" x14ac:dyDescent="0.25">
      <c r="A62" s="1" t="s">
        <v>482</v>
      </c>
      <c r="B62" s="1" t="s">
        <v>72</v>
      </c>
      <c r="C62" s="1" t="s">
        <v>124</v>
      </c>
      <c r="D62" s="1" t="s">
        <v>59</v>
      </c>
      <c r="E62" s="1" t="s">
        <v>163</v>
      </c>
      <c r="F62" s="1" t="s">
        <v>46</v>
      </c>
      <c r="G62" s="1" t="s">
        <v>33</v>
      </c>
      <c r="H62" s="1" t="s">
        <v>111</v>
      </c>
      <c r="I62" s="1" t="s">
        <v>176</v>
      </c>
    </row>
    <row r="63" spans="1:9" ht="14.25" customHeight="1" x14ac:dyDescent="0.25">
      <c r="A63" s="1" t="s">
        <v>483</v>
      </c>
      <c r="B63" s="1" t="s">
        <v>33</v>
      </c>
      <c r="C63" s="1" t="s">
        <v>72</v>
      </c>
      <c r="D63" s="1" t="s">
        <v>59</v>
      </c>
      <c r="E63" s="1" t="s">
        <v>163</v>
      </c>
      <c r="F63" s="1" t="s">
        <v>46</v>
      </c>
      <c r="G63" s="1" t="s">
        <v>150</v>
      </c>
      <c r="H63" s="1" t="s">
        <v>111</v>
      </c>
      <c r="I63" s="1" t="s">
        <v>137</v>
      </c>
    </row>
    <row r="64" spans="1:9" ht="14.25" customHeight="1" x14ac:dyDescent="0.25">
      <c r="A64" s="1" t="s">
        <v>484</v>
      </c>
      <c r="B64" s="1" t="s">
        <v>33</v>
      </c>
      <c r="C64" s="1" t="s">
        <v>72</v>
      </c>
      <c r="D64" s="1" t="s">
        <v>59</v>
      </c>
      <c r="E64" s="1" t="s">
        <v>137</v>
      </c>
      <c r="F64" s="1" t="s">
        <v>46</v>
      </c>
      <c r="G64" s="1" t="s">
        <v>150</v>
      </c>
      <c r="H64" s="1" t="s">
        <v>111</v>
      </c>
      <c r="I64" s="1" t="s">
        <v>176</v>
      </c>
    </row>
    <row r="65" spans="1:9" ht="14.25" customHeight="1" x14ac:dyDescent="0.25">
      <c r="A65" s="1" t="s">
        <v>485</v>
      </c>
      <c r="B65" s="1" t="s">
        <v>72</v>
      </c>
      <c r="C65" s="1" t="s">
        <v>111</v>
      </c>
      <c r="D65" s="1" t="s">
        <v>59</v>
      </c>
      <c r="E65" s="1" t="s">
        <v>163</v>
      </c>
      <c r="F65" s="1" t="s">
        <v>46</v>
      </c>
      <c r="G65" s="1" t="s">
        <v>33</v>
      </c>
      <c r="H65" s="1" t="s">
        <v>137</v>
      </c>
      <c r="I65" s="1" t="s">
        <v>176</v>
      </c>
    </row>
    <row r="66" spans="1:9" ht="14.25" customHeight="1" x14ac:dyDescent="0.25">
      <c r="A66" s="1" t="s">
        <v>486</v>
      </c>
      <c r="B66" s="1" t="s">
        <v>72</v>
      </c>
      <c r="C66" s="1" t="s">
        <v>111</v>
      </c>
      <c r="D66" s="1" t="s">
        <v>59</v>
      </c>
      <c r="E66" s="1" t="s">
        <v>163</v>
      </c>
      <c r="F66" s="1" t="s">
        <v>46</v>
      </c>
      <c r="G66" s="1" t="s">
        <v>33</v>
      </c>
      <c r="H66" s="1" t="s">
        <v>150</v>
      </c>
      <c r="I66" s="1" t="s">
        <v>176</v>
      </c>
    </row>
    <row r="67" spans="1:9" ht="14.25" customHeight="1" x14ac:dyDescent="0.25">
      <c r="A67" s="1" t="s">
        <v>487</v>
      </c>
      <c r="B67" s="1" t="s">
        <v>33</v>
      </c>
      <c r="C67" s="1" t="s">
        <v>124</v>
      </c>
      <c r="D67" s="1" t="s">
        <v>59</v>
      </c>
      <c r="E67" s="1" t="s">
        <v>163</v>
      </c>
      <c r="F67" s="1" t="s">
        <v>46</v>
      </c>
      <c r="G67" s="1" t="s">
        <v>150</v>
      </c>
      <c r="H67" s="1" t="s">
        <v>137</v>
      </c>
      <c r="I67" s="1" t="s">
        <v>72</v>
      </c>
    </row>
    <row r="68" spans="1:9" ht="14.25" customHeight="1" x14ac:dyDescent="0.25">
      <c r="A68" s="1" t="s">
        <v>488</v>
      </c>
      <c r="B68" s="1" t="s">
        <v>33</v>
      </c>
      <c r="C68" s="1" t="s">
        <v>72</v>
      </c>
      <c r="D68" s="1" t="s">
        <v>59</v>
      </c>
      <c r="E68" s="1" t="s">
        <v>124</v>
      </c>
      <c r="F68" s="1" t="s">
        <v>46</v>
      </c>
      <c r="G68" s="1" t="s">
        <v>150</v>
      </c>
      <c r="H68" s="1" t="s">
        <v>137</v>
      </c>
      <c r="I68" s="1" t="s">
        <v>176</v>
      </c>
    </row>
    <row r="69" spans="1:9" ht="14.25" customHeight="1" x14ac:dyDescent="0.25">
      <c r="A69" s="1" t="s">
        <v>489</v>
      </c>
      <c r="B69" s="1" t="s">
        <v>72</v>
      </c>
      <c r="C69" s="1" t="s">
        <v>124</v>
      </c>
      <c r="D69" s="1" t="s">
        <v>59</v>
      </c>
      <c r="E69" s="1" t="s">
        <v>163</v>
      </c>
      <c r="F69" s="1" t="s">
        <v>46</v>
      </c>
      <c r="G69" s="1" t="s">
        <v>33</v>
      </c>
      <c r="H69" s="1" t="s">
        <v>137</v>
      </c>
      <c r="I69" s="1" t="s">
        <v>176</v>
      </c>
    </row>
    <row r="70" spans="1:9" ht="14.25" customHeight="1" x14ac:dyDescent="0.25">
      <c r="A70" s="1" t="s">
        <v>490</v>
      </c>
      <c r="B70" s="1" t="s">
        <v>72</v>
      </c>
      <c r="C70" s="1" t="s">
        <v>124</v>
      </c>
      <c r="D70" s="1" t="s">
        <v>59</v>
      </c>
      <c r="E70" s="1" t="s">
        <v>163</v>
      </c>
      <c r="F70" s="1" t="s">
        <v>46</v>
      </c>
      <c r="G70" s="1" t="s">
        <v>33</v>
      </c>
      <c r="H70" s="1" t="s">
        <v>150</v>
      </c>
      <c r="I70" s="1" t="s">
        <v>176</v>
      </c>
    </row>
    <row r="71" spans="1:9" ht="14.25" customHeight="1" x14ac:dyDescent="0.25">
      <c r="A71" s="1" t="s">
        <v>491</v>
      </c>
      <c r="B71" s="1" t="s">
        <v>72</v>
      </c>
      <c r="C71" s="1" t="s">
        <v>59</v>
      </c>
      <c r="D71" s="1" t="s">
        <v>137</v>
      </c>
      <c r="E71" s="1" t="s">
        <v>163</v>
      </c>
      <c r="F71" s="1" t="s">
        <v>46</v>
      </c>
      <c r="G71" s="1" t="s">
        <v>33</v>
      </c>
      <c r="H71" s="1" t="s">
        <v>150</v>
      </c>
      <c r="I71" s="1" t="s">
        <v>176</v>
      </c>
    </row>
    <row r="72" spans="1:9" ht="14.25" customHeight="1" x14ac:dyDescent="0.25">
      <c r="A72" s="1" t="s">
        <v>492</v>
      </c>
      <c r="B72" s="1" t="s">
        <v>59</v>
      </c>
      <c r="C72" s="1" t="s">
        <v>98</v>
      </c>
      <c r="D72" s="1" t="s">
        <v>137</v>
      </c>
      <c r="E72" s="1" t="s">
        <v>124</v>
      </c>
      <c r="F72" s="1" t="s">
        <v>46</v>
      </c>
      <c r="G72" s="1" t="s">
        <v>33</v>
      </c>
      <c r="H72" s="1" t="s">
        <v>111</v>
      </c>
      <c r="I72" s="1" t="s">
        <v>85</v>
      </c>
    </row>
    <row r="73" spans="1:9" ht="14.25" customHeight="1" x14ac:dyDescent="0.25">
      <c r="A73" s="1" t="s">
        <v>493</v>
      </c>
      <c r="B73" s="1" t="s">
        <v>46</v>
      </c>
      <c r="C73" s="1" t="s">
        <v>98</v>
      </c>
      <c r="D73" s="1" t="s">
        <v>59</v>
      </c>
      <c r="E73" s="1" t="s">
        <v>124</v>
      </c>
      <c r="F73" s="1" t="s">
        <v>150</v>
      </c>
      <c r="G73" s="1" t="s">
        <v>33</v>
      </c>
      <c r="H73" s="1" t="s">
        <v>111</v>
      </c>
      <c r="I73" s="1" t="s">
        <v>85</v>
      </c>
    </row>
    <row r="74" spans="1:9" ht="14.25" customHeight="1" x14ac:dyDescent="0.25">
      <c r="A74" s="1" t="s">
        <v>494</v>
      </c>
      <c r="B74" s="1" t="s">
        <v>59</v>
      </c>
      <c r="C74" s="1" t="s">
        <v>111</v>
      </c>
      <c r="D74" s="1" t="s">
        <v>124</v>
      </c>
      <c r="E74" s="1" t="s">
        <v>163</v>
      </c>
      <c r="F74" s="1" t="s">
        <v>46</v>
      </c>
      <c r="G74" s="1" t="s">
        <v>33</v>
      </c>
      <c r="H74" s="1" t="s">
        <v>98</v>
      </c>
      <c r="I74" s="1" t="s">
        <v>85</v>
      </c>
    </row>
    <row r="75" spans="1:9" ht="14.25" customHeight="1" x14ac:dyDescent="0.25">
      <c r="A75" s="1" t="s">
        <v>495</v>
      </c>
      <c r="B75" s="1" t="s">
        <v>59</v>
      </c>
      <c r="C75" s="1" t="s">
        <v>111</v>
      </c>
      <c r="D75" s="1" t="s">
        <v>124</v>
      </c>
      <c r="E75" s="1" t="s">
        <v>85</v>
      </c>
      <c r="F75" s="1" t="s">
        <v>46</v>
      </c>
      <c r="G75" s="1" t="s">
        <v>33</v>
      </c>
      <c r="H75" s="1" t="s">
        <v>98</v>
      </c>
      <c r="I75" s="1" t="s">
        <v>176</v>
      </c>
    </row>
    <row r="76" spans="1:9" ht="14.25" customHeight="1" x14ac:dyDescent="0.25">
      <c r="A76" s="1" t="s">
        <v>496</v>
      </c>
      <c r="B76" s="1" t="s">
        <v>46</v>
      </c>
      <c r="C76" s="1" t="s">
        <v>59</v>
      </c>
      <c r="D76" s="1" t="s">
        <v>98</v>
      </c>
      <c r="E76" s="1" t="s">
        <v>85</v>
      </c>
      <c r="F76" s="1" t="s">
        <v>150</v>
      </c>
      <c r="G76" s="1" t="s">
        <v>33</v>
      </c>
      <c r="H76" s="1" t="s">
        <v>111</v>
      </c>
      <c r="I76" s="1" t="s">
        <v>137</v>
      </c>
    </row>
    <row r="77" spans="1:9" ht="14.25" customHeight="1" x14ac:dyDescent="0.25">
      <c r="A77" s="1" t="s">
        <v>497</v>
      </c>
      <c r="B77" s="1" t="s">
        <v>46</v>
      </c>
      <c r="C77" s="1" t="s">
        <v>59</v>
      </c>
      <c r="D77" s="1" t="s">
        <v>98</v>
      </c>
      <c r="E77" s="1" t="s">
        <v>163</v>
      </c>
      <c r="F77" s="1" t="s">
        <v>137</v>
      </c>
      <c r="G77" s="1" t="s">
        <v>33</v>
      </c>
      <c r="H77" s="1" t="s">
        <v>111</v>
      </c>
      <c r="I77" s="1" t="s">
        <v>85</v>
      </c>
    </row>
    <row r="78" spans="1:9" ht="14.25" customHeight="1" x14ac:dyDescent="0.25">
      <c r="A78" s="1" t="s">
        <v>498</v>
      </c>
      <c r="B78" s="1" t="s">
        <v>46</v>
      </c>
      <c r="C78" s="1" t="s">
        <v>59</v>
      </c>
      <c r="D78" s="1" t="s">
        <v>98</v>
      </c>
      <c r="E78" s="1" t="s">
        <v>85</v>
      </c>
      <c r="F78" s="1" t="s">
        <v>137</v>
      </c>
      <c r="G78" s="1" t="s">
        <v>33</v>
      </c>
      <c r="H78" s="1" t="s">
        <v>111</v>
      </c>
      <c r="I78" s="1" t="s">
        <v>176</v>
      </c>
    </row>
    <row r="79" spans="1:9" ht="14.25" customHeight="1" x14ac:dyDescent="0.25">
      <c r="A79" s="1" t="s">
        <v>499</v>
      </c>
      <c r="B79" s="1" t="s">
        <v>46</v>
      </c>
      <c r="C79" s="1" t="s">
        <v>98</v>
      </c>
      <c r="D79" s="1" t="s">
        <v>59</v>
      </c>
      <c r="E79" s="1" t="s">
        <v>163</v>
      </c>
      <c r="F79" s="1" t="s">
        <v>150</v>
      </c>
      <c r="G79" s="1" t="s">
        <v>33</v>
      </c>
      <c r="H79" s="1" t="s">
        <v>111</v>
      </c>
      <c r="I79" s="1" t="s">
        <v>85</v>
      </c>
    </row>
    <row r="80" spans="1:9" ht="14.25" customHeight="1" x14ac:dyDescent="0.25">
      <c r="A80" s="1" t="s">
        <v>500</v>
      </c>
      <c r="B80" s="1" t="s">
        <v>46</v>
      </c>
      <c r="C80" s="1" t="s">
        <v>98</v>
      </c>
      <c r="D80" s="1" t="s">
        <v>59</v>
      </c>
      <c r="E80" s="1" t="s">
        <v>85</v>
      </c>
      <c r="F80" s="1" t="s">
        <v>150</v>
      </c>
      <c r="G80" s="1" t="s">
        <v>33</v>
      </c>
      <c r="H80" s="1" t="s">
        <v>111</v>
      </c>
      <c r="I80" s="1" t="s">
        <v>176</v>
      </c>
    </row>
    <row r="81" spans="1:9" ht="14.25" customHeight="1" x14ac:dyDescent="0.25">
      <c r="A81" s="1" t="s">
        <v>501</v>
      </c>
      <c r="B81" s="1" t="s">
        <v>46</v>
      </c>
      <c r="C81" s="1" t="s">
        <v>59</v>
      </c>
      <c r="D81" s="1" t="s">
        <v>85</v>
      </c>
      <c r="E81" s="1" t="s">
        <v>163</v>
      </c>
      <c r="F81" s="1" t="s">
        <v>98</v>
      </c>
      <c r="G81" s="1" t="s">
        <v>33</v>
      </c>
      <c r="H81" s="1" t="s">
        <v>111</v>
      </c>
      <c r="I81" s="1" t="s">
        <v>176</v>
      </c>
    </row>
    <row r="82" spans="1:9" ht="14.25" customHeight="1" x14ac:dyDescent="0.25">
      <c r="A82" s="1" t="s">
        <v>502</v>
      </c>
      <c r="B82" s="1" t="s">
        <v>33</v>
      </c>
      <c r="C82" s="1" t="s">
        <v>59</v>
      </c>
      <c r="D82" s="1" t="s">
        <v>98</v>
      </c>
      <c r="E82" s="1" t="s">
        <v>124</v>
      </c>
      <c r="F82" s="1" t="s">
        <v>46</v>
      </c>
      <c r="G82" s="1" t="s">
        <v>137</v>
      </c>
      <c r="H82" s="1" t="s">
        <v>150</v>
      </c>
      <c r="I82" s="1" t="s">
        <v>85</v>
      </c>
    </row>
    <row r="83" spans="1:9" ht="14.25" customHeight="1" x14ac:dyDescent="0.25">
      <c r="A83" s="1" t="s">
        <v>503</v>
      </c>
      <c r="B83" s="1" t="s">
        <v>33</v>
      </c>
      <c r="C83" s="1" t="s">
        <v>59</v>
      </c>
      <c r="D83" s="1" t="s">
        <v>124</v>
      </c>
      <c r="E83" s="1" t="s">
        <v>163</v>
      </c>
      <c r="F83" s="1" t="s">
        <v>46</v>
      </c>
      <c r="G83" s="1" t="s">
        <v>137</v>
      </c>
      <c r="H83" s="1" t="s">
        <v>98</v>
      </c>
      <c r="I83" s="1" t="s">
        <v>85</v>
      </c>
    </row>
    <row r="84" spans="1:9" ht="14.25" customHeight="1" x14ac:dyDescent="0.25">
      <c r="A84" s="1" t="s">
        <v>504</v>
      </c>
      <c r="B84" s="1" t="s">
        <v>33</v>
      </c>
      <c r="C84" s="1" t="s">
        <v>59</v>
      </c>
      <c r="D84" s="1" t="s">
        <v>124</v>
      </c>
      <c r="E84" s="1" t="s">
        <v>85</v>
      </c>
      <c r="F84" s="1" t="s">
        <v>46</v>
      </c>
      <c r="G84" s="1" t="s">
        <v>137</v>
      </c>
      <c r="H84" s="1" t="s">
        <v>98</v>
      </c>
      <c r="I84" s="1" t="s">
        <v>176</v>
      </c>
    </row>
    <row r="85" spans="1:9" ht="14.25" customHeight="1" x14ac:dyDescent="0.25">
      <c r="A85" s="1" t="s">
        <v>505</v>
      </c>
      <c r="B85" s="1" t="s">
        <v>33</v>
      </c>
      <c r="C85" s="1" t="s">
        <v>59</v>
      </c>
      <c r="D85" s="1" t="s">
        <v>124</v>
      </c>
      <c r="E85" s="1" t="s">
        <v>163</v>
      </c>
      <c r="F85" s="1" t="s">
        <v>46</v>
      </c>
      <c r="G85" s="1" t="s">
        <v>150</v>
      </c>
      <c r="H85" s="1" t="s">
        <v>98</v>
      </c>
      <c r="I85" s="1" t="s">
        <v>85</v>
      </c>
    </row>
    <row r="86" spans="1:9" ht="14.25" customHeight="1" x14ac:dyDescent="0.25">
      <c r="A86" s="1" t="s">
        <v>506</v>
      </c>
      <c r="B86" s="1" t="s">
        <v>33</v>
      </c>
      <c r="C86" s="1" t="s">
        <v>59</v>
      </c>
      <c r="D86" s="1" t="s">
        <v>124</v>
      </c>
      <c r="E86" s="1" t="s">
        <v>85</v>
      </c>
      <c r="F86" s="1" t="s">
        <v>46</v>
      </c>
      <c r="G86" s="1" t="s">
        <v>150</v>
      </c>
      <c r="H86" s="1" t="s">
        <v>98</v>
      </c>
      <c r="I86" s="1" t="s">
        <v>176</v>
      </c>
    </row>
    <row r="87" spans="1:9" ht="14.25" customHeight="1" x14ac:dyDescent="0.25">
      <c r="A87" s="1" t="s">
        <v>507</v>
      </c>
      <c r="B87" s="1" t="s">
        <v>59</v>
      </c>
      <c r="C87" s="1" t="s">
        <v>98</v>
      </c>
      <c r="D87" s="1" t="s">
        <v>124</v>
      </c>
      <c r="E87" s="1" t="s">
        <v>163</v>
      </c>
      <c r="F87" s="1" t="s">
        <v>46</v>
      </c>
      <c r="G87" s="1" t="s">
        <v>33</v>
      </c>
      <c r="H87" s="1" t="s">
        <v>85</v>
      </c>
      <c r="I87" s="1" t="s">
        <v>176</v>
      </c>
    </row>
    <row r="88" spans="1:9" ht="14.25" customHeight="1" x14ac:dyDescent="0.25">
      <c r="A88" s="1" t="s">
        <v>508</v>
      </c>
      <c r="B88" s="1" t="s">
        <v>33</v>
      </c>
      <c r="C88" s="1" t="s">
        <v>59</v>
      </c>
      <c r="D88" s="1" t="s">
        <v>98</v>
      </c>
      <c r="E88" s="1" t="s">
        <v>163</v>
      </c>
      <c r="F88" s="1" t="s">
        <v>46</v>
      </c>
      <c r="G88" s="1" t="s">
        <v>150</v>
      </c>
      <c r="H88" s="1" t="s">
        <v>137</v>
      </c>
      <c r="I88" s="1" t="s">
        <v>85</v>
      </c>
    </row>
    <row r="89" spans="1:9" ht="14.25" customHeight="1" x14ac:dyDescent="0.25">
      <c r="A89" s="1" t="s">
        <v>509</v>
      </c>
      <c r="B89" s="1" t="s">
        <v>33</v>
      </c>
      <c r="C89" s="1" t="s">
        <v>59</v>
      </c>
      <c r="D89" s="1" t="s">
        <v>98</v>
      </c>
      <c r="E89" s="1" t="s">
        <v>85</v>
      </c>
      <c r="F89" s="1" t="s">
        <v>46</v>
      </c>
      <c r="G89" s="1" t="s">
        <v>150</v>
      </c>
      <c r="H89" s="1" t="s">
        <v>137</v>
      </c>
      <c r="I89" s="1" t="s">
        <v>176</v>
      </c>
    </row>
    <row r="90" spans="1:9" ht="14.25" customHeight="1" x14ac:dyDescent="0.25">
      <c r="A90" s="1" t="s">
        <v>510</v>
      </c>
      <c r="B90" s="1" t="s">
        <v>46</v>
      </c>
      <c r="C90" s="1" t="s">
        <v>59</v>
      </c>
      <c r="D90" s="1" t="s">
        <v>98</v>
      </c>
      <c r="E90" s="1" t="s">
        <v>163</v>
      </c>
      <c r="F90" s="1" t="s">
        <v>137</v>
      </c>
      <c r="G90" s="1" t="s">
        <v>33</v>
      </c>
      <c r="H90" s="1" t="s">
        <v>85</v>
      </c>
      <c r="I90" s="1" t="s">
        <v>176</v>
      </c>
    </row>
    <row r="91" spans="1:9" ht="14.25" customHeight="1" x14ac:dyDescent="0.25">
      <c r="A91" s="1" t="s">
        <v>511</v>
      </c>
      <c r="B91" s="1" t="s">
        <v>46</v>
      </c>
      <c r="C91" s="1" t="s">
        <v>59</v>
      </c>
      <c r="D91" s="1" t="s">
        <v>85</v>
      </c>
      <c r="E91" s="1" t="s">
        <v>163</v>
      </c>
      <c r="F91" s="1" t="s">
        <v>150</v>
      </c>
      <c r="G91" s="1" t="s">
        <v>33</v>
      </c>
      <c r="H91" s="1" t="s">
        <v>98</v>
      </c>
      <c r="I91" s="1" t="s">
        <v>176</v>
      </c>
    </row>
    <row r="92" spans="1:9" ht="14.25" customHeight="1" x14ac:dyDescent="0.25">
      <c r="A92" s="1" t="s">
        <v>512</v>
      </c>
      <c r="B92" s="1" t="s">
        <v>33</v>
      </c>
      <c r="C92" s="1" t="s">
        <v>59</v>
      </c>
      <c r="D92" s="1" t="s">
        <v>124</v>
      </c>
      <c r="E92" s="1" t="s">
        <v>137</v>
      </c>
      <c r="F92" s="1" t="s">
        <v>46</v>
      </c>
      <c r="G92" s="1" t="s">
        <v>150</v>
      </c>
      <c r="H92" s="1" t="s">
        <v>111</v>
      </c>
      <c r="I92" s="1" t="s">
        <v>85</v>
      </c>
    </row>
    <row r="93" spans="1:9" ht="14.25" customHeight="1" x14ac:dyDescent="0.25">
      <c r="A93" s="1" t="s">
        <v>513</v>
      </c>
      <c r="B93" s="1" t="s">
        <v>33</v>
      </c>
      <c r="C93" s="1" t="s">
        <v>59</v>
      </c>
      <c r="D93" s="1" t="s">
        <v>137</v>
      </c>
      <c r="E93" s="1" t="s">
        <v>163</v>
      </c>
      <c r="F93" s="1" t="s">
        <v>46</v>
      </c>
      <c r="G93" s="1" t="s">
        <v>124</v>
      </c>
      <c r="H93" s="1" t="s">
        <v>111</v>
      </c>
      <c r="I93" s="1" t="s">
        <v>85</v>
      </c>
    </row>
    <row r="94" spans="1:9" ht="14.25" customHeight="1" x14ac:dyDescent="0.25">
      <c r="A94" s="1" t="s">
        <v>514</v>
      </c>
      <c r="B94" s="1" t="s">
        <v>33</v>
      </c>
      <c r="C94" s="1" t="s">
        <v>59</v>
      </c>
      <c r="D94" s="1" t="s">
        <v>137</v>
      </c>
      <c r="E94" s="1" t="s">
        <v>85</v>
      </c>
      <c r="F94" s="1" t="s">
        <v>46</v>
      </c>
      <c r="G94" s="1" t="s">
        <v>124</v>
      </c>
      <c r="H94" s="1" t="s">
        <v>111</v>
      </c>
      <c r="I94" s="1" t="s">
        <v>176</v>
      </c>
    </row>
    <row r="95" spans="1:9" ht="14.25" customHeight="1" x14ac:dyDescent="0.25">
      <c r="A95" s="1" t="s">
        <v>515</v>
      </c>
      <c r="B95" s="1" t="s">
        <v>33</v>
      </c>
      <c r="C95" s="1" t="s">
        <v>124</v>
      </c>
      <c r="D95" s="1" t="s">
        <v>59</v>
      </c>
      <c r="E95" s="1" t="s">
        <v>163</v>
      </c>
      <c r="F95" s="1" t="s">
        <v>46</v>
      </c>
      <c r="G95" s="1" t="s">
        <v>150</v>
      </c>
      <c r="H95" s="1" t="s">
        <v>111</v>
      </c>
      <c r="I95" s="1" t="s">
        <v>85</v>
      </c>
    </row>
    <row r="96" spans="1:9" ht="14.25" customHeight="1" x14ac:dyDescent="0.25">
      <c r="A96" s="1" t="s">
        <v>516</v>
      </c>
      <c r="B96" s="1" t="s">
        <v>33</v>
      </c>
      <c r="C96" s="1" t="s">
        <v>59</v>
      </c>
      <c r="D96" s="1" t="s">
        <v>85</v>
      </c>
      <c r="E96" s="1" t="s">
        <v>124</v>
      </c>
      <c r="F96" s="1" t="s">
        <v>46</v>
      </c>
      <c r="G96" s="1" t="s">
        <v>150</v>
      </c>
      <c r="H96" s="1" t="s">
        <v>111</v>
      </c>
      <c r="I96" s="1" t="s">
        <v>176</v>
      </c>
    </row>
    <row r="97" spans="1:9" ht="14.25" customHeight="1" x14ac:dyDescent="0.25">
      <c r="A97" s="1" t="s">
        <v>517</v>
      </c>
      <c r="B97" s="1" t="s">
        <v>33</v>
      </c>
      <c r="C97" s="1" t="s">
        <v>111</v>
      </c>
      <c r="D97" s="1" t="s">
        <v>59</v>
      </c>
      <c r="E97" s="1" t="s">
        <v>163</v>
      </c>
      <c r="F97" s="1" t="s">
        <v>46</v>
      </c>
      <c r="G97" s="1" t="s">
        <v>124</v>
      </c>
      <c r="H97" s="1" t="s">
        <v>85</v>
      </c>
      <c r="I97" s="1" t="s">
        <v>176</v>
      </c>
    </row>
    <row r="98" spans="1:9" ht="14.25" customHeight="1" x14ac:dyDescent="0.25">
      <c r="A98" s="1" t="s">
        <v>518</v>
      </c>
      <c r="B98" s="1" t="s">
        <v>33</v>
      </c>
      <c r="C98" s="1" t="s">
        <v>59</v>
      </c>
      <c r="D98" s="1" t="s">
        <v>85</v>
      </c>
      <c r="E98" s="1" t="s">
        <v>163</v>
      </c>
      <c r="F98" s="1" t="s">
        <v>46</v>
      </c>
      <c r="G98" s="1" t="s">
        <v>150</v>
      </c>
      <c r="H98" s="1" t="s">
        <v>111</v>
      </c>
      <c r="I98" s="1" t="s">
        <v>137</v>
      </c>
    </row>
    <row r="99" spans="1:9" ht="14.25" customHeight="1" x14ac:dyDescent="0.25">
      <c r="A99" s="1" t="s">
        <v>519</v>
      </c>
      <c r="B99" s="1" t="s">
        <v>33</v>
      </c>
      <c r="C99" s="1" t="s">
        <v>59</v>
      </c>
      <c r="D99" s="1" t="s">
        <v>85</v>
      </c>
      <c r="E99" s="1" t="s">
        <v>137</v>
      </c>
      <c r="F99" s="1" t="s">
        <v>46</v>
      </c>
      <c r="G99" s="1" t="s">
        <v>150</v>
      </c>
      <c r="H99" s="1" t="s">
        <v>111</v>
      </c>
      <c r="I99" s="1" t="s">
        <v>176</v>
      </c>
    </row>
    <row r="100" spans="1:9" ht="14.25" customHeight="1" x14ac:dyDescent="0.25">
      <c r="A100" s="1" t="s">
        <v>520</v>
      </c>
      <c r="B100" s="1" t="s">
        <v>33</v>
      </c>
      <c r="C100" s="1" t="s">
        <v>59</v>
      </c>
      <c r="D100" s="1" t="s">
        <v>85</v>
      </c>
      <c r="E100" s="1" t="s">
        <v>163</v>
      </c>
      <c r="F100" s="1" t="s">
        <v>46</v>
      </c>
      <c r="G100" s="1" t="s">
        <v>137</v>
      </c>
      <c r="H100" s="1" t="s">
        <v>111</v>
      </c>
      <c r="I100" s="1" t="s">
        <v>176</v>
      </c>
    </row>
    <row r="101" spans="1:9" ht="14.25" customHeight="1" x14ac:dyDescent="0.25">
      <c r="A101" s="1" t="s">
        <v>521</v>
      </c>
      <c r="B101" s="1" t="s">
        <v>33</v>
      </c>
      <c r="C101" s="1" t="s">
        <v>59</v>
      </c>
      <c r="D101" s="1" t="s">
        <v>85</v>
      </c>
      <c r="E101" s="1" t="s">
        <v>163</v>
      </c>
      <c r="F101" s="1" t="s">
        <v>46</v>
      </c>
      <c r="G101" s="1" t="s">
        <v>150</v>
      </c>
      <c r="H101" s="1" t="s">
        <v>111</v>
      </c>
      <c r="I101" s="1" t="s">
        <v>176</v>
      </c>
    </row>
    <row r="102" spans="1:9" ht="14.25" customHeight="1" x14ac:dyDescent="0.25">
      <c r="A102" s="1" t="s">
        <v>522</v>
      </c>
      <c r="B102" s="1" t="s">
        <v>33</v>
      </c>
      <c r="C102" s="1" t="s">
        <v>59</v>
      </c>
      <c r="D102" s="1" t="s">
        <v>124</v>
      </c>
      <c r="E102" s="1" t="s">
        <v>163</v>
      </c>
      <c r="F102" s="1" t="s">
        <v>46</v>
      </c>
      <c r="G102" s="1" t="s">
        <v>150</v>
      </c>
      <c r="H102" s="1" t="s">
        <v>85</v>
      </c>
      <c r="I102" s="1" t="s">
        <v>137</v>
      </c>
    </row>
    <row r="103" spans="1:9" ht="14.25" customHeight="1" x14ac:dyDescent="0.25">
      <c r="A103" s="1" t="s">
        <v>523</v>
      </c>
      <c r="B103" s="1" t="s">
        <v>33</v>
      </c>
      <c r="C103" s="1" t="s">
        <v>59</v>
      </c>
      <c r="D103" s="1" t="s">
        <v>124</v>
      </c>
      <c r="E103" s="1" t="s">
        <v>137</v>
      </c>
      <c r="F103" s="1" t="s">
        <v>46</v>
      </c>
      <c r="G103" s="1" t="s">
        <v>150</v>
      </c>
      <c r="H103" s="1" t="s">
        <v>85</v>
      </c>
      <c r="I103" s="1" t="s">
        <v>176</v>
      </c>
    </row>
    <row r="104" spans="1:9" ht="14.25" customHeight="1" x14ac:dyDescent="0.25">
      <c r="A104" s="1" t="s">
        <v>524</v>
      </c>
      <c r="B104" s="1" t="s">
        <v>33</v>
      </c>
      <c r="C104" s="1" t="s">
        <v>59</v>
      </c>
      <c r="D104" s="1" t="s">
        <v>124</v>
      </c>
      <c r="E104" s="1" t="s">
        <v>163</v>
      </c>
      <c r="F104" s="1" t="s">
        <v>46</v>
      </c>
      <c r="G104" s="1" t="s">
        <v>137</v>
      </c>
      <c r="H104" s="1" t="s">
        <v>85</v>
      </c>
      <c r="I104" s="1" t="s">
        <v>176</v>
      </c>
    </row>
    <row r="105" spans="1:9" ht="14.25" customHeight="1" x14ac:dyDescent="0.25">
      <c r="A105" s="1" t="s">
        <v>525</v>
      </c>
      <c r="B105" s="1" t="s">
        <v>33</v>
      </c>
      <c r="C105" s="1" t="s">
        <v>59</v>
      </c>
      <c r="D105" s="1" t="s">
        <v>124</v>
      </c>
      <c r="E105" s="1" t="s">
        <v>163</v>
      </c>
      <c r="F105" s="1" t="s">
        <v>46</v>
      </c>
      <c r="G105" s="1" t="s">
        <v>150</v>
      </c>
      <c r="H105" s="1" t="s">
        <v>85</v>
      </c>
      <c r="I105" s="1" t="s">
        <v>176</v>
      </c>
    </row>
    <row r="106" spans="1:9" ht="14.25" customHeight="1" x14ac:dyDescent="0.25">
      <c r="A106" s="1" t="s">
        <v>526</v>
      </c>
      <c r="B106" s="1" t="s">
        <v>33</v>
      </c>
      <c r="C106" s="1" t="s">
        <v>59</v>
      </c>
      <c r="D106" s="1" t="s">
        <v>85</v>
      </c>
      <c r="E106" s="1" t="s">
        <v>163</v>
      </c>
      <c r="F106" s="1" t="s">
        <v>46</v>
      </c>
      <c r="G106" s="1" t="s">
        <v>150</v>
      </c>
      <c r="H106" s="1" t="s">
        <v>137</v>
      </c>
      <c r="I106" s="1" t="s">
        <v>176</v>
      </c>
    </row>
    <row r="107" spans="1:9" ht="14.25" customHeight="1" x14ac:dyDescent="0.25">
      <c r="A107" s="1" t="s">
        <v>527</v>
      </c>
      <c r="B107" s="1" t="s">
        <v>46</v>
      </c>
      <c r="C107" s="1" t="s">
        <v>98</v>
      </c>
      <c r="D107" s="1" t="s">
        <v>59</v>
      </c>
      <c r="E107" s="1" t="s">
        <v>124</v>
      </c>
      <c r="F107" s="1" t="s">
        <v>150</v>
      </c>
      <c r="G107" s="1" t="s">
        <v>33</v>
      </c>
      <c r="H107" s="1" t="s">
        <v>111</v>
      </c>
      <c r="I107" s="1" t="s">
        <v>137</v>
      </c>
    </row>
    <row r="108" spans="1:9" ht="14.25" customHeight="1" x14ac:dyDescent="0.25">
      <c r="A108" s="1" t="s">
        <v>528</v>
      </c>
      <c r="B108" s="1" t="s">
        <v>59</v>
      </c>
      <c r="C108" s="1" t="s">
        <v>111</v>
      </c>
      <c r="D108" s="1" t="s">
        <v>124</v>
      </c>
      <c r="E108" s="1" t="s">
        <v>163</v>
      </c>
      <c r="F108" s="1" t="s">
        <v>46</v>
      </c>
      <c r="G108" s="1" t="s">
        <v>33</v>
      </c>
      <c r="H108" s="1" t="s">
        <v>98</v>
      </c>
      <c r="I108" s="1" t="s">
        <v>137</v>
      </c>
    </row>
    <row r="109" spans="1:9" ht="14.25" customHeight="1" x14ac:dyDescent="0.25">
      <c r="A109" s="1" t="s">
        <v>529</v>
      </c>
      <c r="B109" s="1" t="s">
        <v>59</v>
      </c>
      <c r="C109" s="1" t="s">
        <v>98</v>
      </c>
      <c r="D109" s="1" t="s">
        <v>137</v>
      </c>
      <c r="E109" s="1" t="s">
        <v>124</v>
      </c>
      <c r="F109" s="1" t="s">
        <v>46</v>
      </c>
      <c r="G109" s="1" t="s">
        <v>33</v>
      </c>
      <c r="H109" s="1" t="s">
        <v>111</v>
      </c>
      <c r="I109" s="1" t="s">
        <v>176</v>
      </c>
    </row>
    <row r="110" spans="1:9" ht="14.25" customHeight="1" x14ac:dyDescent="0.25">
      <c r="A110" s="1" t="s">
        <v>530</v>
      </c>
      <c r="B110" s="1" t="s">
        <v>59</v>
      </c>
      <c r="C110" s="1" t="s">
        <v>111</v>
      </c>
      <c r="D110" s="1" t="s">
        <v>124</v>
      </c>
      <c r="E110" s="1" t="s">
        <v>163</v>
      </c>
      <c r="F110" s="1" t="s">
        <v>46</v>
      </c>
      <c r="G110" s="1" t="s">
        <v>33</v>
      </c>
      <c r="H110" s="1" t="s">
        <v>98</v>
      </c>
      <c r="I110" s="1" t="s">
        <v>150</v>
      </c>
    </row>
    <row r="111" spans="1:9" ht="14.25" customHeight="1" x14ac:dyDescent="0.25">
      <c r="A111" s="1" t="s">
        <v>531</v>
      </c>
      <c r="B111" s="1" t="s">
        <v>46</v>
      </c>
      <c r="C111" s="1" t="s">
        <v>98</v>
      </c>
      <c r="D111" s="1" t="s">
        <v>59</v>
      </c>
      <c r="E111" s="1" t="s">
        <v>124</v>
      </c>
      <c r="F111" s="1" t="s">
        <v>150</v>
      </c>
      <c r="G111" s="1" t="s">
        <v>33</v>
      </c>
      <c r="H111" s="1" t="s">
        <v>111</v>
      </c>
      <c r="I111" s="1" t="s">
        <v>176</v>
      </c>
    </row>
    <row r="112" spans="1:9" ht="14.25" customHeight="1" x14ac:dyDescent="0.25">
      <c r="A112" s="1" t="s">
        <v>532</v>
      </c>
      <c r="B112" s="1" t="s">
        <v>59</v>
      </c>
      <c r="C112" s="1" t="s">
        <v>111</v>
      </c>
      <c r="D112" s="1" t="s">
        <v>124</v>
      </c>
      <c r="E112" s="1" t="s">
        <v>163</v>
      </c>
      <c r="F112" s="1" t="s">
        <v>46</v>
      </c>
      <c r="G112" s="1" t="s">
        <v>33</v>
      </c>
      <c r="H112" s="1" t="s">
        <v>98</v>
      </c>
      <c r="I112" s="1" t="s">
        <v>176</v>
      </c>
    </row>
    <row r="113" spans="1:9" ht="14.25" customHeight="1" x14ac:dyDescent="0.25">
      <c r="A113" s="1" t="s">
        <v>533</v>
      </c>
      <c r="B113" s="1" t="s">
        <v>46</v>
      </c>
      <c r="C113" s="1" t="s">
        <v>98</v>
      </c>
      <c r="D113" s="1" t="s">
        <v>59</v>
      </c>
      <c r="E113" s="1" t="s">
        <v>163</v>
      </c>
      <c r="F113" s="1" t="s">
        <v>150</v>
      </c>
      <c r="G113" s="1" t="s">
        <v>33</v>
      </c>
      <c r="H113" s="1" t="s">
        <v>111</v>
      </c>
      <c r="I113" s="1" t="s">
        <v>137</v>
      </c>
    </row>
    <row r="114" spans="1:9" ht="14.25" customHeight="1" x14ac:dyDescent="0.25">
      <c r="A114" s="1" t="s">
        <v>534</v>
      </c>
      <c r="B114" s="1" t="s">
        <v>46</v>
      </c>
      <c r="C114" s="1" t="s">
        <v>98</v>
      </c>
      <c r="D114" s="1" t="s">
        <v>59</v>
      </c>
      <c r="E114" s="1" t="s">
        <v>137</v>
      </c>
      <c r="F114" s="1" t="s">
        <v>150</v>
      </c>
      <c r="G114" s="1" t="s">
        <v>33</v>
      </c>
      <c r="H114" s="1" t="s">
        <v>111</v>
      </c>
      <c r="I114" s="1" t="s">
        <v>176</v>
      </c>
    </row>
    <row r="115" spans="1:9" ht="14.25" customHeight="1" x14ac:dyDescent="0.25">
      <c r="A115" s="1" t="s">
        <v>535</v>
      </c>
      <c r="B115" s="1" t="s">
        <v>46</v>
      </c>
      <c r="C115" s="1" t="s">
        <v>59</v>
      </c>
      <c r="D115" s="1" t="s">
        <v>98</v>
      </c>
      <c r="E115" s="1" t="s">
        <v>163</v>
      </c>
      <c r="F115" s="1" t="s">
        <v>137</v>
      </c>
      <c r="G115" s="1" t="s">
        <v>33</v>
      </c>
      <c r="H115" s="1" t="s">
        <v>111</v>
      </c>
      <c r="I115" s="1" t="s">
        <v>176</v>
      </c>
    </row>
    <row r="116" spans="1:9" ht="14.25" customHeight="1" x14ac:dyDescent="0.25">
      <c r="A116" s="1" t="s">
        <v>536</v>
      </c>
      <c r="B116" s="1" t="s">
        <v>46</v>
      </c>
      <c r="C116" s="1" t="s">
        <v>98</v>
      </c>
      <c r="D116" s="1" t="s">
        <v>59</v>
      </c>
      <c r="E116" s="1" t="s">
        <v>163</v>
      </c>
      <c r="F116" s="1" t="s">
        <v>150</v>
      </c>
      <c r="G116" s="1" t="s">
        <v>33</v>
      </c>
      <c r="H116" s="1" t="s">
        <v>111</v>
      </c>
      <c r="I116" s="1" t="s">
        <v>176</v>
      </c>
    </row>
    <row r="117" spans="1:9" ht="14.25" customHeight="1" x14ac:dyDescent="0.25">
      <c r="A117" s="1" t="s">
        <v>537</v>
      </c>
      <c r="B117" s="1" t="s">
        <v>33</v>
      </c>
      <c r="C117" s="1" t="s">
        <v>59</v>
      </c>
      <c r="D117" s="1" t="s">
        <v>124</v>
      </c>
      <c r="E117" s="1" t="s">
        <v>163</v>
      </c>
      <c r="F117" s="1" t="s">
        <v>46</v>
      </c>
      <c r="G117" s="1" t="s">
        <v>150</v>
      </c>
      <c r="H117" s="1" t="s">
        <v>98</v>
      </c>
      <c r="I117" s="1" t="s">
        <v>137</v>
      </c>
    </row>
    <row r="118" spans="1:9" ht="14.25" customHeight="1" x14ac:dyDescent="0.25">
      <c r="A118" s="1" t="s">
        <v>538</v>
      </c>
      <c r="B118" s="1" t="s">
        <v>33</v>
      </c>
      <c r="C118" s="1" t="s">
        <v>59</v>
      </c>
      <c r="D118" s="1" t="s">
        <v>98</v>
      </c>
      <c r="E118" s="1" t="s">
        <v>124</v>
      </c>
      <c r="F118" s="1" t="s">
        <v>46</v>
      </c>
      <c r="G118" s="1" t="s">
        <v>150</v>
      </c>
      <c r="H118" s="1" t="s">
        <v>137</v>
      </c>
      <c r="I118" s="1" t="s">
        <v>176</v>
      </c>
    </row>
    <row r="119" spans="1:9" ht="14.25" customHeight="1" x14ac:dyDescent="0.25">
      <c r="A119" s="1" t="s">
        <v>539</v>
      </c>
      <c r="B119" s="1" t="s">
        <v>33</v>
      </c>
      <c r="C119" s="1" t="s">
        <v>59</v>
      </c>
      <c r="D119" s="1" t="s">
        <v>124</v>
      </c>
      <c r="E119" s="1" t="s">
        <v>163</v>
      </c>
      <c r="F119" s="1" t="s">
        <v>46</v>
      </c>
      <c r="G119" s="1" t="s">
        <v>137</v>
      </c>
      <c r="H119" s="1" t="s">
        <v>98</v>
      </c>
      <c r="I119" s="1" t="s">
        <v>176</v>
      </c>
    </row>
    <row r="120" spans="1:9" ht="14.25" customHeight="1" x14ac:dyDescent="0.25">
      <c r="A120" s="1" t="s">
        <v>540</v>
      </c>
      <c r="B120" s="1" t="s">
        <v>33</v>
      </c>
      <c r="C120" s="1" t="s">
        <v>59</v>
      </c>
      <c r="D120" s="1" t="s">
        <v>124</v>
      </c>
      <c r="E120" s="1" t="s">
        <v>163</v>
      </c>
      <c r="F120" s="1" t="s">
        <v>46</v>
      </c>
      <c r="G120" s="1" t="s">
        <v>150</v>
      </c>
      <c r="H120" s="1" t="s">
        <v>98</v>
      </c>
      <c r="I120" s="1" t="s">
        <v>176</v>
      </c>
    </row>
    <row r="121" spans="1:9" ht="14.25" customHeight="1" x14ac:dyDescent="0.25">
      <c r="A121" s="1" t="s">
        <v>541</v>
      </c>
      <c r="B121" s="1" t="s">
        <v>33</v>
      </c>
      <c r="C121" s="1" t="s">
        <v>59</v>
      </c>
      <c r="D121" s="1" t="s">
        <v>98</v>
      </c>
      <c r="E121" s="1" t="s">
        <v>163</v>
      </c>
      <c r="F121" s="1" t="s">
        <v>46</v>
      </c>
      <c r="G121" s="1" t="s">
        <v>150</v>
      </c>
      <c r="H121" s="1" t="s">
        <v>137</v>
      </c>
      <c r="I121" s="1" t="s">
        <v>176</v>
      </c>
    </row>
    <row r="122" spans="1:9" ht="14.25" customHeight="1" x14ac:dyDescent="0.25">
      <c r="A122" s="1" t="s">
        <v>542</v>
      </c>
      <c r="B122" s="1" t="s">
        <v>33</v>
      </c>
      <c r="C122" s="1" t="s">
        <v>124</v>
      </c>
      <c r="D122" s="1" t="s">
        <v>59</v>
      </c>
      <c r="E122" s="1" t="s">
        <v>163</v>
      </c>
      <c r="F122" s="1" t="s">
        <v>46</v>
      </c>
      <c r="G122" s="1" t="s">
        <v>150</v>
      </c>
      <c r="H122" s="1" t="s">
        <v>111</v>
      </c>
      <c r="I122" s="1" t="s">
        <v>137</v>
      </c>
    </row>
    <row r="123" spans="1:9" ht="14.25" customHeight="1" x14ac:dyDescent="0.25">
      <c r="A123" s="1" t="s">
        <v>543</v>
      </c>
      <c r="B123" s="1" t="s">
        <v>33</v>
      </c>
      <c r="C123" s="1" t="s">
        <v>59</v>
      </c>
      <c r="D123" s="1" t="s">
        <v>124</v>
      </c>
      <c r="E123" s="1" t="s">
        <v>137</v>
      </c>
      <c r="F123" s="1" t="s">
        <v>46</v>
      </c>
      <c r="G123" s="1" t="s">
        <v>150</v>
      </c>
      <c r="H123" s="1" t="s">
        <v>111</v>
      </c>
      <c r="I123" s="1" t="s">
        <v>176</v>
      </c>
    </row>
    <row r="124" spans="1:9" ht="14.25" customHeight="1" x14ac:dyDescent="0.25">
      <c r="A124" s="1" t="s">
        <v>544</v>
      </c>
      <c r="B124" s="1" t="s">
        <v>33</v>
      </c>
      <c r="C124" s="1" t="s">
        <v>59</v>
      </c>
      <c r="D124" s="1" t="s">
        <v>137</v>
      </c>
      <c r="E124" s="1" t="s">
        <v>163</v>
      </c>
      <c r="F124" s="1" t="s">
        <v>46</v>
      </c>
      <c r="G124" s="1" t="s">
        <v>124</v>
      </c>
      <c r="H124" s="1" t="s">
        <v>111</v>
      </c>
      <c r="I124" s="1" t="s">
        <v>176</v>
      </c>
    </row>
    <row r="125" spans="1:9" ht="14.25" customHeight="1" x14ac:dyDescent="0.25">
      <c r="A125" s="1" t="s">
        <v>545</v>
      </c>
      <c r="B125" s="1" t="s">
        <v>33</v>
      </c>
      <c r="C125" s="1" t="s">
        <v>124</v>
      </c>
      <c r="D125" s="1" t="s">
        <v>59</v>
      </c>
      <c r="E125" s="1" t="s">
        <v>163</v>
      </c>
      <c r="F125" s="1" t="s">
        <v>46</v>
      </c>
      <c r="G125" s="1" t="s">
        <v>150</v>
      </c>
      <c r="H125" s="1" t="s">
        <v>111</v>
      </c>
      <c r="I125" s="1" t="s">
        <v>176</v>
      </c>
    </row>
    <row r="126" spans="1:9" ht="14.25" customHeight="1" x14ac:dyDescent="0.25">
      <c r="A126" s="1" t="s">
        <v>546</v>
      </c>
      <c r="B126" s="1" t="s">
        <v>33</v>
      </c>
      <c r="C126" s="1" t="s">
        <v>59</v>
      </c>
      <c r="D126" s="1" t="s">
        <v>137</v>
      </c>
      <c r="E126" s="1" t="s">
        <v>163</v>
      </c>
      <c r="F126" s="1" t="s">
        <v>46</v>
      </c>
      <c r="G126" s="1" t="s">
        <v>150</v>
      </c>
      <c r="H126" s="1" t="s">
        <v>111</v>
      </c>
      <c r="I126" s="1" t="s">
        <v>176</v>
      </c>
    </row>
    <row r="127" spans="1:9" ht="14.25" customHeight="1" x14ac:dyDescent="0.25">
      <c r="A127" s="1" t="s">
        <v>547</v>
      </c>
      <c r="B127" s="1" t="s">
        <v>33</v>
      </c>
      <c r="C127" s="1" t="s">
        <v>59</v>
      </c>
      <c r="D127" s="1" t="s">
        <v>124</v>
      </c>
      <c r="E127" s="1" t="s">
        <v>163</v>
      </c>
      <c r="F127" s="1" t="s">
        <v>46</v>
      </c>
      <c r="G127" s="1" t="s">
        <v>150</v>
      </c>
      <c r="H127" s="1" t="s">
        <v>137</v>
      </c>
      <c r="I127" s="1" t="s">
        <v>176</v>
      </c>
    </row>
    <row r="128" spans="1:9" ht="14.25" customHeight="1" x14ac:dyDescent="0.25">
      <c r="A128" s="1" t="s">
        <v>548</v>
      </c>
      <c r="B128" s="1" t="s">
        <v>33</v>
      </c>
      <c r="C128" s="1" t="s">
        <v>124</v>
      </c>
      <c r="D128" s="1" t="s">
        <v>98</v>
      </c>
      <c r="E128" s="1" t="s">
        <v>85</v>
      </c>
      <c r="F128" s="1" t="s">
        <v>46</v>
      </c>
      <c r="G128" s="1" t="s">
        <v>137</v>
      </c>
      <c r="H128" s="1" t="s">
        <v>111</v>
      </c>
      <c r="I128" s="1" t="s">
        <v>72</v>
      </c>
    </row>
    <row r="129" spans="1:9" ht="14.25" customHeight="1" x14ac:dyDescent="0.25">
      <c r="A129" s="1" t="s">
        <v>549</v>
      </c>
      <c r="B129" s="1" t="s">
        <v>46</v>
      </c>
      <c r="C129" s="1" t="s">
        <v>98</v>
      </c>
      <c r="D129" s="1" t="s">
        <v>85</v>
      </c>
      <c r="E129" s="1" t="s">
        <v>124</v>
      </c>
      <c r="F129" s="1" t="s">
        <v>150</v>
      </c>
      <c r="G129" s="1" t="s">
        <v>33</v>
      </c>
      <c r="H129" s="1" t="s">
        <v>111</v>
      </c>
      <c r="I129" s="1" t="s">
        <v>72</v>
      </c>
    </row>
    <row r="130" spans="1:9" ht="14.25" customHeight="1" x14ac:dyDescent="0.25">
      <c r="A130" s="1" t="s">
        <v>550</v>
      </c>
      <c r="B130" s="1" t="s">
        <v>98</v>
      </c>
      <c r="C130" s="1" t="s">
        <v>124</v>
      </c>
      <c r="D130" s="1" t="s">
        <v>85</v>
      </c>
      <c r="E130" s="1" t="s">
        <v>163</v>
      </c>
      <c r="F130" s="1" t="s">
        <v>46</v>
      </c>
      <c r="G130" s="1" t="s">
        <v>33</v>
      </c>
      <c r="H130" s="1" t="s">
        <v>111</v>
      </c>
      <c r="I130" s="1" t="s">
        <v>72</v>
      </c>
    </row>
    <row r="131" spans="1:9" ht="14.25" customHeight="1" x14ac:dyDescent="0.25">
      <c r="A131" s="1" t="s">
        <v>551</v>
      </c>
      <c r="B131" s="1" t="s">
        <v>72</v>
      </c>
      <c r="C131" s="1" t="s">
        <v>124</v>
      </c>
      <c r="D131" s="1" t="s">
        <v>98</v>
      </c>
      <c r="E131" s="1" t="s">
        <v>85</v>
      </c>
      <c r="F131" s="1" t="s">
        <v>46</v>
      </c>
      <c r="G131" s="1" t="s">
        <v>33</v>
      </c>
      <c r="H131" s="1" t="s">
        <v>111</v>
      </c>
      <c r="I131" s="1" t="s">
        <v>176</v>
      </c>
    </row>
    <row r="132" spans="1:9" ht="14.25" customHeight="1" x14ac:dyDescent="0.25">
      <c r="A132" s="1" t="s">
        <v>552</v>
      </c>
      <c r="B132" s="1" t="s">
        <v>98</v>
      </c>
      <c r="C132" s="1" t="s">
        <v>72</v>
      </c>
      <c r="D132" s="1" t="s">
        <v>85</v>
      </c>
      <c r="E132" s="1" t="s">
        <v>137</v>
      </c>
      <c r="F132" s="1" t="s">
        <v>46</v>
      </c>
      <c r="G132" s="1" t="s">
        <v>33</v>
      </c>
      <c r="H132" s="1" t="s">
        <v>111</v>
      </c>
      <c r="I132" s="1" t="s">
        <v>150</v>
      </c>
    </row>
    <row r="133" spans="1:9" ht="14.25" customHeight="1" x14ac:dyDescent="0.25">
      <c r="A133" s="1" t="s">
        <v>553</v>
      </c>
      <c r="B133" s="1" t="s">
        <v>46</v>
      </c>
      <c r="C133" s="1" t="s">
        <v>72</v>
      </c>
      <c r="D133" s="1" t="s">
        <v>98</v>
      </c>
      <c r="E133" s="1" t="s">
        <v>163</v>
      </c>
      <c r="F133" s="1" t="s">
        <v>137</v>
      </c>
      <c r="G133" s="1" t="s">
        <v>33</v>
      </c>
      <c r="H133" s="1" t="s">
        <v>111</v>
      </c>
      <c r="I133" s="1" t="s">
        <v>85</v>
      </c>
    </row>
    <row r="134" spans="1:9" ht="14.25" customHeight="1" x14ac:dyDescent="0.25">
      <c r="A134" s="1" t="s">
        <v>554</v>
      </c>
      <c r="B134" s="1" t="s">
        <v>46</v>
      </c>
      <c r="C134" s="1" t="s">
        <v>72</v>
      </c>
      <c r="D134" s="1" t="s">
        <v>98</v>
      </c>
      <c r="E134" s="1" t="s">
        <v>85</v>
      </c>
      <c r="F134" s="1" t="s">
        <v>137</v>
      </c>
      <c r="G134" s="1" t="s">
        <v>33</v>
      </c>
      <c r="H134" s="1" t="s">
        <v>111</v>
      </c>
      <c r="I134" s="1" t="s">
        <v>176</v>
      </c>
    </row>
    <row r="135" spans="1:9" ht="14.25" customHeight="1" x14ac:dyDescent="0.25">
      <c r="A135" s="1" t="s">
        <v>555</v>
      </c>
      <c r="B135" s="1" t="s">
        <v>46</v>
      </c>
      <c r="C135" s="1" t="s">
        <v>98</v>
      </c>
      <c r="D135" s="1" t="s">
        <v>85</v>
      </c>
      <c r="E135" s="1" t="s">
        <v>163</v>
      </c>
      <c r="F135" s="1" t="s">
        <v>150</v>
      </c>
      <c r="G135" s="1" t="s">
        <v>33</v>
      </c>
      <c r="H135" s="1" t="s">
        <v>111</v>
      </c>
      <c r="I135" s="1" t="s">
        <v>72</v>
      </c>
    </row>
    <row r="136" spans="1:9" ht="14.25" customHeight="1" x14ac:dyDescent="0.25">
      <c r="A136" s="1" t="s">
        <v>556</v>
      </c>
      <c r="B136" s="1" t="s">
        <v>72</v>
      </c>
      <c r="C136" s="1" t="s">
        <v>111</v>
      </c>
      <c r="D136" s="1" t="s">
        <v>85</v>
      </c>
      <c r="E136" s="1" t="s">
        <v>150</v>
      </c>
      <c r="F136" s="1" t="s">
        <v>46</v>
      </c>
      <c r="G136" s="1" t="s">
        <v>33</v>
      </c>
      <c r="H136" s="1" t="s">
        <v>98</v>
      </c>
      <c r="I136" s="1" t="s">
        <v>176</v>
      </c>
    </row>
    <row r="137" spans="1:9" ht="14.25" customHeight="1" x14ac:dyDescent="0.25">
      <c r="A137" s="1" t="s">
        <v>557</v>
      </c>
      <c r="B137" s="1" t="s">
        <v>72</v>
      </c>
      <c r="C137" s="1" t="s">
        <v>111</v>
      </c>
      <c r="D137" s="1" t="s">
        <v>85</v>
      </c>
      <c r="E137" s="1" t="s">
        <v>163</v>
      </c>
      <c r="F137" s="1" t="s">
        <v>46</v>
      </c>
      <c r="G137" s="1" t="s">
        <v>33</v>
      </c>
      <c r="H137" s="1" t="s">
        <v>98</v>
      </c>
      <c r="I137" s="1" t="s">
        <v>176</v>
      </c>
    </row>
    <row r="138" spans="1:9" ht="14.25" customHeight="1" x14ac:dyDescent="0.25">
      <c r="A138" s="1" t="s">
        <v>558</v>
      </c>
      <c r="B138" s="1" t="s">
        <v>33</v>
      </c>
      <c r="C138" s="1" t="s">
        <v>72</v>
      </c>
      <c r="D138" s="1" t="s">
        <v>98</v>
      </c>
      <c r="E138" s="1" t="s">
        <v>124</v>
      </c>
      <c r="F138" s="1" t="s">
        <v>46</v>
      </c>
      <c r="G138" s="1" t="s">
        <v>150</v>
      </c>
      <c r="H138" s="1" t="s">
        <v>137</v>
      </c>
      <c r="I138" s="1" t="s">
        <v>85</v>
      </c>
    </row>
    <row r="139" spans="1:9" ht="14.25" customHeight="1" x14ac:dyDescent="0.25">
      <c r="A139" s="1" t="s">
        <v>559</v>
      </c>
      <c r="B139" s="1" t="s">
        <v>33</v>
      </c>
      <c r="C139" s="1" t="s">
        <v>72</v>
      </c>
      <c r="D139" s="1" t="s">
        <v>124</v>
      </c>
      <c r="E139" s="1" t="s">
        <v>163</v>
      </c>
      <c r="F139" s="1" t="s">
        <v>46</v>
      </c>
      <c r="G139" s="1" t="s">
        <v>137</v>
      </c>
      <c r="H139" s="1" t="s">
        <v>98</v>
      </c>
      <c r="I139" s="1" t="s">
        <v>85</v>
      </c>
    </row>
    <row r="140" spans="1:9" ht="14.25" customHeight="1" x14ac:dyDescent="0.25">
      <c r="A140" s="1" t="s">
        <v>560</v>
      </c>
      <c r="B140" s="1" t="s">
        <v>33</v>
      </c>
      <c r="C140" s="1" t="s">
        <v>72</v>
      </c>
      <c r="D140" s="1" t="s">
        <v>124</v>
      </c>
      <c r="E140" s="1" t="s">
        <v>85</v>
      </c>
      <c r="F140" s="1" t="s">
        <v>46</v>
      </c>
      <c r="G140" s="1" t="s">
        <v>137</v>
      </c>
      <c r="H140" s="1" t="s">
        <v>98</v>
      </c>
      <c r="I140" s="1" t="s">
        <v>176</v>
      </c>
    </row>
    <row r="141" spans="1:9" ht="14.25" customHeight="1" x14ac:dyDescent="0.25">
      <c r="A141" s="1" t="s">
        <v>561</v>
      </c>
      <c r="B141" s="1" t="s">
        <v>33</v>
      </c>
      <c r="C141" s="1" t="s">
        <v>72</v>
      </c>
      <c r="D141" s="1" t="s">
        <v>98</v>
      </c>
      <c r="E141" s="1" t="s">
        <v>163</v>
      </c>
      <c r="F141" s="1" t="s">
        <v>46</v>
      </c>
      <c r="G141" s="1" t="s">
        <v>124</v>
      </c>
      <c r="H141" s="1" t="s">
        <v>150</v>
      </c>
      <c r="I141" s="1" t="s">
        <v>85</v>
      </c>
    </row>
    <row r="142" spans="1:9" ht="14.25" customHeight="1" x14ac:dyDescent="0.25">
      <c r="A142" s="1" t="s">
        <v>562</v>
      </c>
      <c r="B142" s="1" t="s">
        <v>46</v>
      </c>
      <c r="C142" s="1" t="s">
        <v>72</v>
      </c>
      <c r="D142" s="1" t="s">
        <v>85</v>
      </c>
      <c r="E142" s="1" t="s">
        <v>124</v>
      </c>
      <c r="F142" s="1" t="s">
        <v>150</v>
      </c>
      <c r="G142" s="1" t="s">
        <v>33</v>
      </c>
      <c r="H142" s="1" t="s">
        <v>98</v>
      </c>
      <c r="I142" s="1" t="s">
        <v>176</v>
      </c>
    </row>
    <row r="143" spans="1:9" ht="14.25" customHeight="1" x14ac:dyDescent="0.25">
      <c r="A143" s="1" t="s">
        <v>563</v>
      </c>
      <c r="B143" s="1" t="s">
        <v>72</v>
      </c>
      <c r="C143" s="1" t="s">
        <v>124</v>
      </c>
      <c r="D143" s="1" t="s">
        <v>98</v>
      </c>
      <c r="E143" s="1" t="s">
        <v>163</v>
      </c>
      <c r="F143" s="1" t="s">
        <v>46</v>
      </c>
      <c r="G143" s="1" t="s">
        <v>33</v>
      </c>
      <c r="H143" s="1" t="s">
        <v>85</v>
      </c>
      <c r="I143" s="1" t="s">
        <v>176</v>
      </c>
    </row>
    <row r="144" spans="1:9" ht="14.25" customHeight="1" x14ac:dyDescent="0.25">
      <c r="A144" s="1" t="s">
        <v>564</v>
      </c>
      <c r="B144" s="1" t="s">
        <v>46</v>
      </c>
      <c r="C144" s="1" t="s">
        <v>72</v>
      </c>
      <c r="D144" s="1" t="s">
        <v>85</v>
      </c>
      <c r="E144" s="1" t="s">
        <v>163</v>
      </c>
      <c r="F144" s="1" t="s">
        <v>150</v>
      </c>
      <c r="G144" s="1" t="s">
        <v>33</v>
      </c>
      <c r="H144" s="1" t="s">
        <v>98</v>
      </c>
      <c r="I144" s="1" t="s">
        <v>137</v>
      </c>
    </row>
    <row r="145" spans="1:9" ht="14.25" customHeight="1" x14ac:dyDescent="0.25">
      <c r="A145" s="1" t="s">
        <v>565</v>
      </c>
      <c r="B145" s="1" t="s">
        <v>46</v>
      </c>
      <c r="C145" s="1" t="s">
        <v>72</v>
      </c>
      <c r="D145" s="1" t="s">
        <v>85</v>
      </c>
      <c r="E145" s="1" t="s">
        <v>137</v>
      </c>
      <c r="F145" s="1" t="s">
        <v>150</v>
      </c>
      <c r="G145" s="1" t="s">
        <v>33</v>
      </c>
      <c r="H145" s="1" t="s">
        <v>98</v>
      </c>
      <c r="I145" s="1" t="s">
        <v>176</v>
      </c>
    </row>
    <row r="146" spans="1:9" ht="14.25" customHeight="1" x14ac:dyDescent="0.25">
      <c r="A146" s="1" t="s">
        <v>566</v>
      </c>
      <c r="B146" s="1" t="s">
        <v>46</v>
      </c>
      <c r="C146" s="1" t="s">
        <v>72</v>
      </c>
      <c r="D146" s="1" t="s">
        <v>85</v>
      </c>
      <c r="E146" s="1" t="s">
        <v>163</v>
      </c>
      <c r="F146" s="1" t="s">
        <v>137</v>
      </c>
      <c r="G146" s="1" t="s">
        <v>33</v>
      </c>
      <c r="H146" s="1" t="s">
        <v>98</v>
      </c>
      <c r="I146" s="1" t="s">
        <v>176</v>
      </c>
    </row>
    <row r="147" spans="1:9" ht="14.25" customHeight="1" x14ac:dyDescent="0.25">
      <c r="A147" s="1" t="s">
        <v>567</v>
      </c>
      <c r="B147" s="1" t="s">
        <v>46</v>
      </c>
      <c r="C147" s="1" t="s">
        <v>72</v>
      </c>
      <c r="D147" s="1" t="s">
        <v>85</v>
      </c>
      <c r="E147" s="1" t="s">
        <v>163</v>
      </c>
      <c r="F147" s="1" t="s">
        <v>150</v>
      </c>
      <c r="G147" s="1" t="s">
        <v>33</v>
      </c>
      <c r="H147" s="1" t="s">
        <v>98</v>
      </c>
      <c r="I147" s="1" t="s">
        <v>176</v>
      </c>
    </row>
    <row r="148" spans="1:9" ht="14.25" customHeight="1" x14ac:dyDescent="0.25">
      <c r="A148" s="1" t="s">
        <v>568</v>
      </c>
      <c r="B148" s="1" t="s">
        <v>33</v>
      </c>
      <c r="C148" s="1" t="s">
        <v>72</v>
      </c>
      <c r="D148" s="1" t="s">
        <v>85</v>
      </c>
      <c r="E148" s="1" t="s">
        <v>124</v>
      </c>
      <c r="F148" s="1" t="s">
        <v>46</v>
      </c>
      <c r="G148" s="1" t="s">
        <v>150</v>
      </c>
      <c r="H148" s="1" t="s">
        <v>111</v>
      </c>
      <c r="I148" s="1" t="s">
        <v>137</v>
      </c>
    </row>
    <row r="149" spans="1:9" ht="14.25" customHeight="1" x14ac:dyDescent="0.25">
      <c r="A149" s="1" t="s">
        <v>569</v>
      </c>
      <c r="B149" s="1" t="s">
        <v>33</v>
      </c>
      <c r="C149" s="1" t="s">
        <v>72</v>
      </c>
      <c r="D149" s="1" t="s">
        <v>124</v>
      </c>
      <c r="E149" s="1" t="s">
        <v>163</v>
      </c>
      <c r="F149" s="1" t="s">
        <v>46</v>
      </c>
      <c r="G149" s="1" t="s">
        <v>137</v>
      </c>
      <c r="H149" s="1" t="s">
        <v>111</v>
      </c>
      <c r="I149" s="1" t="s">
        <v>85</v>
      </c>
    </row>
    <row r="150" spans="1:9" ht="14.25" customHeight="1" x14ac:dyDescent="0.25">
      <c r="A150" s="1" t="s">
        <v>570</v>
      </c>
      <c r="B150" s="1" t="s">
        <v>33</v>
      </c>
      <c r="C150" s="1" t="s">
        <v>72</v>
      </c>
      <c r="D150" s="1" t="s">
        <v>85</v>
      </c>
      <c r="E150" s="1" t="s">
        <v>124</v>
      </c>
      <c r="F150" s="1" t="s">
        <v>46</v>
      </c>
      <c r="G150" s="1" t="s">
        <v>137</v>
      </c>
      <c r="H150" s="1" t="s">
        <v>111</v>
      </c>
      <c r="I150" s="1" t="s">
        <v>176</v>
      </c>
    </row>
    <row r="151" spans="1:9" ht="14.25" customHeight="1" x14ac:dyDescent="0.25">
      <c r="A151" s="1" t="s">
        <v>571</v>
      </c>
      <c r="B151" s="1" t="s">
        <v>33</v>
      </c>
      <c r="C151" s="1" t="s">
        <v>124</v>
      </c>
      <c r="D151" s="1" t="s">
        <v>85</v>
      </c>
      <c r="E151" s="1" t="s">
        <v>163</v>
      </c>
      <c r="F151" s="1" t="s">
        <v>46</v>
      </c>
      <c r="G151" s="1" t="s">
        <v>150</v>
      </c>
      <c r="H151" s="1" t="s">
        <v>111</v>
      </c>
      <c r="I151" s="1" t="s">
        <v>72</v>
      </c>
    </row>
    <row r="152" spans="1:9" ht="14.25" customHeight="1" x14ac:dyDescent="0.25">
      <c r="A152" s="1" t="s">
        <v>572</v>
      </c>
      <c r="B152" s="1" t="s">
        <v>33</v>
      </c>
      <c r="C152" s="1" t="s">
        <v>72</v>
      </c>
      <c r="D152" s="1" t="s">
        <v>85</v>
      </c>
      <c r="E152" s="1" t="s">
        <v>124</v>
      </c>
      <c r="F152" s="1" t="s">
        <v>46</v>
      </c>
      <c r="G152" s="1" t="s">
        <v>150</v>
      </c>
      <c r="H152" s="1" t="s">
        <v>111</v>
      </c>
      <c r="I152" s="1" t="s">
        <v>176</v>
      </c>
    </row>
    <row r="153" spans="1:9" ht="14.25" customHeight="1" x14ac:dyDescent="0.25">
      <c r="A153" s="1" t="s">
        <v>573</v>
      </c>
      <c r="B153" s="1" t="s">
        <v>72</v>
      </c>
      <c r="C153" s="1" t="s">
        <v>124</v>
      </c>
      <c r="D153" s="1" t="s">
        <v>85</v>
      </c>
      <c r="E153" s="1" t="s">
        <v>163</v>
      </c>
      <c r="F153" s="1" t="s">
        <v>46</v>
      </c>
      <c r="G153" s="1" t="s">
        <v>33</v>
      </c>
      <c r="H153" s="1" t="s">
        <v>111</v>
      </c>
      <c r="I153" s="1" t="s">
        <v>176</v>
      </c>
    </row>
    <row r="154" spans="1:9" ht="14.25" customHeight="1" x14ac:dyDescent="0.25">
      <c r="A154" s="1" t="s">
        <v>574</v>
      </c>
      <c r="B154" s="1" t="s">
        <v>33</v>
      </c>
      <c r="C154" s="1" t="s">
        <v>72</v>
      </c>
      <c r="D154" s="1" t="s">
        <v>85</v>
      </c>
      <c r="E154" s="1" t="s">
        <v>163</v>
      </c>
      <c r="F154" s="1" t="s">
        <v>46</v>
      </c>
      <c r="G154" s="1" t="s">
        <v>150</v>
      </c>
      <c r="H154" s="1" t="s">
        <v>111</v>
      </c>
      <c r="I154" s="1" t="s">
        <v>137</v>
      </c>
    </row>
    <row r="155" spans="1:9" ht="14.25" customHeight="1" x14ac:dyDescent="0.25">
      <c r="A155" s="1" t="s">
        <v>575</v>
      </c>
      <c r="B155" s="1" t="s">
        <v>33</v>
      </c>
      <c r="C155" s="1" t="s">
        <v>72</v>
      </c>
      <c r="D155" s="1" t="s">
        <v>85</v>
      </c>
      <c r="E155" s="1" t="s">
        <v>137</v>
      </c>
      <c r="F155" s="1" t="s">
        <v>46</v>
      </c>
      <c r="G155" s="1" t="s">
        <v>150</v>
      </c>
      <c r="H155" s="1" t="s">
        <v>111</v>
      </c>
      <c r="I155" s="1" t="s">
        <v>176</v>
      </c>
    </row>
    <row r="156" spans="1:9" ht="14.25" customHeight="1" x14ac:dyDescent="0.25">
      <c r="A156" s="1" t="s">
        <v>576</v>
      </c>
      <c r="B156" s="1" t="s">
        <v>33</v>
      </c>
      <c r="C156" s="1" t="s">
        <v>72</v>
      </c>
      <c r="D156" s="1" t="s">
        <v>85</v>
      </c>
      <c r="E156" s="1" t="s">
        <v>163</v>
      </c>
      <c r="F156" s="1" t="s">
        <v>46</v>
      </c>
      <c r="G156" s="1" t="s">
        <v>137</v>
      </c>
      <c r="H156" s="1" t="s">
        <v>111</v>
      </c>
      <c r="I156" s="1" t="s">
        <v>176</v>
      </c>
    </row>
    <row r="157" spans="1:9" ht="14.25" customHeight="1" x14ac:dyDescent="0.25">
      <c r="A157" s="1" t="s">
        <v>577</v>
      </c>
      <c r="B157" s="1" t="s">
        <v>33</v>
      </c>
      <c r="C157" s="1" t="s">
        <v>72</v>
      </c>
      <c r="D157" s="1" t="s">
        <v>85</v>
      </c>
      <c r="E157" s="1" t="s">
        <v>163</v>
      </c>
      <c r="F157" s="1" t="s">
        <v>46</v>
      </c>
      <c r="G157" s="1" t="s">
        <v>150</v>
      </c>
      <c r="H157" s="1" t="s">
        <v>111</v>
      </c>
      <c r="I157" s="1" t="s">
        <v>176</v>
      </c>
    </row>
    <row r="158" spans="1:9" ht="14.25" customHeight="1" x14ac:dyDescent="0.25">
      <c r="A158" s="1" t="s">
        <v>578</v>
      </c>
      <c r="B158" s="1" t="s">
        <v>33</v>
      </c>
      <c r="C158" s="1" t="s">
        <v>72</v>
      </c>
      <c r="D158" s="1" t="s">
        <v>85</v>
      </c>
      <c r="E158" s="1" t="s">
        <v>163</v>
      </c>
      <c r="F158" s="1" t="s">
        <v>46</v>
      </c>
      <c r="G158" s="1" t="s">
        <v>124</v>
      </c>
      <c r="H158" s="1" t="s">
        <v>137</v>
      </c>
      <c r="I158" s="1" t="s">
        <v>150</v>
      </c>
    </row>
    <row r="159" spans="1:9" ht="14.25" customHeight="1" x14ac:dyDescent="0.25">
      <c r="A159" s="1" t="s">
        <v>579</v>
      </c>
      <c r="B159" s="1" t="s">
        <v>33</v>
      </c>
      <c r="C159" s="1" t="s">
        <v>72</v>
      </c>
      <c r="D159" s="1" t="s">
        <v>85</v>
      </c>
      <c r="E159" s="1" t="s">
        <v>124</v>
      </c>
      <c r="F159" s="1" t="s">
        <v>46</v>
      </c>
      <c r="G159" s="1" t="s">
        <v>150</v>
      </c>
      <c r="H159" s="1" t="s">
        <v>137</v>
      </c>
      <c r="I159" s="1" t="s">
        <v>176</v>
      </c>
    </row>
    <row r="160" spans="1:9" ht="14.25" customHeight="1" x14ac:dyDescent="0.25">
      <c r="A160" s="1" t="s">
        <v>580</v>
      </c>
      <c r="B160" s="1" t="s">
        <v>33</v>
      </c>
      <c r="C160" s="1" t="s">
        <v>72</v>
      </c>
      <c r="D160" s="1" t="s">
        <v>124</v>
      </c>
      <c r="E160" s="1" t="s">
        <v>163</v>
      </c>
      <c r="F160" s="1" t="s">
        <v>46</v>
      </c>
      <c r="G160" s="1" t="s">
        <v>137</v>
      </c>
      <c r="H160" s="1" t="s">
        <v>85</v>
      </c>
      <c r="I160" s="1" t="s">
        <v>176</v>
      </c>
    </row>
    <row r="161" spans="1:9" ht="14.25" customHeight="1" x14ac:dyDescent="0.25">
      <c r="A161" s="1" t="s">
        <v>581</v>
      </c>
      <c r="B161" s="1" t="s">
        <v>33</v>
      </c>
      <c r="C161" s="1" t="s">
        <v>72</v>
      </c>
      <c r="D161" s="1" t="s">
        <v>85</v>
      </c>
      <c r="E161" s="1" t="s">
        <v>163</v>
      </c>
      <c r="F161" s="1" t="s">
        <v>46</v>
      </c>
      <c r="G161" s="1" t="s">
        <v>124</v>
      </c>
      <c r="H161" s="1" t="s">
        <v>150</v>
      </c>
      <c r="I161" s="1" t="s">
        <v>176</v>
      </c>
    </row>
    <row r="162" spans="1:9" ht="14.25" customHeight="1" x14ac:dyDescent="0.25">
      <c r="A162" s="1" t="s">
        <v>582</v>
      </c>
      <c r="B162" s="1" t="s">
        <v>33</v>
      </c>
      <c r="C162" s="1" t="s">
        <v>72</v>
      </c>
      <c r="D162" s="1" t="s">
        <v>85</v>
      </c>
      <c r="E162" s="1" t="s">
        <v>163</v>
      </c>
      <c r="F162" s="1" t="s">
        <v>46</v>
      </c>
      <c r="G162" s="1" t="s">
        <v>150</v>
      </c>
      <c r="H162" s="1" t="s">
        <v>137</v>
      </c>
      <c r="I162" s="1" t="s">
        <v>176</v>
      </c>
    </row>
    <row r="163" spans="1:9" ht="14.25" customHeight="1" x14ac:dyDescent="0.25">
      <c r="A163" s="1" t="s">
        <v>583</v>
      </c>
      <c r="B163" s="1" t="s">
        <v>33</v>
      </c>
      <c r="C163" s="1" t="s">
        <v>72</v>
      </c>
      <c r="D163" s="1" t="s">
        <v>98</v>
      </c>
      <c r="E163" s="1" t="s">
        <v>124</v>
      </c>
      <c r="F163" s="1" t="s">
        <v>46</v>
      </c>
      <c r="G163" s="1" t="s">
        <v>150</v>
      </c>
      <c r="H163" s="1" t="s">
        <v>111</v>
      </c>
      <c r="I163" s="1" t="s">
        <v>137</v>
      </c>
    </row>
    <row r="164" spans="1:9" ht="14.25" customHeight="1" x14ac:dyDescent="0.25">
      <c r="A164" s="1" t="s">
        <v>584</v>
      </c>
      <c r="B164" s="1" t="s">
        <v>33</v>
      </c>
      <c r="C164" s="1" t="s">
        <v>124</v>
      </c>
      <c r="D164" s="1" t="s">
        <v>98</v>
      </c>
      <c r="E164" s="1" t="s">
        <v>163</v>
      </c>
      <c r="F164" s="1" t="s">
        <v>46</v>
      </c>
      <c r="G164" s="1" t="s">
        <v>137</v>
      </c>
      <c r="H164" s="1" t="s">
        <v>111</v>
      </c>
      <c r="I164" s="1" t="s">
        <v>72</v>
      </c>
    </row>
    <row r="165" spans="1:9" ht="14.25" customHeight="1" x14ac:dyDescent="0.25">
      <c r="A165" s="1" t="s">
        <v>585</v>
      </c>
      <c r="B165" s="1" t="s">
        <v>72</v>
      </c>
      <c r="C165" s="1" t="s">
        <v>111</v>
      </c>
      <c r="D165" s="1" t="s">
        <v>98</v>
      </c>
      <c r="E165" s="1" t="s">
        <v>124</v>
      </c>
      <c r="F165" s="1" t="s">
        <v>46</v>
      </c>
      <c r="G165" s="1" t="s">
        <v>33</v>
      </c>
      <c r="H165" s="1" t="s">
        <v>137</v>
      </c>
      <c r="I165" s="1" t="s">
        <v>176</v>
      </c>
    </row>
    <row r="166" spans="1:9" ht="14.25" customHeight="1" x14ac:dyDescent="0.25">
      <c r="A166" s="1" t="s">
        <v>586</v>
      </c>
      <c r="B166" s="1" t="s">
        <v>33</v>
      </c>
      <c r="C166" s="1" t="s">
        <v>124</v>
      </c>
      <c r="D166" s="1" t="s">
        <v>98</v>
      </c>
      <c r="E166" s="1" t="s">
        <v>163</v>
      </c>
      <c r="F166" s="1" t="s">
        <v>46</v>
      </c>
      <c r="G166" s="1" t="s">
        <v>150</v>
      </c>
      <c r="H166" s="1" t="s">
        <v>111</v>
      </c>
      <c r="I166" s="1" t="s">
        <v>72</v>
      </c>
    </row>
    <row r="167" spans="1:9" ht="14.25" customHeight="1" x14ac:dyDescent="0.25">
      <c r="A167" s="1" t="s">
        <v>587</v>
      </c>
      <c r="B167" s="1" t="s">
        <v>33</v>
      </c>
      <c r="C167" s="1" t="s">
        <v>72</v>
      </c>
      <c r="D167" s="1" t="s">
        <v>98</v>
      </c>
      <c r="E167" s="1" t="s">
        <v>124</v>
      </c>
      <c r="F167" s="1" t="s">
        <v>46</v>
      </c>
      <c r="G167" s="1" t="s">
        <v>150</v>
      </c>
      <c r="H167" s="1" t="s">
        <v>111</v>
      </c>
      <c r="I167" s="1" t="s">
        <v>176</v>
      </c>
    </row>
    <row r="168" spans="1:9" ht="14.25" customHeight="1" x14ac:dyDescent="0.25">
      <c r="A168" s="1" t="s">
        <v>588</v>
      </c>
      <c r="B168" s="1" t="s">
        <v>72</v>
      </c>
      <c r="C168" s="1" t="s">
        <v>124</v>
      </c>
      <c r="D168" s="1" t="s">
        <v>98</v>
      </c>
      <c r="E168" s="1" t="s">
        <v>163</v>
      </c>
      <c r="F168" s="1" t="s">
        <v>46</v>
      </c>
      <c r="G168" s="1" t="s">
        <v>33</v>
      </c>
      <c r="H168" s="1" t="s">
        <v>111</v>
      </c>
      <c r="I168" s="1" t="s">
        <v>176</v>
      </c>
    </row>
    <row r="169" spans="1:9" ht="14.25" customHeight="1" x14ac:dyDescent="0.25">
      <c r="A169" s="1" t="s">
        <v>589</v>
      </c>
      <c r="B169" s="1" t="s">
        <v>33</v>
      </c>
      <c r="C169" s="1" t="s">
        <v>72</v>
      </c>
      <c r="D169" s="1" t="s">
        <v>98</v>
      </c>
      <c r="E169" s="1" t="s">
        <v>163</v>
      </c>
      <c r="F169" s="1" t="s">
        <v>46</v>
      </c>
      <c r="G169" s="1" t="s">
        <v>150</v>
      </c>
      <c r="H169" s="1" t="s">
        <v>111</v>
      </c>
      <c r="I169" s="1" t="s">
        <v>137</v>
      </c>
    </row>
    <row r="170" spans="1:9" ht="14.25" customHeight="1" x14ac:dyDescent="0.25">
      <c r="A170" s="1" t="s">
        <v>590</v>
      </c>
      <c r="B170" s="1" t="s">
        <v>46</v>
      </c>
      <c r="C170" s="1" t="s">
        <v>72</v>
      </c>
      <c r="D170" s="1" t="s">
        <v>98</v>
      </c>
      <c r="E170" s="1" t="s">
        <v>137</v>
      </c>
      <c r="F170" s="1" t="s">
        <v>150</v>
      </c>
      <c r="G170" s="1" t="s">
        <v>33</v>
      </c>
      <c r="H170" s="1" t="s">
        <v>111</v>
      </c>
      <c r="I170" s="1" t="s">
        <v>176</v>
      </c>
    </row>
    <row r="171" spans="1:9" ht="14.25" customHeight="1" x14ac:dyDescent="0.25">
      <c r="A171" s="1" t="s">
        <v>591</v>
      </c>
      <c r="B171" s="1" t="s">
        <v>46</v>
      </c>
      <c r="C171" s="1" t="s">
        <v>72</v>
      </c>
      <c r="D171" s="1" t="s">
        <v>98</v>
      </c>
      <c r="E171" s="1" t="s">
        <v>163</v>
      </c>
      <c r="F171" s="1" t="s">
        <v>137</v>
      </c>
      <c r="G171" s="1" t="s">
        <v>33</v>
      </c>
      <c r="H171" s="1" t="s">
        <v>111</v>
      </c>
      <c r="I171" s="1" t="s">
        <v>176</v>
      </c>
    </row>
    <row r="172" spans="1:9" ht="14.25" customHeight="1" x14ac:dyDescent="0.25">
      <c r="A172" s="1" t="s">
        <v>592</v>
      </c>
      <c r="B172" s="1" t="s">
        <v>46</v>
      </c>
      <c r="C172" s="1" t="s">
        <v>72</v>
      </c>
      <c r="D172" s="1" t="s">
        <v>98</v>
      </c>
      <c r="E172" s="1" t="s">
        <v>163</v>
      </c>
      <c r="F172" s="1" t="s">
        <v>150</v>
      </c>
      <c r="G172" s="1" t="s">
        <v>33</v>
      </c>
      <c r="H172" s="1" t="s">
        <v>111</v>
      </c>
      <c r="I172" s="1" t="s">
        <v>176</v>
      </c>
    </row>
    <row r="173" spans="1:9" ht="14.25" customHeight="1" x14ac:dyDescent="0.25">
      <c r="A173" s="1" t="s">
        <v>593</v>
      </c>
      <c r="B173" s="1" t="s">
        <v>33</v>
      </c>
      <c r="C173" s="1" t="s">
        <v>72</v>
      </c>
      <c r="D173" s="1" t="s">
        <v>98</v>
      </c>
      <c r="E173" s="1" t="s">
        <v>163</v>
      </c>
      <c r="F173" s="1" t="s">
        <v>46</v>
      </c>
      <c r="G173" s="1" t="s">
        <v>124</v>
      </c>
      <c r="H173" s="1" t="s">
        <v>150</v>
      </c>
      <c r="I173" s="1" t="s">
        <v>137</v>
      </c>
    </row>
    <row r="174" spans="1:9" ht="14.25" customHeight="1" x14ac:dyDescent="0.25">
      <c r="A174" s="1" t="s">
        <v>594</v>
      </c>
      <c r="B174" s="1" t="s">
        <v>33</v>
      </c>
      <c r="C174" s="1" t="s">
        <v>72</v>
      </c>
      <c r="D174" s="1" t="s">
        <v>98</v>
      </c>
      <c r="E174" s="1" t="s">
        <v>124</v>
      </c>
      <c r="F174" s="1" t="s">
        <v>46</v>
      </c>
      <c r="G174" s="1" t="s">
        <v>150</v>
      </c>
      <c r="H174" s="1" t="s">
        <v>137</v>
      </c>
      <c r="I174" s="1" t="s">
        <v>176</v>
      </c>
    </row>
    <row r="175" spans="1:9" ht="14.25" customHeight="1" x14ac:dyDescent="0.25">
      <c r="A175" s="1" t="s">
        <v>595</v>
      </c>
      <c r="B175" s="1" t="s">
        <v>33</v>
      </c>
      <c r="C175" s="1" t="s">
        <v>72</v>
      </c>
      <c r="D175" s="1" t="s">
        <v>124</v>
      </c>
      <c r="E175" s="1" t="s">
        <v>163</v>
      </c>
      <c r="F175" s="1" t="s">
        <v>46</v>
      </c>
      <c r="G175" s="1" t="s">
        <v>137</v>
      </c>
      <c r="H175" s="1" t="s">
        <v>98</v>
      </c>
      <c r="I175" s="1" t="s">
        <v>176</v>
      </c>
    </row>
    <row r="176" spans="1:9" ht="14.25" customHeight="1" x14ac:dyDescent="0.25">
      <c r="A176" s="1" t="s">
        <v>596</v>
      </c>
      <c r="B176" s="1" t="s">
        <v>33</v>
      </c>
      <c r="C176" s="1" t="s">
        <v>72</v>
      </c>
      <c r="D176" s="1" t="s">
        <v>98</v>
      </c>
      <c r="E176" s="1" t="s">
        <v>163</v>
      </c>
      <c r="F176" s="1" t="s">
        <v>46</v>
      </c>
      <c r="G176" s="1" t="s">
        <v>124</v>
      </c>
      <c r="H176" s="1" t="s">
        <v>150</v>
      </c>
      <c r="I176" s="1" t="s">
        <v>176</v>
      </c>
    </row>
    <row r="177" spans="1:9" ht="14.25" customHeight="1" x14ac:dyDescent="0.25">
      <c r="A177" s="1" t="s">
        <v>597</v>
      </c>
      <c r="B177" s="1" t="s">
        <v>33</v>
      </c>
      <c r="C177" s="1" t="s">
        <v>72</v>
      </c>
      <c r="D177" s="1" t="s">
        <v>98</v>
      </c>
      <c r="E177" s="1" t="s">
        <v>163</v>
      </c>
      <c r="F177" s="1" t="s">
        <v>46</v>
      </c>
      <c r="G177" s="1" t="s">
        <v>150</v>
      </c>
      <c r="H177" s="1" t="s">
        <v>137</v>
      </c>
      <c r="I177" s="1" t="s">
        <v>176</v>
      </c>
    </row>
    <row r="178" spans="1:9" ht="14.25" customHeight="1" x14ac:dyDescent="0.25">
      <c r="A178" s="1" t="s">
        <v>598</v>
      </c>
      <c r="B178" s="1" t="s">
        <v>33</v>
      </c>
      <c r="C178" s="1" t="s">
        <v>72</v>
      </c>
      <c r="D178" s="1" t="s">
        <v>124</v>
      </c>
      <c r="E178" s="1" t="s">
        <v>163</v>
      </c>
      <c r="F178" s="1" t="s">
        <v>46</v>
      </c>
      <c r="G178" s="1" t="s">
        <v>150</v>
      </c>
      <c r="H178" s="1" t="s">
        <v>111</v>
      </c>
      <c r="I178" s="1" t="s">
        <v>137</v>
      </c>
    </row>
    <row r="179" spans="1:9" ht="14.25" customHeight="1" x14ac:dyDescent="0.25">
      <c r="A179" s="1" t="s">
        <v>599</v>
      </c>
      <c r="B179" s="1" t="s">
        <v>33</v>
      </c>
      <c r="C179" s="1" t="s">
        <v>72</v>
      </c>
      <c r="D179" s="1" t="s">
        <v>124</v>
      </c>
      <c r="E179" s="1" t="s">
        <v>137</v>
      </c>
      <c r="F179" s="1" t="s">
        <v>46</v>
      </c>
      <c r="G179" s="1" t="s">
        <v>150</v>
      </c>
      <c r="H179" s="1" t="s">
        <v>111</v>
      </c>
      <c r="I179" s="1" t="s">
        <v>176</v>
      </c>
    </row>
    <row r="180" spans="1:9" ht="14.25" customHeight="1" x14ac:dyDescent="0.25">
      <c r="A180" s="1" t="s">
        <v>600</v>
      </c>
      <c r="B180" s="1" t="s">
        <v>33</v>
      </c>
      <c r="C180" s="1" t="s">
        <v>72</v>
      </c>
      <c r="D180" s="1" t="s">
        <v>124</v>
      </c>
      <c r="E180" s="1" t="s">
        <v>163</v>
      </c>
      <c r="F180" s="1" t="s">
        <v>46</v>
      </c>
      <c r="G180" s="1" t="s">
        <v>137</v>
      </c>
      <c r="H180" s="1" t="s">
        <v>111</v>
      </c>
      <c r="I180" s="1" t="s">
        <v>176</v>
      </c>
    </row>
    <row r="181" spans="1:9" ht="14.25" customHeight="1" x14ac:dyDescent="0.25">
      <c r="A181" s="1" t="s">
        <v>601</v>
      </c>
      <c r="B181" s="1" t="s">
        <v>33</v>
      </c>
      <c r="C181" s="1" t="s">
        <v>72</v>
      </c>
      <c r="D181" s="1" t="s">
        <v>124</v>
      </c>
      <c r="E181" s="1" t="s">
        <v>163</v>
      </c>
      <c r="F181" s="1" t="s">
        <v>46</v>
      </c>
      <c r="G181" s="1" t="s">
        <v>150</v>
      </c>
      <c r="H181" s="1" t="s">
        <v>111</v>
      </c>
      <c r="I181" s="1" t="s">
        <v>176</v>
      </c>
    </row>
    <row r="182" spans="1:9" ht="14.25" customHeight="1" x14ac:dyDescent="0.25">
      <c r="A182" s="1" t="s">
        <v>602</v>
      </c>
      <c r="B182" s="1" t="s">
        <v>33</v>
      </c>
      <c r="C182" s="1" t="s">
        <v>72</v>
      </c>
      <c r="D182" s="1" t="s">
        <v>137</v>
      </c>
      <c r="E182" s="1" t="s">
        <v>163</v>
      </c>
      <c r="F182" s="1" t="s">
        <v>46</v>
      </c>
      <c r="G182" s="1" t="s">
        <v>150</v>
      </c>
      <c r="H182" s="1" t="s">
        <v>111</v>
      </c>
      <c r="I182" s="1" t="s">
        <v>176</v>
      </c>
    </row>
    <row r="183" spans="1:9" ht="14.25" customHeight="1" x14ac:dyDescent="0.25">
      <c r="A183" s="1" t="s">
        <v>603</v>
      </c>
      <c r="B183" s="1" t="s">
        <v>33</v>
      </c>
      <c r="C183" s="1" t="s">
        <v>72</v>
      </c>
      <c r="D183" s="1" t="s">
        <v>124</v>
      </c>
      <c r="E183" s="1" t="s">
        <v>163</v>
      </c>
      <c r="F183" s="1" t="s">
        <v>46</v>
      </c>
      <c r="G183" s="1" t="s">
        <v>150</v>
      </c>
      <c r="H183" s="1" t="s">
        <v>137</v>
      </c>
      <c r="I183" s="1" t="s">
        <v>176</v>
      </c>
    </row>
    <row r="184" spans="1:9" ht="14.25" customHeight="1" x14ac:dyDescent="0.25">
      <c r="A184" s="1" t="s">
        <v>604</v>
      </c>
      <c r="B184" s="1" t="s">
        <v>33</v>
      </c>
      <c r="C184" s="1" t="s">
        <v>98</v>
      </c>
      <c r="D184" s="1" t="s">
        <v>124</v>
      </c>
      <c r="E184" s="1" t="s">
        <v>137</v>
      </c>
      <c r="F184" s="1" t="s">
        <v>46</v>
      </c>
      <c r="G184" s="1" t="s">
        <v>150</v>
      </c>
      <c r="H184" s="1" t="s">
        <v>111</v>
      </c>
      <c r="I184" s="1" t="s">
        <v>85</v>
      </c>
    </row>
    <row r="185" spans="1:9" ht="14.25" customHeight="1" x14ac:dyDescent="0.25">
      <c r="A185" s="1" t="s">
        <v>605</v>
      </c>
      <c r="B185" s="1" t="s">
        <v>33</v>
      </c>
      <c r="C185" s="1" t="s">
        <v>98</v>
      </c>
      <c r="D185" s="1" t="s">
        <v>137</v>
      </c>
      <c r="E185" s="1" t="s">
        <v>163</v>
      </c>
      <c r="F185" s="1" t="s">
        <v>46</v>
      </c>
      <c r="G185" s="1" t="s">
        <v>124</v>
      </c>
      <c r="H185" s="1" t="s">
        <v>111</v>
      </c>
      <c r="I185" s="1" t="s">
        <v>85</v>
      </c>
    </row>
    <row r="186" spans="1:9" ht="14.25" customHeight="1" x14ac:dyDescent="0.25">
      <c r="A186" s="1" t="s">
        <v>606</v>
      </c>
      <c r="B186" s="1" t="s">
        <v>33</v>
      </c>
      <c r="C186" s="1" t="s">
        <v>98</v>
      </c>
      <c r="D186" s="1" t="s">
        <v>137</v>
      </c>
      <c r="E186" s="1" t="s">
        <v>85</v>
      </c>
      <c r="F186" s="1" t="s">
        <v>46</v>
      </c>
      <c r="G186" s="1" t="s">
        <v>124</v>
      </c>
      <c r="H186" s="1" t="s">
        <v>111</v>
      </c>
      <c r="I186" s="1" t="s">
        <v>176</v>
      </c>
    </row>
    <row r="187" spans="1:9" ht="14.25" customHeight="1" x14ac:dyDescent="0.25">
      <c r="A187" s="1" t="s">
        <v>607</v>
      </c>
      <c r="B187" s="1" t="s">
        <v>33</v>
      </c>
      <c r="C187" s="1" t="s">
        <v>111</v>
      </c>
      <c r="D187" s="1" t="s">
        <v>98</v>
      </c>
      <c r="E187" s="1" t="s">
        <v>163</v>
      </c>
      <c r="F187" s="1" t="s">
        <v>46</v>
      </c>
      <c r="G187" s="1" t="s">
        <v>124</v>
      </c>
      <c r="H187" s="1" t="s">
        <v>150</v>
      </c>
      <c r="I187" s="1" t="s">
        <v>85</v>
      </c>
    </row>
    <row r="188" spans="1:9" ht="14.25" customHeight="1" x14ac:dyDescent="0.25">
      <c r="A188" s="1" t="s">
        <v>608</v>
      </c>
      <c r="B188" s="1" t="s">
        <v>33</v>
      </c>
      <c r="C188" s="1" t="s">
        <v>98</v>
      </c>
      <c r="D188" s="1" t="s">
        <v>85</v>
      </c>
      <c r="E188" s="1" t="s">
        <v>124</v>
      </c>
      <c r="F188" s="1" t="s">
        <v>46</v>
      </c>
      <c r="G188" s="1" t="s">
        <v>150</v>
      </c>
      <c r="H188" s="1" t="s">
        <v>111</v>
      </c>
      <c r="I188" s="1" t="s">
        <v>176</v>
      </c>
    </row>
    <row r="189" spans="1:9" ht="14.25" customHeight="1" x14ac:dyDescent="0.25">
      <c r="A189" s="1" t="s">
        <v>609</v>
      </c>
      <c r="B189" s="1" t="s">
        <v>33</v>
      </c>
      <c r="C189" s="1" t="s">
        <v>124</v>
      </c>
      <c r="D189" s="1" t="s">
        <v>98</v>
      </c>
      <c r="E189" s="1" t="s">
        <v>163</v>
      </c>
      <c r="F189" s="1" t="s">
        <v>46</v>
      </c>
      <c r="G189" s="1" t="s">
        <v>85</v>
      </c>
      <c r="H189" s="1" t="s">
        <v>111</v>
      </c>
      <c r="I189" s="1" t="s">
        <v>176</v>
      </c>
    </row>
    <row r="190" spans="1:9" ht="14.25" customHeight="1" x14ac:dyDescent="0.25">
      <c r="A190" s="1" t="s">
        <v>610</v>
      </c>
      <c r="B190" s="1" t="s">
        <v>33</v>
      </c>
      <c r="C190" s="1" t="s">
        <v>98</v>
      </c>
      <c r="D190" s="1" t="s">
        <v>85</v>
      </c>
      <c r="E190" s="1" t="s">
        <v>163</v>
      </c>
      <c r="F190" s="1" t="s">
        <v>46</v>
      </c>
      <c r="G190" s="1" t="s">
        <v>150</v>
      </c>
      <c r="H190" s="1" t="s">
        <v>111</v>
      </c>
      <c r="I190" s="1" t="s">
        <v>137</v>
      </c>
    </row>
    <row r="191" spans="1:9" ht="14.25" customHeight="1" x14ac:dyDescent="0.25">
      <c r="A191" s="1" t="s">
        <v>611</v>
      </c>
      <c r="B191" s="1" t="s">
        <v>33</v>
      </c>
      <c r="C191" s="1" t="s">
        <v>98</v>
      </c>
      <c r="D191" s="1" t="s">
        <v>85</v>
      </c>
      <c r="E191" s="1" t="s">
        <v>137</v>
      </c>
      <c r="F191" s="1" t="s">
        <v>46</v>
      </c>
      <c r="G191" s="1" t="s">
        <v>150</v>
      </c>
      <c r="H191" s="1" t="s">
        <v>111</v>
      </c>
      <c r="I191" s="1" t="s">
        <v>176</v>
      </c>
    </row>
    <row r="192" spans="1:9" ht="14.25" customHeight="1" x14ac:dyDescent="0.25">
      <c r="A192" s="1" t="s">
        <v>612</v>
      </c>
      <c r="B192" s="1" t="s">
        <v>33</v>
      </c>
      <c r="C192" s="1" t="s">
        <v>98</v>
      </c>
      <c r="D192" s="1" t="s">
        <v>85</v>
      </c>
      <c r="E192" s="1" t="s">
        <v>163</v>
      </c>
      <c r="F192" s="1" t="s">
        <v>46</v>
      </c>
      <c r="G192" s="1" t="s">
        <v>137</v>
      </c>
      <c r="H192" s="1" t="s">
        <v>111</v>
      </c>
      <c r="I192" s="1" t="s">
        <v>176</v>
      </c>
    </row>
    <row r="193" spans="1:9" ht="14.25" customHeight="1" x14ac:dyDescent="0.25">
      <c r="A193" s="1" t="s">
        <v>613</v>
      </c>
      <c r="B193" s="1" t="s">
        <v>33</v>
      </c>
      <c r="C193" s="1" t="s">
        <v>98</v>
      </c>
      <c r="D193" s="1" t="s">
        <v>85</v>
      </c>
      <c r="E193" s="1" t="s">
        <v>163</v>
      </c>
      <c r="F193" s="1" t="s">
        <v>46</v>
      </c>
      <c r="G193" s="1" t="s">
        <v>150</v>
      </c>
      <c r="H193" s="1" t="s">
        <v>111</v>
      </c>
      <c r="I193" s="1" t="s">
        <v>176</v>
      </c>
    </row>
    <row r="194" spans="1:9" ht="14.25" customHeight="1" x14ac:dyDescent="0.25">
      <c r="A194" s="1" t="s">
        <v>614</v>
      </c>
      <c r="B194" s="1" t="s">
        <v>33</v>
      </c>
      <c r="C194" s="1" t="s">
        <v>98</v>
      </c>
      <c r="D194" s="1" t="s">
        <v>124</v>
      </c>
      <c r="E194" s="1" t="s">
        <v>163</v>
      </c>
      <c r="F194" s="1" t="s">
        <v>46</v>
      </c>
      <c r="G194" s="1" t="s">
        <v>150</v>
      </c>
      <c r="H194" s="1" t="s">
        <v>137</v>
      </c>
      <c r="I194" s="1" t="s">
        <v>85</v>
      </c>
    </row>
    <row r="195" spans="1:9" ht="14.25" customHeight="1" x14ac:dyDescent="0.25">
      <c r="A195" s="1" t="s">
        <v>615</v>
      </c>
      <c r="B195" s="1" t="s">
        <v>33</v>
      </c>
      <c r="C195" s="1" t="s">
        <v>98</v>
      </c>
      <c r="D195" s="1" t="s">
        <v>85</v>
      </c>
      <c r="E195" s="1" t="s">
        <v>124</v>
      </c>
      <c r="F195" s="1" t="s">
        <v>46</v>
      </c>
      <c r="G195" s="1" t="s">
        <v>150</v>
      </c>
      <c r="H195" s="1" t="s">
        <v>137</v>
      </c>
      <c r="I195" s="1" t="s">
        <v>176</v>
      </c>
    </row>
    <row r="196" spans="1:9" ht="14.25" customHeight="1" x14ac:dyDescent="0.25">
      <c r="A196" s="1" t="s">
        <v>616</v>
      </c>
      <c r="B196" s="1" t="s">
        <v>33</v>
      </c>
      <c r="C196" s="1" t="s">
        <v>98</v>
      </c>
      <c r="D196" s="1" t="s">
        <v>124</v>
      </c>
      <c r="E196" s="1" t="s">
        <v>163</v>
      </c>
      <c r="F196" s="1" t="s">
        <v>46</v>
      </c>
      <c r="G196" s="1" t="s">
        <v>137</v>
      </c>
      <c r="H196" s="1" t="s">
        <v>85</v>
      </c>
      <c r="I196" s="1" t="s">
        <v>176</v>
      </c>
    </row>
    <row r="197" spans="1:9" ht="14.25" customHeight="1" x14ac:dyDescent="0.25">
      <c r="A197" s="1" t="s">
        <v>617</v>
      </c>
      <c r="B197" s="1" t="s">
        <v>33</v>
      </c>
      <c r="C197" s="1" t="s">
        <v>98</v>
      </c>
      <c r="D197" s="1" t="s">
        <v>85</v>
      </c>
      <c r="E197" s="1" t="s">
        <v>163</v>
      </c>
      <c r="F197" s="1" t="s">
        <v>46</v>
      </c>
      <c r="G197" s="1" t="s">
        <v>124</v>
      </c>
      <c r="H197" s="1" t="s">
        <v>150</v>
      </c>
      <c r="I197" s="1" t="s">
        <v>176</v>
      </c>
    </row>
    <row r="198" spans="1:9" ht="14.25" customHeight="1" x14ac:dyDescent="0.25">
      <c r="A198" s="1" t="s">
        <v>618</v>
      </c>
      <c r="B198" s="1" t="s">
        <v>33</v>
      </c>
      <c r="C198" s="1" t="s">
        <v>98</v>
      </c>
      <c r="D198" s="1" t="s">
        <v>85</v>
      </c>
      <c r="E198" s="1" t="s">
        <v>163</v>
      </c>
      <c r="F198" s="1" t="s">
        <v>46</v>
      </c>
      <c r="G198" s="1" t="s">
        <v>150</v>
      </c>
      <c r="H198" s="1" t="s">
        <v>137</v>
      </c>
      <c r="I198" s="1" t="s">
        <v>176</v>
      </c>
    </row>
    <row r="199" spans="1:9" ht="14.25" customHeight="1" x14ac:dyDescent="0.25">
      <c r="A199" s="1" t="s">
        <v>619</v>
      </c>
      <c r="B199" s="1" t="s">
        <v>33</v>
      </c>
      <c r="C199" s="1" t="s">
        <v>111</v>
      </c>
      <c r="D199" s="1" t="s">
        <v>85</v>
      </c>
      <c r="E199" s="1" t="s">
        <v>163</v>
      </c>
      <c r="F199" s="1" t="s">
        <v>46</v>
      </c>
      <c r="G199" s="1" t="s">
        <v>124</v>
      </c>
      <c r="H199" s="1" t="s">
        <v>150</v>
      </c>
      <c r="I199" s="1" t="s">
        <v>137</v>
      </c>
    </row>
    <row r="200" spans="1:9" ht="14.25" customHeight="1" x14ac:dyDescent="0.25">
      <c r="A200" s="1" t="s">
        <v>620</v>
      </c>
      <c r="B200" s="1" t="s">
        <v>33</v>
      </c>
      <c r="C200" s="1" t="s">
        <v>111</v>
      </c>
      <c r="D200" s="1" t="s">
        <v>85</v>
      </c>
      <c r="E200" s="1" t="s">
        <v>124</v>
      </c>
      <c r="F200" s="1" t="s">
        <v>46</v>
      </c>
      <c r="G200" s="1" t="s">
        <v>150</v>
      </c>
      <c r="H200" s="1" t="s">
        <v>137</v>
      </c>
      <c r="I200" s="1" t="s">
        <v>176</v>
      </c>
    </row>
    <row r="201" spans="1:9" ht="14.25" customHeight="1" x14ac:dyDescent="0.25">
      <c r="A201" s="1" t="s">
        <v>621</v>
      </c>
      <c r="B201" s="1" t="s">
        <v>33</v>
      </c>
      <c r="C201" s="1" t="s">
        <v>111</v>
      </c>
      <c r="D201" s="1" t="s">
        <v>124</v>
      </c>
      <c r="E201" s="1" t="s">
        <v>163</v>
      </c>
      <c r="F201" s="1" t="s">
        <v>46</v>
      </c>
      <c r="G201" s="1" t="s">
        <v>137</v>
      </c>
      <c r="H201" s="1" t="s">
        <v>85</v>
      </c>
      <c r="I201" s="1" t="s">
        <v>176</v>
      </c>
    </row>
    <row r="202" spans="1:9" ht="14.25" customHeight="1" x14ac:dyDescent="0.25">
      <c r="A202" s="1" t="s">
        <v>622</v>
      </c>
      <c r="B202" s="1" t="s">
        <v>33</v>
      </c>
      <c r="C202" s="1" t="s">
        <v>111</v>
      </c>
      <c r="D202" s="1" t="s">
        <v>85</v>
      </c>
      <c r="E202" s="1" t="s">
        <v>163</v>
      </c>
      <c r="F202" s="1" t="s">
        <v>46</v>
      </c>
      <c r="G202" s="1" t="s">
        <v>124</v>
      </c>
      <c r="H202" s="1" t="s">
        <v>150</v>
      </c>
      <c r="I202" s="1" t="s">
        <v>176</v>
      </c>
    </row>
    <row r="203" spans="1:9" ht="14.25" customHeight="1" x14ac:dyDescent="0.25">
      <c r="A203" s="1" t="s">
        <v>623</v>
      </c>
      <c r="B203" s="1" t="s">
        <v>33</v>
      </c>
      <c r="C203" s="1" t="s">
        <v>111</v>
      </c>
      <c r="D203" s="1" t="s">
        <v>85</v>
      </c>
      <c r="E203" s="1" t="s">
        <v>163</v>
      </c>
      <c r="F203" s="1" t="s">
        <v>46</v>
      </c>
      <c r="G203" s="1" t="s">
        <v>150</v>
      </c>
      <c r="H203" s="1" t="s">
        <v>137</v>
      </c>
      <c r="I203" s="1" t="s">
        <v>176</v>
      </c>
    </row>
    <row r="204" spans="1:9" ht="14.25" customHeight="1" x14ac:dyDescent="0.25">
      <c r="A204" s="1" t="s">
        <v>624</v>
      </c>
      <c r="B204" s="1" t="s">
        <v>33</v>
      </c>
      <c r="C204" s="1" t="s">
        <v>124</v>
      </c>
      <c r="D204" s="1" t="s">
        <v>85</v>
      </c>
      <c r="E204" s="1" t="s">
        <v>163</v>
      </c>
      <c r="F204" s="1" t="s">
        <v>46</v>
      </c>
      <c r="G204" s="1" t="s">
        <v>150</v>
      </c>
      <c r="H204" s="1" t="s">
        <v>137</v>
      </c>
      <c r="I204" s="1" t="s">
        <v>176</v>
      </c>
    </row>
    <row r="205" spans="1:9" ht="14.25" customHeight="1" x14ac:dyDescent="0.25">
      <c r="A205" s="1" t="s">
        <v>625</v>
      </c>
      <c r="B205" s="1" t="s">
        <v>33</v>
      </c>
      <c r="C205" s="1" t="s">
        <v>111</v>
      </c>
      <c r="D205" s="1" t="s">
        <v>98</v>
      </c>
      <c r="E205" s="1" t="s">
        <v>163</v>
      </c>
      <c r="F205" s="1" t="s">
        <v>46</v>
      </c>
      <c r="G205" s="1" t="s">
        <v>124</v>
      </c>
      <c r="H205" s="1" t="s">
        <v>150</v>
      </c>
      <c r="I205" s="1" t="s">
        <v>137</v>
      </c>
    </row>
    <row r="206" spans="1:9" ht="14.25" customHeight="1" x14ac:dyDescent="0.25">
      <c r="A206" s="1" t="s">
        <v>626</v>
      </c>
      <c r="B206" s="1" t="s">
        <v>33</v>
      </c>
      <c r="C206" s="1" t="s">
        <v>98</v>
      </c>
      <c r="D206" s="1" t="s">
        <v>124</v>
      </c>
      <c r="E206" s="1" t="s">
        <v>137</v>
      </c>
      <c r="F206" s="1" t="s">
        <v>46</v>
      </c>
      <c r="G206" s="1" t="s">
        <v>150</v>
      </c>
      <c r="H206" s="1" t="s">
        <v>111</v>
      </c>
      <c r="I206" s="1" t="s">
        <v>176</v>
      </c>
    </row>
    <row r="207" spans="1:9" ht="14.25" customHeight="1" x14ac:dyDescent="0.25">
      <c r="A207" s="1" t="s">
        <v>627</v>
      </c>
      <c r="B207" s="1" t="s">
        <v>33</v>
      </c>
      <c r="C207" s="1" t="s">
        <v>98</v>
      </c>
      <c r="D207" s="1" t="s">
        <v>137</v>
      </c>
      <c r="E207" s="1" t="s">
        <v>163</v>
      </c>
      <c r="F207" s="1" t="s">
        <v>46</v>
      </c>
      <c r="G207" s="1" t="s">
        <v>124</v>
      </c>
      <c r="H207" s="1" t="s">
        <v>111</v>
      </c>
      <c r="I207" s="1" t="s">
        <v>176</v>
      </c>
    </row>
    <row r="208" spans="1:9" ht="14.25" customHeight="1" x14ac:dyDescent="0.25">
      <c r="A208" s="1" t="s">
        <v>628</v>
      </c>
      <c r="B208" s="1" t="s">
        <v>33</v>
      </c>
      <c r="C208" s="1" t="s">
        <v>111</v>
      </c>
      <c r="D208" s="1" t="s">
        <v>98</v>
      </c>
      <c r="E208" s="1" t="s">
        <v>163</v>
      </c>
      <c r="F208" s="1" t="s">
        <v>46</v>
      </c>
      <c r="G208" s="1" t="s">
        <v>124</v>
      </c>
      <c r="H208" s="1" t="s">
        <v>150</v>
      </c>
      <c r="I208" s="1" t="s">
        <v>176</v>
      </c>
    </row>
    <row r="209" spans="1:9" ht="14.25" customHeight="1" x14ac:dyDescent="0.25">
      <c r="A209" s="1" t="s">
        <v>629</v>
      </c>
      <c r="B209" s="1" t="s">
        <v>33</v>
      </c>
      <c r="C209" s="1" t="s">
        <v>98</v>
      </c>
      <c r="D209" s="1" t="s">
        <v>137</v>
      </c>
      <c r="E209" s="1" t="s">
        <v>163</v>
      </c>
      <c r="F209" s="1" t="s">
        <v>46</v>
      </c>
      <c r="G209" s="1" t="s">
        <v>150</v>
      </c>
      <c r="H209" s="1" t="s">
        <v>111</v>
      </c>
      <c r="I209" s="1" t="s">
        <v>176</v>
      </c>
    </row>
    <row r="210" spans="1:9" ht="14.25" customHeight="1" x14ac:dyDescent="0.25">
      <c r="A210" s="1" t="s">
        <v>630</v>
      </c>
      <c r="B210" s="1" t="s">
        <v>33</v>
      </c>
      <c r="C210" s="1" t="s">
        <v>98</v>
      </c>
      <c r="D210" s="1" t="s">
        <v>124</v>
      </c>
      <c r="E210" s="1" t="s">
        <v>163</v>
      </c>
      <c r="F210" s="1" t="s">
        <v>46</v>
      </c>
      <c r="G210" s="1" t="s">
        <v>150</v>
      </c>
      <c r="H210" s="1" t="s">
        <v>137</v>
      </c>
      <c r="I210" s="1" t="s">
        <v>176</v>
      </c>
    </row>
    <row r="211" spans="1:9" ht="14.25" customHeight="1" x14ac:dyDescent="0.25">
      <c r="A211" s="1" t="s">
        <v>631</v>
      </c>
      <c r="B211" s="1" t="s">
        <v>33</v>
      </c>
      <c r="C211" s="1" t="s">
        <v>111</v>
      </c>
      <c r="D211" s="1" t="s">
        <v>124</v>
      </c>
      <c r="E211" s="1" t="s">
        <v>163</v>
      </c>
      <c r="F211" s="1" t="s">
        <v>46</v>
      </c>
      <c r="G211" s="1" t="s">
        <v>150</v>
      </c>
      <c r="H211" s="1" t="s">
        <v>137</v>
      </c>
      <c r="I211" s="1" t="s">
        <v>176</v>
      </c>
    </row>
    <row r="212" spans="1:9" ht="14.25" customHeight="1" x14ac:dyDescent="0.25">
      <c r="A212" s="1" t="s">
        <v>632</v>
      </c>
      <c r="B212" s="1" t="s">
        <v>33</v>
      </c>
      <c r="C212" s="1" t="s">
        <v>59</v>
      </c>
      <c r="D212" s="1" t="s">
        <v>137</v>
      </c>
      <c r="E212" s="1" t="s">
        <v>85</v>
      </c>
      <c r="F212" s="1" t="s">
        <v>98</v>
      </c>
      <c r="G212" s="1" t="s">
        <v>124</v>
      </c>
      <c r="H212" s="1" t="s">
        <v>111</v>
      </c>
      <c r="I212" s="1" t="s">
        <v>72</v>
      </c>
    </row>
    <row r="213" spans="1:9" ht="14.25" customHeight="1" x14ac:dyDescent="0.25">
      <c r="A213" s="1" t="s">
        <v>633</v>
      </c>
      <c r="B213" s="1" t="s">
        <v>33</v>
      </c>
      <c r="C213" s="1" t="s">
        <v>124</v>
      </c>
      <c r="D213" s="1" t="s">
        <v>59</v>
      </c>
      <c r="E213" s="1" t="s">
        <v>85</v>
      </c>
      <c r="F213" s="1" t="s">
        <v>98</v>
      </c>
      <c r="G213" s="1" t="s">
        <v>150</v>
      </c>
      <c r="H213" s="1" t="s">
        <v>111</v>
      </c>
      <c r="I213" s="1" t="s">
        <v>72</v>
      </c>
    </row>
    <row r="214" spans="1:9" ht="14.25" customHeight="1" x14ac:dyDescent="0.25">
      <c r="A214" s="1" t="s">
        <v>634</v>
      </c>
      <c r="B214" s="1" t="s">
        <v>59</v>
      </c>
      <c r="C214" s="1" t="s">
        <v>111</v>
      </c>
      <c r="D214" s="1" t="s">
        <v>124</v>
      </c>
      <c r="E214" s="1" t="s">
        <v>163</v>
      </c>
      <c r="F214" s="1" t="s">
        <v>85</v>
      </c>
      <c r="G214" s="1" t="s">
        <v>33</v>
      </c>
      <c r="H214" s="1" t="s">
        <v>98</v>
      </c>
      <c r="I214" s="1" t="s">
        <v>72</v>
      </c>
    </row>
    <row r="215" spans="1:9" ht="14.25" customHeight="1" x14ac:dyDescent="0.25">
      <c r="A215" s="1" t="s">
        <v>635</v>
      </c>
      <c r="B215" s="1" t="s">
        <v>72</v>
      </c>
      <c r="C215" s="1" t="s">
        <v>124</v>
      </c>
      <c r="D215" s="1" t="s">
        <v>59</v>
      </c>
      <c r="E215" s="1" t="s">
        <v>85</v>
      </c>
      <c r="F215" s="1" t="s">
        <v>98</v>
      </c>
      <c r="G215" s="1" t="s">
        <v>33</v>
      </c>
      <c r="H215" s="1" t="s">
        <v>111</v>
      </c>
      <c r="I215" s="1" t="s">
        <v>176</v>
      </c>
    </row>
    <row r="216" spans="1:9" ht="14.25" customHeight="1" x14ac:dyDescent="0.25">
      <c r="A216" s="1" t="s">
        <v>636</v>
      </c>
      <c r="B216" s="1" t="s">
        <v>33</v>
      </c>
      <c r="C216" s="1" t="s">
        <v>72</v>
      </c>
      <c r="D216" s="1" t="s">
        <v>59</v>
      </c>
      <c r="E216" s="1" t="s">
        <v>85</v>
      </c>
      <c r="F216" s="1" t="s">
        <v>98</v>
      </c>
      <c r="G216" s="1" t="s">
        <v>137</v>
      </c>
      <c r="H216" s="1" t="s">
        <v>111</v>
      </c>
      <c r="I216" s="1" t="s">
        <v>150</v>
      </c>
    </row>
    <row r="217" spans="1:9" ht="14.25" customHeight="1" x14ac:dyDescent="0.25">
      <c r="A217" s="1" t="s">
        <v>637</v>
      </c>
      <c r="B217" s="1" t="s">
        <v>59</v>
      </c>
      <c r="C217" s="1" t="s">
        <v>111</v>
      </c>
      <c r="D217" s="1" t="s">
        <v>98</v>
      </c>
      <c r="E217" s="1" t="s">
        <v>163</v>
      </c>
      <c r="F217" s="1" t="s">
        <v>85</v>
      </c>
      <c r="G217" s="1" t="s">
        <v>33</v>
      </c>
      <c r="H217" s="1" t="s">
        <v>137</v>
      </c>
      <c r="I217" s="1" t="s">
        <v>72</v>
      </c>
    </row>
    <row r="218" spans="1:9" ht="14.25" customHeight="1" x14ac:dyDescent="0.25">
      <c r="A218" s="1" t="s">
        <v>638</v>
      </c>
      <c r="B218" s="1" t="s">
        <v>72</v>
      </c>
      <c r="C218" s="1" t="s">
        <v>111</v>
      </c>
      <c r="D218" s="1" t="s">
        <v>59</v>
      </c>
      <c r="E218" s="1" t="s">
        <v>85</v>
      </c>
      <c r="F218" s="1" t="s">
        <v>98</v>
      </c>
      <c r="G218" s="1" t="s">
        <v>33</v>
      </c>
      <c r="H218" s="1" t="s">
        <v>137</v>
      </c>
      <c r="I218" s="1" t="s">
        <v>176</v>
      </c>
    </row>
    <row r="219" spans="1:9" ht="14.25" customHeight="1" x14ac:dyDescent="0.25">
      <c r="A219" s="1" t="s">
        <v>639</v>
      </c>
      <c r="B219" s="1" t="s">
        <v>98</v>
      </c>
      <c r="C219" s="1" t="s">
        <v>111</v>
      </c>
      <c r="D219" s="1" t="s">
        <v>59</v>
      </c>
      <c r="E219" s="1" t="s">
        <v>163</v>
      </c>
      <c r="F219" s="1" t="s">
        <v>85</v>
      </c>
      <c r="G219" s="1" t="s">
        <v>33</v>
      </c>
      <c r="H219" s="1" t="s">
        <v>150</v>
      </c>
      <c r="I219" s="1" t="s">
        <v>72</v>
      </c>
    </row>
    <row r="220" spans="1:9" ht="14.25" customHeight="1" x14ac:dyDescent="0.25">
      <c r="A220" s="1" t="s">
        <v>640</v>
      </c>
      <c r="B220" s="1" t="s">
        <v>72</v>
      </c>
      <c r="C220" s="1" t="s">
        <v>111</v>
      </c>
      <c r="D220" s="1" t="s">
        <v>59</v>
      </c>
      <c r="E220" s="1" t="s">
        <v>85</v>
      </c>
      <c r="F220" s="1" t="s">
        <v>98</v>
      </c>
      <c r="G220" s="1" t="s">
        <v>33</v>
      </c>
      <c r="H220" s="1" t="s">
        <v>150</v>
      </c>
      <c r="I220" s="1" t="s">
        <v>176</v>
      </c>
    </row>
    <row r="221" spans="1:9" ht="14.25" customHeight="1" x14ac:dyDescent="0.25">
      <c r="A221" s="1" t="s">
        <v>641</v>
      </c>
      <c r="B221" s="1" t="s">
        <v>72</v>
      </c>
      <c r="C221" s="1" t="s">
        <v>111</v>
      </c>
      <c r="D221" s="1" t="s">
        <v>59</v>
      </c>
      <c r="E221" s="1" t="s">
        <v>163</v>
      </c>
      <c r="F221" s="1" t="s">
        <v>85</v>
      </c>
      <c r="G221" s="1" t="s">
        <v>33</v>
      </c>
      <c r="H221" s="1" t="s">
        <v>98</v>
      </c>
      <c r="I221" s="1" t="s">
        <v>176</v>
      </c>
    </row>
    <row r="222" spans="1:9" ht="14.25" customHeight="1" x14ac:dyDescent="0.25">
      <c r="A222" s="1" t="s">
        <v>642</v>
      </c>
      <c r="B222" s="1" t="s">
        <v>33</v>
      </c>
      <c r="C222" s="1" t="s">
        <v>59</v>
      </c>
      <c r="D222" s="1" t="s">
        <v>124</v>
      </c>
      <c r="E222" s="1" t="s">
        <v>85</v>
      </c>
      <c r="F222" s="1" t="s">
        <v>98</v>
      </c>
      <c r="G222" s="1" t="s">
        <v>150</v>
      </c>
      <c r="H222" s="1" t="s">
        <v>137</v>
      </c>
      <c r="I222" s="1" t="s">
        <v>72</v>
      </c>
    </row>
    <row r="223" spans="1:9" ht="14.25" customHeight="1" x14ac:dyDescent="0.25">
      <c r="A223" s="1" t="s">
        <v>643</v>
      </c>
      <c r="B223" s="1" t="s">
        <v>33</v>
      </c>
      <c r="C223" s="1" t="s">
        <v>59</v>
      </c>
      <c r="D223" s="1" t="s">
        <v>137</v>
      </c>
      <c r="E223" s="1" t="s">
        <v>163</v>
      </c>
      <c r="F223" s="1" t="s">
        <v>85</v>
      </c>
      <c r="G223" s="1" t="s">
        <v>124</v>
      </c>
      <c r="H223" s="1" t="s">
        <v>98</v>
      </c>
      <c r="I223" s="1" t="s">
        <v>72</v>
      </c>
    </row>
    <row r="224" spans="1:9" ht="14.25" customHeight="1" x14ac:dyDescent="0.25">
      <c r="A224" s="1" t="s">
        <v>644</v>
      </c>
      <c r="B224" s="1" t="s">
        <v>72</v>
      </c>
      <c r="C224" s="1" t="s">
        <v>124</v>
      </c>
      <c r="D224" s="1" t="s">
        <v>59</v>
      </c>
      <c r="E224" s="1" t="s">
        <v>85</v>
      </c>
      <c r="F224" s="1" t="s">
        <v>98</v>
      </c>
      <c r="G224" s="1" t="s">
        <v>33</v>
      </c>
      <c r="H224" s="1" t="s">
        <v>137</v>
      </c>
      <c r="I224" s="1" t="s">
        <v>176</v>
      </c>
    </row>
    <row r="225" spans="1:9" ht="14.25" customHeight="1" x14ac:dyDescent="0.25">
      <c r="A225" s="1" t="s">
        <v>645</v>
      </c>
      <c r="B225" s="1" t="s">
        <v>33</v>
      </c>
      <c r="C225" s="1" t="s">
        <v>124</v>
      </c>
      <c r="D225" s="1" t="s">
        <v>59</v>
      </c>
      <c r="E225" s="1" t="s">
        <v>163</v>
      </c>
      <c r="F225" s="1" t="s">
        <v>85</v>
      </c>
      <c r="G225" s="1" t="s">
        <v>150</v>
      </c>
      <c r="H225" s="1" t="s">
        <v>98</v>
      </c>
      <c r="I225" s="1" t="s">
        <v>72</v>
      </c>
    </row>
    <row r="226" spans="1:9" ht="14.25" customHeight="1" x14ac:dyDescent="0.25">
      <c r="A226" s="1" t="s">
        <v>646</v>
      </c>
      <c r="B226" s="1" t="s">
        <v>72</v>
      </c>
      <c r="C226" s="1" t="s">
        <v>124</v>
      </c>
      <c r="D226" s="1" t="s">
        <v>59</v>
      </c>
      <c r="E226" s="1" t="s">
        <v>85</v>
      </c>
      <c r="F226" s="1" t="s">
        <v>98</v>
      </c>
      <c r="G226" s="1" t="s">
        <v>33</v>
      </c>
      <c r="H226" s="1" t="s">
        <v>150</v>
      </c>
      <c r="I226" s="1" t="s">
        <v>176</v>
      </c>
    </row>
    <row r="227" spans="1:9" ht="14.25" customHeight="1" x14ac:dyDescent="0.25">
      <c r="A227" s="1" t="s">
        <v>647</v>
      </c>
      <c r="B227" s="1" t="s">
        <v>72</v>
      </c>
      <c r="C227" s="1" t="s">
        <v>124</v>
      </c>
      <c r="D227" s="1" t="s">
        <v>59</v>
      </c>
      <c r="E227" s="1" t="s">
        <v>163</v>
      </c>
      <c r="F227" s="1" t="s">
        <v>85</v>
      </c>
      <c r="G227" s="1" t="s">
        <v>33</v>
      </c>
      <c r="H227" s="1" t="s">
        <v>98</v>
      </c>
      <c r="I227" s="1" t="s">
        <v>176</v>
      </c>
    </row>
    <row r="228" spans="1:9" ht="14.25" customHeight="1" x14ac:dyDescent="0.25">
      <c r="A228" s="1" t="s">
        <v>648</v>
      </c>
      <c r="B228" s="1" t="s">
        <v>33</v>
      </c>
      <c r="C228" s="1" t="s">
        <v>59</v>
      </c>
      <c r="D228" s="1" t="s">
        <v>85</v>
      </c>
      <c r="E228" s="1" t="s">
        <v>163</v>
      </c>
      <c r="F228" s="1" t="s">
        <v>98</v>
      </c>
      <c r="G228" s="1" t="s">
        <v>137</v>
      </c>
      <c r="H228" s="1" t="s">
        <v>150</v>
      </c>
      <c r="I228" s="1" t="s">
        <v>72</v>
      </c>
    </row>
    <row r="229" spans="1:9" ht="14.25" customHeight="1" x14ac:dyDescent="0.25">
      <c r="A229" s="1" t="s">
        <v>649</v>
      </c>
      <c r="B229" s="1" t="s">
        <v>72</v>
      </c>
      <c r="C229" s="1" t="s">
        <v>59</v>
      </c>
      <c r="D229" s="1" t="s">
        <v>98</v>
      </c>
      <c r="E229" s="1" t="s">
        <v>85</v>
      </c>
      <c r="F229" s="1" t="s">
        <v>137</v>
      </c>
      <c r="G229" s="1" t="s">
        <v>33</v>
      </c>
      <c r="H229" s="1" t="s">
        <v>150</v>
      </c>
      <c r="I229" s="1" t="s">
        <v>176</v>
      </c>
    </row>
    <row r="230" spans="1:9" ht="14.25" customHeight="1" x14ac:dyDescent="0.25">
      <c r="A230" s="1" t="s">
        <v>650</v>
      </c>
      <c r="B230" s="1" t="s">
        <v>72</v>
      </c>
      <c r="C230" s="1" t="s">
        <v>59</v>
      </c>
      <c r="D230" s="1" t="s">
        <v>137</v>
      </c>
      <c r="E230" s="1" t="s">
        <v>163</v>
      </c>
      <c r="F230" s="1" t="s">
        <v>85</v>
      </c>
      <c r="G230" s="1" t="s">
        <v>33</v>
      </c>
      <c r="H230" s="1" t="s">
        <v>98</v>
      </c>
      <c r="I230" s="1" t="s">
        <v>176</v>
      </c>
    </row>
    <row r="231" spans="1:9" ht="14.25" customHeight="1" x14ac:dyDescent="0.25">
      <c r="A231" s="1" t="s">
        <v>651</v>
      </c>
      <c r="B231" s="1" t="s">
        <v>72</v>
      </c>
      <c r="C231" s="1" t="s">
        <v>59</v>
      </c>
      <c r="D231" s="1" t="s">
        <v>85</v>
      </c>
      <c r="E231" s="1" t="s">
        <v>163</v>
      </c>
      <c r="F231" s="1" t="s">
        <v>98</v>
      </c>
      <c r="G231" s="1" t="s">
        <v>33</v>
      </c>
      <c r="H231" s="1" t="s">
        <v>150</v>
      </c>
      <c r="I231" s="1" t="s">
        <v>176</v>
      </c>
    </row>
    <row r="232" spans="1:9" ht="14.25" customHeight="1" x14ac:dyDescent="0.25">
      <c r="A232" s="1" t="s">
        <v>652</v>
      </c>
      <c r="B232" s="1" t="s">
        <v>33</v>
      </c>
      <c r="C232" s="1" t="s">
        <v>72</v>
      </c>
      <c r="D232" s="1" t="s">
        <v>59</v>
      </c>
      <c r="E232" s="1" t="s">
        <v>124</v>
      </c>
      <c r="F232" s="1" t="s">
        <v>85</v>
      </c>
      <c r="G232" s="1" t="s">
        <v>137</v>
      </c>
      <c r="H232" s="1" t="s">
        <v>111</v>
      </c>
      <c r="I232" s="1" t="s">
        <v>150</v>
      </c>
    </row>
    <row r="233" spans="1:9" ht="14.25" customHeight="1" x14ac:dyDescent="0.25">
      <c r="A233" s="1" t="s">
        <v>653</v>
      </c>
      <c r="B233" s="1" t="s">
        <v>33</v>
      </c>
      <c r="C233" s="1" t="s">
        <v>59</v>
      </c>
      <c r="D233" s="1" t="s">
        <v>137</v>
      </c>
      <c r="E233" s="1" t="s">
        <v>163</v>
      </c>
      <c r="F233" s="1" t="s">
        <v>85</v>
      </c>
      <c r="G233" s="1" t="s">
        <v>124</v>
      </c>
      <c r="H233" s="1" t="s">
        <v>111</v>
      </c>
      <c r="I233" s="1" t="s">
        <v>72</v>
      </c>
    </row>
    <row r="234" spans="1:9" ht="14.25" customHeight="1" x14ac:dyDescent="0.25">
      <c r="A234" s="1" t="s">
        <v>654</v>
      </c>
      <c r="B234" s="1" t="s">
        <v>33</v>
      </c>
      <c r="C234" s="1" t="s">
        <v>72</v>
      </c>
      <c r="D234" s="1" t="s">
        <v>59</v>
      </c>
      <c r="E234" s="1" t="s">
        <v>124</v>
      </c>
      <c r="F234" s="1" t="s">
        <v>85</v>
      </c>
      <c r="G234" s="1" t="s">
        <v>137</v>
      </c>
      <c r="H234" s="1" t="s">
        <v>111</v>
      </c>
      <c r="I234" s="1" t="s">
        <v>176</v>
      </c>
    </row>
    <row r="235" spans="1:9" ht="14.25" customHeight="1" x14ac:dyDescent="0.25">
      <c r="A235" s="1" t="s">
        <v>655</v>
      </c>
      <c r="B235" s="1" t="s">
        <v>33</v>
      </c>
      <c r="C235" s="1" t="s">
        <v>124</v>
      </c>
      <c r="D235" s="1" t="s">
        <v>59</v>
      </c>
      <c r="E235" s="1" t="s">
        <v>163</v>
      </c>
      <c r="F235" s="1" t="s">
        <v>85</v>
      </c>
      <c r="G235" s="1" t="s">
        <v>150</v>
      </c>
      <c r="H235" s="1" t="s">
        <v>111</v>
      </c>
      <c r="I235" s="1" t="s">
        <v>72</v>
      </c>
    </row>
    <row r="236" spans="1:9" ht="14.25" customHeight="1" x14ac:dyDescent="0.25">
      <c r="A236" s="1" t="s">
        <v>656</v>
      </c>
      <c r="B236" s="1" t="s">
        <v>33</v>
      </c>
      <c r="C236" s="1" t="s">
        <v>72</v>
      </c>
      <c r="D236" s="1" t="s">
        <v>59</v>
      </c>
      <c r="E236" s="1" t="s">
        <v>124</v>
      </c>
      <c r="F236" s="1" t="s">
        <v>85</v>
      </c>
      <c r="G236" s="1" t="s">
        <v>150</v>
      </c>
      <c r="H236" s="1" t="s">
        <v>111</v>
      </c>
      <c r="I236" s="1" t="s">
        <v>176</v>
      </c>
    </row>
    <row r="237" spans="1:9" ht="14.25" customHeight="1" x14ac:dyDescent="0.25">
      <c r="A237" s="1" t="s">
        <v>657</v>
      </c>
      <c r="B237" s="1" t="s">
        <v>72</v>
      </c>
      <c r="C237" s="1" t="s">
        <v>124</v>
      </c>
      <c r="D237" s="1" t="s">
        <v>59</v>
      </c>
      <c r="E237" s="1" t="s">
        <v>163</v>
      </c>
      <c r="F237" s="1" t="s">
        <v>85</v>
      </c>
      <c r="G237" s="1" t="s">
        <v>33</v>
      </c>
      <c r="H237" s="1" t="s">
        <v>111</v>
      </c>
      <c r="I237" s="1" t="s">
        <v>176</v>
      </c>
    </row>
    <row r="238" spans="1:9" ht="14.25" customHeight="1" x14ac:dyDescent="0.25">
      <c r="A238" s="1" t="s">
        <v>658</v>
      </c>
      <c r="B238" s="1" t="s">
        <v>33</v>
      </c>
      <c r="C238" s="1" t="s">
        <v>59</v>
      </c>
      <c r="D238" s="1" t="s">
        <v>85</v>
      </c>
      <c r="E238" s="1" t="s">
        <v>163</v>
      </c>
      <c r="F238" s="1" t="s">
        <v>137</v>
      </c>
      <c r="G238" s="1" t="s">
        <v>150</v>
      </c>
      <c r="H238" s="1" t="s">
        <v>111</v>
      </c>
      <c r="I238" s="1" t="s">
        <v>72</v>
      </c>
    </row>
    <row r="239" spans="1:9" ht="14.25" customHeight="1" x14ac:dyDescent="0.25">
      <c r="A239" s="1" t="s">
        <v>659</v>
      </c>
      <c r="B239" s="1" t="s">
        <v>33</v>
      </c>
      <c r="C239" s="1" t="s">
        <v>72</v>
      </c>
      <c r="D239" s="1" t="s">
        <v>59</v>
      </c>
      <c r="E239" s="1" t="s">
        <v>85</v>
      </c>
      <c r="F239" s="1" t="s">
        <v>137</v>
      </c>
      <c r="G239" s="1" t="s">
        <v>150</v>
      </c>
      <c r="H239" s="1" t="s">
        <v>111</v>
      </c>
      <c r="I239" s="1" t="s">
        <v>176</v>
      </c>
    </row>
    <row r="240" spans="1:9" ht="14.25" customHeight="1" x14ac:dyDescent="0.25">
      <c r="A240" s="1" t="s">
        <v>660</v>
      </c>
      <c r="B240" s="1" t="s">
        <v>72</v>
      </c>
      <c r="C240" s="1" t="s">
        <v>111</v>
      </c>
      <c r="D240" s="1" t="s">
        <v>59</v>
      </c>
      <c r="E240" s="1" t="s">
        <v>163</v>
      </c>
      <c r="F240" s="1" t="s">
        <v>85</v>
      </c>
      <c r="G240" s="1" t="s">
        <v>33</v>
      </c>
      <c r="H240" s="1" t="s">
        <v>137</v>
      </c>
      <c r="I240" s="1" t="s">
        <v>176</v>
      </c>
    </row>
    <row r="241" spans="1:9" ht="14.25" customHeight="1" x14ac:dyDescent="0.25">
      <c r="A241" s="1" t="s">
        <v>661</v>
      </c>
      <c r="B241" s="1" t="s">
        <v>33</v>
      </c>
      <c r="C241" s="1" t="s">
        <v>72</v>
      </c>
      <c r="D241" s="1" t="s">
        <v>59</v>
      </c>
      <c r="E241" s="1" t="s">
        <v>163</v>
      </c>
      <c r="F241" s="1" t="s">
        <v>85</v>
      </c>
      <c r="G241" s="1" t="s">
        <v>150</v>
      </c>
      <c r="H241" s="1" t="s">
        <v>111</v>
      </c>
      <c r="I241" s="1" t="s">
        <v>176</v>
      </c>
    </row>
    <row r="242" spans="1:9" ht="14.25" customHeight="1" x14ac:dyDescent="0.25">
      <c r="A242" s="1" t="s">
        <v>662</v>
      </c>
      <c r="B242" s="1" t="s">
        <v>33</v>
      </c>
      <c r="C242" s="1" t="s">
        <v>59</v>
      </c>
      <c r="D242" s="1" t="s">
        <v>124</v>
      </c>
      <c r="E242" s="1" t="s">
        <v>163</v>
      </c>
      <c r="F242" s="1" t="s">
        <v>85</v>
      </c>
      <c r="G242" s="1" t="s">
        <v>150</v>
      </c>
      <c r="H242" s="1" t="s">
        <v>137</v>
      </c>
      <c r="I242" s="1" t="s">
        <v>72</v>
      </c>
    </row>
    <row r="243" spans="1:9" ht="14.25" customHeight="1" x14ac:dyDescent="0.25">
      <c r="A243" s="1" t="s">
        <v>663</v>
      </c>
      <c r="B243" s="1" t="s">
        <v>33</v>
      </c>
      <c r="C243" s="1" t="s">
        <v>72</v>
      </c>
      <c r="D243" s="1" t="s">
        <v>59</v>
      </c>
      <c r="E243" s="1" t="s">
        <v>124</v>
      </c>
      <c r="F243" s="1" t="s">
        <v>85</v>
      </c>
      <c r="G243" s="1" t="s">
        <v>150</v>
      </c>
      <c r="H243" s="1" t="s">
        <v>137</v>
      </c>
      <c r="I243" s="1" t="s">
        <v>176</v>
      </c>
    </row>
    <row r="244" spans="1:9" ht="14.25" customHeight="1" x14ac:dyDescent="0.25">
      <c r="A244" s="1" t="s">
        <v>664</v>
      </c>
      <c r="B244" s="1" t="s">
        <v>72</v>
      </c>
      <c r="C244" s="1" t="s">
        <v>124</v>
      </c>
      <c r="D244" s="1" t="s">
        <v>59</v>
      </c>
      <c r="E244" s="1" t="s">
        <v>163</v>
      </c>
      <c r="F244" s="1" t="s">
        <v>85</v>
      </c>
      <c r="G244" s="1" t="s">
        <v>33</v>
      </c>
      <c r="H244" s="1" t="s">
        <v>137</v>
      </c>
      <c r="I244" s="1" t="s">
        <v>176</v>
      </c>
    </row>
    <row r="245" spans="1:9" ht="14.25" customHeight="1" x14ac:dyDescent="0.25">
      <c r="A245" s="1" t="s">
        <v>665</v>
      </c>
      <c r="B245" s="1" t="s">
        <v>72</v>
      </c>
      <c r="C245" s="1" t="s">
        <v>124</v>
      </c>
      <c r="D245" s="1" t="s">
        <v>59</v>
      </c>
      <c r="E245" s="1" t="s">
        <v>163</v>
      </c>
      <c r="F245" s="1" t="s">
        <v>85</v>
      </c>
      <c r="G245" s="1" t="s">
        <v>33</v>
      </c>
      <c r="H245" s="1" t="s">
        <v>150</v>
      </c>
      <c r="I245" s="1" t="s">
        <v>176</v>
      </c>
    </row>
    <row r="246" spans="1:9" ht="14.25" customHeight="1" x14ac:dyDescent="0.25">
      <c r="A246" s="1" t="s">
        <v>666</v>
      </c>
      <c r="B246" s="1" t="s">
        <v>72</v>
      </c>
      <c r="C246" s="1" t="s">
        <v>59</v>
      </c>
      <c r="D246" s="1" t="s">
        <v>85</v>
      </c>
      <c r="E246" s="1" t="s">
        <v>163</v>
      </c>
      <c r="F246" s="1" t="s">
        <v>137</v>
      </c>
      <c r="G246" s="1" t="s">
        <v>33</v>
      </c>
      <c r="H246" s="1" t="s">
        <v>150</v>
      </c>
      <c r="I246" s="1" t="s">
        <v>176</v>
      </c>
    </row>
    <row r="247" spans="1:9" ht="14.25" customHeight="1" x14ac:dyDescent="0.25">
      <c r="A247" s="1" t="s">
        <v>667</v>
      </c>
      <c r="B247" s="1" t="s">
        <v>33</v>
      </c>
      <c r="C247" s="1" t="s">
        <v>72</v>
      </c>
      <c r="D247" s="1" t="s">
        <v>59</v>
      </c>
      <c r="E247" s="1" t="s">
        <v>124</v>
      </c>
      <c r="F247" s="1" t="s">
        <v>98</v>
      </c>
      <c r="G247" s="1" t="s">
        <v>137</v>
      </c>
      <c r="H247" s="1" t="s">
        <v>111</v>
      </c>
      <c r="I247" s="1" t="s">
        <v>150</v>
      </c>
    </row>
    <row r="248" spans="1:9" ht="14.25" customHeight="1" x14ac:dyDescent="0.25">
      <c r="A248" s="1" t="s">
        <v>668</v>
      </c>
      <c r="B248" s="1" t="s">
        <v>33</v>
      </c>
      <c r="C248" s="1" t="s">
        <v>59</v>
      </c>
      <c r="D248" s="1" t="s">
        <v>137</v>
      </c>
      <c r="E248" s="1" t="s">
        <v>163</v>
      </c>
      <c r="F248" s="1" t="s">
        <v>98</v>
      </c>
      <c r="G248" s="1" t="s">
        <v>124</v>
      </c>
      <c r="H248" s="1" t="s">
        <v>111</v>
      </c>
      <c r="I248" s="1" t="s">
        <v>72</v>
      </c>
    </row>
    <row r="249" spans="1:9" ht="14.25" customHeight="1" x14ac:dyDescent="0.25">
      <c r="A249" s="1" t="s">
        <v>669</v>
      </c>
      <c r="B249" s="1" t="s">
        <v>59</v>
      </c>
      <c r="C249" s="1" t="s">
        <v>72</v>
      </c>
      <c r="D249" s="1" t="s">
        <v>137</v>
      </c>
      <c r="E249" s="1" t="s">
        <v>124</v>
      </c>
      <c r="F249" s="1" t="s">
        <v>98</v>
      </c>
      <c r="G249" s="1" t="s">
        <v>33</v>
      </c>
      <c r="H249" s="1" t="s">
        <v>111</v>
      </c>
      <c r="I249" s="1" t="s">
        <v>176</v>
      </c>
    </row>
    <row r="250" spans="1:9" ht="14.25" customHeight="1" x14ac:dyDescent="0.25">
      <c r="A250" s="1" t="s">
        <v>670</v>
      </c>
      <c r="B250" s="1" t="s">
        <v>33</v>
      </c>
      <c r="C250" s="1" t="s">
        <v>124</v>
      </c>
      <c r="D250" s="1" t="s">
        <v>59</v>
      </c>
      <c r="E250" s="1" t="s">
        <v>163</v>
      </c>
      <c r="F250" s="1" t="s">
        <v>98</v>
      </c>
      <c r="G250" s="1" t="s">
        <v>150</v>
      </c>
      <c r="H250" s="1" t="s">
        <v>111</v>
      </c>
      <c r="I250" s="1" t="s">
        <v>72</v>
      </c>
    </row>
    <row r="251" spans="1:9" ht="14.25" customHeight="1" x14ac:dyDescent="0.25">
      <c r="A251" s="1" t="s">
        <v>671</v>
      </c>
      <c r="B251" s="1" t="s">
        <v>72</v>
      </c>
      <c r="C251" s="1" t="s">
        <v>111</v>
      </c>
      <c r="D251" s="1" t="s">
        <v>59</v>
      </c>
      <c r="E251" s="1" t="s">
        <v>124</v>
      </c>
      <c r="F251" s="1" t="s">
        <v>98</v>
      </c>
      <c r="G251" s="1" t="s">
        <v>33</v>
      </c>
      <c r="H251" s="1" t="s">
        <v>150</v>
      </c>
      <c r="I251" s="1" t="s">
        <v>176</v>
      </c>
    </row>
    <row r="252" spans="1:9" ht="14.25" customHeight="1" x14ac:dyDescent="0.25">
      <c r="A252" s="1" t="s">
        <v>672</v>
      </c>
      <c r="B252" s="1" t="s">
        <v>72</v>
      </c>
      <c r="C252" s="1" t="s">
        <v>124</v>
      </c>
      <c r="D252" s="1" t="s">
        <v>59</v>
      </c>
      <c r="E252" s="1" t="s">
        <v>163</v>
      </c>
      <c r="F252" s="1" t="s">
        <v>98</v>
      </c>
      <c r="G252" s="1" t="s">
        <v>33</v>
      </c>
      <c r="H252" s="1" t="s">
        <v>111</v>
      </c>
      <c r="I252" s="1" t="s">
        <v>176</v>
      </c>
    </row>
    <row r="253" spans="1:9" ht="14.25" customHeight="1" x14ac:dyDescent="0.25">
      <c r="A253" s="1" t="s">
        <v>673</v>
      </c>
      <c r="B253" s="1" t="s">
        <v>33</v>
      </c>
      <c r="C253" s="1" t="s">
        <v>72</v>
      </c>
      <c r="D253" s="1" t="s">
        <v>59</v>
      </c>
      <c r="E253" s="1" t="s">
        <v>163</v>
      </c>
      <c r="F253" s="1" t="s">
        <v>98</v>
      </c>
      <c r="G253" s="1" t="s">
        <v>137</v>
      </c>
      <c r="H253" s="1" t="s">
        <v>111</v>
      </c>
      <c r="I253" s="1" t="s">
        <v>150</v>
      </c>
    </row>
    <row r="254" spans="1:9" ht="14.25" customHeight="1" x14ac:dyDescent="0.25">
      <c r="A254" s="1" t="s">
        <v>674</v>
      </c>
      <c r="B254" s="1" t="s">
        <v>72</v>
      </c>
      <c r="C254" s="1" t="s">
        <v>111</v>
      </c>
      <c r="D254" s="1" t="s">
        <v>59</v>
      </c>
      <c r="E254" s="1" t="s">
        <v>137</v>
      </c>
      <c r="F254" s="1" t="s">
        <v>98</v>
      </c>
      <c r="G254" s="1" t="s">
        <v>33</v>
      </c>
      <c r="H254" s="1" t="s">
        <v>150</v>
      </c>
      <c r="I254" s="1" t="s">
        <v>176</v>
      </c>
    </row>
    <row r="255" spans="1:9" ht="14.25" customHeight="1" x14ac:dyDescent="0.25">
      <c r="A255" s="1" t="s">
        <v>675</v>
      </c>
      <c r="B255" s="1" t="s">
        <v>72</v>
      </c>
      <c r="C255" s="1" t="s">
        <v>111</v>
      </c>
      <c r="D255" s="1" t="s">
        <v>59</v>
      </c>
      <c r="E255" s="1" t="s">
        <v>163</v>
      </c>
      <c r="F255" s="1" t="s">
        <v>98</v>
      </c>
      <c r="G255" s="1" t="s">
        <v>33</v>
      </c>
      <c r="H255" s="1" t="s">
        <v>137</v>
      </c>
      <c r="I255" s="1" t="s">
        <v>176</v>
      </c>
    </row>
    <row r="256" spans="1:9" ht="14.25" customHeight="1" x14ac:dyDescent="0.25">
      <c r="A256" s="1" t="s">
        <v>676</v>
      </c>
      <c r="B256" s="1" t="s">
        <v>72</v>
      </c>
      <c r="C256" s="1" t="s">
        <v>111</v>
      </c>
      <c r="D256" s="1" t="s">
        <v>59</v>
      </c>
      <c r="E256" s="1" t="s">
        <v>163</v>
      </c>
      <c r="F256" s="1" t="s">
        <v>98</v>
      </c>
      <c r="G256" s="1" t="s">
        <v>33</v>
      </c>
      <c r="H256" s="1" t="s">
        <v>150</v>
      </c>
      <c r="I256" s="1" t="s">
        <v>176</v>
      </c>
    </row>
    <row r="257" spans="1:9" ht="14.25" customHeight="1" x14ac:dyDescent="0.25">
      <c r="A257" s="1" t="s">
        <v>677</v>
      </c>
      <c r="B257" s="1" t="s">
        <v>33</v>
      </c>
      <c r="C257" s="1" t="s">
        <v>124</v>
      </c>
      <c r="D257" s="1" t="s">
        <v>59</v>
      </c>
      <c r="E257" s="1" t="s">
        <v>163</v>
      </c>
      <c r="F257" s="1" t="s">
        <v>98</v>
      </c>
      <c r="G257" s="1" t="s">
        <v>150</v>
      </c>
      <c r="H257" s="1" t="s">
        <v>137</v>
      </c>
      <c r="I257" s="1" t="s">
        <v>72</v>
      </c>
    </row>
    <row r="258" spans="1:9" ht="14.25" customHeight="1" x14ac:dyDescent="0.25">
      <c r="A258" s="1" t="s">
        <v>678</v>
      </c>
      <c r="B258" s="1" t="s">
        <v>33</v>
      </c>
      <c r="C258" s="1" t="s">
        <v>72</v>
      </c>
      <c r="D258" s="1" t="s">
        <v>59</v>
      </c>
      <c r="E258" s="1" t="s">
        <v>124</v>
      </c>
      <c r="F258" s="1" t="s">
        <v>98</v>
      </c>
      <c r="G258" s="1" t="s">
        <v>150</v>
      </c>
      <c r="H258" s="1" t="s">
        <v>137</v>
      </c>
      <c r="I258" s="1" t="s">
        <v>176</v>
      </c>
    </row>
    <row r="259" spans="1:9" ht="14.25" customHeight="1" x14ac:dyDescent="0.25">
      <c r="A259" s="1" t="s">
        <v>679</v>
      </c>
      <c r="B259" s="1" t="s">
        <v>72</v>
      </c>
      <c r="C259" s="1" t="s">
        <v>124</v>
      </c>
      <c r="D259" s="1" t="s">
        <v>59</v>
      </c>
      <c r="E259" s="1" t="s">
        <v>163</v>
      </c>
      <c r="F259" s="1" t="s">
        <v>98</v>
      </c>
      <c r="G259" s="1" t="s">
        <v>33</v>
      </c>
      <c r="H259" s="1" t="s">
        <v>137</v>
      </c>
      <c r="I259" s="1" t="s">
        <v>176</v>
      </c>
    </row>
    <row r="260" spans="1:9" ht="14.25" customHeight="1" x14ac:dyDescent="0.25">
      <c r="A260" s="1" t="s">
        <v>680</v>
      </c>
      <c r="B260" s="1" t="s">
        <v>72</v>
      </c>
      <c r="C260" s="1" t="s">
        <v>124</v>
      </c>
      <c r="D260" s="1" t="s">
        <v>59</v>
      </c>
      <c r="E260" s="1" t="s">
        <v>163</v>
      </c>
      <c r="F260" s="1" t="s">
        <v>98</v>
      </c>
      <c r="G260" s="1" t="s">
        <v>33</v>
      </c>
      <c r="H260" s="1" t="s">
        <v>150</v>
      </c>
      <c r="I260" s="1" t="s">
        <v>176</v>
      </c>
    </row>
    <row r="261" spans="1:9" ht="14.25" customHeight="1" x14ac:dyDescent="0.25">
      <c r="A261" s="1" t="s">
        <v>681</v>
      </c>
      <c r="B261" s="1" t="s">
        <v>72</v>
      </c>
      <c r="C261" s="1" t="s">
        <v>59</v>
      </c>
      <c r="D261" s="1" t="s">
        <v>98</v>
      </c>
      <c r="E261" s="1" t="s">
        <v>163</v>
      </c>
      <c r="F261" s="1" t="s">
        <v>137</v>
      </c>
      <c r="G261" s="1" t="s">
        <v>33</v>
      </c>
      <c r="H261" s="1" t="s">
        <v>150</v>
      </c>
      <c r="I261" s="1" t="s">
        <v>176</v>
      </c>
    </row>
    <row r="262" spans="1:9" ht="14.25" customHeight="1" x14ac:dyDescent="0.25">
      <c r="A262" s="1" t="s">
        <v>682</v>
      </c>
      <c r="B262" s="1" t="s">
        <v>33</v>
      </c>
      <c r="C262" s="1" t="s">
        <v>124</v>
      </c>
      <c r="D262" s="1" t="s">
        <v>59</v>
      </c>
      <c r="E262" s="1" t="s">
        <v>163</v>
      </c>
      <c r="F262" s="1" t="s">
        <v>137</v>
      </c>
      <c r="G262" s="1" t="s">
        <v>150</v>
      </c>
      <c r="H262" s="1" t="s">
        <v>111</v>
      </c>
      <c r="I262" s="1" t="s">
        <v>72</v>
      </c>
    </row>
    <row r="263" spans="1:9" ht="14.25" customHeight="1" x14ac:dyDescent="0.25">
      <c r="A263" s="1" t="s">
        <v>683</v>
      </c>
      <c r="B263" s="1" t="s">
        <v>33</v>
      </c>
      <c r="C263" s="1" t="s">
        <v>72</v>
      </c>
      <c r="D263" s="1" t="s">
        <v>59</v>
      </c>
      <c r="E263" s="1" t="s">
        <v>124</v>
      </c>
      <c r="F263" s="1" t="s">
        <v>137</v>
      </c>
      <c r="G263" s="1" t="s">
        <v>150</v>
      </c>
      <c r="H263" s="1" t="s">
        <v>111</v>
      </c>
      <c r="I263" s="1" t="s">
        <v>176</v>
      </c>
    </row>
    <row r="264" spans="1:9" ht="14.25" customHeight="1" x14ac:dyDescent="0.25">
      <c r="A264" s="1" t="s">
        <v>684</v>
      </c>
      <c r="B264" s="1" t="s">
        <v>72</v>
      </c>
      <c r="C264" s="1" t="s">
        <v>124</v>
      </c>
      <c r="D264" s="1" t="s">
        <v>59</v>
      </c>
      <c r="E264" s="1" t="s">
        <v>163</v>
      </c>
      <c r="F264" s="1" t="s">
        <v>137</v>
      </c>
      <c r="G264" s="1" t="s">
        <v>33</v>
      </c>
      <c r="H264" s="1" t="s">
        <v>111</v>
      </c>
      <c r="I264" s="1" t="s">
        <v>176</v>
      </c>
    </row>
    <row r="265" spans="1:9" ht="14.25" customHeight="1" x14ac:dyDescent="0.25">
      <c r="A265" s="1" t="s">
        <v>685</v>
      </c>
      <c r="B265" s="1" t="s">
        <v>72</v>
      </c>
      <c r="C265" s="1" t="s">
        <v>124</v>
      </c>
      <c r="D265" s="1" t="s">
        <v>59</v>
      </c>
      <c r="E265" s="1" t="s">
        <v>163</v>
      </c>
      <c r="F265" s="1" t="s">
        <v>150</v>
      </c>
      <c r="G265" s="1" t="s">
        <v>33</v>
      </c>
      <c r="H265" s="1" t="s">
        <v>111</v>
      </c>
      <c r="I265" s="1" t="s">
        <v>176</v>
      </c>
    </row>
    <row r="266" spans="1:9" ht="14.25" customHeight="1" x14ac:dyDescent="0.25">
      <c r="A266" s="1" t="s">
        <v>686</v>
      </c>
      <c r="B266" s="1" t="s">
        <v>33</v>
      </c>
      <c r="C266" s="1" t="s">
        <v>72</v>
      </c>
      <c r="D266" s="1" t="s">
        <v>59</v>
      </c>
      <c r="E266" s="1" t="s">
        <v>163</v>
      </c>
      <c r="F266" s="1" t="s">
        <v>137</v>
      </c>
      <c r="G266" s="1" t="s">
        <v>150</v>
      </c>
      <c r="H266" s="1" t="s">
        <v>111</v>
      </c>
      <c r="I266" s="1" t="s">
        <v>176</v>
      </c>
    </row>
    <row r="267" spans="1:9" ht="14.25" customHeight="1" x14ac:dyDescent="0.25">
      <c r="A267" s="1" t="s">
        <v>687</v>
      </c>
      <c r="B267" s="1" t="s">
        <v>72</v>
      </c>
      <c r="C267" s="1" t="s">
        <v>124</v>
      </c>
      <c r="D267" s="1" t="s">
        <v>59</v>
      </c>
      <c r="E267" s="1" t="s">
        <v>163</v>
      </c>
      <c r="F267" s="1" t="s">
        <v>137</v>
      </c>
      <c r="G267" s="1" t="s">
        <v>33</v>
      </c>
      <c r="H267" s="1" t="s">
        <v>150</v>
      </c>
      <c r="I267" s="1" t="s">
        <v>176</v>
      </c>
    </row>
    <row r="268" spans="1:9" ht="14.25" customHeight="1" x14ac:dyDescent="0.25">
      <c r="A268" s="1" t="s">
        <v>688</v>
      </c>
      <c r="B268" s="1" t="s">
        <v>33</v>
      </c>
      <c r="C268" s="1" t="s">
        <v>111</v>
      </c>
      <c r="D268" s="1" t="s">
        <v>59</v>
      </c>
      <c r="E268" s="1" t="s">
        <v>124</v>
      </c>
      <c r="F268" s="1" t="s">
        <v>98</v>
      </c>
      <c r="G268" s="1" t="s">
        <v>137</v>
      </c>
      <c r="H268" s="1" t="s">
        <v>150</v>
      </c>
      <c r="I268" s="1" t="s">
        <v>85</v>
      </c>
    </row>
    <row r="269" spans="1:9" ht="14.25" customHeight="1" x14ac:dyDescent="0.25">
      <c r="A269" s="1" t="s">
        <v>689</v>
      </c>
      <c r="B269" s="1" t="s">
        <v>33</v>
      </c>
      <c r="C269" s="1" t="s">
        <v>59</v>
      </c>
      <c r="D269" s="1" t="s">
        <v>137</v>
      </c>
      <c r="E269" s="1" t="s">
        <v>163</v>
      </c>
      <c r="F269" s="1" t="s">
        <v>98</v>
      </c>
      <c r="G269" s="1" t="s">
        <v>124</v>
      </c>
      <c r="H269" s="1" t="s">
        <v>111</v>
      </c>
      <c r="I269" s="1" t="s">
        <v>85</v>
      </c>
    </row>
    <row r="270" spans="1:9" ht="14.25" customHeight="1" x14ac:dyDescent="0.25">
      <c r="A270" s="1" t="s">
        <v>690</v>
      </c>
      <c r="B270" s="1" t="s">
        <v>33</v>
      </c>
      <c r="C270" s="1" t="s">
        <v>59</v>
      </c>
      <c r="D270" s="1" t="s">
        <v>137</v>
      </c>
      <c r="E270" s="1" t="s">
        <v>85</v>
      </c>
      <c r="F270" s="1" t="s">
        <v>98</v>
      </c>
      <c r="G270" s="1" t="s">
        <v>124</v>
      </c>
      <c r="H270" s="1" t="s">
        <v>111</v>
      </c>
      <c r="I270" s="1" t="s">
        <v>176</v>
      </c>
    </row>
    <row r="271" spans="1:9" ht="14.25" customHeight="1" x14ac:dyDescent="0.25">
      <c r="A271" s="1" t="s">
        <v>691</v>
      </c>
      <c r="B271" s="1" t="s">
        <v>33</v>
      </c>
      <c r="C271" s="1" t="s">
        <v>124</v>
      </c>
      <c r="D271" s="1" t="s">
        <v>59</v>
      </c>
      <c r="E271" s="1" t="s">
        <v>163</v>
      </c>
      <c r="F271" s="1" t="s">
        <v>98</v>
      </c>
      <c r="G271" s="1" t="s">
        <v>150</v>
      </c>
      <c r="H271" s="1" t="s">
        <v>111</v>
      </c>
      <c r="I271" s="1" t="s">
        <v>85</v>
      </c>
    </row>
    <row r="272" spans="1:9" ht="14.25" customHeight="1" x14ac:dyDescent="0.25">
      <c r="A272" s="1" t="s">
        <v>692</v>
      </c>
      <c r="B272" s="1" t="s">
        <v>33</v>
      </c>
      <c r="C272" s="1" t="s">
        <v>111</v>
      </c>
      <c r="D272" s="1" t="s">
        <v>59</v>
      </c>
      <c r="E272" s="1" t="s">
        <v>85</v>
      </c>
      <c r="F272" s="1" t="s">
        <v>98</v>
      </c>
      <c r="G272" s="1" t="s">
        <v>124</v>
      </c>
      <c r="H272" s="1" t="s">
        <v>150</v>
      </c>
      <c r="I272" s="1" t="s">
        <v>176</v>
      </c>
    </row>
    <row r="273" spans="1:9" ht="14.25" customHeight="1" x14ac:dyDescent="0.25">
      <c r="A273" s="1" t="s">
        <v>693</v>
      </c>
      <c r="B273" s="1" t="s">
        <v>59</v>
      </c>
      <c r="C273" s="1" t="s">
        <v>111</v>
      </c>
      <c r="D273" s="1" t="s">
        <v>124</v>
      </c>
      <c r="E273" s="1" t="s">
        <v>163</v>
      </c>
      <c r="F273" s="1" t="s">
        <v>85</v>
      </c>
      <c r="G273" s="1" t="s">
        <v>33</v>
      </c>
      <c r="H273" s="1" t="s">
        <v>98</v>
      </c>
      <c r="I273" s="1" t="s">
        <v>176</v>
      </c>
    </row>
    <row r="274" spans="1:9" ht="14.25" customHeight="1" x14ac:dyDescent="0.25">
      <c r="A274" s="1" t="s">
        <v>694</v>
      </c>
      <c r="B274" s="1" t="s">
        <v>33</v>
      </c>
      <c r="C274" s="1" t="s">
        <v>59</v>
      </c>
      <c r="D274" s="1" t="s">
        <v>98</v>
      </c>
      <c r="E274" s="1" t="s">
        <v>163</v>
      </c>
      <c r="F274" s="1" t="s">
        <v>150</v>
      </c>
      <c r="G274" s="1" t="s">
        <v>137</v>
      </c>
      <c r="H274" s="1" t="s">
        <v>111</v>
      </c>
      <c r="I274" s="1" t="s">
        <v>85</v>
      </c>
    </row>
    <row r="275" spans="1:9" ht="14.25" customHeight="1" x14ac:dyDescent="0.25">
      <c r="A275" s="1" t="s">
        <v>695</v>
      </c>
      <c r="B275" s="1" t="s">
        <v>33</v>
      </c>
      <c r="C275" s="1" t="s">
        <v>59</v>
      </c>
      <c r="D275" s="1" t="s">
        <v>98</v>
      </c>
      <c r="E275" s="1" t="s">
        <v>85</v>
      </c>
      <c r="F275" s="1" t="s">
        <v>150</v>
      </c>
      <c r="G275" s="1" t="s">
        <v>137</v>
      </c>
      <c r="H275" s="1" t="s">
        <v>111</v>
      </c>
      <c r="I275" s="1" t="s">
        <v>176</v>
      </c>
    </row>
    <row r="276" spans="1:9" ht="14.25" customHeight="1" x14ac:dyDescent="0.25">
      <c r="A276" s="1" t="s">
        <v>696</v>
      </c>
      <c r="B276" s="1" t="s">
        <v>33</v>
      </c>
      <c r="C276" s="1" t="s">
        <v>59</v>
      </c>
      <c r="D276" s="1" t="s">
        <v>137</v>
      </c>
      <c r="E276" s="1" t="s">
        <v>163</v>
      </c>
      <c r="F276" s="1" t="s">
        <v>98</v>
      </c>
      <c r="G276" s="1" t="s">
        <v>85</v>
      </c>
      <c r="H276" s="1" t="s">
        <v>111</v>
      </c>
      <c r="I276" s="1" t="s">
        <v>176</v>
      </c>
    </row>
    <row r="277" spans="1:9" ht="14.25" customHeight="1" x14ac:dyDescent="0.25">
      <c r="A277" s="1" t="s">
        <v>697</v>
      </c>
      <c r="B277" s="1" t="s">
        <v>33</v>
      </c>
      <c r="C277" s="1" t="s">
        <v>111</v>
      </c>
      <c r="D277" s="1" t="s">
        <v>59</v>
      </c>
      <c r="E277" s="1" t="s">
        <v>163</v>
      </c>
      <c r="F277" s="1" t="s">
        <v>98</v>
      </c>
      <c r="G277" s="1" t="s">
        <v>85</v>
      </c>
      <c r="H277" s="1" t="s">
        <v>150</v>
      </c>
      <c r="I277" s="1" t="s">
        <v>176</v>
      </c>
    </row>
    <row r="278" spans="1:9" ht="14.25" customHeight="1" x14ac:dyDescent="0.25">
      <c r="A278" s="1" t="s">
        <v>698</v>
      </c>
      <c r="B278" s="1" t="s">
        <v>33</v>
      </c>
      <c r="C278" s="1" t="s">
        <v>59</v>
      </c>
      <c r="D278" s="1" t="s">
        <v>124</v>
      </c>
      <c r="E278" s="1" t="s">
        <v>163</v>
      </c>
      <c r="F278" s="1" t="s">
        <v>98</v>
      </c>
      <c r="G278" s="1" t="s">
        <v>150</v>
      </c>
      <c r="H278" s="1" t="s">
        <v>137</v>
      </c>
      <c r="I278" s="1" t="s">
        <v>85</v>
      </c>
    </row>
    <row r="279" spans="1:9" ht="14.25" customHeight="1" x14ac:dyDescent="0.25">
      <c r="A279" s="1" t="s">
        <v>699</v>
      </c>
      <c r="B279" s="1" t="s">
        <v>33</v>
      </c>
      <c r="C279" s="1" t="s">
        <v>59</v>
      </c>
      <c r="D279" s="1" t="s">
        <v>124</v>
      </c>
      <c r="E279" s="1" t="s">
        <v>85</v>
      </c>
      <c r="F279" s="1" t="s">
        <v>98</v>
      </c>
      <c r="G279" s="1" t="s">
        <v>150</v>
      </c>
      <c r="H279" s="1" t="s">
        <v>137</v>
      </c>
      <c r="I279" s="1" t="s">
        <v>176</v>
      </c>
    </row>
    <row r="280" spans="1:9" ht="14.25" customHeight="1" x14ac:dyDescent="0.25">
      <c r="A280" s="1" t="s">
        <v>700</v>
      </c>
      <c r="B280" s="1" t="s">
        <v>33</v>
      </c>
      <c r="C280" s="1" t="s">
        <v>59</v>
      </c>
      <c r="D280" s="1" t="s">
        <v>137</v>
      </c>
      <c r="E280" s="1" t="s">
        <v>163</v>
      </c>
      <c r="F280" s="1" t="s">
        <v>85</v>
      </c>
      <c r="G280" s="1" t="s">
        <v>124</v>
      </c>
      <c r="H280" s="1" t="s">
        <v>98</v>
      </c>
      <c r="I280" s="1" t="s">
        <v>176</v>
      </c>
    </row>
    <row r="281" spans="1:9" ht="14.25" customHeight="1" x14ac:dyDescent="0.25">
      <c r="A281" s="1" t="s">
        <v>701</v>
      </c>
      <c r="B281" s="1" t="s">
        <v>33</v>
      </c>
      <c r="C281" s="1" t="s">
        <v>59</v>
      </c>
      <c r="D281" s="1" t="s">
        <v>124</v>
      </c>
      <c r="E281" s="1" t="s">
        <v>163</v>
      </c>
      <c r="F281" s="1" t="s">
        <v>85</v>
      </c>
      <c r="G281" s="1" t="s">
        <v>150</v>
      </c>
      <c r="H281" s="1" t="s">
        <v>98</v>
      </c>
      <c r="I281" s="1" t="s">
        <v>176</v>
      </c>
    </row>
    <row r="282" spans="1:9" ht="14.25" customHeight="1" x14ac:dyDescent="0.25">
      <c r="A282" s="1" t="s">
        <v>702</v>
      </c>
      <c r="B282" s="1" t="s">
        <v>33</v>
      </c>
      <c r="C282" s="1" t="s">
        <v>59</v>
      </c>
      <c r="D282" s="1" t="s">
        <v>85</v>
      </c>
      <c r="E282" s="1" t="s">
        <v>163</v>
      </c>
      <c r="F282" s="1" t="s">
        <v>98</v>
      </c>
      <c r="G282" s="1" t="s">
        <v>137</v>
      </c>
      <c r="H282" s="1" t="s">
        <v>150</v>
      </c>
      <c r="I282" s="1" t="s">
        <v>176</v>
      </c>
    </row>
    <row r="283" spans="1:9" ht="14.25" customHeight="1" x14ac:dyDescent="0.25">
      <c r="A283" s="1" t="s">
        <v>703</v>
      </c>
      <c r="B283" s="1" t="s">
        <v>33</v>
      </c>
      <c r="C283" s="1" t="s">
        <v>59</v>
      </c>
      <c r="D283" s="1" t="s">
        <v>124</v>
      </c>
      <c r="E283" s="1" t="s">
        <v>163</v>
      </c>
      <c r="F283" s="1" t="s">
        <v>85</v>
      </c>
      <c r="G283" s="1" t="s">
        <v>150</v>
      </c>
      <c r="H283" s="1" t="s">
        <v>111</v>
      </c>
      <c r="I283" s="1" t="s">
        <v>137</v>
      </c>
    </row>
    <row r="284" spans="1:9" ht="14.25" customHeight="1" x14ac:dyDescent="0.25">
      <c r="A284" s="1" t="s">
        <v>704</v>
      </c>
      <c r="B284" s="1" t="s">
        <v>33</v>
      </c>
      <c r="C284" s="1" t="s">
        <v>59</v>
      </c>
      <c r="D284" s="1" t="s">
        <v>124</v>
      </c>
      <c r="E284" s="1" t="s">
        <v>137</v>
      </c>
      <c r="F284" s="1" t="s">
        <v>85</v>
      </c>
      <c r="G284" s="1" t="s">
        <v>150</v>
      </c>
      <c r="H284" s="1" t="s">
        <v>111</v>
      </c>
      <c r="I284" s="1" t="s">
        <v>176</v>
      </c>
    </row>
    <row r="285" spans="1:9" ht="14.25" customHeight="1" x14ac:dyDescent="0.25">
      <c r="A285" s="1" t="s">
        <v>705</v>
      </c>
      <c r="B285" s="1" t="s">
        <v>33</v>
      </c>
      <c r="C285" s="1" t="s">
        <v>59</v>
      </c>
      <c r="D285" s="1" t="s">
        <v>137</v>
      </c>
      <c r="E285" s="1" t="s">
        <v>163</v>
      </c>
      <c r="F285" s="1" t="s">
        <v>85</v>
      </c>
      <c r="G285" s="1" t="s">
        <v>124</v>
      </c>
      <c r="H285" s="1" t="s">
        <v>111</v>
      </c>
      <c r="I285" s="1" t="s">
        <v>176</v>
      </c>
    </row>
    <row r="286" spans="1:9" ht="14.25" customHeight="1" x14ac:dyDescent="0.25">
      <c r="A286" s="1" t="s">
        <v>706</v>
      </c>
      <c r="B286" s="1" t="s">
        <v>33</v>
      </c>
      <c r="C286" s="1" t="s">
        <v>124</v>
      </c>
      <c r="D286" s="1" t="s">
        <v>59</v>
      </c>
      <c r="E286" s="1" t="s">
        <v>163</v>
      </c>
      <c r="F286" s="1" t="s">
        <v>85</v>
      </c>
      <c r="G286" s="1" t="s">
        <v>150</v>
      </c>
      <c r="H286" s="1" t="s">
        <v>111</v>
      </c>
      <c r="I286" s="1" t="s">
        <v>176</v>
      </c>
    </row>
    <row r="287" spans="1:9" ht="14.25" customHeight="1" x14ac:dyDescent="0.25">
      <c r="A287" s="1" t="s">
        <v>707</v>
      </c>
      <c r="B287" s="1" t="s">
        <v>33</v>
      </c>
      <c r="C287" s="1" t="s">
        <v>59</v>
      </c>
      <c r="D287" s="1" t="s">
        <v>85</v>
      </c>
      <c r="E287" s="1" t="s">
        <v>163</v>
      </c>
      <c r="F287" s="1" t="s">
        <v>137</v>
      </c>
      <c r="G287" s="1" t="s">
        <v>150</v>
      </c>
      <c r="H287" s="1" t="s">
        <v>111</v>
      </c>
      <c r="I287" s="1" t="s">
        <v>176</v>
      </c>
    </row>
    <row r="288" spans="1:9" ht="14.25" customHeight="1" x14ac:dyDescent="0.25">
      <c r="A288" s="1" t="s">
        <v>708</v>
      </c>
      <c r="B288" s="1" t="s">
        <v>33</v>
      </c>
      <c r="C288" s="1" t="s">
        <v>59</v>
      </c>
      <c r="D288" s="1" t="s">
        <v>124</v>
      </c>
      <c r="E288" s="1" t="s">
        <v>163</v>
      </c>
      <c r="F288" s="1" t="s">
        <v>85</v>
      </c>
      <c r="G288" s="1" t="s">
        <v>150</v>
      </c>
      <c r="H288" s="1" t="s">
        <v>137</v>
      </c>
      <c r="I288" s="1" t="s">
        <v>176</v>
      </c>
    </row>
    <row r="289" spans="1:9" ht="14.25" customHeight="1" x14ac:dyDescent="0.25">
      <c r="A289" s="1" t="s">
        <v>709</v>
      </c>
      <c r="B289" s="1" t="s">
        <v>33</v>
      </c>
      <c r="C289" s="1" t="s">
        <v>124</v>
      </c>
      <c r="D289" s="1" t="s">
        <v>59</v>
      </c>
      <c r="E289" s="1" t="s">
        <v>163</v>
      </c>
      <c r="F289" s="1" t="s">
        <v>98</v>
      </c>
      <c r="G289" s="1" t="s">
        <v>150</v>
      </c>
      <c r="H289" s="1" t="s">
        <v>111</v>
      </c>
      <c r="I289" s="1" t="s">
        <v>137</v>
      </c>
    </row>
    <row r="290" spans="1:9" ht="14.25" customHeight="1" x14ac:dyDescent="0.25">
      <c r="A290" s="1" t="s">
        <v>710</v>
      </c>
      <c r="B290" s="1" t="s">
        <v>33</v>
      </c>
      <c r="C290" s="1" t="s">
        <v>111</v>
      </c>
      <c r="D290" s="1" t="s">
        <v>59</v>
      </c>
      <c r="E290" s="1" t="s">
        <v>124</v>
      </c>
      <c r="F290" s="1" t="s">
        <v>98</v>
      </c>
      <c r="G290" s="1" t="s">
        <v>137</v>
      </c>
      <c r="H290" s="1" t="s">
        <v>150</v>
      </c>
      <c r="I290" s="1" t="s">
        <v>176</v>
      </c>
    </row>
    <row r="291" spans="1:9" ht="14.25" customHeight="1" x14ac:dyDescent="0.25">
      <c r="A291" s="1" t="s">
        <v>711</v>
      </c>
      <c r="B291" s="1" t="s">
        <v>33</v>
      </c>
      <c r="C291" s="1" t="s">
        <v>59</v>
      </c>
      <c r="D291" s="1" t="s">
        <v>137</v>
      </c>
      <c r="E291" s="1" t="s">
        <v>163</v>
      </c>
      <c r="F291" s="1" t="s">
        <v>98</v>
      </c>
      <c r="G291" s="1" t="s">
        <v>124</v>
      </c>
      <c r="H291" s="1" t="s">
        <v>111</v>
      </c>
      <c r="I291" s="1" t="s">
        <v>176</v>
      </c>
    </row>
    <row r="292" spans="1:9" ht="14.25" customHeight="1" x14ac:dyDescent="0.25">
      <c r="A292" s="1" t="s">
        <v>712</v>
      </c>
      <c r="B292" s="1" t="s">
        <v>33</v>
      </c>
      <c r="C292" s="1" t="s">
        <v>124</v>
      </c>
      <c r="D292" s="1" t="s">
        <v>59</v>
      </c>
      <c r="E292" s="1" t="s">
        <v>163</v>
      </c>
      <c r="F292" s="1" t="s">
        <v>98</v>
      </c>
      <c r="G292" s="1" t="s">
        <v>150</v>
      </c>
      <c r="H292" s="1" t="s">
        <v>111</v>
      </c>
      <c r="I292" s="1" t="s">
        <v>176</v>
      </c>
    </row>
    <row r="293" spans="1:9" ht="14.25" customHeight="1" x14ac:dyDescent="0.25">
      <c r="A293" s="1" t="s">
        <v>713</v>
      </c>
      <c r="B293" s="1" t="s">
        <v>33</v>
      </c>
      <c r="C293" s="1" t="s">
        <v>111</v>
      </c>
      <c r="D293" s="1" t="s">
        <v>59</v>
      </c>
      <c r="E293" s="1" t="s">
        <v>163</v>
      </c>
      <c r="F293" s="1" t="s">
        <v>98</v>
      </c>
      <c r="G293" s="1" t="s">
        <v>137</v>
      </c>
      <c r="H293" s="1" t="s">
        <v>150</v>
      </c>
      <c r="I293" s="1" t="s">
        <v>176</v>
      </c>
    </row>
    <row r="294" spans="1:9" ht="14.25" customHeight="1" x14ac:dyDescent="0.25">
      <c r="A294" s="1" t="s">
        <v>714</v>
      </c>
      <c r="B294" s="1" t="s">
        <v>33</v>
      </c>
      <c r="C294" s="1" t="s">
        <v>59</v>
      </c>
      <c r="D294" s="1" t="s">
        <v>124</v>
      </c>
      <c r="E294" s="1" t="s">
        <v>163</v>
      </c>
      <c r="F294" s="1" t="s">
        <v>98</v>
      </c>
      <c r="G294" s="1" t="s">
        <v>150</v>
      </c>
      <c r="H294" s="1" t="s">
        <v>137</v>
      </c>
      <c r="I294" s="1" t="s">
        <v>176</v>
      </c>
    </row>
    <row r="295" spans="1:9" ht="14.25" customHeight="1" x14ac:dyDescent="0.25">
      <c r="A295" s="1" t="s">
        <v>715</v>
      </c>
      <c r="B295" s="1" t="s">
        <v>33</v>
      </c>
      <c r="C295" s="1" t="s">
        <v>124</v>
      </c>
      <c r="D295" s="1" t="s">
        <v>59</v>
      </c>
      <c r="E295" s="1" t="s">
        <v>163</v>
      </c>
      <c r="F295" s="1" t="s">
        <v>137</v>
      </c>
      <c r="G295" s="1" t="s">
        <v>150</v>
      </c>
      <c r="H295" s="1" t="s">
        <v>111</v>
      </c>
      <c r="I295" s="1" t="s">
        <v>176</v>
      </c>
    </row>
    <row r="296" spans="1:9" ht="14.25" customHeight="1" x14ac:dyDescent="0.25">
      <c r="A296" s="1" t="s">
        <v>716</v>
      </c>
      <c r="B296" s="1" t="s">
        <v>33</v>
      </c>
      <c r="C296" s="1" t="s">
        <v>72</v>
      </c>
      <c r="D296" s="1" t="s">
        <v>98</v>
      </c>
      <c r="E296" s="1" t="s">
        <v>124</v>
      </c>
      <c r="F296" s="1" t="s">
        <v>137</v>
      </c>
      <c r="G296" s="1" t="s">
        <v>150</v>
      </c>
      <c r="H296" s="1" t="s">
        <v>111</v>
      </c>
      <c r="I296" s="1" t="s">
        <v>85</v>
      </c>
    </row>
    <row r="297" spans="1:9" ht="14.25" customHeight="1" x14ac:dyDescent="0.25">
      <c r="A297" s="1" t="s">
        <v>717</v>
      </c>
      <c r="B297" s="1" t="s">
        <v>33</v>
      </c>
      <c r="C297" s="1" t="s">
        <v>111</v>
      </c>
      <c r="D297" s="1" t="s">
        <v>98</v>
      </c>
      <c r="E297" s="1" t="s">
        <v>163</v>
      </c>
      <c r="F297" s="1" t="s">
        <v>85</v>
      </c>
      <c r="G297" s="1" t="s">
        <v>124</v>
      </c>
      <c r="H297" s="1" t="s">
        <v>137</v>
      </c>
      <c r="I297" s="1" t="s">
        <v>72</v>
      </c>
    </row>
    <row r="298" spans="1:9" ht="14.25" customHeight="1" x14ac:dyDescent="0.25">
      <c r="A298" s="1" t="s">
        <v>718</v>
      </c>
      <c r="B298" s="1" t="s">
        <v>33</v>
      </c>
      <c r="C298" s="1" t="s">
        <v>72</v>
      </c>
      <c r="D298" s="1" t="s">
        <v>137</v>
      </c>
      <c r="E298" s="1" t="s">
        <v>85</v>
      </c>
      <c r="F298" s="1" t="s">
        <v>98</v>
      </c>
      <c r="G298" s="1" t="s">
        <v>124</v>
      </c>
      <c r="H298" s="1" t="s">
        <v>111</v>
      </c>
      <c r="I298" s="1" t="s">
        <v>176</v>
      </c>
    </row>
    <row r="299" spans="1:9" ht="14.25" customHeight="1" x14ac:dyDescent="0.25">
      <c r="A299" s="1" t="s">
        <v>719</v>
      </c>
      <c r="B299" s="1" t="s">
        <v>33</v>
      </c>
      <c r="C299" s="1" t="s">
        <v>111</v>
      </c>
      <c r="D299" s="1" t="s">
        <v>85</v>
      </c>
      <c r="E299" s="1" t="s">
        <v>163</v>
      </c>
      <c r="F299" s="1" t="s">
        <v>98</v>
      </c>
      <c r="G299" s="1" t="s">
        <v>124</v>
      </c>
      <c r="H299" s="1" t="s">
        <v>150</v>
      </c>
      <c r="I299" s="1" t="s">
        <v>72</v>
      </c>
    </row>
    <row r="300" spans="1:9" ht="14.25" customHeight="1" x14ac:dyDescent="0.25">
      <c r="A300" s="1" t="s">
        <v>720</v>
      </c>
      <c r="B300" s="1" t="s">
        <v>33</v>
      </c>
      <c r="C300" s="1" t="s">
        <v>72</v>
      </c>
      <c r="D300" s="1" t="s">
        <v>85</v>
      </c>
      <c r="E300" s="1" t="s">
        <v>124</v>
      </c>
      <c r="F300" s="1" t="s">
        <v>98</v>
      </c>
      <c r="G300" s="1" t="s">
        <v>150</v>
      </c>
      <c r="H300" s="1" t="s">
        <v>111</v>
      </c>
      <c r="I300" s="1" t="s">
        <v>176</v>
      </c>
    </row>
    <row r="301" spans="1:9" ht="14.25" customHeight="1" x14ac:dyDescent="0.25">
      <c r="A301" s="1" t="s">
        <v>721</v>
      </c>
      <c r="B301" s="1" t="s">
        <v>72</v>
      </c>
      <c r="C301" s="1" t="s">
        <v>124</v>
      </c>
      <c r="D301" s="1" t="s">
        <v>98</v>
      </c>
      <c r="E301" s="1" t="s">
        <v>163</v>
      </c>
      <c r="F301" s="1" t="s">
        <v>85</v>
      </c>
      <c r="G301" s="1" t="s">
        <v>33</v>
      </c>
      <c r="H301" s="1" t="s">
        <v>111</v>
      </c>
      <c r="I301" s="1" t="s">
        <v>176</v>
      </c>
    </row>
    <row r="302" spans="1:9" ht="14.25" customHeight="1" x14ac:dyDescent="0.25">
      <c r="A302" s="1" t="s">
        <v>722</v>
      </c>
      <c r="B302" s="1" t="s">
        <v>33</v>
      </c>
      <c r="C302" s="1" t="s">
        <v>72</v>
      </c>
      <c r="D302" s="1" t="s">
        <v>85</v>
      </c>
      <c r="E302" s="1" t="s">
        <v>163</v>
      </c>
      <c r="F302" s="1" t="s">
        <v>98</v>
      </c>
      <c r="G302" s="1" t="s">
        <v>137</v>
      </c>
      <c r="H302" s="1" t="s">
        <v>111</v>
      </c>
      <c r="I302" s="1" t="s">
        <v>150</v>
      </c>
    </row>
    <row r="303" spans="1:9" ht="14.25" customHeight="1" x14ac:dyDescent="0.25">
      <c r="A303" s="1" t="s">
        <v>723</v>
      </c>
      <c r="B303" s="1" t="s">
        <v>33</v>
      </c>
      <c r="C303" s="1" t="s">
        <v>72</v>
      </c>
      <c r="D303" s="1" t="s">
        <v>85</v>
      </c>
      <c r="E303" s="1" t="s">
        <v>137</v>
      </c>
      <c r="F303" s="1" t="s">
        <v>98</v>
      </c>
      <c r="G303" s="1" t="s">
        <v>150</v>
      </c>
      <c r="H303" s="1" t="s">
        <v>111</v>
      </c>
      <c r="I303" s="1" t="s">
        <v>176</v>
      </c>
    </row>
    <row r="304" spans="1:9" ht="14.25" customHeight="1" x14ac:dyDescent="0.25">
      <c r="A304" s="1" t="s">
        <v>724</v>
      </c>
      <c r="B304" s="1" t="s">
        <v>33</v>
      </c>
      <c r="C304" s="1" t="s">
        <v>72</v>
      </c>
      <c r="D304" s="1" t="s">
        <v>98</v>
      </c>
      <c r="E304" s="1" t="s">
        <v>163</v>
      </c>
      <c r="F304" s="1" t="s">
        <v>137</v>
      </c>
      <c r="G304" s="1" t="s">
        <v>85</v>
      </c>
      <c r="H304" s="1" t="s">
        <v>111</v>
      </c>
      <c r="I304" s="1" t="s">
        <v>176</v>
      </c>
    </row>
    <row r="305" spans="1:9" ht="14.25" customHeight="1" x14ac:dyDescent="0.25">
      <c r="A305" s="1" t="s">
        <v>725</v>
      </c>
      <c r="B305" s="1" t="s">
        <v>72</v>
      </c>
      <c r="C305" s="1" t="s">
        <v>111</v>
      </c>
      <c r="D305" s="1" t="s">
        <v>85</v>
      </c>
      <c r="E305" s="1" t="s">
        <v>163</v>
      </c>
      <c r="F305" s="1" t="s">
        <v>98</v>
      </c>
      <c r="G305" s="1" t="s">
        <v>33</v>
      </c>
      <c r="H305" s="1" t="s">
        <v>150</v>
      </c>
      <c r="I305" s="1" t="s">
        <v>176</v>
      </c>
    </row>
    <row r="306" spans="1:9" ht="14.25" customHeight="1" x14ac:dyDescent="0.25">
      <c r="A306" s="1" t="s">
        <v>726</v>
      </c>
      <c r="B306" s="1" t="s">
        <v>33</v>
      </c>
      <c r="C306" s="1" t="s">
        <v>72</v>
      </c>
      <c r="D306" s="1" t="s">
        <v>98</v>
      </c>
      <c r="E306" s="1" t="s">
        <v>163</v>
      </c>
      <c r="F306" s="1" t="s">
        <v>137</v>
      </c>
      <c r="G306" s="1" t="s">
        <v>124</v>
      </c>
      <c r="H306" s="1" t="s">
        <v>150</v>
      </c>
      <c r="I306" s="1" t="s">
        <v>85</v>
      </c>
    </row>
    <row r="307" spans="1:9" ht="14.25" customHeight="1" x14ac:dyDescent="0.25">
      <c r="A307" s="1" t="s">
        <v>727</v>
      </c>
      <c r="B307" s="1" t="s">
        <v>33</v>
      </c>
      <c r="C307" s="1" t="s">
        <v>72</v>
      </c>
      <c r="D307" s="1" t="s">
        <v>85</v>
      </c>
      <c r="E307" s="1" t="s">
        <v>124</v>
      </c>
      <c r="F307" s="1" t="s">
        <v>98</v>
      </c>
      <c r="G307" s="1" t="s">
        <v>137</v>
      </c>
      <c r="H307" s="1" t="s">
        <v>150</v>
      </c>
      <c r="I307" s="1" t="s">
        <v>176</v>
      </c>
    </row>
    <row r="308" spans="1:9" ht="14.25" customHeight="1" x14ac:dyDescent="0.25">
      <c r="A308" s="1" t="s">
        <v>728</v>
      </c>
      <c r="B308" s="1" t="s">
        <v>33</v>
      </c>
      <c r="C308" s="1" t="s">
        <v>72</v>
      </c>
      <c r="D308" s="1" t="s">
        <v>137</v>
      </c>
      <c r="E308" s="1" t="s">
        <v>163</v>
      </c>
      <c r="F308" s="1" t="s">
        <v>85</v>
      </c>
      <c r="G308" s="1" t="s">
        <v>124</v>
      </c>
      <c r="H308" s="1" t="s">
        <v>98</v>
      </c>
      <c r="I308" s="1" t="s">
        <v>176</v>
      </c>
    </row>
    <row r="309" spans="1:9" ht="14.25" customHeight="1" x14ac:dyDescent="0.25">
      <c r="A309" s="1" t="s">
        <v>729</v>
      </c>
      <c r="B309" s="1" t="s">
        <v>33</v>
      </c>
      <c r="C309" s="1" t="s">
        <v>72</v>
      </c>
      <c r="D309" s="1" t="s">
        <v>85</v>
      </c>
      <c r="E309" s="1" t="s">
        <v>163</v>
      </c>
      <c r="F309" s="1" t="s">
        <v>98</v>
      </c>
      <c r="G309" s="1" t="s">
        <v>124</v>
      </c>
      <c r="H309" s="1" t="s">
        <v>150</v>
      </c>
      <c r="I309" s="1" t="s">
        <v>176</v>
      </c>
    </row>
    <row r="310" spans="1:9" ht="14.25" customHeight="1" x14ac:dyDescent="0.25">
      <c r="A310" s="1" t="s">
        <v>730</v>
      </c>
      <c r="B310" s="1" t="s">
        <v>33</v>
      </c>
      <c r="C310" s="1" t="s">
        <v>72</v>
      </c>
      <c r="D310" s="1" t="s">
        <v>85</v>
      </c>
      <c r="E310" s="1" t="s">
        <v>163</v>
      </c>
      <c r="F310" s="1" t="s">
        <v>98</v>
      </c>
      <c r="G310" s="1" t="s">
        <v>137</v>
      </c>
      <c r="H310" s="1" t="s">
        <v>150</v>
      </c>
      <c r="I310" s="1" t="s">
        <v>176</v>
      </c>
    </row>
    <row r="311" spans="1:9" ht="14.25" customHeight="1" x14ac:dyDescent="0.25">
      <c r="A311" s="1" t="s">
        <v>731</v>
      </c>
      <c r="B311" s="1" t="s">
        <v>33</v>
      </c>
      <c r="C311" s="1" t="s">
        <v>72</v>
      </c>
      <c r="D311" s="1" t="s">
        <v>85</v>
      </c>
      <c r="E311" s="1" t="s">
        <v>163</v>
      </c>
      <c r="F311" s="1" t="s">
        <v>137</v>
      </c>
      <c r="G311" s="1" t="s">
        <v>124</v>
      </c>
      <c r="H311" s="1" t="s">
        <v>111</v>
      </c>
      <c r="I311" s="1" t="s">
        <v>150</v>
      </c>
    </row>
    <row r="312" spans="1:9" ht="14.25" customHeight="1" x14ac:dyDescent="0.25">
      <c r="A312" s="1" t="s">
        <v>732</v>
      </c>
      <c r="B312" s="1" t="s">
        <v>33</v>
      </c>
      <c r="C312" s="1" t="s">
        <v>72</v>
      </c>
      <c r="D312" s="1" t="s">
        <v>85</v>
      </c>
      <c r="E312" s="1" t="s">
        <v>124</v>
      </c>
      <c r="F312" s="1" t="s">
        <v>137</v>
      </c>
      <c r="G312" s="1" t="s">
        <v>150</v>
      </c>
      <c r="H312" s="1" t="s">
        <v>111</v>
      </c>
      <c r="I312" s="1" t="s">
        <v>176</v>
      </c>
    </row>
    <row r="313" spans="1:9" ht="14.25" customHeight="1" x14ac:dyDescent="0.25">
      <c r="A313" s="1" t="s">
        <v>733</v>
      </c>
      <c r="B313" s="1" t="s">
        <v>33</v>
      </c>
      <c r="C313" s="1" t="s">
        <v>72</v>
      </c>
      <c r="D313" s="1" t="s">
        <v>124</v>
      </c>
      <c r="E313" s="1" t="s">
        <v>163</v>
      </c>
      <c r="F313" s="1" t="s">
        <v>85</v>
      </c>
      <c r="G313" s="1" t="s">
        <v>137</v>
      </c>
      <c r="H313" s="1" t="s">
        <v>111</v>
      </c>
      <c r="I313" s="1" t="s">
        <v>176</v>
      </c>
    </row>
    <row r="314" spans="1:9" ht="14.25" customHeight="1" x14ac:dyDescent="0.25">
      <c r="A314" s="1" t="s">
        <v>734</v>
      </c>
      <c r="B314" s="1" t="s">
        <v>33</v>
      </c>
      <c r="C314" s="1" t="s">
        <v>72</v>
      </c>
      <c r="D314" s="1" t="s">
        <v>85</v>
      </c>
      <c r="E314" s="1" t="s">
        <v>163</v>
      </c>
      <c r="F314" s="1" t="s">
        <v>150</v>
      </c>
      <c r="G314" s="1" t="s">
        <v>124</v>
      </c>
      <c r="H314" s="1" t="s">
        <v>111</v>
      </c>
      <c r="I314" s="1" t="s">
        <v>176</v>
      </c>
    </row>
    <row r="315" spans="1:9" ht="14.25" customHeight="1" x14ac:dyDescent="0.25">
      <c r="A315" s="1" t="s">
        <v>735</v>
      </c>
      <c r="B315" s="1" t="s">
        <v>33</v>
      </c>
      <c r="C315" s="1" t="s">
        <v>72</v>
      </c>
      <c r="D315" s="1" t="s">
        <v>85</v>
      </c>
      <c r="E315" s="1" t="s">
        <v>163</v>
      </c>
      <c r="F315" s="1" t="s">
        <v>137</v>
      </c>
      <c r="G315" s="1" t="s">
        <v>150</v>
      </c>
      <c r="H315" s="1" t="s">
        <v>111</v>
      </c>
      <c r="I315" s="1" t="s">
        <v>176</v>
      </c>
    </row>
    <row r="316" spans="1:9" ht="14.25" customHeight="1" x14ac:dyDescent="0.25">
      <c r="A316" s="1" t="s">
        <v>736</v>
      </c>
      <c r="B316" s="1" t="s">
        <v>33</v>
      </c>
      <c r="C316" s="1" t="s">
        <v>72</v>
      </c>
      <c r="D316" s="1" t="s">
        <v>85</v>
      </c>
      <c r="E316" s="1" t="s">
        <v>163</v>
      </c>
      <c r="F316" s="1" t="s">
        <v>137</v>
      </c>
      <c r="G316" s="1" t="s">
        <v>124</v>
      </c>
      <c r="H316" s="1" t="s">
        <v>150</v>
      </c>
      <c r="I316" s="1" t="s">
        <v>176</v>
      </c>
    </row>
    <row r="317" spans="1:9" ht="14.25" customHeight="1" x14ac:dyDescent="0.25">
      <c r="A317" s="1" t="s">
        <v>737</v>
      </c>
      <c r="B317" s="1" t="s">
        <v>33</v>
      </c>
      <c r="C317" s="1" t="s">
        <v>111</v>
      </c>
      <c r="D317" s="1" t="s">
        <v>98</v>
      </c>
      <c r="E317" s="1" t="s">
        <v>163</v>
      </c>
      <c r="F317" s="1" t="s">
        <v>137</v>
      </c>
      <c r="G317" s="1" t="s">
        <v>124</v>
      </c>
      <c r="H317" s="1" t="s">
        <v>150</v>
      </c>
      <c r="I317" s="1" t="s">
        <v>72</v>
      </c>
    </row>
    <row r="318" spans="1:9" ht="14.25" customHeight="1" x14ac:dyDescent="0.25">
      <c r="A318" s="1" t="s">
        <v>738</v>
      </c>
      <c r="B318" s="1" t="s">
        <v>33</v>
      </c>
      <c r="C318" s="1" t="s">
        <v>72</v>
      </c>
      <c r="D318" s="1" t="s">
        <v>98</v>
      </c>
      <c r="E318" s="1" t="s">
        <v>124</v>
      </c>
      <c r="F318" s="1" t="s">
        <v>137</v>
      </c>
      <c r="G318" s="1" t="s">
        <v>150</v>
      </c>
      <c r="H318" s="1" t="s">
        <v>111</v>
      </c>
      <c r="I318" s="1" t="s">
        <v>176</v>
      </c>
    </row>
    <row r="319" spans="1:9" ht="14.25" customHeight="1" x14ac:dyDescent="0.25">
      <c r="A319" s="1" t="s">
        <v>739</v>
      </c>
      <c r="B319" s="1" t="s">
        <v>33</v>
      </c>
      <c r="C319" s="1" t="s">
        <v>72</v>
      </c>
      <c r="D319" s="1" t="s">
        <v>124</v>
      </c>
      <c r="E319" s="1" t="s">
        <v>163</v>
      </c>
      <c r="F319" s="1" t="s">
        <v>98</v>
      </c>
      <c r="G319" s="1" t="s">
        <v>137</v>
      </c>
      <c r="H319" s="1" t="s">
        <v>111</v>
      </c>
      <c r="I319" s="1" t="s">
        <v>176</v>
      </c>
    </row>
    <row r="320" spans="1:9" ht="14.25" customHeight="1" x14ac:dyDescent="0.25">
      <c r="A320" s="1" t="s">
        <v>740</v>
      </c>
      <c r="B320" s="1" t="s">
        <v>33</v>
      </c>
      <c r="C320" s="1" t="s">
        <v>72</v>
      </c>
      <c r="D320" s="1" t="s">
        <v>98</v>
      </c>
      <c r="E320" s="1" t="s">
        <v>163</v>
      </c>
      <c r="F320" s="1" t="s">
        <v>150</v>
      </c>
      <c r="G320" s="1" t="s">
        <v>124</v>
      </c>
      <c r="H320" s="1" t="s">
        <v>111</v>
      </c>
      <c r="I320" s="1" t="s">
        <v>176</v>
      </c>
    </row>
    <row r="321" spans="1:9" ht="14.25" customHeight="1" x14ac:dyDescent="0.25">
      <c r="A321" s="1" t="s">
        <v>741</v>
      </c>
      <c r="B321" s="1" t="s">
        <v>33</v>
      </c>
      <c r="C321" s="1" t="s">
        <v>72</v>
      </c>
      <c r="D321" s="1" t="s">
        <v>98</v>
      </c>
      <c r="E321" s="1" t="s">
        <v>163</v>
      </c>
      <c r="F321" s="1" t="s">
        <v>137</v>
      </c>
      <c r="G321" s="1" t="s">
        <v>150</v>
      </c>
      <c r="H321" s="1" t="s">
        <v>111</v>
      </c>
      <c r="I321" s="1" t="s">
        <v>176</v>
      </c>
    </row>
    <row r="322" spans="1:9" ht="14.25" customHeight="1" x14ac:dyDescent="0.25">
      <c r="A322" s="1" t="s">
        <v>742</v>
      </c>
      <c r="B322" s="1" t="s">
        <v>33</v>
      </c>
      <c r="C322" s="1" t="s">
        <v>72</v>
      </c>
      <c r="D322" s="1" t="s">
        <v>98</v>
      </c>
      <c r="E322" s="1" t="s">
        <v>163</v>
      </c>
      <c r="F322" s="1" t="s">
        <v>137</v>
      </c>
      <c r="G322" s="1" t="s">
        <v>124</v>
      </c>
      <c r="H322" s="1" t="s">
        <v>150</v>
      </c>
      <c r="I322" s="1" t="s">
        <v>176</v>
      </c>
    </row>
    <row r="323" spans="1:9" ht="14.25" customHeight="1" x14ac:dyDescent="0.25">
      <c r="A323" s="1" t="s">
        <v>743</v>
      </c>
      <c r="B323" s="1" t="s">
        <v>33</v>
      </c>
      <c r="C323" s="1" t="s">
        <v>72</v>
      </c>
      <c r="D323" s="1" t="s">
        <v>124</v>
      </c>
      <c r="E323" s="1" t="s">
        <v>163</v>
      </c>
      <c r="F323" s="1" t="s">
        <v>137</v>
      </c>
      <c r="G323" s="1" t="s">
        <v>150</v>
      </c>
      <c r="H323" s="1" t="s">
        <v>111</v>
      </c>
      <c r="I323" s="1" t="s">
        <v>176</v>
      </c>
    </row>
    <row r="324" spans="1:9" ht="14.25" customHeight="1" x14ac:dyDescent="0.25">
      <c r="A324" s="1" t="s">
        <v>744</v>
      </c>
      <c r="B324" s="1" t="s">
        <v>33</v>
      </c>
      <c r="C324" s="1" t="s">
        <v>98</v>
      </c>
      <c r="D324" s="1" t="s">
        <v>124</v>
      </c>
      <c r="E324" s="1" t="s">
        <v>163</v>
      </c>
      <c r="F324" s="1" t="s">
        <v>137</v>
      </c>
      <c r="G324" s="1" t="s">
        <v>150</v>
      </c>
      <c r="H324" s="1" t="s">
        <v>111</v>
      </c>
      <c r="I324" s="1" t="s">
        <v>85</v>
      </c>
    </row>
    <row r="325" spans="1:9" ht="14.25" customHeight="1" x14ac:dyDescent="0.25">
      <c r="A325" s="1" t="s">
        <v>745</v>
      </c>
      <c r="B325" s="1" t="s">
        <v>33</v>
      </c>
      <c r="C325" s="1" t="s">
        <v>98</v>
      </c>
      <c r="D325" s="1" t="s">
        <v>85</v>
      </c>
      <c r="E325" s="1" t="s">
        <v>124</v>
      </c>
      <c r="F325" s="1" t="s">
        <v>137</v>
      </c>
      <c r="G325" s="1" t="s">
        <v>150</v>
      </c>
      <c r="H325" s="1" t="s">
        <v>111</v>
      </c>
      <c r="I325" s="1" t="s">
        <v>176</v>
      </c>
    </row>
    <row r="326" spans="1:9" ht="14.25" customHeight="1" x14ac:dyDescent="0.25">
      <c r="A326" s="1" t="s">
        <v>746</v>
      </c>
      <c r="B326" s="1" t="s">
        <v>33</v>
      </c>
      <c r="C326" s="1" t="s">
        <v>98</v>
      </c>
      <c r="D326" s="1" t="s">
        <v>137</v>
      </c>
      <c r="E326" s="1" t="s">
        <v>163</v>
      </c>
      <c r="F326" s="1" t="s">
        <v>85</v>
      </c>
      <c r="G326" s="1" t="s">
        <v>124</v>
      </c>
      <c r="H326" s="1" t="s">
        <v>111</v>
      </c>
      <c r="I326" s="1" t="s">
        <v>176</v>
      </c>
    </row>
    <row r="327" spans="1:9" ht="14.25" customHeight="1" x14ac:dyDescent="0.25">
      <c r="A327" s="1" t="s">
        <v>747</v>
      </c>
      <c r="B327" s="1" t="s">
        <v>33</v>
      </c>
      <c r="C327" s="1" t="s">
        <v>98</v>
      </c>
      <c r="D327" s="1" t="s">
        <v>85</v>
      </c>
      <c r="E327" s="1" t="s">
        <v>163</v>
      </c>
      <c r="F327" s="1" t="s">
        <v>150</v>
      </c>
      <c r="G327" s="1" t="s">
        <v>124</v>
      </c>
      <c r="H327" s="1" t="s">
        <v>111</v>
      </c>
      <c r="I327" s="1" t="s">
        <v>176</v>
      </c>
    </row>
    <row r="328" spans="1:9" ht="14.25" customHeight="1" x14ac:dyDescent="0.25">
      <c r="A328" s="1" t="s">
        <v>748</v>
      </c>
      <c r="B328" s="1" t="s">
        <v>33</v>
      </c>
      <c r="C328" s="1" t="s">
        <v>98</v>
      </c>
      <c r="D328" s="1" t="s">
        <v>85</v>
      </c>
      <c r="E328" s="1" t="s">
        <v>163</v>
      </c>
      <c r="F328" s="1" t="s">
        <v>150</v>
      </c>
      <c r="G328" s="1" t="s">
        <v>137</v>
      </c>
      <c r="H328" s="1" t="s">
        <v>111</v>
      </c>
      <c r="I328" s="1" t="s">
        <v>176</v>
      </c>
    </row>
    <row r="329" spans="1:9" ht="14.25" customHeight="1" x14ac:dyDescent="0.25">
      <c r="A329" s="1" t="s">
        <v>749</v>
      </c>
      <c r="B329" s="1" t="s">
        <v>33</v>
      </c>
      <c r="C329" s="1" t="s">
        <v>98</v>
      </c>
      <c r="D329" s="1" t="s">
        <v>85</v>
      </c>
      <c r="E329" s="1" t="s">
        <v>163</v>
      </c>
      <c r="F329" s="1" t="s">
        <v>137</v>
      </c>
      <c r="G329" s="1" t="s">
        <v>124</v>
      </c>
      <c r="H329" s="1" t="s">
        <v>150</v>
      </c>
      <c r="I329" s="1" t="s">
        <v>176</v>
      </c>
    </row>
    <row r="330" spans="1:9" ht="14.25" customHeight="1" x14ac:dyDescent="0.25">
      <c r="A330" s="1" t="s">
        <v>750</v>
      </c>
      <c r="B330" s="1" t="s">
        <v>33</v>
      </c>
      <c r="C330" s="1" t="s">
        <v>111</v>
      </c>
      <c r="D330" s="1" t="s">
        <v>85</v>
      </c>
      <c r="E330" s="1" t="s">
        <v>163</v>
      </c>
      <c r="F330" s="1" t="s">
        <v>137</v>
      </c>
      <c r="G330" s="1" t="s">
        <v>124</v>
      </c>
      <c r="H330" s="1" t="s">
        <v>150</v>
      </c>
      <c r="I330" s="1" t="s">
        <v>176</v>
      </c>
    </row>
    <row r="331" spans="1:9" ht="14.25" customHeight="1" x14ac:dyDescent="0.25">
      <c r="A331" s="1" t="s">
        <v>751</v>
      </c>
      <c r="B331" s="1" t="s">
        <v>33</v>
      </c>
      <c r="C331" s="1" t="s">
        <v>98</v>
      </c>
      <c r="D331" s="1" t="s">
        <v>124</v>
      </c>
      <c r="E331" s="1" t="s">
        <v>163</v>
      </c>
      <c r="F331" s="1" t="s">
        <v>137</v>
      </c>
      <c r="G331" s="1" t="s">
        <v>150</v>
      </c>
      <c r="H331" s="1" t="s">
        <v>111</v>
      </c>
      <c r="I331" s="1" t="s">
        <v>176</v>
      </c>
    </row>
    <row r="332" spans="1:9" ht="14.25" customHeight="1" x14ac:dyDescent="0.25">
      <c r="A332" s="1" t="s">
        <v>752</v>
      </c>
      <c r="B332" s="1" t="s">
        <v>59</v>
      </c>
      <c r="C332" s="1" t="s">
        <v>111</v>
      </c>
      <c r="D332" s="1" t="s">
        <v>98</v>
      </c>
      <c r="E332" s="1" t="s">
        <v>85</v>
      </c>
      <c r="F332" s="1" t="s">
        <v>46</v>
      </c>
      <c r="G332" s="1" t="s">
        <v>124</v>
      </c>
      <c r="H332" s="1" t="s">
        <v>137</v>
      </c>
      <c r="I332" s="1" t="s">
        <v>72</v>
      </c>
    </row>
    <row r="333" spans="1:9" ht="14.25" customHeight="1" x14ac:dyDescent="0.25">
      <c r="A333" s="1" t="s">
        <v>753</v>
      </c>
      <c r="B333" s="1" t="s">
        <v>46</v>
      </c>
      <c r="C333" s="1" t="s">
        <v>98</v>
      </c>
      <c r="D333" s="1" t="s">
        <v>59</v>
      </c>
      <c r="E333" s="1" t="s">
        <v>85</v>
      </c>
      <c r="F333" s="1" t="s">
        <v>150</v>
      </c>
      <c r="G333" s="1" t="s">
        <v>124</v>
      </c>
      <c r="H333" s="1" t="s">
        <v>111</v>
      </c>
      <c r="I333" s="1" t="s">
        <v>72</v>
      </c>
    </row>
    <row r="334" spans="1:9" ht="14.25" customHeight="1" x14ac:dyDescent="0.25">
      <c r="A334" s="1" t="s">
        <v>754</v>
      </c>
      <c r="B334" s="1" t="s">
        <v>59</v>
      </c>
      <c r="C334" s="1" t="s">
        <v>111</v>
      </c>
      <c r="D334" s="1" t="s">
        <v>124</v>
      </c>
      <c r="E334" s="1" t="s">
        <v>163</v>
      </c>
      <c r="F334" s="1" t="s">
        <v>46</v>
      </c>
      <c r="G334" s="1" t="s">
        <v>85</v>
      </c>
      <c r="H334" s="1" t="s">
        <v>98</v>
      </c>
      <c r="I334" s="1" t="s">
        <v>72</v>
      </c>
    </row>
    <row r="335" spans="1:9" ht="14.25" customHeight="1" x14ac:dyDescent="0.25">
      <c r="A335" s="1" t="s">
        <v>755</v>
      </c>
      <c r="B335" s="1" t="s">
        <v>72</v>
      </c>
      <c r="C335" s="1" t="s">
        <v>111</v>
      </c>
      <c r="D335" s="1" t="s">
        <v>59</v>
      </c>
      <c r="E335" s="1" t="s">
        <v>85</v>
      </c>
      <c r="F335" s="1" t="s">
        <v>46</v>
      </c>
      <c r="G335" s="1" t="s">
        <v>124</v>
      </c>
      <c r="H335" s="1" t="s">
        <v>98</v>
      </c>
      <c r="I335" s="1" t="s">
        <v>176</v>
      </c>
    </row>
    <row r="336" spans="1:9" ht="14.25" customHeight="1" x14ac:dyDescent="0.25">
      <c r="A336" s="1" t="s">
        <v>756</v>
      </c>
      <c r="B336" s="1" t="s">
        <v>46</v>
      </c>
      <c r="C336" s="1" t="s">
        <v>98</v>
      </c>
      <c r="D336" s="1" t="s">
        <v>59</v>
      </c>
      <c r="E336" s="1" t="s">
        <v>85</v>
      </c>
      <c r="F336" s="1" t="s">
        <v>150</v>
      </c>
      <c r="G336" s="1" t="s">
        <v>137</v>
      </c>
      <c r="H336" s="1" t="s">
        <v>111</v>
      </c>
      <c r="I336" s="1" t="s">
        <v>72</v>
      </c>
    </row>
    <row r="337" spans="1:9" ht="14.25" customHeight="1" x14ac:dyDescent="0.25">
      <c r="A337" s="1" t="s">
        <v>757</v>
      </c>
      <c r="B337" s="1" t="s">
        <v>46</v>
      </c>
      <c r="C337" s="1" t="s">
        <v>98</v>
      </c>
      <c r="D337" s="1" t="s">
        <v>59</v>
      </c>
      <c r="E337" s="1" t="s">
        <v>163</v>
      </c>
      <c r="F337" s="1" t="s">
        <v>137</v>
      </c>
      <c r="G337" s="1" t="s">
        <v>85</v>
      </c>
      <c r="H337" s="1" t="s">
        <v>111</v>
      </c>
      <c r="I337" s="1" t="s">
        <v>72</v>
      </c>
    </row>
    <row r="338" spans="1:9" ht="14.25" customHeight="1" x14ac:dyDescent="0.25">
      <c r="A338" s="1" t="s">
        <v>758</v>
      </c>
      <c r="B338" s="1" t="s">
        <v>72</v>
      </c>
      <c r="C338" s="1" t="s">
        <v>111</v>
      </c>
      <c r="D338" s="1" t="s">
        <v>59</v>
      </c>
      <c r="E338" s="1" t="s">
        <v>85</v>
      </c>
      <c r="F338" s="1" t="s">
        <v>46</v>
      </c>
      <c r="G338" s="1" t="s">
        <v>137</v>
      </c>
      <c r="H338" s="1" t="s">
        <v>98</v>
      </c>
      <c r="I338" s="1" t="s">
        <v>176</v>
      </c>
    </row>
    <row r="339" spans="1:9" ht="14.25" customHeight="1" x14ac:dyDescent="0.25">
      <c r="A339" s="1" t="s">
        <v>759</v>
      </c>
      <c r="B339" s="1" t="s">
        <v>46</v>
      </c>
      <c r="C339" s="1" t="s">
        <v>98</v>
      </c>
      <c r="D339" s="1" t="s">
        <v>59</v>
      </c>
      <c r="E339" s="1" t="s">
        <v>163</v>
      </c>
      <c r="F339" s="1" t="s">
        <v>150</v>
      </c>
      <c r="G339" s="1" t="s">
        <v>85</v>
      </c>
      <c r="H339" s="1" t="s">
        <v>111</v>
      </c>
      <c r="I339" s="1" t="s">
        <v>72</v>
      </c>
    </row>
    <row r="340" spans="1:9" ht="14.25" customHeight="1" x14ac:dyDescent="0.25">
      <c r="A340" s="1" t="s">
        <v>760</v>
      </c>
      <c r="B340" s="1" t="s">
        <v>72</v>
      </c>
      <c r="C340" s="1" t="s">
        <v>111</v>
      </c>
      <c r="D340" s="1" t="s">
        <v>59</v>
      </c>
      <c r="E340" s="1" t="s">
        <v>85</v>
      </c>
      <c r="F340" s="1" t="s">
        <v>46</v>
      </c>
      <c r="G340" s="1" t="s">
        <v>150</v>
      </c>
      <c r="H340" s="1" t="s">
        <v>98</v>
      </c>
      <c r="I340" s="1" t="s">
        <v>176</v>
      </c>
    </row>
    <row r="341" spans="1:9" ht="14.25" customHeight="1" x14ac:dyDescent="0.25">
      <c r="A341" s="1" t="s">
        <v>761</v>
      </c>
      <c r="B341" s="1" t="s">
        <v>72</v>
      </c>
      <c r="C341" s="1" t="s">
        <v>111</v>
      </c>
      <c r="D341" s="1" t="s">
        <v>59</v>
      </c>
      <c r="E341" s="1" t="s">
        <v>163</v>
      </c>
      <c r="F341" s="1" t="s">
        <v>46</v>
      </c>
      <c r="G341" s="1" t="s">
        <v>85</v>
      </c>
      <c r="H341" s="1" t="s">
        <v>98</v>
      </c>
      <c r="I341" s="1" t="s">
        <v>176</v>
      </c>
    </row>
    <row r="342" spans="1:9" ht="14.25" customHeight="1" x14ac:dyDescent="0.25">
      <c r="A342" s="1" t="s">
        <v>762</v>
      </c>
      <c r="B342" s="1" t="s">
        <v>46</v>
      </c>
      <c r="C342" s="1" t="s">
        <v>59</v>
      </c>
      <c r="D342" s="1" t="s">
        <v>98</v>
      </c>
      <c r="E342" s="1" t="s">
        <v>85</v>
      </c>
      <c r="F342" s="1" t="s">
        <v>150</v>
      </c>
      <c r="G342" s="1" t="s">
        <v>124</v>
      </c>
      <c r="H342" s="1" t="s">
        <v>137</v>
      </c>
      <c r="I342" s="1" t="s">
        <v>72</v>
      </c>
    </row>
    <row r="343" spans="1:9" ht="14.25" customHeight="1" x14ac:dyDescent="0.25">
      <c r="A343" s="1" t="s">
        <v>763</v>
      </c>
      <c r="B343" s="1" t="s">
        <v>59</v>
      </c>
      <c r="C343" s="1" t="s">
        <v>124</v>
      </c>
      <c r="D343" s="1" t="s">
        <v>137</v>
      </c>
      <c r="E343" s="1" t="s">
        <v>163</v>
      </c>
      <c r="F343" s="1" t="s">
        <v>46</v>
      </c>
      <c r="G343" s="1" t="s">
        <v>85</v>
      </c>
      <c r="H343" s="1" t="s">
        <v>98</v>
      </c>
      <c r="I343" s="1" t="s">
        <v>72</v>
      </c>
    </row>
    <row r="344" spans="1:9" ht="14.25" customHeight="1" x14ac:dyDescent="0.25">
      <c r="A344" s="1" t="s">
        <v>764</v>
      </c>
      <c r="B344" s="1" t="s">
        <v>72</v>
      </c>
      <c r="C344" s="1" t="s">
        <v>59</v>
      </c>
      <c r="D344" s="1" t="s">
        <v>137</v>
      </c>
      <c r="E344" s="1" t="s">
        <v>85</v>
      </c>
      <c r="F344" s="1" t="s">
        <v>46</v>
      </c>
      <c r="G344" s="1" t="s">
        <v>124</v>
      </c>
      <c r="H344" s="1" t="s">
        <v>98</v>
      </c>
      <c r="I344" s="1" t="s">
        <v>176</v>
      </c>
    </row>
    <row r="345" spans="1:9" ht="14.25" customHeight="1" x14ac:dyDescent="0.25">
      <c r="A345" s="1" t="s">
        <v>765</v>
      </c>
      <c r="B345" s="1" t="s">
        <v>46</v>
      </c>
      <c r="C345" s="1" t="s">
        <v>124</v>
      </c>
      <c r="D345" s="1" t="s">
        <v>59</v>
      </c>
      <c r="E345" s="1" t="s">
        <v>163</v>
      </c>
      <c r="F345" s="1" t="s">
        <v>150</v>
      </c>
      <c r="G345" s="1" t="s">
        <v>85</v>
      </c>
      <c r="H345" s="1" t="s">
        <v>98</v>
      </c>
      <c r="I345" s="1" t="s">
        <v>72</v>
      </c>
    </row>
    <row r="346" spans="1:9" ht="14.25" customHeight="1" x14ac:dyDescent="0.25">
      <c r="A346" s="1" t="s">
        <v>766</v>
      </c>
      <c r="B346" s="1" t="s">
        <v>46</v>
      </c>
      <c r="C346" s="1" t="s">
        <v>72</v>
      </c>
      <c r="D346" s="1" t="s">
        <v>59</v>
      </c>
      <c r="E346" s="1" t="s">
        <v>85</v>
      </c>
      <c r="F346" s="1" t="s">
        <v>150</v>
      </c>
      <c r="G346" s="1" t="s">
        <v>124</v>
      </c>
      <c r="H346" s="1" t="s">
        <v>98</v>
      </c>
      <c r="I346" s="1" t="s">
        <v>176</v>
      </c>
    </row>
    <row r="347" spans="1:9" ht="14.25" customHeight="1" x14ac:dyDescent="0.25">
      <c r="A347" s="1" t="s">
        <v>767</v>
      </c>
      <c r="B347" s="1" t="s">
        <v>72</v>
      </c>
      <c r="C347" s="1" t="s">
        <v>124</v>
      </c>
      <c r="D347" s="1" t="s">
        <v>59</v>
      </c>
      <c r="E347" s="1" t="s">
        <v>163</v>
      </c>
      <c r="F347" s="1" t="s">
        <v>46</v>
      </c>
      <c r="G347" s="1" t="s">
        <v>85</v>
      </c>
      <c r="H347" s="1" t="s">
        <v>98</v>
      </c>
      <c r="I347" s="1" t="s">
        <v>176</v>
      </c>
    </row>
    <row r="348" spans="1:9" ht="14.25" customHeight="1" x14ac:dyDescent="0.25">
      <c r="A348" s="1" t="s">
        <v>768</v>
      </c>
      <c r="B348" s="1" t="s">
        <v>46</v>
      </c>
      <c r="C348" s="1" t="s">
        <v>59</v>
      </c>
      <c r="D348" s="1" t="s">
        <v>98</v>
      </c>
      <c r="E348" s="1" t="s">
        <v>163</v>
      </c>
      <c r="F348" s="1" t="s">
        <v>150</v>
      </c>
      <c r="G348" s="1" t="s">
        <v>85</v>
      </c>
      <c r="H348" s="1" t="s">
        <v>137</v>
      </c>
      <c r="I348" s="1" t="s">
        <v>72</v>
      </c>
    </row>
    <row r="349" spans="1:9" ht="14.25" customHeight="1" x14ac:dyDescent="0.25">
      <c r="A349" s="1" t="s">
        <v>769</v>
      </c>
      <c r="B349" s="1" t="s">
        <v>72</v>
      </c>
      <c r="C349" s="1" t="s">
        <v>59</v>
      </c>
      <c r="D349" s="1" t="s">
        <v>98</v>
      </c>
      <c r="E349" s="1" t="s">
        <v>85</v>
      </c>
      <c r="F349" s="1" t="s">
        <v>46</v>
      </c>
      <c r="G349" s="1" t="s">
        <v>137</v>
      </c>
      <c r="H349" s="1" t="s">
        <v>150</v>
      </c>
      <c r="I349" s="1" t="s">
        <v>176</v>
      </c>
    </row>
    <row r="350" spans="1:9" ht="14.25" customHeight="1" x14ac:dyDescent="0.25">
      <c r="A350" s="1" t="s">
        <v>770</v>
      </c>
      <c r="B350" s="1" t="s">
        <v>72</v>
      </c>
      <c r="C350" s="1" t="s">
        <v>59</v>
      </c>
      <c r="D350" s="1" t="s">
        <v>137</v>
      </c>
      <c r="E350" s="1" t="s">
        <v>163</v>
      </c>
      <c r="F350" s="1" t="s">
        <v>46</v>
      </c>
      <c r="G350" s="1" t="s">
        <v>85</v>
      </c>
      <c r="H350" s="1" t="s">
        <v>98</v>
      </c>
      <c r="I350" s="1" t="s">
        <v>176</v>
      </c>
    </row>
    <row r="351" spans="1:9" ht="14.25" customHeight="1" x14ac:dyDescent="0.25">
      <c r="A351" s="1" t="s">
        <v>771</v>
      </c>
      <c r="B351" s="1" t="s">
        <v>46</v>
      </c>
      <c r="C351" s="1" t="s">
        <v>72</v>
      </c>
      <c r="D351" s="1" t="s">
        <v>59</v>
      </c>
      <c r="E351" s="1" t="s">
        <v>163</v>
      </c>
      <c r="F351" s="1" t="s">
        <v>150</v>
      </c>
      <c r="G351" s="1" t="s">
        <v>85</v>
      </c>
      <c r="H351" s="1" t="s">
        <v>98</v>
      </c>
      <c r="I351" s="1" t="s">
        <v>176</v>
      </c>
    </row>
    <row r="352" spans="1:9" ht="14.25" customHeight="1" x14ac:dyDescent="0.25">
      <c r="A352" s="1" t="s">
        <v>772</v>
      </c>
      <c r="B352" s="1" t="s">
        <v>46</v>
      </c>
      <c r="C352" s="1" t="s">
        <v>72</v>
      </c>
      <c r="D352" s="1" t="s">
        <v>59</v>
      </c>
      <c r="E352" s="1" t="s">
        <v>124</v>
      </c>
      <c r="F352" s="1" t="s">
        <v>85</v>
      </c>
      <c r="G352" s="1" t="s">
        <v>137</v>
      </c>
      <c r="H352" s="1" t="s">
        <v>111</v>
      </c>
      <c r="I352" s="1" t="s">
        <v>150</v>
      </c>
    </row>
    <row r="353" spans="1:9" ht="14.25" customHeight="1" x14ac:dyDescent="0.25">
      <c r="A353" s="1" t="s">
        <v>773</v>
      </c>
      <c r="B353" s="1" t="s">
        <v>46</v>
      </c>
      <c r="C353" s="1" t="s">
        <v>59</v>
      </c>
      <c r="D353" s="1" t="s">
        <v>137</v>
      </c>
      <c r="E353" s="1" t="s">
        <v>163</v>
      </c>
      <c r="F353" s="1" t="s">
        <v>85</v>
      </c>
      <c r="G353" s="1" t="s">
        <v>124</v>
      </c>
      <c r="H353" s="1" t="s">
        <v>111</v>
      </c>
      <c r="I353" s="1" t="s">
        <v>72</v>
      </c>
    </row>
    <row r="354" spans="1:9" ht="14.25" customHeight="1" x14ac:dyDescent="0.25">
      <c r="A354" s="1" t="s">
        <v>774</v>
      </c>
      <c r="B354" s="1" t="s">
        <v>46</v>
      </c>
      <c r="C354" s="1" t="s">
        <v>72</v>
      </c>
      <c r="D354" s="1" t="s">
        <v>59</v>
      </c>
      <c r="E354" s="1" t="s">
        <v>124</v>
      </c>
      <c r="F354" s="1" t="s">
        <v>85</v>
      </c>
      <c r="G354" s="1" t="s">
        <v>137</v>
      </c>
      <c r="H354" s="1" t="s">
        <v>111</v>
      </c>
      <c r="I354" s="1" t="s">
        <v>176</v>
      </c>
    </row>
    <row r="355" spans="1:9" ht="14.25" customHeight="1" x14ac:dyDescent="0.25">
      <c r="A355" s="1" t="s">
        <v>775</v>
      </c>
      <c r="B355" s="1" t="s">
        <v>46</v>
      </c>
      <c r="C355" s="1" t="s">
        <v>72</v>
      </c>
      <c r="D355" s="1" t="s">
        <v>59</v>
      </c>
      <c r="E355" s="1" t="s">
        <v>163</v>
      </c>
      <c r="F355" s="1" t="s">
        <v>85</v>
      </c>
      <c r="G355" s="1" t="s">
        <v>124</v>
      </c>
      <c r="H355" s="1" t="s">
        <v>111</v>
      </c>
      <c r="I355" s="1" t="s">
        <v>150</v>
      </c>
    </row>
    <row r="356" spans="1:9" ht="14.25" customHeight="1" x14ac:dyDescent="0.25">
      <c r="A356" s="1" t="s">
        <v>776</v>
      </c>
      <c r="B356" s="1" t="s">
        <v>46</v>
      </c>
      <c r="C356" s="1" t="s">
        <v>72</v>
      </c>
      <c r="D356" s="1" t="s">
        <v>59</v>
      </c>
      <c r="E356" s="1" t="s">
        <v>124</v>
      </c>
      <c r="F356" s="1" t="s">
        <v>85</v>
      </c>
      <c r="G356" s="1" t="s">
        <v>150</v>
      </c>
      <c r="H356" s="1" t="s">
        <v>111</v>
      </c>
      <c r="I356" s="1" t="s">
        <v>176</v>
      </c>
    </row>
    <row r="357" spans="1:9" ht="14.25" customHeight="1" x14ac:dyDescent="0.25">
      <c r="A357" s="1" t="s">
        <v>777</v>
      </c>
      <c r="B357" s="1" t="s">
        <v>59</v>
      </c>
      <c r="C357" s="1" t="s">
        <v>72</v>
      </c>
      <c r="D357" s="1" t="s">
        <v>124</v>
      </c>
      <c r="E357" s="1" t="s">
        <v>163</v>
      </c>
      <c r="F357" s="1" t="s">
        <v>46</v>
      </c>
      <c r="G357" s="1" t="s">
        <v>85</v>
      </c>
      <c r="H357" s="1" t="s">
        <v>111</v>
      </c>
      <c r="I357" s="1" t="s">
        <v>176</v>
      </c>
    </row>
    <row r="358" spans="1:9" ht="14.25" customHeight="1" x14ac:dyDescent="0.25">
      <c r="A358" s="1" t="s">
        <v>778</v>
      </c>
      <c r="B358" s="1" t="s">
        <v>46</v>
      </c>
      <c r="C358" s="1" t="s">
        <v>59</v>
      </c>
      <c r="D358" s="1" t="s">
        <v>85</v>
      </c>
      <c r="E358" s="1" t="s">
        <v>163</v>
      </c>
      <c r="F358" s="1" t="s">
        <v>150</v>
      </c>
      <c r="G358" s="1" t="s">
        <v>137</v>
      </c>
      <c r="H358" s="1" t="s">
        <v>111</v>
      </c>
      <c r="I358" s="1" t="s">
        <v>72</v>
      </c>
    </row>
    <row r="359" spans="1:9" ht="14.25" customHeight="1" x14ac:dyDescent="0.25">
      <c r="A359" s="1" t="s">
        <v>779</v>
      </c>
      <c r="B359" s="1" t="s">
        <v>46</v>
      </c>
      <c r="C359" s="1" t="s">
        <v>72</v>
      </c>
      <c r="D359" s="1" t="s">
        <v>59</v>
      </c>
      <c r="E359" s="1" t="s">
        <v>85</v>
      </c>
      <c r="F359" s="1" t="s">
        <v>150</v>
      </c>
      <c r="G359" s="1" t="s">
        <v>137</v>
      </c>
      <c r="H359" s="1" t="s">
        <v>111</v>
      </c>
      <c r="I359" s="1" t="s">
        <v>176</v>
      </c>
    </row>
    <row r="360" spans="1:9" ht="14.25" customHeight="1" x14ac:dyDescent="0.25">
      <c r="A360" s="1" t="s">
        <v>780</v>
      </c>
      <c r="B360" s="1" t="s">
        <v>72</v>
      </c>
      <c r="C360" s="1" t="s">
        <v>111</v>
      </c>
      <c r="D360" s="1" t="s">
        <v>59</v>
      </c>
      <c r="E360" s="1" t="s">
        <v>163</v>
      </c>
      <c r="F360" s="1" t="s">
        <v>46</v>
      </c>
      <c r="G360" s="1" t="s">
        <v>85</v>
      </c>
      <c r="H360" s="1" t="s">
        <v>137</v>
      </c>
      <c r="I360" s="1" t="s">
        <v>176</v>
      </c>
    </row>
    <row r="361" spans="1:9" ht="14.25" customHeight="1" x14ac:dyDescent="0.25">
      <c r="A361" s="1" t="s">
        <v>781</v>
      </c>
      <c r="B361" s="1" t="s">
        <v>46</v>
      </c>
      <c r="C361" s="1" t="s">
        <v>72</v>
      </c>
      <c r="D361" s="1" t="s">
        <v>59</v>
      </c>
      <c r="E361" s="1" t="s">
        <v>163</v>
      </c>
      <c r="F361" s="1" t="s">
        <v>150</v>
      </c>
      <c r="G361" s="1" t="s">
        <v>85</v>
      </c>
      <c r="H361" s="1" t="s">
        <v>111</v>
      </c>
      <c r="I361" s="1" t="s">
        <v>176</v>
      </c>
    </row>
    <row r="362" spans="1:9" ht="14.25" customHeight="1" x14ac:dyDescent="0.25">
      <c r="A362" s="1" t="s">
        <v>782</v>
      </c>
      <c r="B362" s="1" t="s">
        <v>46</v>
      </c>
      <c r="C362" s="1" t="s">
        <v>59</v>
      </c>
      <c r="D362" s="1" t="s">
        <v>124</v>
      </c>
      <c r="E362" s="1" t="s">
        <v>163</v>
      </c>
      <c r="F362" s="1" t="s">
        <v>137</v>
      </c>
      <c r="G362" s="1" t="s">
        <v>150</v>
      </c>
      <c r="H362" s="1" t="s">
        <v>85</v>
      </c>
      <c r="I362" s="1" t="s">
        <v>72</v>
      </c>
    </row>
    <row r="363" spans="1:9" ht="14.25" customHeight="1" x14ac:dyDescent="0.25">
      <c r="A363" s="1" t="s">
        <v>783</v>
      </c>
      <c r="B363" s="1" t="s">
        <v>46</v>
      </c>
      <c r="C363" s="1" t="s">
        <v>72</v>
      </c>
      <c r="D363" s="1" t="s">
        <v>59</v>
      </c>
      <c r="E363" s="1" t="s">
        <v>124</v>
      </c>
      <c r="F363" s="1" t="s">
        <v>137</v>
      </c>
      <c r="G363" s="1" t="s">
        <v>150</v>
      </c>
      <c r="H363" s="1" t="s">
        <v>85</v>
      </c>
      <c r="I363" s="1" t="s">
        <v>176</v>
      </c>
    </row>
    <row r="364" spans="1:9" ht="14.25" customHeight="1" x14ac:dyDescent="0.25">
      <c r="A364" s="1" t="s">
        <v>784</v>
      </c>
      <c r="B364" s="1" t="s">
        <v>59</v>
      </c>
      <c r="C364" s="1" t="s">
        <v>72</v>
      </c>
      <c r="D364" s="1" t="s">
        <v>137</v>
      </c>
      <c r="E364" s="1" t="s">
        <v>163</v>
      </c>
      <c r="F364" s="1" t="s">
        <v>46</v>
      </c>
      <c r="G364" s="1" t="s">
        <v>124</v>
      </c>
      <c r="H364" s="1" t="s">
        <v>85</v>
      </c>
      <c r="I364" s="1" t="s">
        <v>176</v>
      </c>
    </row>
    <row r="365" spans="1:9" ht="14.25" customHeight="1" x14ac:dyDescent="0.25">
      <c r="A365" s="1" t="s">
        <v>785</v>
      </c>
      <c r="B365" s="1" t="s">
        <v>72</v>
      </c>
      <c r="C365" s="1" t="s">
        <v>124</v>
      </c>
      <c r="D365" s="1" t="s">
        <v>59</v>
      </c>
      <c r="E365" s="1" t="s">
        <v>163</v>
      </c>
      <c r="F365" s="1" t="s">
        <v>46</v>
      </c>
      <c r="G365" s="1" t="s">
        <v>150</v>
      </c>
      <c r="H365" s="1" t="s">
        <v>85</v>
      </c>
      <c r="I365" s="1" t="s">
        <v>176</v>
      </c>
    </row>
    <row r="366" spans="1:9" ht="14.25" customHeight="1" x14ac:dyDescent="0.25">
      <c r="A366" s="1" t="s">
        <v>786</v>
      </c>
      <c r="B366" s="1" t="s">
        <v>72</v>
      </c>
      <c r="C366" s="1" t="s">
        <v>59</v>
      </c>
      <c r="D366" s="1" t="s">
        <v>85</v>
      </c>
      <c r="E366" s="1" t="s">
        <v>163</v>
      </c>
      <c r="F366" s="1" t="s">
        <v>46</v>
      </c>
      <c r="G366" s="1" t="s">
        <v>137</v>
      </c>
      <c r="H366" s="1" t="s">
        <v>150</v>
      </c>
      <c r="I366" s="1" t="s">
        <v>176</v>
      </c>
    </row>
    <row r="367" spans="1:9" ht="14.25" customHeight="1" x14ac:dyDescent="0.25">
      <c r="A367" s="1" t="s">
        <v>787</v>
      </c>
      <c r="B367" s="1" t="s">
        <v>46</v>
      </c>
      <c r="C367" s="1" t="s">
        <v>98</v>
      </c>
      <c r="D367" s="1" t="s">
        <v>59</v>
      </c>
      <c r="E367" s="1" t="s">
        <v>124</v>
      </c>
      <c r="F367" s="1" t="s">
        <v>150</v>
      </c>
      <c r="G367" s="1" t="s">
        <v>137</v>
      </c>
      <c r="H367" s="1" t="s">
        <v>111</v>
      </c>
      <c r="I367" s="1" t="s">
        <v>72</v>
      </c>
    </row>
    <row r="368" spans="1:9" ht="14.25" customHeight="1" x14ac:dyDescent="0.25">
      <c r="A368" s="1" t="s">
        <v>788</v>
      </c>
      <c r="B368" s="1" t="s">
        <v>59</v>
      </c>
      <c r="C368" s="1" t="s">
        <v>111</v>
      </c>
      <c r="D368" s="1" t="s">
        <v>98</v>
      </c>
      <c r="E368" s="1" t="s">
        <v>163</v>
      </c>
      <c r="F368" s="1" t="s">
        <v>46</v>
      </c>
      <c r="G368" s="1" t="s">
        <v>124</v>
      </c>
      <c r="H368" s="1" t="s">
        <v>137</v>
      </c>
      <c r="I368" s="1" t="s">
        <v>72</v>
      </c>
    </row>
    <row r="369" spans="1:9" ht="14.25" customHeight="1" x14ac:dyDescent="0.25">
      <c r="A369" s="1" t="s">
        <v>789</v>
      </c>
      <c r="B369" s="1" t="s">
        <v>72</v>
      </c>
      <c r="C369" s="1" t="s">
        <v>111</v>
      </c>
      <c r="D369" s="1" t="s">
        <v>59</v>
      </c>
      <c r="E369" s="1" t="s">
        <v>124</v>
      </c>
      <c r="F369" s="1" t="s">
        <v>46</v>
      </c>
      <c r="G369" s="1" t="s">
        <v>137</v>
      </c>
      <c r="H369" s="1" t="s">
        <v>98</v>
      </c>
      <c r="I369" s="1" t="s">
        <v>176</v>
      </c>
    </row>
    <row r="370" spans="1:9" ht="14.25" customHeight="1" x14ac:dyDescent="0.25">
      <c r="A370" s="1" t="s">
        <v>790</v>
      </c>
      <c r="B370" s="1" t="s">
        <v>46</v>
      </c>
      <c r="C370" s="1" t="s">
        <v>98</v>
      </c>
      <c r="D370" s="1" t="s">
        <v>59</v>
      </c>
      <c r="E370" s="1" t="s">
        <v>163</v>
      </c>
      <c r="F370" s="1" t="s">
        <v>150</v>
      </c>
      <c r="G370" s="1" t="s">
        <v>124</v>
      </c>
      <c r="H370" s="1" t="s">
        <v>111</v>
      </c>
      <c r="I370" s="1" t="s">
        <v>72</v>
      </c>
    </row>
    <row r="371" spans="1:9" ht="14.25" customHeight="1" x14ac:dyDescent="0.25">
      <c r="A371" s="1" t="s">
        <v>791</v>
      </c>
      <c r="B371" s="1" t="s">
        <v>72</v>
      </c>
      <c r="C371" s="1" t="s">
        <v>111</v>
      </c>
      <c r="D371" s="1" t="s">
        <v>59</v>
      </c>
      <c r="E371" s="1" t="s">
        <v>124</v>
      </c>
      <c r="F371" s="1" t="s">
        <v>46</v>
      </c>
      <c r="G371" s="1" t="s">
        <v>150</v>
      </c>
      <c r="H371" s="1" t="s">
        <v>98</v>
      </c>
      <c r="I371" s="1" t="s">
        <v>176</v>
      </c>
    </row>
    <row r="372" spans="1:9" ht="14.25" customHeight="1" x14ac:dyDescent="0.25">
      <c r="A372" s="1" t="s">
        <v>792</v>
      </c>
      <c r="B372" s="1" t="s">
        <v>72</v>
      </c>
      <c r="C372" s="1" t="s">
        <v>111</v>
      </c>
      <c r="D372" s="1" t="s">
        <v>59</v>
      </c>
      <c r="E372" s="1" t="s">
        <v>163</v>
      </c>
      <c r="F372" s="1" t="s">
        <v>46</v>
      </c>
      <c r="G372" s="1" t="s">
        <v>124</v>
      </c>
      <c r="H372" s="1" t="s">
        <v>98</v>
      </c>
      <c r="I372" s="1" t="s">
        <v>176</v>
      </c>
    </row>
    <row r="373" spans="1:9" ht="14.25" customHeight="1" x14ac:dyDescent="0.25">
      <c r="A373" s="1" t="s">
        <v>793</v>
      </c>
      <c r="B373" s="1" t="s">
        <v>46</v>
      </c>
      <c r="C373" s="1" t="s">
        <v>98</v>
      </c>
      <c r="D373" s="1" t="s">
        <v>59</v>
      </c>
      <c r="E373" s="1" t="s">
        <v>163</v>
      </c>
      <c r="F373" s="1" t="s">
        <v>150</v>
      </c>
      <c r="G373" s="1" t="s">
        <v>137</v>
      </c>
      <c r="H373" s="1" t="s">
        <v>111</v>
      </c>
      <c r="I373" s="1" t="s">
        <v>72</v>
      </c>
    </row>
    <row r="374" spans="1:9" ht="14.25" customHeight="1" x14ac:dyDescent="0.25">
      <c r="A374" s="1" t="s">
        <v>794</v>
      </c>
      <c r="B374" s="1" t="s">
        <v>72</v>
      </c>
      <c r="C374" s="1" t="s">
        <v>111</v>
      </c>
      <c r="D374" s="1" t="s">
        <v>59</v>
      </c>
      <c r="E374" s="1" t="s">
        <v>137</v>
      </c>
      <c r="F374" s="1" t="s">
        <v>46</v>
      </c>
      <c r="G374" s="1" t="s">
        <v>150</v>
      </c>
      <c r="H374" s="1" t="s">
        <v>98</v>
      </c>
      <c r="I374" s="1" t="s">
        <v>176</v>
      </c>
    </row>
    <row r="375" spans="1:9" ht="14.25" customHeight="1" x14ac:dyDescent="0.25">
      <c r="A375" s="1" t="s">
        <v>795</v>
      </c>
      <c r="B375" s="1" t="s">
        <v>72</v>
      </c>
      <c r="C375" s="1" t="s">
        <v>111</v>
      </c>
      <c r="D375" s="1" t="s">
        <v>59</v>
      </c>
      <c r="E375" s="1" t="s">
        <v>163</v>
      </c>
      <c r="F375" s="1" t="s">
        <v>46</v>
      </c>
      <c r="G375" s="1" t="s">
        <v>137</v>
      </c>
      <c r="H375" s="1" t="s">
        <v>98</v>
      </c>
      <c r="I375" s="1" t="s">
        <v>176</v>
      </c>
    </row>
    <row r="376" spans="1:9" ht="14.25" customHeight="1" x14ac:dyDescent="0.25">
      <c r="A376" s="1" t="s">
        <v>796</v>
      </c>
      <c r="B376" s="1" t="s">
        <v>72</v>
      </c>
      <c r="C376" s="1" t="s">
        <v>111</v>
      </c>
      <c r="D376" s="1" t="s">
        <v>59</v>
      </c>
      <c r="E376" s="1" t="s">
        <v>163</v>
      </c>
      <c r="F376" s="1" t="s">
        <v>46</v>
      </c>
      <c r="G376" s="1" t="s">
        <v>150</v>
      </c>
      <c r="H376" s="1" t="s">
        <v>98</v>
      </c>
      <c r="I376" s="1" t="s">
        <v>176</v>
      </c>
    </row>
    <row r="377" spans="1:9" ht="14.25" customHeight="1" x14ac:dyDescent="0.25">
      <c r="A377" s="1" t="s">
        <v>797</v>
      </c>
      <c r="B377" s="1" t="s">
        <v>46</v>
      </c>
      <c r="C377" s="1" t="s">
        <v>59</v>
      </c>
      <c r="D377" s="1" t="s">
        <v>137</v>
      </c>
      <c r="E377" s="1" t="s">
        <v>163</v>
      </c>
      <c r="F377" s="1" t="s">
        <v>150</v>
      </c>
      <c r="G377" s="1" t="s">
        <v>124</v>
      </c>
      <c r="H377" s="1" t="s">
        <v>98</v>
      </c>
      <c r="I377" s="1" t="s">
        <v>72</v>
      </c>
    </row>
    <row r="378" spans="1:9" ht="14.25" customHeight="1" x14ac:dyDescent="0.25">
      <c r="A378" s="1" t="s">
        <v>798</v>
      </c>
      <c r="B378" s="1" t="s">
        <v>46</v>
      </c>
      <c r="C378" s="1" t="s">
        <v>72</v>
      </c>
      <c r="D378" s="1" t="s">
        <v>59</v>
      </c>
      <c r="E378" s="1" t="s">
        <v>124</v>
      </c>
      <c r="F378" s="1" t="s">
        <v>150</v>
      </c>
      <c r="G378" s="1" t="s">
        <v>137</v>
      </c>
      <c r="H378" s="1" t="s">
        <v>98</v>
      </c>
      <c r="I378" s="1" t="s">
        <v>176</v>
      </c>
    </row>
    <row r="379" spans="1:9" ht="14.25" customHeight="1" x14ac:dyDescent="0.25">
      <c r="A379" s="1" t="s">
        <v>799</v>
      </c>
      <c r="B379" s="1" t="s">
        <v>72</v>
      </c>
      <c r="C379" s="1" t="s">
        <v>59</v>
      </c>
      <c r="D379" s="1" t="s">
        <v>137</v>
      </c>
      <c r="E379" s="1" t="s">
        <v>163</v>
      </c>
      <c r="F379" s="1" t="s">
        <v>46</v>
      </c>
      <c r="G379" s="1" t="s">
        <v>124</v>
      </c>
      <c r="H379" s="1" t="s">
        <v>98</v>
      </c>
      <c r="I379" s="1" t="s">
        <v>176</v>
      </c>
    </row>
    <row r="380" spans="1:9" ht="14.25" customHeight="1" x14ac:dyDescent="0.25">
      <c r="A380" s="1" t="s">
        <v>800</v>
      </c>
      <c r="B380" s="1" t="s">
        <v>46</v>
      </c>
      <c r="C380" s="1" t="s">
        <v>72</v>
      </c>
      <c r="D380" s="1" t="s">
        <v>59</v>
      </c>
      <c r="E380" s="1" t="s">
        <v>163</v>
      </c>
      <c r="F380" s="1" t="s">
        <v>150</v>
      </c>
      <c r="G380" s="1" t="s">
        <v>124</v>
      </c>
      <c r="H380" s="1" t="s">
        <v>98</v>
      </c>
      <c r="I380" s="1" t="s">
        <v>176</v>
      </c>
    </row>
    <row r="381" spans="1:9" ht="14.25" customHeight="1" x14ac:dyDescent="0.25">
      <c r="A381" s="1" t="s">
        <v>801</v>
      </c>
      <c r="B381" s="1" t="s">
        <v>46</v>
      </c>
      <c r="C381" s="1" t="s">
        <v>72</v>
      </c>
      <c r="D381" s="1" t="s">
        <v>59</v>
      </c>
      <c r="E381" s="1" t="s">
        <v>163</v>
      </c>
      <c r="F381" s="1" t="s">
        <v>150</v>
      </c>
      <c r="G381" s="1" t="s">
        <v>137</v>
      </c>
      <c r="H381" s="1" t="s">
        <v>98</v>
      </c>
      <c r="I381" s="1" t="s">
        <v>176</v>
      </c>
    </row>
    <row r="382" spans="1:9" ht="14.25" customHeight="1" x14ac:dyDescent="0.25">
      <c r="A382" s="1" t="s">
        <v>802</v>
      </c>
      <c r="B382" s="1" t="s">
        <v>46</v>
      </c>
      <c r="C382" s="1" t="s">
        <v>72</v>
      </c>
      <c r="D382" s="1" t="s">
        <v>59</v>
      </c>
      <c r="E382" s="1" t="s">
        <v>163</v>
      </c>
      <c r="F382" s="1" t="s">
        <v>137</v>
      </c>
      <c r="G382" s="1" t="s">
        <v>124</v>
      </c>
      <c r="H382" s="1" t="s">
        <v>111</v>
      </c>
      <c r="I382" s="1" t="s">
        <v>150</v>
      </c>
    </row>
    <row r="383" spans="1:9" ht="14.25" customHeight="1" x14ac:dyDescent="0.25">
      <c r="A383" s="1" t="s">
        <v>803</v>
      </c>
      <c r="B383" s="1" t="s">
        <v>46</v>
      </c>
      <c r="C383" s="1" t="s">
        <v>72</v>
      </c>
      <c r="D383" s="1" t="s">
        <v>59</v>
      </c>
      <c r="E383" s="1" t="s">
        <v>124</v>
      </c>
      <c r="F383" s="1" t="s">
        <v>137</v>
      </c>
      <c r="G383" s="1" t="s">
        <v>150</v>
      </c>
      <c r="H383" s="1" t="s">
        <v>111</v>
      </c>
      <c r="I383" s="1" t="s">
        <v>176</v>
      </c>
    </row>
    <row r="384" spans="1:9" ht="14.25" customHeight="1" x14ac:dyDescent="0.25">
      <c r="A384" s="1" t="s">
        <v>804</v>
      </c>
      <c r="B384" s="1" t="s">
        <v>59</v>
      </c>
      <c r="C384" s="1" t="s">
        <v>72</v>
      </c>
      <c r="D384" s="1" t="s">
        <v>137</v>
      </c>
      <c r="E384" s="1" t="s">
        <v>163</v>
      </c>
      <c r="F384" s="1" t="s">
        <v>46</v>
      </c>
      <c r="G384" s="1" t="s">
        <v>124</v>
      </c>
      <c r="H384" s="1" t="s">
        <v>111</v>
      </c>
      <c r="I384" s="1" t="s">
        <v>176</v>
      </c>
    </row>
    <row r="385" spans="1:9" ht="14.25" customHeight="1" x14ac:dyDescent="0.25">
      <c r="A385" s="1" t="s">
        <v>805</v>
      </c>
      <c r="B385" s="1" t="s">
        <v>72</v>
      </c>
      <c r="C385" s="1" t="s">
        <v>111</v>
      </c>
      <c r="D385" s="1" t="s">
        <v>59</v>
      </c>
      <c r="E385" s="1" t="s">
        <v>163</v>
      </c>
      <c r="F385" s="1" t="s">
        <v>46</v>
      </c>
      <c r="G385" s="1" t="s">
        <v>124</v>
      </c>
      <c r="H385" s="1" t="s">
        <v>150</v>
      </c>
      <c r="I385" s="1" t="s">
        <v>176</v>
      </c>
    </row>
    <row r="386" spans="1:9" ht="14.25" customHeight="1" x14ac:dyDescent="0.25">
      <c r="A386" s="1" t="s">
        <v>806</v>
      </c>
      <c r="B386" s="1" t="s">
        <v>46</v>
      </c>
      <c r="C386" s="1" t="s">
        <v>72</v>
      </c>
      <c r="D386" s="1" t="s">
        <v>59</v>
      </c>
      <c r="E386" s="1" t="s">
        <v>163</v>
      </c>
      <c r="F386" s="1" t="s">
        <v>150</v>
      </c>
      <c r="G386" s="1" t="s">
        <v>137</v>
      </c>
      <c r="H386" s="1" t="s">
        <v>111</v>
      </c>
      <c r="I386" s="1" t="s">
        <v>176</v>
      </c>
    </row>
    <row r="387" spans="1:9" ht="14.25" customHeight="1" x14ac:dyDescent="0.25">
      <c r="A387" s="1" t="s">
        <v>807</v>
      </c>
      <c r="B387" s="1" t="s">
        <v>72</v>
      </c>
      <c r="C387" s="1" t="s">
        <v>124</v>
      </c>
      <c r="D387" s="1" t="s">
        <v>59</v>
      </c>
      <c r="E387" s="1" t="s">
        <v>163</v>
      </c>
      <c r="F387" s="1" t="s">
        <v>46</v>
      </c>
      <c r="G387" s="1" t="s">
        <v>150</v>
      </c>
      <c r="H387" s="1" t="s">
        <v>137</v>
      </c>
      <c r="I387" s="1" t="s">
        <v>176</v>
      </c>
    </row>
    <row r="388" spans="1:9" ht="14.25" customHeight="1" x14ac:dyDescent="0.25">
      <c r="A388" s="1" t="s">
        <v>808</v>
      </c>
      <c r="B388" s="1" t="s">
        <v>46</v>
      </c>
      <c r="C388" s="1" t="s">
        <v>111</v>
      </c>
      <c r="D388" s="1" t="s">
        <v>59</v>
      </c>
      <c r="E388" s="1" t="s">
        <v>124</v>
      </c>
      <c r="F388" s="1" t="s">
        <v>98</v>
      </c>
      <c r="G388" s="1" t="s">
        <v>137</v>
      </c>
      <c r="H388" s="1" t="s">
        <v>150</v>
      </c>
      <c r="I388" s="1" t="s">
        <v>85</v>
      </c>
    </row>
    <row r="389" spans="1:9" ht="14.25" customHeight="1" x14ac:dyDescent="0.25">
      <c r="A389" s="1" t="s">
        <v>809</v>
      </c>
      <c r="B389" s="1" t="s">
        <v>46</v>
      </c>
      <c r="C389" s="1" t="s">
        <v>59</v>
      </c>
      <c r="D389" s="1" t="s">
        <v>137</v>
      </c>
      <c r="E389" s="1" t="s">
        <v>163</v>
      </c>
      <c r="F389" s="1" t="s">
        <v>98</v>
      </c>
      <c r="G389" s="1" t="s">
        <v>124</v>
      </c>
      <c r="H389" s="1" t="s">
        <v>111</v>
      </c>
      <c r="I389" s="1" t="s">
        <v>85</v>
      </c>
    </row>
    <row r="390" spans="1:9" ht="14.25" customHeight="1" x14ac:dyDescent="0.25">
      <c r="A390" s="1" t="s">
        <v>810</v>
      </c>
      <c r="B390" s="1" t="s">
        <v>46</v>
      </c>
      <c r="C390" s="1" t="s">
        <v>59</v>
      </c>
      <c r="D390" s="1" t="s">
        <v>137</v>
      </c>
      <c r="E390" s="1" t="s">
        <v>85</v>
      </c>
      <c r="F390" s="1" t="s">
        <v>98</v>
      </c>
      <c r="G390" s="1" t="s">
        <v>124</v>
      </c>
      <c r="H390" s="1" t="s">
        <v>111</v>
      </c>
      <c r="I390" s="1" t="s">
        <v>176</v>
      </c>
    </row>
    <row r="391" spans="1:9" ht="14.25" customHeight="1" x14ac:dyDescent="0.25">
      <c r="A391" s="1" t="s">
        <v>811</v>
      </c>
      <c r="B391" s="1" t="s">
        <v>46</v>
      </c>
      <c r="C391" s="1" t="s">
        <v>98</v>
      </c>
      <c r="D391" s="1" t="s">
        <v>59</v>
      </c>
      <c r="E391" s="1" t="s">
        <v>163</v>
      </c>
      <c r="F391" s="1" t="s">
        <v>150</v>
      </c>
      <c r="G391" s="1" t="s">
        <v>124</v>
      </c>
      <c r="H391" s="1" t="s">
        <v>111</v>
      </c>
      <c r="I391" s="1" t="s">
        <v>85</v>
      </c>
    </row>
    <row r="392" spans="1:9" ht="14.25" customHeight="1" x14ac:dyDescent="0.25">
      <c r="A392" s="1" t="s">
        <v>812</v>
      </c>
      <c r="B392" s="1" t="s">
        <v>46</v>
      </c>
      <c r="C392" s="1" t="s">
        <v>111</v>
      </c>
      <c r="D392" s="1" t="s">
        <v>59</v>
      </c>
      <c r="E392" s="1" t="s">
        <v>85</v>
      </c>
      <c r="F392" s="1" t="s">
        <v>98</v>
      </c>
      <c r="G392" s="1" t="s">
        <v>124</v>
      </c>
      <c r="H392" s="1" t="s">
        <v>150</v>
      </c>
      <c r="I392" s="1" t="s">
        <v>176</v>
      </c>
    </row>
    <row r="393" spans="1:9" ht="14.25" customHeight="1" x14ac:dyDescent="0.25">
      <c r="A393" s="1" t="s">
        <v>813</v>
      </c>
      <c r="B393" s="1" t="s">
        <v>59</v>
      </c>
      <c r="C393" s="1" t="s">
        <v>111</v>
      </c>
      <c r="D393" s="1" t="s">
        <v>124</v>
      </c>
      <c r="E393" s="1" t="s">
        <v>163</v>
      </c>
      <c r="F393" s="1" t="s">
        <v>46</v>
      </c>
      <c r="G393" s="1" t="s">
        <v>85</v>
      </c>
      <c r="H393" s="1" t="s">
        <v>98</v>
      </c>
      <c r="I393" s="1" t="s">
        <v>176</v>
      </c>
    </row>
    <row r="394" spans="1:9" ht="14.25" customHeight="1" x14ac:dyDescent="0.25">
      <c r="A394" s="1" t="s">
        <v>814</v>
      </c>
      <c r="B394" s="1" t="s">
        <v>46</v>
      </c>
      <c r="C394" s="1" t="s">
        <v>59</v>
      </c>
      <c r="D394" s="1" t="s">
        <v>98</v>
      </c>
      <c r="E394" s="1" t="s">
        <v>163</v>
      </c>
      <c r="F394" s="1" t="s">
        <v>150</v>
      </c>
      <c r="G394" s="1" t="s">
        <v>85</v>
      </c>
      <c r="H394" s="1" t="s">
        <v>111</v>
      </c>
      <c r="I394" s="1" t="s">
        <v>137</v>
      </c>
    </row>
    <row r="395" spans="1:9" ht="14.25" customHeight="1" x14ac:dyDescent="0.25">
      <c r="A395" s="1" t="s">
        <v>815</v>
      </c>
      <c r="B395" s="1" t="s">
        <v>46</v>
      </c>
      <c r="C395" s="1" t="s">
        <v>59</v>
      </c>
      <c r="D395" s="1" t="s">
        <v>98</v>
      </c>
      <c r="E395" s="1" t="s">
        <v>85</v>
      </c>
      <c r="F395" s="1" t="s">
        <v>150</v>
      </c>
      <c r="G395" s="1" t="s">
        <v>137</v>
      </c>
      <c r="H395" s="1" t="s">
        <v>111</v>
      </c>
      <c r="I395" s="1" t="s">
        <v>176</v>
      </c>
    </row>
    <row r="396" spans="1:9" ht="14.25" customHeight="1" x14ac:dyDescent="0.25">
      <c r="A396" s="1" t="s">
        <v>816</v>
      </c>
      <c r="B396" s="1" t="s">
        <v>46</v>
      </c>
      <c r="C396" s="1" t="s">
        <v>59</v>
      </c>
      <c r="D396" s="1" t="s">
        <v>137</v>
      </c>
      <c r="E396" s="1" t="s">
        <v>163</v>
      </c>
      <c r="F396" s="1" t="s">
        <v>98</v>
      </c>
      <c r="G396" s="1" t="s">
        <v>85</v>
      </c>
      <c r="H396" s="1" t="s">
        <v>111</v>
      </c>
      <c r="I396" s="1" t="s">
        <v>176</v>
      </c>
    </row>
    <row r="397" spans="1:9" ht="14.25" customHeight="1" x14ac:dyDescent="0.25">
      <c r="A397" s="1" t="s">
        <v>817</v>
      </c>
      <c r="B397" s="1" t="s">
        <v>46</v>
      </c>
      <c r="C397" s="1" t="s">
        <v>98</v>
      </c>
      <c r="D397" s="1" t="s">
        <v>59</v>
      </c>
      <c r="E397" s="1" t="s">
        <v>163</v>
      </c>
      <c r="F397" s="1" t="s">
        <v>150</v>
      </c>
      <c r="G397" s="1" t="s">
        <v>85</v>
      </c>
      <c r="H397" s="1" t="s">
        <v>111</v>
      </c>
      <c r="I397" s="1" t="s">
        <v>176</v>
      </c>
    </row>
    <row r="398" spans="1:9" ht="14.25" customHeight="1" x14ac:dyDescent="0.25">
      <c r="A398" s="1" t="s">
        <v>818</v>
      </c>
      <c r="B398" s="1" t="s">
        <v>46</v>
      </c>
      <c r="C398" s="1" t="s">
        <v>59</v>
      </c>
      <c r="D398" s="1" t="s">
        <v>98</v>
      </c>
      <c r="E398" s="1" t="s">
        <v>163</v>
      </c>
      <c r="F398" s="1" t="s">
        <v>150</v>
      </c>
      <c r="G398" s="1" t="s">
        <v>124</v>
      </c>
      <c r="H398" s="1" t="s">
        <v>137</v>
      </c>
      <c r="I398" s="1" t="s">
        <v>85</v>
      </c>
    </row>
    <row r="399" spans="1:9" ht="14.25" customHeight="1" x14ac:dyDescent="0.25">
      <c r="A399" s="1" t="s">
        <v>819</v>
      </c>
      <c r="B399" s="1" t="s">
        <v>46</v>
      </c>
      <c r="C399" s="1" t="s">
        <v>59</v>
      </c>
      <c r="D399" s="1" t="s">
        <v>98</v>
      </c>
      <c r="E399" s="1" t="s">
        <v>85</v>
      </c>
      <c r="F399" s="1" t="s">
        <v>150</v>
      </c>
      <c r="G399" s="1" t="s">
        <v>124</v>
      </c>
      <c r="H399" s="1" t="s">
        <v>137</v>
      </c>
      <c r="I399" s="1" t="s">
        <v>176</v>
      </c>
    </row>
    <row r="400" spans="1:9" ht="14.25" customHeight="1" x14ac:dyDescent="0.25">
      <c r="A400" s="1" t="s">
        <v>820</v>
      </c>
      <c r="B400" s="1" t="s">
        <v>46</v>
      </c>
      <c r="C400" s="1" t="s">
        <v>59</v>
      </c>
      <c r="D400" s="1" t="s">
        <v>124</v>
      </c>
      <c r="E400" s="1" t="s">
        <v>163</v>
      </c>
      <c r="F400" s="1" t="s">
        <v>137</v>
      </c>
      <c r="G400" s="1" t="s">
        <v>85</v>
      </c>
      <c r="H400" s="1" t="s">
        <v>98</v>
      </c>
      <c r="I400" s="1" t="s">
        <v>176</v>
      </c>
    </row>
    <row r="401" spans="1:9" ht="14.25" customHeight="1" x14ac:dyDescent="0.25">
      <c r="A401" s="1" t="s">
        <v>821</v>
      </c>
      <c r="B401" s="1" t="s">
        <v>46</v>
      </c>
      <c r="C401" s="1" t="s">
        <v>59</v>
      </c>
      <c r="D401" s="1" t="s">
        <v>124</v>
      </c>
      <c r="E401" s="1" t="s">
        <v>163</v>
      </c>
      <c r="F401" s="1" t="s">
        <v>150</v>
      </c>
      <c r="G401" s="1" t="s">
        <v>85</v>
      </c>
      <c r="H401" s="1" t="s">
        <v>98</v>
      </c>
      <c r="I401" s="1" t="s">
        <v>176</v>
      </c>
    </row>
    <row r="402" spans="1:9" ht="14.25" customHeight="1" x14ac:dyDescent="0.25">
      <c r="A402" s="1" t="s">
        <v>822</v>
      </c>
      <c r="B402" s="1" t="s">
        <v>46</v>
      </c>
      <c r="C402" s="1" t="s">
        <v>59</v>
      </c>
      <c r="D402" s="1" t="s">
        <v>98</v>
      </c>
      <c r="E402" s="1" t="s">
        <v>163</v>
      </c>
      <c r="F402" s="1" t="s">
        <v>150</v>
      </c>
      <c r="G402" s="1" t="s">
        <v>85</v>
      </c>
      <c r="H402" s="1" t="s">
        <v>137</v>
      </c>
      <c r="I402" s="1" t="s">
        <v>176</v>
      </c>
    </row>
    <row r="403" spans="1:9" ht="14.25" customHeight="1" x14ac:dyDescent="0.25">
      <c r="A403" s="1" t="s">
        <v>823</v>
      </c>
      <c r="B403" s="1" t="s">
        <v>46</v>
      </c>
      <c r="C403" s="1" t="s">
        <v>59</v>
      </c>
      <c r="D403" s="1" t="s">
        <v>124</v>
      </c>
      <c r="E403" s="1" t="s">
        <v>163</v>
      </c>
      <c r="F403" s="1" t="s">
        <v>137</v>
      </c>
      <c r="G403" s="1" t="s">
        <v>150</v>
      </c>
      <c r="H403" s="1" t="s">
        <v>111</v>
      </c>
      <c r="I403" s="1" t="s">
        <v>85</v>
      </c>
    </row>
    <row r="404" spans="1:9" ht="14.25" customHeight="1" x14ac:dyDescent="0.25">
      <c r="A404" s="1" t="s">
        <v>824</v>
      </c>
      <c r="B404" s="1" t="s">
        <v>46</v>
      </c>
      <c r="C404" s="1" t="s">
        <v>59</v>
      </c>
      <c r="D404" s="1" t="s">
        <v>124</v>
      </c>
      <c r="E404" s="1" t="s">
        <v>137</v>
      </c>
      <c r="F404" s="1" t="s">
        <v>85</v>
      </c>
      <c r="G404" s="1" t="s">
        <v>150</v>
      </c>
      <c r="H404" s="1" t="s">
        <v>111</v>
      </c>
      <c r="I404" s="1" t="s">
        <v>176</v>
      </c>
    </row>
    <row r="405" spans="1:9" ht="14.25" customHeight="1" x14ac:dyDescent="0.25">
      <c r="A405" s="1" t="s">
        <v>825</v>
      </c>
      <c r="B405" s="1" t="s">
        <v>46</v>
      </c>
      <c r="C405" s="1" t="s">
        <v>59</v>
      </c>
      <c r="D405" s="1" t="s">
        <v>137</v>
      </c>
      <c r="E405" s="1" t="s">
        <v>163</v>
      </c>
      <c r="F405" s="1" t="s">
        <v>85</v>
      </c>
      <c r="G405" s="1" t="s">
        <v>124</v>
      </c>
      <c r="H405" s="1" t="s">
        <v>111</v>
      </c>
      <c r="I405" s="1" t="s">
        <v>176</v>
      </c>
    </row>
    <row r="406" spans="1:9" ht="14.25" customHeight="1" x14ac:dyDescent="0.25">
      <c r="A406" s="1" t="s">
        <v>826</v>
      </c>
      <c r="B406" s="1" t="s">
        <v>46</v>
      </c>
      <c r="C406" s="1" t="s">
        <v>111</v>
      </c>
      <c r="D406" s="1" t="s">
        <v>59</v>
      </c>
      <c r="E406" s="1" t="s">
        <v>163</v>
      </c>
      <c r="F406" s="1" t="s">
        <v>85</v>
      </c>
      <c r="G406" s="1" t="s">
        <v>124</v>
      </c>
      <c r="H406" s="1" t="s">
        <v>150</v>
      </c>
      <c r="I406" s="1" t="s">
        <v>176</v>
      </c>
    </row>
    <row r="407" spans="1:9" ht="14.25" customHeight="1" x14ac:dyDescent="0.25">
      <c r="A407" s="1" t="s">
        <v>827</v>
      </c>
      <c r="B407" s="1" t="s">
        <v>46</v>
      </c>
      <c r="C407" s="1" t="s">
        <v>59</v>
      </c>
      <c r="D407" s="1" t="s">
        <v>85</v>
      </c>
      <c r="E407" s="1" t="s">
        <v>163</v>
      </c>
      <c r="F407" s="1" t="s">
        <v>150</v>
      </c>
      <c r="G407" s="1" t="s">
        <v>137</v>
      </c>
      <c r="H407" s="1" t="s">
        <v>111</v>
      </c>
      <c r="I407" s="1" t="s">
        <v>176</v>
      </c>
    </row>
    <row r="408" spans="1:9" ht="14.25" customHeight="1" x14ac:dyDescent="0.25">
      <c r="A408" s="1" t="s">
        <v>828</v>
      </c>
      <c r="B408" s="1" t="s">
        <v>46</v>
      </c>
      <c r="C408" s="1" t="s">
        <v>59</v>
      </c>
      <c r="D408" s="1" t="s">
        <v>124</v>
      </c>
      <c r="E408" s="1" t="s">
        <v>163</v>
      </c>
      <c r="F408" s="1" t="s">
        <v>137</v>
      </c>
      <c r="G408" s="1" t="s">
        <v>150</v>
      </c>
      <c r="H408" s="1" t="s">
        <v>85</v>
      </c>
      <c r="I408" s="1" t="s">
        <v>176</v>
      </c>
    </row>
    <row r="409" spans="1:9" ht="14.25" customHeight="1" x14ac:dyDescent="0.25">
      <c r="A409" s="1" t="s">
        <v>829</v>
      </c>
      <c r="B409" s="1" t="s">
        <v>46</v>
      </c>
      <c r="C409" s="1" t="s">
        <v>98</v>
      </c>
      <c r="D409" s="1" t="s">
        <v>59</v>
      </c>
      <c r="E409" s="1" t="s">
        <v>163</v>
      </c>
      <c r="F409" s="1" t="s">
        <v>150</v>
      </c>
      <c r="G409" s="1" t="s">
        <v>124</v>
      </c>
      <c r="H409" s="1" t="s">
        <v>111</v>
      </c>
      <c r="I409" s="1" t="s">
        <v>137</v>
      </c>
    </row>
    <row r="410" spans="1:9" ht="14.25" customHeight="1" x14ac:dyDescent="0.25">
      <c r="A410" s="1" t="s">
        <v>830</v>
      </c>
      <c r="B410" s="1" t="s">
        <v>46</v>
      </c>
      <c r="C410" s="1" t="s">
        <v>111</v>
      </c>
      <c r="D410" s="1" t="s">
        <v>59</v>
      </c>
      <c r="E410" s="1" t="s">
        <v>124</v>
      </c>
      <c r="F410" s="1" t="s">
        <v>98</v>
      </c>
      <c r="G410" s="1" t="s">
        <v>137</v>
      </c>
      <c r="H410" s="1" t="s">
        <v>150</v>
      </c>
      <c r="I410" s="1" t="s">
        <v>176</v>
      </c>
    </row>
    <row r="411" spans="1:9" ht="14.25" customHeight="1" x14ac:dyDescent="0.25">
      <c r="A411" s="1" t="s">
        <v>831</v>
      </c>
      <c r="B411" s="1" t="s">
        <v>46</v>
      </c>
      <c r="C411" s="1" t="s">
        <v>59</v>
      </c>
      <c r="D411" s="1" t="s">
        <v>137</v>
      </c>
      <c r="E411" s="1" t="s">
        <v>163</v>
      </c>
      <c r="F411" s="1" t="s">
        <v>98</v>
      </c>
      <c r="G411" s="1" t="s">
        <v>124</v>
      </c>
      <c r="H411" s="1" t="s">
        <v>111</v>
      </c>
      <c r="I411" s="1" t="s">
        <v>176</v>
      </c>
    </row>
    <row r="412" spans="1:9" ht="14.25" customHeight="1" x14ac:dyDescent="0.25">
      <c r="A412" s="1" t="s">
        <v>832</v>
      </c>
      <c r="B412" s="1" t="s">
        <v>46</v>
      </c>
      <c r="C412" s="1" t="s">
        <v>98</v>
      </c>
      <c r="D412" s="1" t="s">
        <v>59</v>
      </c>
      <c r="E412" s="1" t="s">
        <v>163</v>
      </c>
      <c r="F412" s="1" t="s">
        <v>150</v>
      </c>
      <c r="G412" s="1" t="s">
        <v>124</v>
      </c>
      <c r="H412" s="1" t="s">
        <v>111</v>
      </c>
      <c r="I412" s="1" t="s">
        <v>176</v>
      </c>
    </row>
    <row r="413" spans="1:9" ht="14.25" customHeight="1" x14ac:dyDescent="0.25">
      <c r="A413" s="1" t="s">
        <v>833</v>
      </c>
      <c r="B413" s="1" t="s">
        <v>46</v>
      </c>
      <c r="C413" s="1" t="s">
        <v>98</v>
      </c>
      <c r="D413" s="1" t="s">
        <v>59</v>
      </c>
      <c r="E413" s="1" t="s">
        <v>163</v>
      </c>
      <c r="F413" s="1" t="s">
        <v>150</v>
      </c>
      <c r="G413" s="1" t="s">
        <v>137</v>
      </c>
      <c r="H413" s="1" t="s">
        <v>111</v>
      </c>
      <c r="I413" s="1" t="s">
        <v>176</v>
      </c>
    </row>
    <row r="414" spans="1:9" ht="14.25" customHeight="1" x14ac:dyDescent="0.25">
      <c r="A414" s="1" t="s">
        <v>834</v>
      </c>
      <c r="B414" s="1" t="s">
        <v>46</v>
      </c>
      <c r="C414" s="1" t="s">
        <v>59</v>
      </c>
      <c r="D414" s="1" t="s">
        <v>98</v>
      </c>
      <c r="E414" s="1" t="s">
        <v>163</v>
      </c>
      <c r="F414" s="1" t="s">
        <v>150</v>
      </c>
      <c r="G414" s="1" t="s">
        <v>124</v>
      </c>
      <c r="H414" s="1" t="s">
        <v>137</v>
      </c>
      <c r="I414" s="1" t="s">
        <v>176</v>
      </c>
    </row>
    <row r="415" spans="1:9" ht="14.25" customHeight="1" x14ac:dyDescent="0.25">
      <c r="A415" s="1" t="s">
        <v>835</v>
      </c>
      <c r="B415" s="1" t="s">
        <v>46</v>
      </c>
      <c r="C415" s="1" t="s">
        <v>111</v>
      </c>
      <c r="D415" s="1" t="s">
        <v>59</v>
      </c>
      <c r="E415" s="1" t="s">
        <v>163</v>
      </c>
      <c r="F415" s="1" t="s">
        <v>137</v>
      </c>
      <c r="G415" s="1" t="s">
        <v>124</v>
      </c>
      <c r="H415" s="1" t="s">
        <v>150</v>
      </c>
      <c r="I415" s="1" t="s">
        <v>176</v>
      </c>
    </row>
    <row r="416" spans="1:9" ht="14.25" customHeight="1" x14ac:dyDescent="0.25">
      <c r="A416" s="1" t="s">
        <v>836</v>
      </c>
      <c r="B416" s="1" t="s">
        <v>46</v>
      </c>
      <c r="C416" s="1" t="s">
        <v>72</v>
      </c>
      <c r="D416" s="1" t="s">
        <v>98</v>
      </c>
      <c r="E416" s="1" t="s">
        <v>124</v>
      </c>
      <c r="F416" s="1" t="s">
        <v>137</v>
      </c>
      <c r="G416" s="1" t="s">
        <v>150</v>
      </c>
      <c r="H416" s="1" t="s">
        <v>111</v>
      </c>
      <c r="I416" s="1" t="s">
        <v>85</v>
      </c>
    </row>
    <row r="417" spans="1:9" ht="14.25" customHeight="1" x14ac:dyDescent="0.25">
      <c r="A417" s="1" t="s">
        <v>837</v>
      </c>
      <c r="B417" s="1" t="s">
        <v>46</v>
      </c>
      <c r="C417" s="1" t="s">
        <v>111</v>
      </c>
      <c r="D417" s="1" t="s">
        <v>124</v>
      </c>
      <c r="E417" s="1" t="s">
        <v>163</v>
      </c>
      <c r="F417" s="1" t="s">
        <v>98</v>
      </c>
      <c r="G417" s="1" t="s">
        <v>85</v>
      </c>
      <c r="H417" s="1" t="s">
        <v>137</v>
      </c>
      <c r="I417" s="1" t="s">
        <v>72</v>
      </c>
    </row>
    <row r="418" spans="1:9" ht="14.25" customHeight="1" x14ac:dyDescent="0.25">
      <c r="A418" s="1" t="s">
        <v>838</v>
      </c>
      <c r="B418" s="1" t="s">
        <v>46</v>
      </c>
      <c r="C418" s="1" t="s">
        <v>72</v>
      </c>
      <c r="D418" s="1" t="s">
        <v>137</v>
      </c>
      <c r="E418" s="1" t="s">
        <v>85</v>
      </c>
      <c r="F418" s="1" t="s">
        <v>98</v>
      </c>
      <c r="G418" s="1" t="s">
        <v>124</v>
      </c>
      <c r="H418" s="1" t="s">
        <v>111</v>
      </c>
      <c r="I418" s="1" t="s">
        <v>176</v>
      </c>
    </row>
    <row r="419" spans="1:9" ht="14.25" customHeight="1" x14ac:dyDescent="0.25">
      <c r="A419" s="1" t="s">
        <v>839</v>
      </c>
      <c r="B419" s="1" t="s">
        <v>46</v>
      </c>
      <c r="C419" s="1" t="s">
        <v>111</v>
      </c>
      <c r="D419" s="1" t="s">
        <v>85</v>
      </c>
      <c r="E419" s="1" t="s">
        <v>163</v>
      </c>
      <c r="F419" s="1" t="s">
        <v>98</v>
      </c>
      <c r="G419" s="1" t="s">
        <v>124</v>
      </c>
      <c r="H419" s="1" t="s">
        <v>150</v>
      </c>
      <c r="I419" s="1" t="s">
        <v>72</v>
      </c>
    </row>
    <row r="420" spans="1:9" ht="14.25" customHeight="1" x14ac:dyDescent="0.25">
      <c r="A420" s="1" t="s">
        <v>840</v>
      </c>
      <c r="B420" s="1" t="s">
        <v>46</v>
      </c>
      <c r="C420" s="1" t="s">
        <v>72</v>
      </c>
      <c r="D420" s="1" t="s">
        <v>85</v>
      </c>
      <c r="E420" s="1" t="s">
        <v>124</v>
      </c>
      <c r="F420" s="1" t="s">
        <v>98</v>
      </c>
      <c r="G420" s="1" t="s">
        <v>150</v>
      </c>
      <c r="H420" s="1" t="s">
        <v>111</v>
      </c>
      <c r="I420" s="1" t="s">
        <v>176</v>
      </c>
    </row>
    <row r="421" spans="1:9" ht="14.25" customHeight="1" x14ac:dyDescent="0.25">
      <c r="A421" s="1" t="s">
        <v>841</v>
      </c>
      <c r="B421" s="1" t="s">
        <v>72</v>
      </c>
      <c r="C421" s="1" t="s">
        <v>124</v>
      </c>
      <c r="D421" s="1" t="s">
        <v>98</v>
      </c>
      <c r="E421" s="1" t="s">
        <v>163</v>
      </c>
      <c r="F421" s="1" t="s">
        <v>46</v>
      </c>
      <c r="G421" s="1" t="s">
        <v>85</v>
      </c>
      <c r="H421" s="1" t="s">
        <v>111</v>
      </c>
      <c r="I421" s="1" t="s">
        <v>176</v>
      </c>
    </row>
    <row r="422" spans="1:9" ht="14.25" customHeight="1" x14ac:dyDescent="0.25">
      <c r="A422" s="1" t="s">
        <v>842</v>
      </c>
      <c r="B422" s="1" t="s">
        <v>46</v>
      </c>
      <c r="C422" s="1" t="s">
        <v>72</v>
      </c>
      <c r="D422" s="1" t="s">
        <v>85</v>
      </c>
      <c r="E422" s="1" t="s">
        <v>163</v>
      </c>
      <c r="F422" s="1" t="s">
        <v>98</v>
      </c>
      <c r="G422" s="1" t="s">
        <v>137</v>
      </c>
      <c r="H422" s="1" t="s">
        <v>111</v>
      </c>
      <c r="I422" s="1" t="s">
        <v>150</v>
      </c>
    </row>
    <row r="423" spans="1:9" ht="14.25" customHeight="1" x14ac:dyDescent="0.25">
      <c r="A423" s="1" t="s">
        <v>843</v>
      </c>
      <c r="B423" s="1" t="s">
        <v>46</v>
      </c>
      <c r="C423" s="1" t="s">
        <v>72</v>
      </c>
      <c r="D423" s="1" t="s">
        <v>85</v>
      </c>
      <c r="E423" s="1" t="s">
        <v>137</v>
      </c>
      <c r="F423" s="1" t="s">
        <v>98</v>
      </c>
      <c r="G423" s="1" t="s">
        <v>150</v>
      </c>
      <c r="H423" s="1" t="s">
        <v>111</v>
      </c>
      <c r="I423" s="1" t="s">
        <v>176</v>
      </c>
    </row>
    <row r="424" spans="1:9" ht="14.25" customHeight="1" x14ac:dyDescent="0.25">
      <c r="A424" s="1" t="s">
        <v>844</v>
      </c>
      <c r="B424" s="1" t="s">
        <v>46</v>
      </c>
      <c r="C424" s="1" t="s">
        <v>72</v>
      </c>
      <c r="D424" s="1" t="s">
        <v>98</v>
      </c>
      <c r="E424" s="1" t="s">
        <v>163</v>
      </c>
      <c r="F424" s="1" t="s">
        <v>137</v>
      </c>
      <c r="G424" s="1" t="s">
        <v>85</v>
      </c>
      <c r="H424" s="1" t="s">
        <v>111</v>
      </c>
      <c r="I424" s="1" t="s">
        <v>176</v>
      </c>
    </row>
    <row r="425" spans="1:9" ht="14.25" customHeight="1" x14ac:dyDescent="0.25">
      <c r="A425" s="1" t="s">
        <v>845</v>
      </c>
      <c r="B425" s="1" t="s">
        <v>72</v>
      </c>
      <c r="C425" s="1" t="s">
        <v>111</v>
      </c>
      <c r="D425" s="1" t="s">
        <v>85</v>
      </c>
      <c r="E425" s="1" t="s">
        <v>163</v>
      </c>
      <c r="F425" s="1" t="s">
        <v>46</v>
      </c>
      <c r="G425" s="1" t="s">
        <v>150</v>
      </c>
      <c r="H425" s="1" t="s">
        <v>98</v>
      </c>
      <c r="I425" s="1" t="s">
        <v>176</v>
      </c>
    </row>
    <row r="426" spans="1:9" ht="14.25" customHeight="1" x14ac:dyDescent="0.25">
      <c r="A426" s="1" t="s">
        <v>846</v>
      </c>
      <c r="B426" s="1" t="s">
        <v>46</v>
      </c>
      <c r="C426" s="1" t="s">
        <v>72</v>
      </c>
      <c r="D426" s="1" t="s">
        <v>98</v>
      </c>
      <c r="E426" s="1" t="s">
        <v>163</v>
      </c>
      <c r="F426" s="1" t="s">
        <v>150</v>
      </c>
      <c r="G426" s="1" t="s">
        <v>124</v>
      </c>
      <c r="H426" s="1" t="s">
        <v>137</v>
      </c>
      <c r="I426" s="1" t="s">
        <v>85</v>
      </c>
    </row>
    <row r="427" spans="1:9" ht="14.25" customHeight="1" x14ac:dyDescent="0.25">
      <c r="A427" s="1" t="s">
        <v>847</v>
      </c>
      <c r="B427" s="1" t="s">
        <v>46</v>
      </c>
      <c r="C427" s="1" t="s">
        <v>72</v>
      </c>
      <c r="D427" s="1" t="s">
        <v>85</v>
      </c>
      <c r="E427" s="1" t="s">
        <v>124</v>
      </c>
      <c r="F427" s="1" t="s">
        <v>150</v>
      </c>
      <c r="G427" s="1" t="s">
        <v>137</v>
      </c>
      <c r="H427" s="1" t="s">
        <v>98</v>
      </c>
      <c r="I427" s="1" t="s">
        <v>176</v>
      </c>
    </row>
    <row r="428" spans="1:9" ht="14.25" customHeight="1" x14ac:dyDescent="0.25">
      <c r="A428" s="1" t="s">
        <v>848</v>
      </c>
      <c r="B428" s="1" t="s">
        <v>46</v>
      </c>
      <c r="C428" s="1" t="s">
        <v>72</v>
      </c>
      <c r="D428" s="1" t="s">
        <v>124</v>
      </c>
      <c r="E428" s="1" t="s">
        <v>163</v>
      </c>
      <c r="F428" s="1" t="s">
        <v>137</v>
      </c>
      <c r="G428" s="1" t="s">
        <v>85</v>
      </c>
      <c r="H428" s="1" t="s">
        <v>98</v>
      </c>
      <c r="I428" s="1" t="s">
        <v>176</v>
      </c>
    </row>
    <row r="429" spans="1:9" ht="14.25" customHeight="1" x14ac:dyDescent="0.25">
      <c r="A429" s="1" t="s">
        <v>849</v>
      </c>
      <c r="B429" s="1" t="s">
        <v>46</v>
      </c>
      <c r="C429" s="1" t="s">
        <v>72</v>
      </c>
      <c r="D429" s="1" t="s">
        <v>85</v>
      </c>
      <c r="E429" s="1" t="s">
        <v>163</v>
      </c>
      <c r="F429" s="1" t="s">
        <v>150</v>
      </c>
      <c r="G429" s="1" t="s">
        <v>124</v>
      </c>
      <c r="H429" s="1" t="s">
        <v>98</v>
      </c>
      <c r="I429" s="1" t="s">
        <v>176</v>
      </c>
    </row>
    <row r="430" spans="1:9" ht="14.25" customHeight="1" x14ac:dyDescent="0.25">
      <c r="A430" s="1" t="s">
        <v>850</v>
      </c>
      <c r="B430" s="1" t="s">
        <v>46</v>
      </c>
      <c r="C430" s="1" t="s">
        <v>72</v>
      </c>
      <c r="D430" s="1" t="s">
        <v>85</v>
      </c>
      <c r="E430" s="1" t="s">
        <v>163</v>
      </c>
      <c r="F430" s="1" t="s">
        <v>150</v>
      </c>
      <c r="G430" s="1" t="s">
        <v>137</v>
      </c>
      <c r="H430" s="1" t="s">
        <v>98</v>
      </c>
      <c r="I430" s="1" t="s">
        <v>176</v>
      </c>
    </row>
    <row r="431" spans="1:9" ht="14.25" customHeight="1" x14ac:dyDescent="0.25">
      <c r="A431" s="1" t="s">
        <v>851</v>
      </c>
      <c r="B431" s="1" t="s">
        <v>46</v>
      </c>
      <c r="C431" s="1" t="s">
        <v>72</v>
      </c>
      <c r="D431" s="1" t="s">
        <v>85</v>
      </c>
      <c r="E431" s="1" t="s">
        <v>163</v>
      </c>
      <c r="F431" s="1" t="s">
        <v>137</v>
      </c>
      <c r="G431" s="1" t="s">
        <v>124</v>
      </c>
      <c r="H431" s="1" t="s">
        <v>111</v>
      </c>
      <c r="I431" s="1" t="s">
        <v>150</v>
      </c>
    </row>
    <row r="432" spans="1:9" ht="14.25" customHeight="1" x14ac:dyDescent="0.25">
      <c r="A432" s="1" t="s">
        <v>852</v>
      </c>
      <c r="B432" s="1" t="s">
        <v>46</v>
      </c>
      <c r="C432" s="1" t="s">
        <v>72</v>
      </c>
      <c r="D432" s="1" t="s">
        <v>85</v>
      </c>
      <c r="E432" s="1" t="s">
        <v>124</v>
      </c>
      <c r="F432" s="1" t="s">
        <v>137</v>
      </c>
      <c r="G432" s="1" t="s">
        <v>150</v>
      </c>
      <c r="H432" s="1" t="s">
        <v>111</v>
      </c>
      <c r="I432" s="1" t="s">
        <v>176</v>
      </c>
    </row>
    <row r="433" spans="1:9" ht="14.25" customHeight="1" x14ac:dyDescent="0.25">
      <c r="A433" s="1" t="s">
        <v>853</v>
      </c>
      <c r="B433" s="1" t="s">
        <v>46</v>
      </c>
      <c r="C433" s="1" t="s">
        <v>72</v>
      </c>
      <c r="D433" s="1" t="s">
        <v>124</v>
      </c>
      <c r="E433" s="1" t="s">
        <v>163</v>
      </c>
      <c r="F433" s="1" t="s">
        <v>85</v>
      </c>
      <c r="G433" s="1" t="s">
        <v>137</v>
      </c>
      <c r="H433" s="1" t="s">
        <v>111</v>
      </c>
      <c r="I433" s="1" t="s">
        <v>176</v>
      </c>
    </row>
    <row r="434" spans="1:9" ht="14.25" customHeight="1" x14ac:dyDescent="0.25">
      <c r="A434" s="1" t="s">
        <v>854</v>
      </c>
      <c r="B434" s="1" t="s">
        <v>46</v>
      </c>
      <c r="C434" s="1" t="s">
        <v>72</v>
      </c>
      <c r="D434" s="1" t="s">
        <v>85</v>
      </c>
      <c r="E434" s="1" t="s">
        <v>163</v>
      </c>
      <c r="F434" s="1" t="s">
        <v>150</v>
      </c>
      <c r="G434" s="1" t="s">
        <v>124</v>
      </c>
      <c r="H434" s="1" t="s">
        <v>111</v>
      </c>
      <c r="I434" s="1" t="s">
        <v>176</v>
      </c>
    </row>
    <row r="435" spans="1:9" ht="14.25" customHeight="1" x14ac:dyDescent="0.25">
      <c r="A435" s="1" t="s">
        <v>855</v>
      </c>
      <c r="B435" s="1" t="s">
        <v>46</v>
      </c>
      <c r="C435" s="1" t="s">
        <v>72</v>
      </c>
      <c r="D435" s="1" t="s">
        <v>85</v>
      </c>
      <c r="E435" s="1" t="s">
        <v>163</v>
      </c>
      <c r="F435" s="1" t="s">
        <v>150</v>
      </c>
      <c r="G435" s="1" t="s">
        <v>137</v>
      </c>
      <c r="H435" s="1" t="s">
        <v>111</v>
      </c>
      <c r="I435" s="1" t="s">
        <v>176</v>
      </c>
    </row>
    <row r="436" spans="1:9" ht="14.25" customHeight="1" x14ac:dyDescent="0.25">
      <c r="A436" s="1" t="s">
        <v>856</v>
      </c>
      <c r="B436" s="1" t="s">
        <v>46</v>
      </c>
      <c r="C436" s="1" t="s">
        <v>72</v>
      </c>
      <c r="D436" s="1" t="s">
        <v>85</v>
      </c>
      <c r="E436" s="1" t="s">
        <v>163</v>
      </c>
      <c r="F436" s="1" t="s">
        <v>150</v>
      </c>
      <c r="G436" s="1" t="s">
        <v>124</v>
      </c>
      <c r="H436" s="1" t="s">
        <v>137</v>
      </c>
      <c r="I436" s="1" t="s">
        <v>176</v>
      </c>
    </row>
    <row r="437" spans="1:9" ht="14.25" customHeight="1" x14ac:dyDescent="0.25">
      <c r="A437" s="1" t="s">
        <v>857</v>
      </c>
      <c r="B437" s="1" t="s">
        <v>46</v>
      </c>
      <c r="C437" s="1" t="s">
        <v>111</v>
      </c>
      <c r="D437" s="1" t="s">
        <v>98</v>
      </c>
      <c r="E437" s="1" t="s">
        <v>163</v>
      </c>
      <c r="F437" s="1" t="s">
        <v>137</v>
      </c>
      <c r="G437" s="1" t="s">
        <v>124</v>
      </c>
      <c r="H437" s="1" t="s">
        <v>150</v>
      </c>
      <c r="I437" s="1" t="s">
        <v>72</v>
      </c>
    </row>
    <row r="438" spans="1:9" ht="14.25" customHeight="1" x14ac:dyDescent="0.25">
      <c r="A438" s="1" t="s">
        <v>858</v>
      </c>
      <c r="B438" s="1" t="s">
        <v>46</v>
      </c>
      <c r="C438" s="1" t="s">
        <v>72</v>
      </c>
      <c r="D438" s="1" t="s">
        <v>98</v>
      </c>
      <c r="E438" s="1" t="s">
        <v>124</v>
      </c>
      <c r="F438" s="1" t="s">
        <v>137</v>
      </c>
      <c r="G438" s="1" t="s">
        <v>150</v>
      </c>
      <c r="H438" s="1" t="s">
        <v>111</v>
      </c>
      <c r="I438" s="1" t="s">
        <v>176</v>
      </c>
    </row>
    <row r="439" spans="1:9" ht="14.25" customHeight="1" x14ac:dyDescent="0.25">
      <c r="A439" s="1" t="s">
        <v>859</v>
      </c>
      <c r="B439" s="1" t="s">
        <v>46</v>
      </c>
      <c r="C439" s="1" t="s">
        <v>72</v>
      </c>
      <c r="D439" s="1" t="s">
        <v>98</v>
      </c>
      <c r="E439" s="1" t="s">
        <v>163</v>
      </c>
      <c r="F439" s="1" t="s">
        <v>137</v>
      </c>
      <c r="G439" s="1" t="s">
        <v>124</v>
      </c>
      <c r="H439" s="1" t="s">
        <v>111</v>
      </c>
      <c r="I439" s="1" t="s">
        <v>176</v>
      </c>
    </row>
    <row r="440" spans="1:9" ht="14.25" customHeight="1" x14ac:dyDescent="0.25">
      <c r="A440" s="1" t="s">
        <v>860</v>
      </c>
      <c r="B440" s="1" t="s">
        <v>46</v>
      </c>
      <c r="C440" s="1" t="s">
        <v>72</v>
      </c>
      <c r="D440" s="1" t="s">
        <v>98</v>
      </c>
      <c r="E440" s="1" t="s">
        <v>163</v>
      </c>
      <c r="F440" s="1" t="s">
        <v>150</v>
      </c>
      <c r="G440" s="1" t="s">
        <v>124</v>
      </c>
      <c r="H440" s="1" t="s">
        <v>111</v>
      </c>
      <c r="I440" s="1" t="s">
        <v>176</v>
      </c>
    </row>
    <row r="441" spans="1:9" ht="14.25" customHeight="1" x14ac:dyDescent="0.25">
      <c r="A441" s="1" t="s">
        <v>861</v>
      </c>
      <c r="B441" s="1" t="s">
        <v>46</v>
      </c>
      <c r="C441" s="1" t="s">
        <v>72</v>
      </c>
      <c r="D441" s="1" t="s">
        <v>98</v>
      </c>
      <c r="E441" s="1" t="s">
        <v>163</v>
      </c>
      <c r="F441" s="1" t="s">
        <v>150</v>
      </c>
      <c r="G441" s="1" t="s">
        <v>137</v>
      </c>
      <c r="H441" s="1" t="s">
        <v>111</v>
      </c>
      <c r="I441" s="1" t="s">
        <v>176</v>
      </c>
    </row>
    <row r="442" spans="1:9" ht="14.25" customHeight="1" x14ac:dyDescent="0.25">
      <c r="A442" s="1" t="s">
        <v>862</v>
      </c>
      <c r="B442" s="1" t="s">
        <v>46</v>
      </c>
      <c r="C442" s="1" t="s">
        <v>72</v>
      </c>
      <c r="D442" s="1" t="s">
        <v>98</v>
      </c>
      <c r="E442" s="1" t="s">
        <v>163</v>
      </c>
      <c r="F442" s="1" t="s">
        <v>150</v>
      </c>
      <c r="G442" s="1" t="s">
        <v>124</v>
      </c>
      <c r="H442" s="1" t="s">
        <v>137</v>
      </c>
      <c r="I442" s="1" t="s">
        <v>176</v>
      </c>
    </row>
    <row r="443" spans="1:9" ht="14.25" customHeight="1" x14ac:dyDescent="0.25">
      <c r="A443" s="1" t="s">
        <v>863</v>
      </c>
      <c r="B443" s="1" t="s">
        <v>46</v>
      </c>
      <c r="C443" s="1" t="s">
        <v>72</v>
      </c>
      <c r="D443" s="1" t="s">
        <v>124</v>
      </c>
      <c r="E443" s="1" t="s">
        <v>163</v>
      </c>
      <c r="F443" s="1" t="s">
        <v>137</v>
      </c>
      <c r="G443" s="1" t="s">
        <v>150</v>
      </c>
      <c r="H443" s="1" t="s">
        <v>111</v>
      </c>
      <c r="I443" s="1" t="s">
        <v>176</v>
      </c>
    </row>
    <row r="444" spans="1:9" ht="14.25" customHeight="1" x14ac:dyDescent="0.25">
      <c r="A444" s="1" t="s">
        <v>864</v>
      </c>
      <c r="B444" s="1" t="s">
        <v>46</v>
      </c>
      <c r="C444" s="1" t="s">
        <v>98</v>
      </c>
      <c r="D444" s="1" t="s">
        <v>124</v>
      </c>
      <c r="E444" s="1" t="s">
        <v>163</v>
      </c>
      <c r="F444" s="1" t="s">
        <v>137</v>
      </c>
      <c r="G444" s="1" t="s">
        <v>150</v>
      </c>
      <c r="H444" s="1" t="s">
        <v>111</v>
      </c>
      <c r="I444" s="1" t="s">
        <v>85</v>
      </c>
    </row>
    <row r="445" spans="1:9" ht="14.25" customHeight="1" x14ac:dyDescent="0.25">
      <c r="A445" s="1" t="s">
        <v>865</v>
      </c>
      <c r="B445" s="1" t="s">
        <v>46</v>
      </c>
      <c r="C445" s="1" t="s">
        <v>98</v>
      </c>
      <c r="D445" s="1" t="s">
        <v>85</v>
      </c>
      <c r="E445" s="1" t="s">
        <v>124</v>
      </c>
      <c r="F445" s="1" t="s">
        <v>137</v>
      </c>
      <c r="G445" s="1" t="s">
        <v>150</v>
      </c>
      <c r="H445" s="1" t="s">
        <v>111</v>
      </c>
      <c r="I445" s="1" t="s">
        <v>176</v>
      </c>
    </row>
    <row r="446" spans="1:9" ht="14.25" customHeight="1" x14ac:dyDescent="0.25">
      <c r="A446" s="1" t="s">
        <v>866</v>
      </c>
      <c r="B446" s="1" t="s">
        <v>46</v>
      </c>
      <c r="C446" s="1" t="s">
        <v>98</v>
      </c>
      <c r="D446" s="1" t="s">
        <v>137</v>
      </c>
      <c r="E446" s="1" t="s">
        <v>163</v>
      </c>
      <c r="F446" s="1" t="s">
        <v>85</v>
      </c>
      <c r="G446" s="1" t="s">
        <v>124</v>
      </c>
      <c r="H446" s="1" t="s">
        <v>111</v>
      </c>
      <c r="I446" s="1" t="s">
        <v>176</v>
      </c>
    </row>
    <row r="447" spans="1:9" ht="14.25" customHeight="1" x14ac:dyDescent="0.25">
      <c r="A447" s="1" t="s">
        <v>867</v>
      </c>
      <c r="B447" s="1" t="s">
        <v>46</v>
      </c>
      <c r="C447" s="1" t="s">
        <v>98</v>
      </c>
      <c r="D447" s="1" t="s">
        <v>85</v>
      </c>
      <c r="E447" s="1" t="s">
        <v>163</v>
      </c>
      <c r="F447" s="1" t="s">
        <v>150</v>
      </c>
      <c r="G447" s="1" t="s">
        <v>124</v>
      </c>
      <c r="H447" s="1" t="s">
        <v>111</v>
      </c>
      <c r="I447" s="1" t="s">
        <v>176</v>
      </c>
    </row>
    <row r="448" spans="1:9" ht="14.25" customHeight="1" x14ac:dyDescent="0.25">
      <c r="A448" s="1" t="s">
        <v>868</v>
      </c>
      <c r="B448" s="1" t="s">
        <v>46</v>
      </c>
      <c r="C448" s="1" t="s">
        <v>98</v>
      </c>
      <c r="D448" s="1" t="s">
        <v>85</v>
      </c>
      <c r="E448" s="1" t="s">
        <v>163</v>
      </c>
      <c r="F448" s="1" t="s">
        <v>150</v>
      </c>
      <c r="G448" s="1" t="s">
        <v>137</v>
      </c>
      <c r="H448" s="1" t="s">
        <v>111</v>
      </c>
      <c r="I448" s="1" t="s">
        <v>176</v>
      </c>
    </row>
    <row r="449" spans="1:9" ht="14.25" customHeight="1" x14ac:dyDescent="0.25">
      <c r="A449" s="1" t="s">
        <v>869</v>
      </c>
      <c r="B449" s="1" t="s">
        <v>46</v>
      </c>
      <c r="C449" s="1" t="s">
        <v>98</v>
      </c>
      <c r="D449" s="1" t="s">
        <v>85</v>
      </c>
      <c r="E449" s="1" t="s">
        <v>163</v>
      </c>
      <c r="F449" s="1" t="s">
        <v>150</v>
      </c>
      <c r="G449" s="1" t="s">
        <v>124</v>
      </c>
      <c r="H449" s="1" t="s">
        <v>137</v>
      </c>
      <c r="I449" s="1" t="s">
        <v>176</v>
      </c>
    </row>
    <row r="450" spans="1:9" ht="14.25" customHeight="1" x14ac:dyDescent="0.25">
      <c r="A450" s="1" t="s">
        <v>870</v>
      </c>
      <c r="B450" s="1" t="s">
        <v>46</v>
      </c>
      <c r="C450" s="1" t="s">
        <v>111</v>
      </c>
      <c r="D450" s="1" t="s">
        <v>85</v>
      </c>
      <c r="E450" s="1" t="s">
        <v>163</v>
      </c>
      <c r="F450" s="1" t="s">
        <v>137</v>
      </c>
      <c r="G450" s="1" t="s">
        <v>124</v>
      </c>
      <c r="H450" s="1" t="s">
        <v>150</v>
      </c>
      <c r="I450" s="1" t="s">
        <v>176</v>
      </c>
    </row>
    <row r="451" spans="1:9" ht="14.25" customHeight="1" x14ac:dyDescent="0.25">
      <c r="A451" s="1" t="s">
        <v>871</v>
      </c>
      <c r="B451" s="1" t="s">
        <v>46</v>
      </c>
      <c r="C451" s="1" t="s">
        <v>98</v>
      </c>
      <c r="D451" s="1" t="s">
        <v>124</v>
      </c>
      <c r="E451" s="1" t="s">
        <v>163</v>
      </c>
      <c r="F451" s="1" t="s">
        <v>137</v>
      </c>
      <c r="G451" s="1" t="s">
        <v>150</v>
      </c>
      <c r="H451" s="1" t="s">
        <v>111</v>
      </c>
      <c r="I451" s="1" t="s">
        <v>176</v>
      </c>
    </row>
    <row r="452" spans="1:9" ht="14.25" customHeight="1" x14ac:dyDescent="0.25">
      <c r="A452" s="1" t="s">
        <v>872</v>
      </c>
      <c r="B452" s="1" t="s">
        <v>59</v>
      </c>
      <c r="C452" s="1" t="s">
        <v>72</v>
      </c>
      <c r="D452" s="1" t="s">
        <v>124</v>
      </c>
      <c r="E452" s="1" t="s">
        <v>85</v>
      </c>
      <c r="F452" s="1" t="s">
        <v>98</v>
      </c>
      <c r="G452" s="1" t="s">
        <v>137</v>
      </c>
      <c r="H452" s="1" t="s">
        <v>111</v>
      </c>
      <c r="I452" s="1" t="s">
        <v>150</v>
      </c>
    </row>
    <row r="453" spans="1:9" ht="14.25" customHeight="1" x14ac:dyDescent="0.25">
      <c r="A453" s="1" t="s">
        <v>873</v>
      </c>
      <c r="B453" s="1" t="s">
        <v>59</v>
      </c>
      <c r="C453" s="1" t="s">
        <v>111</v>
      </c>
      <c r="D453" s="1" t="s">
        <v>98</v>
      </c>
      <c r="E453" s="1" t="s">
        <v>163</v>
      </c>
      <c r="F453" s="1" t="s">
        <v>85</v>
      </c>
      <c r="G453" s="1" t="s">
        <v>124</v>
      </c>
      <c r="H453" s="1" t="s">
        <v>137</v>
      </c>
      <c r="I453" s="1" t="s">
        <v>72</v>
      </c>
    </row>
    <row r="454" spans="1:9" ht="14.25" customHeight="1" x14ac:dyDescent="0.25">
      <c r="A454" s="1" t="s">
        <v>874</v>
      </c>
      <c r="B454" s="1" t="s">
        <v>59</v>
      </c>
      <c r="C454" s="1" t="s">
        <v>72</v>
      </c>
      <c r="D454" s="1" t="s">
        <v>137</v>
      </c>
      <c r="E454" s="1" t="s">
        <v>85</v>
      </c>
      <c r="F454" s="1" t="s">
        <v>98</v>
      </c>
      <c r="G454" s="1" t="s">
        <v>124</v>
      </c>
      <c r="H454" s="1" t="s">
        <v>111</v>
      </c>
      <c r="I454" s="1" t="s">
        <v>176</v>
      </c>
    </row>
    <row r="455" spans="1:9" ht="14.25" customHeight="1" x14ac:dyDescent="0.25">
      <c r="A455" s="1" t="s">
        <v>875</v>
      </c>
      <c r="B455" s="1" t="s">
        <v>59</v>
      </c>
      <c r="C455" s="1" t="s">
        <v>111</v>
      </c>
      <c r="D455" s="1" t="s">
        <v>98</v>
      </c>
      <c r="E455" s="1" t="s">
        <v>163</v>
      </c>
      <c r="F455" s="1" t="s">
        <v>85</v>
      </c>
      <c r="G455" s="1" t="s">
        <v>124</v>
      </c>
      <c r="H455" s="1" t="s">
        <v>150</v>
      </c>
      <c r="I455" s="1" t="s">
        <v>72</v>
      </c>
    </row>
    <row r="456" spans="1:9" ht="14.25" customHeight="1" x14ac:dyDescent="0.25">
      <c r="A456" s="1" t="s">
        <v>876</v>
      </c>
      <c r="B456" s="1" t="s">
        <v>59</v>
      </c>
      <c r="C456" s="1" t="s">
        <v>72</v>
      </c>
      <c r="D456" s="1" t="s">
        <v>124</v>
      </c>
      <c r="E456" s="1" t="s">
        <v>85</v>
      </c>
      <c r="F456" s="1" t="s">
        <v>98</v>
      </c>
      <c r="G456" s="1" t="s">
        <v>150</v>
      </c>
      <c r="H456" s="1" t="s">
        <v>111</v>
      </c>
      <c r="I456" s="1" t="s">
        <v>176</v>
      </c>
    </row>
    <row r="457" spans="1:9" ht="14.25" customHeight="1" x14ac:dyDescent="0.25">
      <c r="A457" s="1" t="s">
        <v>877</v>
      </c>
      <c r="B457" s="1" t="s">
        <v>72</v>
      </c>
      <c r="C457" s="1" t="s">
        <v>111</v>
      </c>
      <c r="D457" s="1" t="s">
        <v>59</v>
      </c>
      <c r="E457" s="1" t="s">
        <v>163</v>
      </c>
      <c r="F457" s="1" t="s">
        <v>85</v>
      </c>
      <c r="G457" s="1" t="s">
        <v>124</v>
      </c>
      <c r="H457" s="1" t="s">
        <v>98</v>
      </c>
      <c r="I457" s="1" t="s">
        <v>176</v>
      </c>
    </row>
    <row r="458" spans="1:9" ht="14.25" customHeight="1" x14ac:dyDescent="0.25">
      <c r="A458" s="1" t="s">
        <v>878</v>
      </c>
      <c r="B458" s="1" t="s">
        <v>59</v>
      </c>
      <c r="C458" s="1" t="s">
        <v>72</v>
      </c>
      <c r="D458" s="1" t="s">
        <v>98</v>
      </c>
      <c r="E458" s="1" t="s">
        <v>163</v>
      </c>
      <c r="F458" s="1" t="s">
        <v>137</v>
      </c>
      <c r="G458" s="1" t="s">
        <v>85</v>
      </c>
      <c r="H458" s="1" t="s">
        <v>111</v>
      </c>
      <c r="I458" s="1" t="s">
        <v>150</v>
      </c>
    </row>
    <row r="459" spans="1:9" ht="14.25" customHeight="1" x14ac:dyDescent="0.25">
      <c r="A459" s="1" t="s">
        <v>879</v>
      </c>
      <c r="B459" s="1" t="s">
        <v>59</v>
      </c>
      <c r="C459" s="1" t="s">
        <v>72</v>
      </c>
      <c r="D459" s="1" t="s">
        <v>98</v>
      </c>
      <c r="E459" s="1" t="s">
        <v>85</v>
      </c>
      <c r="F459" s="1" t="s">
        <v>150</v>
      </c>
      <c r="G459" s="1" t="s">
        <v>137</v>
      </c>
      <c r="H459" s="1" t="s">
        <v>111</v>
      </c>
      <c r="I459" s="1" t="s">
        <v>176</v>
      </c>
    </row>
    <row r="460" spans="1:9" ht="14.25" customHeight="1" x14ac:dyDescent="0.25">
      <c r="A460" s="1" t="s">
        <v>880</v>
      </c>
      <c r="B460" s="1" t="s">
        <v>59</v>
      </c>
      <c r="C460" s="1" t="s">
        <v>72</v>
      </c>
      <c r="D460" s="1" t="s">
        <v>137</v>
      </c>
      <c r="E460" s="1" t="s">
        <v>163</v>
      </c>
      <c r="F460" s="1" t="s">
        <v>98</v>
      </c>
      <c r="G460" s="1" t="s">
        <v>85</v>
      </c>
      <c r="H460" s="1" t="s">
        <v>111</v>
      </c>
      <c r="I460" s="1" t="s">
        <v>176</v>
      </c>
    </row>
    <row r="461" spans="1:9" ht="14.25" customHeight="1" x14ac:dyDescent="0.25">
      <c r="A461" s="1" t="s">
        <v>881</v>
      </c>
      <c r="B461" s="1" t="s">
        <v>72</v>
      </c>
      <c r="C461" s="1" t="s">
        <v>111</v>
      </c>
      <c r="D461" s="1" t="s">
        <v>59</v>
      </c>
      <c r="E461" s="1" t="s">
        <v>163</v>
      </c>
      <c r="F461" s="1" t="s">
        <v>98</v>
      </c>
      <c r="G461" s="1" t="s">
        <v>85</v>
      </c>
      <c r="H461" s="1" t="s">
        <v>150</v>
      </c>
      <c r="I461" s="1" t="s">
        <v>176</v>
      </c>
    </row>
    <row r="462" spans="1:9" ht="14.25" customHeight="1" x14ac:dyDescent="0.25">
      <c r="A462" s="1" t="s">
        <v>882</v>
      </c>
      <c r="B462" s="1" t="s">
        <v>59</v>
      </c>
      <c r="C462" s="1" t="s">
        <v>72</v>
      </c>
      <c r="D462" s="1" t="s">
        <v>124</v>
      </c>
      <c r="E462" s="1" t="s">
        <v>163</v>
      </c>
      <c r="F462" s="1" t="s">
        <v>98</v>
      </c>
      <c r="G462" s="1" t="s">
        <v>150</v>
      </c>
      <c r="H462" s="1" t="s">
        <v>137</v>
      </c>
      <c r="I462" s="1" t="s">
        <v>85</v>
      </c>
    </row>
    <row r="463" spans="1:9" ht="14.25" customHeight="1" x14ac:dyDescent="0.25">
      <c r="A463" s="1" t="s">
        <v>883</v>
      </c>
      <c r="B463" s="1" t="s">
        <v>59</v>
      </c>
      <c r="C463" s="1" t="s">
        <v>72</v>
      </c>
      <c r="D463" s="1" t="s">
        <v>124</v>
      </c>
      <c r="E463" s="1" t="s">
        <v>85</v>
      </c>
      <c r="F463" s="1" t="s">
        <v>98</v>
      </c>
      <c r="G463" s="1" t="s">
        <v>150</v>
      </c>
      <c r="H463" s="1" t="s">
        <v>137</v>
      </c>
      <c r="I463" s="1" t="s">
        <v>176</v>
      </c>
    </row>
    <row r="464" spans="1:9" ht="14.25" customHeight="1" x14ac:dyDescent="0.25">
      <c r="A464" s="1" t="s">
        <v>884</v>
      </c>
      <c r="B464" s="1" t="s">
        <v>59</v>
      </c>
      <c r="C464" s="1" t="s">
        <v>72</v>
      </c>
      <c r="D464" s="1" t="s">
        <v>137</v>
      </c>
      <c r="E464" s="1" t="s">
        <v>163</v>
      </c>
      <c r="F464" s="1" t="s">
        <v>85</v>
      </c>
      <c r="G464" s="1" t="s">
        <v>124</v>
      </c>
      <c r="H464" s="1" t="s">
        <v>98</v>
      </c>
      <c r="I464" s="1" t="s">
        <v>176</v>
      </c>
    </row>
    <row r="465" spans="1:9" ht="14.25" customHeight="1" x14ac:dyDescent="0.25">
      <c r="A465" s="1" t="s">
        <v>885</v>
      </c>
      <c r="B465" s="1" t="s">
        <v>59</v>
      </c>
      <c r="C465" s="1" t="s">
        <v>72</v>
      </c>
      <c r="D465" s="1" t="s">
        <v>98</v>
      </c>
      <c r="E465" s="1" t="s">
        <v>163</v>
      </c>
      <c r="F465" s="1" t="s">
        <v>85</v>
      </c>
      <c r="G465" s="1" t="s">
        <v>124</v>
      </c>
      <c r="H465" s="1" t="s">
        <v>150</v>
      </c>
      <c r="I465" s="1" t="s">
        <v>176</v>
      </c>
    </row>
    <row r="466" spans="1:9" ht="14.25" customHeight="1" x14ac:dyDescent="0.25">
      <c r="A466" s="1" t="s">
        <v>886</v>
      </c>
      <c r="B466" s="1" t="s">
        <v>59</v>
      </c>
      <c r="C466" s="1" t="s">
        <v>72</v>
      </c>
      <c r="D466" s="1" t="s">
        <v>98</v>
      </c>
      <c r="E466" s="1" t="s">
        <v>163</v>
      </c>
      <c r="F466" s="1" t="s">
        <v>137</v>
      </c>
      <c r="G466" s="1" t="s">
        <v>85</v>
      </c>
      <c r="H466" s="1" t="s">
        <v>150</v>
      </c>
      <c r="I466" s="1" t="s">
        <v>176</v>
      </c>
    </row>
    <row r="467" spans="1:9" ht="14.25" customHeight="1" x14ac:dyDescent="0.25">
      <c r="A467" s="1" t="s">
        <v>887</v>
      </c>
      <c r="B467" s="1" t="s">
        <v>59</v>
      </c>
      <c r="C467" s="1" t="s">
        <v>72</v>
      </c>
      <c r="D467" s="1" t="s">
        <v>124</v>
      </c>
      <c r="E467" s="1" t="s">
        <v>163</v>
      </c>
      <c r="F467" s="1" t="s">
        <v>85</v>
      </c>
      <c r="G467" s="1" t="s">
        <v>137</v>
      </c>
      <c r="H467" s="1" t="s">
        <v>111</v>
      </c>
      <c r="I467" s="1" t="s">
        <v>150</v>
      </c>
    </row>
    <row r="468" spans="1:9" ht="14.25" customHeight="1" x14ac:dyDescent="0.25">
      <c r="A468" s="1" t="s">
        <v>888</v>
      </c>
      <c r="B468" s="1" t="s">
        <v>59</v>
      </c>
      <c r="C468" s="1" t="s">
        <v>72</v>
      </c>
      <c r="D468" s="1" t="s">
        <v>124</v>
      </c>
      <c r="E468" s="1" t="s">
        <v>137</v>
      </c>
      <c r="F468" s="1" t="s">
        <v>85</v>
      </c>
      <c r="G468" s="1" t="s">
        <v>150</v>
      </c>
      <c r="H468" s="1" t="s">
        <v>111</v>
      </c>
      <c r="I468" s="1" t="s">
        <v>176</v>
      </c>
    </row>
    <row r="469" spans="1:9" ht="14.25" customHeight="1" x14ac:dyDescent="0.25">
      <c r="A469" s="1" t="s">
        <v>889</v>
      </c>
      <c r="B469" s="1" t="s">
        <v>59</v>
      </c>
      <c r="C469" s="1" t="s">
        <v>72</v>
      </c>
      <c r="D469" s="1" t="s">
        <v>137</v>
      </c>
      <c r="E469" s="1" t="s">
        <v>163</v>
      </c>
      <c r="F469" s="1" t="s">
        <v>85</v>
      </c>
      <c r="G469" s="1" t="s">
        <v>124</v>
      </c>
      <c r="H469" s="1" t="s">
        <v>111</v>
      </c>
      <c r="I469" s="1" t="s">
        <v>176</v>
      </c>
    </row>
    <row r="470" spans="1:9" ht="14.25" customHeight="1" x14ac:dyDescent="0.25">
      <c r="A470" s="1" t="s">
        <v>890</v>
      </c>
      <c r="B470" s="1" t="s">
        <v>59</v>
      </c>
      <c r="C470" s="1" t="s">
        <v>72</v>
      </c>
      <c r="D470" s="1" t="s">
        <v>124</v>
      </c>
      <c r="E470" s="1" t="s">
        <v>163</v>
      </c>
      <c r="F470" s="1" t="s">
        <v>85</v>
      </c>
      <c r="G470" s="1" t="s">
        <v>150</v>
      </c>
      <c r="H470" s="1" t="s">
        <v>111</v>
      </c>
      <c r="I470" s="1" t="s">
        <v>176</v>
      </c>
    </row>
    <row r="471" spans="1:9" ht="14.25" customHeight="1" x14ac:dyDescent="0.25">
      <c r="A471" s="1" t="s">
        <v>891</v>
      </c>
      <c r="B471" s="1" t="s">
        <v>59</v>
      </c>
      <c r="C471" s="1" t="s">
        <v>72</v>
      </c>
      <c r="D471" s="1" t="s">
        <v>85</v>
      </c>
      <c r="E471" s="1" t="s">
        <v>163</v>
      </c>
      <c r="F471" s="1" t="s">
        <v>137</v>
      </c>
      <c r="G471" s="1" t="s">
        <v>150</v>
      </c>
      <c r="H471" s="1" t="s">
        <v>111</v>
      </c>
      <c r="I471" s="1" t="s">
        <v>176</v>
      </c>
    </row>
    <row r="472" spans="1:9" ht="14.25" customHeight="1" x14ac:dyDescent="0.25">
      <c r="A472" s="1" t="s">
        <v>892</v>
      </c>
      <c r="B472" s="1" t="s">
        <v>59</v>
      </c>
      <c r="C472" s="1" t="s">
        <v>72</v>
      </c>
      <c r="D472" s="1" t="s">
        <v>124</v>
      </c>
      <c r="E472" s="1" t="s">
        <v>163</v>
      </c>
      <c r="F472" s="1" t="s">
        <v>85</v>
      </c>
      <c r="G472" s="1" t="s">
        <v>150</v>
      </c>
      <c r="H472" s="1" t="s">
        <v>137</v>
      </c>
      <c r="I472" s="1" t="s">
        <v>176</v>
      </c>
    </row>
    <row r="473" spans="1:9" ht="14.25" customHeight="1" x14ac:dyDescent="0.25">
      <c r="A473" s="1" t="s">
        <v>893</v>
      </c>
      <c r="B473" s="1" t="s">
        <v>59</v>
      </c>
      <c r="C473" s="1" t="s">
        <v>72</v>
      </c>
      <c r="D473" s="1" t="s">
        <v>124</v>
      </c>
      <c r="E473" s="1" t="s">
        <v>163</v>
      </c>
      <c r="F473" s="1" t="s">
        <v>98</v>
      </c>
      <c r="G473" s="1" t="s">
        <v>137</v>
      </c>
      <c r="H473" s="1" t="s">
        <v>111</v>
      </c>
      <c r="I473" s="1" t="s">
        <v>150</v>
      </c>
    </row>
    <row r="474" spans="1:9" ht="14.25" customHeight="1" x14ac:dyDescent="0.25">
      <c r="A474" s="1" t="s">
        <v>894</v>
      </c>
      <c r="B474" s="1" t="s">
        <v>59</v>
      </c>
      <c r="C474" s="1" t="s">
        <v>72</v>
      </c>
      <c r="D474" s="1" t="s">
        <v>98</v>
      </c>
      <c r="E474" s="1" t="s">
        <v>124</v>
      </c>
      <c r="F474" s="1" t="s">
        <v>150</v>
      </c>
      <c r="G474" s="1" t="s">
        <v>137</v>
      </c>
      <c r="H474" s="1" t="s">
        <v>111</v>
      </c>
      <c r="I474" s="1" t="s">
        <v>176</v>
      </c>
    </row>
    <row r="475" spans="1:9" ht="14.25" customHeight="1" x14ac:dyDescent="0.25">
      <c r="A475" s="1" t="s">
        <v>895</v>
      </c>
      <c r="B475" s="1" t="s">
        <v>59</v>
      </c>
      <c r="C475" s="1" t="s">
        <v>72</v>
      </c>
      <c r="D475" s="1" t="s">
        <v>137</v>
      </c>
      <c r="E475" s="1" t="s">
        <v>163</v>
      </c>
      <c r="F475" s="1" t="s">
        <v>98</v>
      </c>
      <c r="G475" s="1" t="s">
        <v>124</v>
      </c>
      <c r="H475" s="1" t="s">
        <v>111</v>
      </c>
      <c r="I475" s="1" t="s">
        <v>176</v>
      </c>
    </row>
    <row r="476" spans="1:9" ht="14.25" customHeight="1" x14ac:dyDescent="0.25">
      <c r="A476" s="1" t="s">
        <v>896</v>
      </c>
      <c r="B476" s="1" t="s">
        <v>72</v>
      </c>
      <c r="C476" s="1" t="s">
        <v>111</v>
      </c>
      <c r="D476" s="1" t="s">
        <v>59</v>
      </c>
      <c r="E476" s="1" t="s">
        <v>163</v>
      </c>
      <c r="F476" s="1" t="s">
        <v>98</v>
      </c>
      <c r="G476" s="1" t="s">
        <v>124</v>
      </c>
      <c r="H476" s="1" t="s">
        <v>150</v>
      </c>
      <c r="I476" s="1" t="s">
        <v>176</v>
      </c>
    </row>
    <row r="477" spans="1:9" ht="14.25" customHeight="1" x14ac:dyDescent="0.25">
      <c r="A477" s="1" t="s">
        <v>897</v>
      </c>
      <c r="B477" s="1" t="s">
        <v>72</v>
      </c>
      <c r="C477" s="1" t="s">
        <v>111</v>
      </c>
      <c r="D477" s="1" t="s">
        <v>59</v>
      </c>
      <c r="E477" s="1" t="s">
        <v>163</v>
      </c>
      <c r="F477" s="1" t="s">
        <v>98</v>
      </c>
      <c r="G477" s="1" t="s">
        <v>137</v>
      </c>
      <c r="H477" s="1" t="s">
        <v>150</v>
      </c>
      <c r="I477" s="1" t="s">
        <v>176</v>
      </c>
    </row>
    <row r="478" spans="1:9" ht="14.25" customHeight="1" x14ac:dyDescent="0.25">
      <c r="A478" s="1" t="s">
        <v>898</v>
      </c>
      <c r="B478" s="1" t="s">
        <v>59</v>
      </c>
      <c r="C478" s="1" t="s">
        <v>72</v>
      </c>
      <c r="D478" s="1" t="s">
        <v>124</v>
      </c>
      <c r="E478" s="1" t="s">
        <v>163</v>
      </c>
      <c r="F478" s="1" t="s">
        <v>98</v>
      </c>
      <c r="G478" s="1" t="s">
        <v>150</v>
      </c>
      <c r="H478" s="1" t="s">
        <v>137</v>
      </c>
      <c r="I478" s="1" t="s">
        <v>176</v>
      </c>
    </row>
    <row r="479" spans="1:9" ht="14.25" customHeight="1" x14ac:dyDescent="0.25">
      <c r="A479" s="1" t="s">
        <v>899</v>
      </c>
      <c r="B479" s="1" t="s">
        <v>59</v>
      </c>
      <c r="C479" s="1" t="s">
        <v>72</v>
      </c>
      <c r="D479" s="1" t="s">
        <v>124</v>
      </c>
      <c r="E479" s="1" t="s">
        <v>163</v>
      </c>
      <c r="F479" s="1" t="s">
        <v>137</v>
      </c>
      <c r="G479" s="1" t="s">
        <v>150</v>
      </c>
      <c r="H479" s="1" t="s">
        <v>111</v>
      </c>
      <c r="I479" s="1" t="s">
        <v>176</v>
      </c>
    </row>
    <row r="480" spans="1:9" ht="14.25" customHeight="1" x14ac:dyDescent="0.25">
      <c r="A480" s="1" t="s">
        <v>900</v>
      </c>
      <c r="B480" s="1" t="s">
        <v>59</v>
      </c>
      <c r="C480" s="1" t="s">
        <v>98</v>
      </c>
      <c r="D480" s="1" t="s">
        <v>124</v>
      </c>
      <c r="E480" s="1" t="s">
        <v>163</v>
      </c>
      <c r="F480" s="1" t="s">
        <v>137</v>
      </c>
      <c r="G480" s="1" t="s">
        <v>150</v>
      </c>
      <c r="H480" s="1" t="s">
        <v>111</v>
      </c>
      <c r="I480" s="1" t="s">
        <v>85</v>
      </c>
    </row>
    <row r="481" spans="1:9" ht="14.25" customHeight="1" x14ac:dyDescent="0.25">
      <c r="A481" s="1" t="s">
        <v>901</v>
      </c>
      <c r="B481" s="1" t="s">
        <v>59</v>
      </c>
      <c r="C481" s="1" t="s">
        <v>98</v>
      </c>
      <c r="D481" s="1" t="s">
        <v>124</v>
      </c>
      <c r="E481" s="1" t="s">
        <v>137</v>
      </c>
      <c r="F481" s="1" t="s">
        <v>85</v>
      </c>
      <c r="G481" s="1" t="s">
        <v>150</v>
      </c>
      <c r="H481" s="1" t="s">
        <v>111</v>
      </c>
      <c r="I481" s="1" t="s">
        <v>176</v>
      </c>
    </row>
    <row r="482" spans="1:9" ht="14.25" customHeight="1" x14ac:dyDescent="0.25">
      <c r="A482" s="1" t="s">
        <v>902</v>
      </c>
      <c r="B482" s="1" t="s">
        <v>59</v>
      </c>
      <c r="C482" s="1" t="s">
        <v>98</v>
      </c>
      <c r="D482" s="1" t="s">
        <v>137</v>
      </c>
      <c r="E482" s="1" t="s">
        <v>163</v>
      </c>
      <c r="F482" s="1" t="s">
        <v>85</v>
      </c>
      <c r="G482" s="1" t="s">
        <v>124</v>
      </c>
      <c r="H482" s="1" t="s">
        <v>111</v>
      </c>
      <c r="I482" s="1" t="s">
        <v>176</v>
      </c>
    </row>
    <row r="483" spans="1:9" ht="14.25" customHeight="1" x14ac:dyDescent="0.25">
      <c r="A483" s="1" t="s">
        <v>903</v>
      </c>
      <c r="B483" s="1" t="s">
        <v>59</v>
      </c>
      <c r="C483" s="1" t="s">
        <v>111</v>
      </c>
      <c r="D483" s="1" t="s">
        <v>98</v>
      </c>
      <c r="E483" s="1" t="s">
        <v>163</v>
      </c>
      <c r="F483" s="1" t="s">
        <v>85</v>
      </c>
      <c r="G483" s="1" t="s">
        <v>124</v>
      </c>
      <c r="H483" s="1" t="s">
        <v>150</v>
      </c>
      <c r="I483" s="1" t="s">
        <v>176</v>
      </c>
    </row>
    <row r="484" spans="1:9" ht="14.25" customHeight="1" x14ac:dyDescent="0.25">
      <c r="A484" s="1" t="s">
        <v>904</v>
      </c>
      <c r="B484" s="1" t="s">
        <v>59</v>
      </c>
      <c r="C484" s="1" t="s">
        <v>98</v>
      </c>
      <c r="D484" s="1" t="s">
        <v>85</v>
      </c>
      <c r="E484" s="1" t="s">
        <v>163</v>
      </c>
      <c r="F484" s="1" t="s">
        <v>150</v>
      </c>
      <c r="G484" s="1" t="s">
        <v>137</v>
      </c>
      <c r="H484" s="1" t="s">
        <v>111</v>
      </c>
      <c r="I484" s="1" t="s">
        <v>176</v>
      </c>
    </row>
    <row r="485" spans="1:9" ht="14.25" customHeight="1" x14ac:dyDescent="0.25">
      <c r="A485" s="1" t="s">
        <v>905</v>
      </c>
      <c r="B485" s="1" t="s">
        <v>59</v>
      </c>
      <c r="C485" s="1" t="s">
        <v>98</v>
      </c>
      <c r="D485" s="1" t="s">
        <v>124</v>
      </c>
      <c r="E485" s="1" t="s">
        <v>163</v>
      </c>
      <c r="F485" s="1" t="s">
        <v>85</v>
      </c>
      <c r="G485" s="1" t="s">
        <v>150</v>
      </c>
      <c r="H485" s="1" t="s">
        <v>137</v>
      </c>
      <c r="I485" s="1" t="s">
        <v>176</v>
      </c>
    </row>
    <row r="486" spans="1:9" ht="14.25" customHeight="1" x14ac:dyDescent="0.25">
      <c r="A486" s="1" t="s">
        <v>906</v>
      </c>
      <c r="B486" s="1" t="s">
        <v>59</v>
      </c>
      <c r="C486" s="1" t="s">
        <v>111</v>
      </c>
      <c r="D486" s="1" t="s">
        <v>124</v>
      </c>
      <c r="E486" s="1" t="s">
        <v>163</v>
      </c>
      <c r="F486" s="1" t="s">
        <v>85</v>
      </c>
      <c r="G486" s="1" t="s">
        <v>150</v>
      </c>
      <c r="H486" s="1" t="s">
        <v>137</v>
      </c>
      <c r="I486" s="1" t="s">
        <v>176</v>
      </c>
    </row>
    <row r="487" spans="1:9" ht="14.25" customHeight="1" x14ac:dyDescent="0.25">
      <c r="A487" s="1" t="s">
        <v>907</v>
      </c>
      <c r="B487" s="1" t="s">
        <v>59</v>
      </c>
      <c r="C487" s="1" t="s">
        <v>111</v>
      </c>
      <c r="D487" s="1" t="s">
        <v>124</v>
      </c>
      <c r="E487" s="1" t="s">
        <v>163</v>
      </c>
      <c r="F487" s="1" t="s">
        <v>98</v>
      </c>
      <c r="G487" s="1" t="s">
        <v>150</v>
      </c>
      <c r="H487" s="1" t="s">
        <v>137</v>
      </c>
      <c r="I487" s="1" t="s">
        <v>176</v>
      </c>
    </row>
    <row r="488" spans="1:9" ht="14.25" customHeight="1" x14ac:dyDescent="0.25">
      <c r="A488" s="1" t="s">
        <v>908</v>
      </c>
      <c r="B488" s="1" t="s">
        <v>72</v>
      </c>
      <c r="C488" s="1" t="s">
        <v>98</v>
      </c>
      <c r="D488" s="1" t="s">
        <v>124</v>
      </c>
      <c r="E488" s="1" t="s">
        <v>163</v>
      </c>
      <c r="F488" s="1" t="s">
        <v>137</v>
      </c>
      <c r="G488" s="1" t="s">
        <v>150</v>
      </c>
      <c r="H488" s="1" t="s">
        <v>111</v>
      </c>
      <c r="I488" s="1" t="s">
        <v>85</v>
      </c>
    </row>
    <row r="489" spans="1:9" ht="14.25" customHeight="1" x14ac:dyDescent="0.25">
      <c r="A489" s="1" t="s">
        <v>909</v>
      </c>
      <c r="B489" s="1" t="s">
        <v>72</v>
      </c>
      <c r="C489" s="1" t="s">
        <v>98</v>
      </c>
      <c r="D489" s="1" t="s">
        <v>85</v>
      </c>
      <c r="E489" s="1" t="s">
        <v>124</v>
      </c>
      <c r="F489" s="1" t="s">
        <v>137</v>
      </c>
      <c r="G489" s="1" t="s">
        <v>150</v>
      </c>
      <c r="H489" s="1" t="s">
        <v>111</v>
      </c>
      <c r="I489" s="1" t="s">
        <v>176</v>
      </c>
    </row>
    <row r="490" spans="1:9" ht="14.25" customHeight="1" x14ac:dyDescent="0.25">
      <c r="A490" s="1" t="s">
        <v>910</v>
      </c>
      <c r="B490" s="1" t="s">
        <v>72</v>
      </c>
      <c r="C490" s="1" t="s">
        <v>98</v>
      </c>
      <c r="D490" s="1" t="s">
        <v>137</v>
      </c>
      <c r="E490" s="1" t="s">
        <v>163</v>
      </c>
      <c r="F490" s="1" t="s">
        <v>85</v>
      </c>
      <c r="G490" s="1" t="s">
        <v>124</v>
      </c>
      <c r="H490" s="1" t="s">
        <v>111</v>
      </c>
      <c r="I490" s="1" t="s">
        <v>176</v>
      </c>
    </row>
    <row r="491" spans="1:9" ht="14.25" customHeight="1" x14ac:dyDescent="0.25">
      <c r="A491" s="1" t="s">
        <v>911</v>
      </c>
      <c r="B491" s="1" t="s">
        <v>72</v>
      </c>
      <c r="C491" s="1" t="s">
        <v>111</v>
      </c>
      <c r="D491" s="1" t="s">
        <v>85</v>
      </c>
      <c r="E491" s="1" t="s">
        <v>163</v>
      </c>
      <c r="F491" s="1" t="s">
        <v>98</v>
      </c>
      <c r="G491" s="1" t="s">
        <v>124</v>
      </c>
      <c r="H491" s="1" t="s">
        <v>150</v>
      </c>
      <c r="I491" s="1" t="s">
        <v>176</v>
      </c>
    </row>
    <row r="492" spans="1:9" ht="14.25" customHeight="1" x14ac:dyDescent="0.25">
      <c r="A492" s="1" t="s">
        <v>912</v>
      </c>
      <c r="B492" s="1" t="s">
        <v>72</v>
      </c>
      <c r="C492" s="1" t="s">
        <v>98</v>
      </c>
      <c r="D492" s="1" t="s">
        <v>85</v>
      </c>
      <c r="E492" s="1" t="s">
        <v>163</v>
      </c>
      <c r="F492" s="1" t="s">
        <v>150</v>
      </c>
      <c r="G492" s="1" t="s">
        <v>137</v>
      </c>
      <c r="H492" s="1" t="s">
        <v>111</v>
      </c>
      <c r="I492" s="1" t="s">
        <v>176</v>
      </c>
    </row>
    <row r="493" spans="1:9" ht="14.25" customHeight="1" x14ac:dyDescent="0.25">
      <c r="A493" s="1" t="s">
        <v>913</v>
      </c>
      <c r="B493" s="1" t="s">
        <v>72</v>
      </c>
      <c r="C493" s="1" t="s">
        <v>98</v>
      </c>
      <c r="D493" s="1" t="s">
        <v>85</v>
      </c>
      <c r="E493" s="1" t="s">
        <v>163</v>
      </c>
      <c r="F493" s="1" t="s">
        <v>137</v>
      </c>
      <c r="G493" s="1" t="s">
        <v>124</v>
      </c>
      <c r="H493" s="1" t="s">
        <v>150</v>
      </c>
      <c r="I493" s="1" t="s">
        <v>176</v>
      </c>
    </row>
    <row r="494" spans="1:9" ht="14.25" customHeight="1" x14ac:dyDescent="0.25">
      <c r="A494" s="1" t="s">
        <v>914</v>
      </c>
      <c r="B494" s="1" t="s">
        <v>72</v>
      </c>
      <c r="C494" s="1" t="s">
        <v>111</v>
      </c>
      <c r="D494" s="1" t="s">
        <v>85</v>
      </c>
      <c r="E494" s="1" t="s">
        <v>163</v>
      </c>
      <c r="F494" s="1" t="s">
        <v>137</v>
      </c>
      <c r="G494" s="1" t="s">
        <v>124</v>
      </c>
      <c r="H494" s="1" t="s">
        <v>150</v>
      </c>
      <c r="I494" s="1" t="s">
        <v>176</v>
      </c>
    </row>
    <row r="495" spans="1:9" ht="14.25" customHeight="1" x14ac:dyDescent="0.25">
      <c r="A495" s="1" t="s">
        <v>915</v>
      </c>
      <c r="B495" s="1" t="s">
        <v>72</v>
      </c>
      <c r="C495" s="1" t="s">
        <v>111</v>
      </c>
      <c r="D495" s="1" t="s">
        <v>98</v>
      </c>
      <c r="E495" s="1" t="s">
        <v>163</v>
      </c>
      <c r="F495" s="1" t="s">
        <v>137</v>
      </c>
      <c r="G495" s="1" t="s">
        <v>124</v>
      </c>
      <c r="H495" s="1" t="s">
        <v>150</v>
      </c>
      <c r="I495" s="1" t="s">
        <v>176</v>
      </c>
    </row>
    <row r="496" spans="1:9" ht="14.25" customHeight="1" x14ac:dyDescent="0.25">
      <c r="A496" s="1" t="s">
        <v>916</v>
      </c>
      <c r="B496" s="1" t="s">
        <v>98</v>
      </c>
      <c r="C496" s="1" t="s">
        <v>111</v>
      </c>
      <c r="D496" s="1" t="s">
        <v>85</v>
      </c>
      <c r="E496" s="1" t="s">
        <v>163</v>
      </c>
      <c r="F496" s="1" t="s">
        <v>137</v>
      </c>
      <c r="G496" s="1" t="s">
        <v>124</v>
      </c>
      <c r="H496" s="1" t="s">
        <v>150</v>
      </c>
      <c r="I496" s="1" t="s">
        <v>176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J51"/>
  <sheetViews>
    <sheetView zoomScaleNormal="100" workbookViewId="0">
      <pane xSplit="1" ySplit="2" topLeftCell="GG3" activePane="bottomRight" state="frozen"/>
      <selection pane="topRight" activeCell="B1" sqref="B1"/>
      <selection pane="bottomLeft" activeCell="A3" sqref="A3"/>
      <selection pane="bottomRight" activeCell="D2" sqref="D2"/>
    </sheetView>
  </sheetViews>
  <sheetFormatPr baseColWidth="10" defaultColWidth="8.7109375" defaultRowHeight="15" x14ac:dyDescent="0.25"/>
  <cols>
    <col min="1" max="1" width="18" style="1" customWidth="1"/>
    <col min="2" max="217" width="8" style="50" customWidth="1"/>
    <col min="218" max="218" width="10" style="1" customWidth="1"/>
  </cols>
  <sheetData>
    <row r="1" spans="1:218" ht="15" customHeight="1" x14ac:dyDescent="0.25">
      <c r="A1" s="45" t="s">
        <v>370</v>
      </c>
      <c r="B1" s="45" t="s">
        <v>36</v>
      </c>
      <c r="C1" s="45" t="s">
        <v>39</v>
      </c>
      <c r="D1" s="45" t="s">
        <v>917</v>
      </c>
      <c r="E1" s="45" t="s">
        <v>42</v>
      </c>
      <c r="F1" s="45" t="s">
        <v>45</v>
      </c>
      <c r="G1" s="45" t="s">
        <v>917</v>
      </c>
      <c r="H1" s="45" t="s">
        <v>49</v>
      </c>
      <c r="I1" s="45" t="s">
        <v>52</v>
      </c>
      <c r="J1" s="45" t="s">
        <v>917</v>
      </c>
      <c r="K1" s="45" t="s">
        <v>75</v>
      </c>
      <c r="L1" s="45" t="s">
        <v>78</v>
      </c>
      <c r="M1" s="45" t="s">
        <v>917</v>
      </c>
      <c r="N1" s="45" t="s">
        <v>68</v>
      </c>
      <c r="O1" s="45" t="s">
        <v>71</v>
      </c>
      <c r="P1" s="45" t="s">
        <v>917</v>
      </c>
      <c r="Q1" s="45" t="s">
        <v>81</v>
      </c>
      <c r="R1" s="45" t="s">
        <v>84</v>
      </c>
      <c r="S1" s="45" t="s">
        <v>917</v>
      </c>
      <c r="T1" s="45" t="s">
        <v>62</v>
      </c>
      <c r="U1" s="45" t="s">
        <v>65</v>
      </c>
      <c r="V1" s="45" t="s">
        <v>917</v>
      </c>
      <c r="W1" s="45" t="s">
        <v>55</v>
      </c>
      <c r="X1" s="45" t="s">
        <v>58</v>
      </c>
      <c r="Y1" s="45" t="s">
        <v>917</v>
      </c>
      <c r="Z1" s="45" t="s">
        <v>94</v>
      </c>
      <c r="AA1" s="45" t="s">
        <v>97</v>
      </c>
      <c r="AB1" s="45" t="s">
        <v>917</v>
      </c>
      <c r="AC1" s="45" t="s">
        <v>88</v>
      </c>
      <c r="AD1" s="45" t="s">
        <v>91</v>
      </c>
      <c r="AE1" s="45" t="s">
        <v>917</v>
      </c>
      <c r="AF1" s="45" t="s">
        <v>101</v>
      </c>
      <c r="AG1" s="45" t="s">
        <v>104</v>
      </c>
      <c r="AH1" s="45" t="s">
        <v>917</v>
      </c>
      <c r="AI1" s="45" t="s">
        <v>107</v>
      </c>
      <c r="AJ1" s="45" t="s">
        <v>110</v>
      </c>
      <c r="AK1" s="45" t="s">
        <v>917</v>
      </c>
      <c r="AL1" s="45" t="s">
        <v>133</v>
      </c>
      <c r="AM1" s="45" t="s">
        <v>136</v>
      </c>
      <c r="AN1" s="45" t="s">
        <v>917</v>
      </c>
      <c r="AO1" s="45" t="s">
        <v>127</v>
      </c>
      <c r="AP1" s="45" t="s">
        <v>130</v>
      </c>
      <c r="AQ1" s="45" t="s">
        <v>917</v>
      </c>
      <c r="AR1" s="45" t="s">
        <v>120</v>
      </c>
      <c r="AS1" s="45" t="s">
        <v>123</v>
      </c>
      <c r="AT1" s="45" t="s">
        <v>917</v>
      </c>
      <c r="AU1" s="45" t="s">
        <v>114</v>
      </c>
      <c r="AV1" s="45" t="s">
        <v>117</v>
      </c>
      <c r="AW1" s="45" t="s">
        <v>917</v>
      </c>
      <c r="AX1" s="45" t="s">
        <v>140</v>
      </c>
      <c r="AY1" s="45" t="s">
        <v>143</v>
      </c>
      <c r="AZ1" s="45" t="s">
        <v>917</v>
      </c>
      <c r="BA1" s="45" t="s">
        <v>146</v>
      </c>
      <c r="BB1" s="45" t="s">
        <v>149</v>
      </c>
      <c r="BC1" s="45" t="s">
        <v>917</v>
      </c>
      <c r="BD1" s="45" t="s">
        <v>153</v>
      </c>
      <c r="BE1" s="45" t="s">
        <v>156</v>
      </c>
      <c r="BF1" s="45" t="s">
        <v>917</v>
      </c>
      <c r="BG1" s="45" t="s">
        <v>159</v>
      </c>
      <c r="BH1" s="45" t="s">
        <v>162</v>
      </c>
      <c r="BI1" s="45" t="s">
        <v>917</v>
      </c>
      <c r="BJ1" s="45" t="s">
        <v>185</v>
      </c>
      <c r="BK1" s="45" t="s">
        <v>188</v>
      </c>
      <c r="BL1" s="45" t="s">
        <v>917</v>
      </c>
      <c r="BM1" s="45" t="s">
        <v>179</v>
      </c>
      <c r="BN1" s="45" t="s">
        <v>182</v>
      </c>
      <c r="BO1" s="45" t="s">
        <v>917</v>
      </c>
      <c r="BP1" s="45" t="s">
        <v>166</v>
      </c>
      <c r="BQ1" s="45" t="s">
        <v>169</v>
      </c>
      <c r="BR1" s="45" t="s">
        <v>917</v>
      </c>
      <c r="BS1" s="45" t="s">
        <v>172</v>
      </c>
      <c r="BT1" s="45" t="s">
        <v>175</v>
      </c>
      <c r="BU1" s="45" t="s">
        <v>917</v>
      </c>
      <c r="BV1" s="45" t="s">
        <v>45</v>
      </c>
      <c r="BW1" s="45" t="s">
        <v>39</v>
      </c>
      <c r="BX1" s="45" t="s">
        <v>917</v>
      </c>
      <c r="BY1" s="45" t="s">
        <v>58</v>
      </c>
      <c r="BZ1" s="45" t="s">
        <v>52</v>
      </c>
      <c r="CA1" s="45" t="s">
        <v>917</v>
      </c>
      <c r="CB1" s="45" t="s">
        <v>49</v>
      </c>
      <c r="CC1" s="45" t="s">
        <v>55</v>
      </c>
      <c r="CD1" s="45" t="s">
        <v>917</v>
      </c>
      <c r="CE1" s="45" t="s">
        <v>36</v>
      </c>
      <c r="CF1" s="45" t="s">
        <v>42</v>
      </c>
      <c r="CG1" s="45" t="s">
        <v>917</v>
      </c>
      <c r="CH1" s="45" t="s">
        <v>62</v>
      </c>
      <c r="CI1" s="45" t="s">
        <v>68</v>
      </c>
      <c r="CJ1" s="45" t="s">
        <v>917</v>
      </c>
      <c r="CK1" s="45" t="s">
        <v>71</v>
      </c>
      <c r="CL1" s="45" t="s">
        <v>65</v>
      </c>
      <c r="CM1" s="45" t="s">
        <v>917</v>
      </c>
      <c r="CN1" s="45" t="s">
        <v>84</v>
      </c>
      <c r="CO1" s="45" t="s">
        <v>78</v>
      </c>
      <c r="CP1" s="45" t="s">
        <v>917</v>
      </c>
      <c r="CQ1" s="45" t="s">
        <v>75</v>
      </c>
      <c r="CR1" s="45" t="s">
        <v>81</v>
      </c>
      <c r="CS1" s="45" t="s">
        <v>917</v>
      </c>
      <c r="CT1" s="45" t="s">
        <v>88</v>
      </c>
      <c r="CU1" s="45" t="s">
        <v>94</v>
      </c>
      <c r="CV1" s="45" t="s">
        <v>917</v>
      </c>
      <c r="CW1" s="45" t="s">
        <v>97</v>
      </c>
      <c r="CX1" s="45" t="s">
        <v>91</v>
      </c>
      <c r="CY1" s="45" t="s">
        <v>917</v>
      </c>
      <c r="CZ1" s="45" t="s">
        <v>101</v>
      </c>
      <c r="DA1" s="45" t="s">
        <v>107</v>
      </c>
      <c r="DB1" s="45" t="s">
        <v>917</v>
      </c>
      <c r="DC1" s="45" t="s">
        <v>110</v>
      </c>
      <c r="DD1" s="45" t="s">
        <v>104</v>
      </c>
      <c r="DE1" s="45" t="s">
        <v>917</v>
      </c>
      <c r="DF1" s="45" t="s">
        <v>136</v>
      </c>
      <c r="DG1" s="45" t="s">
        <v>130</v>
      </c>
      <c r="DH1" s="45" t="s">
        <v>917</v>
      </c>
      <c r="DI1" s="45" t="s">
        <v>127</v>
      </c>
      <c r="DJ1" s="45" t="s">
        <v>133</v>
      </c>
      <c r="DK1" s="45" t="s">
        <v>917</v>
      </c>
      <c r="DL1" s="45" t="s">
        <v>114</v>
      </c>
      <c r="DM1" s="45" t="s">
        <v>120</v>
      </c>
      <c r="DN1" s="45" t="s">
        <v>917</v>
      </c>
      <c r="DO1" s="45" t="s">
        <v>123</v>
      </c>
      <c r="DP1" s="45" t="s">
        <v>117</v>
      </c>
      <c r="DQ1" s="45" t="s">
        <v>917</v>
      </c>
      <c r="DR1" s="45" t="s">
        <v>149</v>
      </c>
      <c r="DS1" s="45" t="s">
        <v>143</v>
      </c>
      <c r="DT1" s="45" t="s">
        <v>917</v>
      </c>
      <c r="DU1" s="45" t="s">
        <v>140</v>
      </c>
      <c r="DV1" s="45" t="s">
        <v>146</v>
      </c>
      <c r="DW1" s="45" t="s">
        <v>917</v>
      </c>
      <c r="DX1" s="45" t="s">
        <v>153</v>
      </c>
      <c r="DY1" s="45" t="s">
        <v>159</v>
      </c>
      <c r="DZ1" s="45" t="s">
        <v>917</v>
      </c>
      <c r="EA1" s="45" t="s">
        <v>162</v>
      </c>
      <c r="EB1" s="45" t="s">
        <v>156</v>
      </c>
      <c r="EC1" s="45" t="s">
        <v>917</v>
      </c>
      <c r="ED1" s="45" t="s">
        <v>179</v>
      </c>
      <c r="EE1" s="45" t="s">
        <v>185</v>
      </c>
      <c r="EF1" s="45" t="s">
        <v>917</v>
      </c>
      <c r="EG1" s="45" t="s">
        <v>188</v>
      </c>
      <c r="EH1" s="45" t="s">
        <v>182</v>
      </c>
      <c r="EI1" s="45" t="s">
        <v>917</v>
      </c>
      <c r="EJ1" s="45" t="s">
        <v>166</v>
      </c>
      <c r="EK1" s="45" t="s">
        <v>172</v>
      </c>
      <c r="EL1" s="45" t="s">
        <v>917</v>
      </c>
      <c r="EM1" s="45" t="s">
        <v>175</v>
      </c>
      <c r="EN1" s="45" t="s">
        <v>169</v>
      </c>
      <c r="EO1" s="45" t="s">
        <v>917</v>
      </c>
      <c r="EP1" s="45" t="s">
        <v>71</v>
      </c>
      <c r="EQ1" s="45" t="s">
        <v>62</v>
      </c>
      <c r="ER1" s="45" t="s">
        <v>917</v>
      </c>
      <c r="ES1" s="45" t="s">
        <v>65</v>
      </c>
      <c r="ET1" s="45" t="s">
        <v>68</v>
      </c>
      <c r="EU1" s="45" t="s">
        <v>917</v>
      </c>
      <c r="EV1" s="45" t="s">
        <v>58</v>
      </c>
      <c r="EW1" s="45" t="s">
        <v>49</v>
      </c>
      <c r="EX1" s="45" t="s">
        <v>917</v>
      </c>
      <c r="EY1" s="45" t="s">
        <v>52</v>
      </c>
      <c r="EZ1" s="45" t="s">
        <v>55</v>
      </c>
      <c r="FA1" s="45" t="s">
        <v>917</v>
      </c>
      <c r="FB1" s="45" t="s">
        <v>45</v>
      </c>
      <c r="FC1" s="45" t="s">
        <v>36</v>
      </c>
      <c r="FD1" s="45" t="s">
        <v>917</v>
      </c>
      <c r="FE1" s="45" t="s">
        <v>39</v>
      </c>
      <c r="FF1" s="45" t="s">
        <v>42</v>
      </c>
      <c r="FG1" s="45" t="s">
        <v>917</v>
      </c>
      <c r="FH1" s="45" t="s">
        <v>91</v>
      </c>
      <c r="FI1" s="45" t="s">
        <v>94</v>
      </c>
      <c r="FJ1" s="45" t="s">
        <v>917</v>
      </c>
      <c r="FK1" s="45" t="s">
        <v>97</v>
      </c>
      <c r="FL1" s="45" t="s">
        <v>88</v>
      </c>
      <c r="FM1" s="45" t="s">
        <v>917</v>
      </c>
      <c r="FN1" s="45" t="s">
        <v>104</v>
      </c>
      <c r="FO1" s="45" t="s">
        <v>107</v>
      </c>
      <c r="FP1" s="45" t="s">
        <v>917</v>
      </c>
      <c r="FQ1" s="45" t="s">
        <v>110</v>
      </c>
      <c r="FR1" s="45" t="s">
        <v>101</v>
      </c>
      <c r="FS1" s="45" t="s">
        <v>917</v>
      </c>
      <c r="FT1" s="45" t="s">
        <v>84</v>
      </c>
      <c r="FU1" s="45" t="s">
        <v>75</v>
      </c>
      <c r="FV1" s="45" t="s">
        <v>917</v>
      </c>
      <c r="FW1" s="45" t="s">
        <v>78</v>
      </c>
      <c r="FX1" s="45" t="s">
        <v>81</v>
      </c>
      <c r="FY1" s="45" t="s">
        <v>917</v>
      </c>
      <c r="FZ1" s="45" t="s">
        <v>149</v>
      </c>
      <c r="GA1" s="45" t="s">
        <v>140</v>
      </c>
      <c r="GB1" s="45" t="s">
        <v>917</v>
      </c>
      <c r="GC1" s="45" t="s">
        <v>143</v>
      </c>
      <c r="GD1" s="45" t="s">
        <v>146</v>
      </c>
      <c r="GE1" s="45" t="s">
        <v>917</v>
      </c>
      <c r="GF1" s="45" t="s">
        <v>117</v>
      </c>
      <c r="GG1" s="45" t="s">
        <v>120</v>
      </c>
      <c r="GH1" s="45" t="s">
        <v>917</v>
      </c>
      <c r="GI1" s="45" t="s">
        <v>123</v>
      </c>
      <c r="GJ1" s="45" t="s">
        <v>114</v>
      </c>
      <c r="GK1" s="45" t="s">
        <v>917</v>
      </c>
      <c r="GL1" s="45" t="s">
        <v>130</v>
      </c>
      <c r="GM1" s="45" t="s">
        <v>133</v>
      </c>
      <c r="GN1" s="45" t="s">
        <v>917</v>
      </c>
      <c r="GO1" s="45" t="s">
        <v>136</v>
      </c>
      <c r="GP1" s="45" t="s">
        <v>127</v>
      </c>
      <c r="GQ1" s="45" t="s">
        <v>917</v>
      </c>
      <c r="GR1" s="45" t="s">
        <v>188</v>
      </c>
      <c r="GS1" s="45" t="s">
        <v>179</v>
      </c>
      <c r="GT1" s="45" t="s">
        <v>917</v>
      </c>
      <c r="GU1" s="45" t="s">
        <v>182</v>
      </c>
      <c r="GV1" s="45" t="s">
        <v>185</v>
      </c>
      <c r="GW1" s="45" t="s">
        <v>917</v>
      </c>
      <c r="GX1" s="45" t="s">
        <v>156</v>
      </c>
      <c r="GY1" s="45" t="s">
        <v>159</v>
      </c>
      <c r="GZ1" s="45" t="s">
        <v>917</v>
      </c>
      <c r="HA1" s="45" t="s">
        <v>162</v>
      </c>
      <c r="HB1" s="45" t="s">
        <v>153</v>
      </c>
      <c r="HC1" s="45" t="s">
        <v>917</v>
      </c>
      <c r="HD1" s="45" t="s">
        <v>175</v>
      </c>
      <c r="HE1" s="45" t="s">
        <v>166</v>
      </c>
      <c r="HF1" s="45" t="s">
        <v>917</v>
      </c>
      <c r="HG1" s="45" t="s">
        <v>169</v>
      </c>
      <c r="HH1" s="45" t="s">
        <v>172</v>
      </c>
      <c r="HI1" s="45" t="s">
        <v>917</v>
      </c>
      <c r="HJ1" s="46" t="s">
        <v>918</v>
      </c>
    </row>
    <row r="2" spans="1:218" ht="15" customHeight="1" x14ac:dyDescent="0.25">
      <c r="A2" s="47" t="s">
        <v>919</v>
      </c>
      <c r="B2" s="48">
        <f>IF(Partidos!I2="","",Partidos!I2)</f>
        <v>2</v>
      </c>
      <c r="C2" s="48">
        <f>IF(Partidos!J2="","",Partidos!J2)</f>
        <v>0</v>
      </c>
      <c r="D2" s="48" t="s">
        <v>920</v>
      </c>
      <c r="E2" s="48">
        <f>IF(Partidos!I3="","",Partidos!I3)</f>
        <v>2</v>
      </c>
      <c r="F2" s="48">
        <f>IF(Partidos!J3="","",Partidos!J3)</f>
        <v>1</v>
      </c>
      <c r="G2" s="48" t="s">
        <v>920</v>
      </c>
      <c r="H2" s="48" t="str">
        <f>IF(Partidos!I4="","",Partidos!I4)</f>
        <v/>
      </c>
      <c r="I2" s="48" t="str">
        <f>IF(Partidos!J4="","",Partidos!J4)</f>
        <v/>
      </c>
      <c r="J2" s="48" t="s">
        <v>920</v>
      </c>
      <c r="K2" s="48" t="str">
        <f>IF(Partidos!I5="","",Partidos!I5)</f>
        <v/>
      </c>
      <c r="L2" s="48" t="str">
        <f>IF(Partidos!J5="","",Partidos!J5)</f>
        <v/>
      </c>
      <c r="M2" s="48" t="s">
        <v>920</v>
      </c>
      <c r="N2" s="48" t="str">
        <f>IF(Partidos!I6="","",Partidos!I6)</f>
        <v/>
      </c>
      <c r="O2" s="48" t="str">
        <f>IF(Partidos!J6="","",Partidos!J6)</f>
        <v/>
      </c>
      <c r="P2" s="48" t="s">
        <v>920</v>
      </c>
      <c r="Q2" s="48" t="str">
        <f>IF(Partidos!I7="","",Partidos!I7)</f>
        <v/>
      </c>
      <c r="R2" s="48" t="str">
        <f>IF(Partidos!J7="","",Partidos!J7)</f>
        <v/>
      </c>
      <c r="S2" s="48" t="s">
        <v>920</v>
      </c>
      <c r="T2" s="48" t="str">
        <f>IF(Partidos!I8="","",Partidos!I8)</f>
        <v/>
      </c>
      <c r="U2" s="48" t="str">
        <f>IF(Partidos!J8="","",Partidos!J8)</f>
        <v/>
      </c>
      <c r="V2" s="48" t="s">
        <v>920</v>
      </c>
      <c r="W2" s="48" t="str">
        <f>IF(Partidos!I9="","",Partidos!I9)</f>
        <v/>
      </c>
      <c r="X2" s="48" t="str">
        <f>IF(Partidos!J9="","",Partidos!J9)</f>
        <v/>
      </c>
      <c r="Y2" s="48" t="s">
        <v>920</v>
      </c>
      <c r="Z2" s="48" t="str">
        <f>IF(Partidos!I10="","",Partidos!I10)</f>
        <v/>
      </c>
      <c r="AA2" s="48" t="str">
        <f>IF(Partidos!J10="","",Partidos!J10)</f>
        <v/>
      </c>
      <c r="AB2" s="48" t="s">
        <v>920</v>
      </c>
      <c r="AC2" s="48" t="str">
        <f>IF(Partidos!I11="","",Partidos!I11)</f>
        <v/>
      </c>
      <c r="AD2" s="48" t="str">
        <f>IF(Partidos!J11="","",Partidos!J11)</f>
        <v/>
      </c>
      <c r="AE2" s="48" t="s">
        <v>920</v>
      </c>
      <c r="AF2" s="48" t="str">
        <f>IF(Partidos!I12="","",Partidos!I12)</f>
        <v/>
      </c>
      <c r="AG2" s="48" t="str">
        <f>IF(Partidos!J12="","",Partidos!J12)</f>
        <v/>
      </c>
      <c r="AH2" s="48" t="s">
        <v>920</v>
      </c>
      <c r="AI2" s="48" t="str">
        <f>IF(Partidos!I13="","",Partidos!I13)</f>
        <v/>
      </c>
      <c r="AJ2" s="48" t="str">
        <f>IF(Partidos!J13="","",Partidos!J13)</f>
        <v/>
      </c>
      <c r="AK2" s="48" t="s">
        <v>920</v>
      </c>
      <c r="AL2" s="48" t="str">
        <f>IF(Partidos!I14="","",Partidos!I14)</f>
        <v/>
      </c>
      <c r="AM2" s="48" t="str">
        <f>IF(Partidos!J14="","",Partidos!J14)</f>
        <v/>
      </c>
      <c r="AN2" s="48" t="s">
        <v>920</v>
      </c>
      <c r="AO2" s="48" t="str">
        <f>IF(Partidos!I15="","",Partidos!I15)</f>
        <v/>
      </c>
      <c r="AP2" s="48" t="str">
        <f>IF(Partidos!J15="","",Partidos!J15)</f>
        <v/>
      </c>
      <c r="AQ2" s="48" t="s">
        <v>920</v>
      </c>
      <c r="AR2" s="48" t="str">
        <f>IF(Partidos!I16="","",Partidos!I16)</f>
        <v/>
      </c>
      <c r="AS2" s="48" t="str">
        <f>IF(Partidos!J16="","",Partidos!J16)</f>
        <v/>
      </c>
      <c r="AT2" s="48" t="s">
        <v>920</v>
      </c>
      <c r="AU2" s="48" t="str">
        <f>IF(Partidos!I17="","",Partidos!I17)</f>
        <v/>
      </c>
      <c r="AV2" s="48" t="str">
        <f>IF(Partidos!J17="","",Partidos!J17)</f>
        <v/>
      </c>
      <c r="AW2" s="48" t="s">
        <v>920</v>
      </c>
      <c r="AX2" s="48" t="str">
        <f>IF(Partidos!I18="","",Partidos!I18)</f>
        <v/>
      </c>
      <c r="AY2" s="48" t="str">
        <f>IF(Partidos!J18="","",Partidos!J18)</f>
        <v/>
      </c>
      <c r="AZ2" s="48" t="s">
        <v>920</v>
      </c>
      <c r="BA2" s="48" t="str">
        <f>IF(Partidos!I19="","",Partidos!I19)</f>
        <v/>
      </c>
      <c r="BB2" s="48" t="str">
        <f>IF(Partidos!J19="","",Partidos!J19)</f>
        <v/>
      </c>
      <c r="BC2" s="48" t="s">
        <v>920</v>
      </c>
      <c r="BD2" s="48" t="str">
        <f>IF(Partidos!I20="","",Partidos!I20)</f>
        <v/>
      </c>
      <c r="BE2" s="48" t="str">
        <f>IF(Partidos!J20="","",Partidos!J20)</f>
        <v/>
      </c>
      <c r="BF2" s="48" t="s">
        <v>920</v>
      </c>
      <c r="BG2" s="48" t="str">
        <f>IF(Partidos!I21="","",Partidos!I21)</f>
        <v/>
      </c>
      <c r="BH2" s="48" t="str">
        <f>IF(Partidos!J21="","",Partidos!J21)</f>
        <v/>
      </c>
      <c r="BI2" s="48" t="s">
        <v>920</v>
      </c>
      <c r="BJ2" s="48" t="str">
        <f>IF(Partidos!I22="","",Partidos!I22)</f>
        <v/>
      </c>
      <c r="BK2" s="48" t="str">
        <f>IF(Partidos!J22="","",Partidos!J22)</f>
        <v/>
      </c>
      <c r="BL2" s="48" t="s">
        <v>920</v>
      </c>
      <c r="BM2" s="48" t="str">
        <f>IF(Partidos!I23="","",Partidos!I23)</f>
        <v/>
      </c>
      <c r="BN2" s="48" t="str">
        <f>IF(Partidos!J23="","",Partidos!J23)</f>
        <v/>
      </c>
      <c r="BO2" s="48" t="s">
        <v>920</v>
      </c>
      <c r="BP2" s="48" t="str">
        <f>IF(Partidos!I24="","",Partidos!I24)</f>
        <v/>
      </c>
      <c r="BQ2" s="48" t="str">
        <f>IF(Partidos!J24="","",Partidos!J24)</f>
        <v/>
      </c>
      <c r="BR2" s="48" t="s">
        <v>920</v>
      </c>
      <c r="BS2" s="48" t="str">
        <f>IF(Partidos!I25="","",Partidos!I25)</f>
        <v/>
      </c>
      <c r="BT2" s="48" t="str">
        <f>IF(Partidos!J25="","",Partidos!J25)</f>
        <v/>
      </c>
      <c r="BU2" s="48" t="s">
        <v>920</v>
      </c>
      <c r="BV2" s="48" t="str">
        <f>IF(Partidos!I26="","",Partidos!I26)</f>
        <v/>
      </c>
      <c r="BW2" s="48" t="str">
        <f>IF(Partidos!J26="","",Partidos!J26)</f>
        <v/>
      </c>
      <c r="BX2" s="48" t="s">
        <v>920</v>
      </c>
      <c r="BY2" s="48" t="str">
        <f>IF(Partidos!I27="","",Partidos!I27)</f>
        <v/>
      </c>
      <c r="BZ2" s="48" t="str">
        <f>IF(Partidos!J27="","",Partidos!J27)</f>
        <v/>
      </c>
      <c r="CA2" s="48" t="s">
        <v>920</v>
      </c>
      <c r="CB2" s="48" t="str">
        <f>IF(Partidos!I28="","",Partidos!I28)</f>
        <v/>
      </c>
      <c r="CC2" s="48" t="str">
        <f>IF(Partidos!J28="","",Partidos!J28)</f>
        <v/>
      </c>
      <c r="CD2" s="48" t="s">
        <v>920</v>
      </c>
      <c r="CE2" s="48" t="str">
        <f>IF(Partidos!I29="","",Partidos!I29)</f>
        <v/>
      </c>
      <c r="CF2" s="48" t="str">
        <f>IF(Partidos!J29="","",Partidos!J29)</f>
        <v/>
      </c>
      <c r="CG2" s="48" t="s">
        <v>920</v>
      </c>
      <c r="CH2" s="48" t="str">
        <f>IF(Partidos!I30="","",Partidos!I30)</f>
        <v/>
      </c>
      <c r="CI2" s="48" t="str">
        <f>IF(Partidos!J30="","",Partidos!J30)</f>
        <v/>
      </c>
      <c r="CJ2" s="48" t="s">
        <v>920</v>
      </c>
      <c r="CK2" s="48" t="str">
        <f>IF(Partidos!I31="","",Partidos!I31)</f>
        <v/>
      </c>
      <c r="CL2" s="48" t="str">
        <f>IF(Partidos!J31="","",Partidos!J31)</f>
        <v/>
      </c>
      <c r="CM2" s="48" t="s">
        <v>920</v>
      </c>
      <c r="CN2" s="48" t="str">
        <f>IF(Partidos!I32="","",Partidos!I32)</f>
        <v/>
      </c>
      <c r="CO2" s="48" t="str">
        <f>IF(Partidos!J32="","",Partidos!J32)</f>
        <v/>
      </c>
      <c r="CP2" s="48" t="s">
        <v>920</v>
      </c>
      <c r="CQ2" s="48" t="str">
        <f>IF(Partidos!I33="","",Partidos!I33)</f>
        <v/>
      </c>
      <c r="CR2" s="48" t="str">
        <f>IF(Partidos!J33="","",Partidos!J33)</f>
        <v/>
      </c>
      <c r="CS2" s="48" t="s">
        <v>920</v>
      </c>
      <c r="CT2" s="48" t="str">
        <f>IF(Partidos!I34="","",Partidos!I34)</f>
        <v/>
      </c>
      <c r="CU2" s="48" t="str">
        <f>IF(Partidos!J34="","",Partidos!J34)</f>
        <v/>
      </c>
      <c r="CV2" s="48" t="s">
        <v>920</v>
      </c>
      <c r="CW2" s="48" t="str">
        <f>IF(Partidos!I35="","",Partidos!I35)</f>
        <v/>
      </c>
      <c r="CX2" s="48" t="str">
        <f>IF(Partidos!J35="","",Partidos!J35)</f>
        <v/>
      </c>
      <c r="CY2" s="48" t="s">
        <v>920</v>
      </c>
      <c r="CZ2" s="48" t="str">
        <f>IF(Partidos!I36="","",Partidos!I36)</f>
        <v/>
      </c>
      <c r="DA2" s="48" t="str">
        <f>IF(Partidos!J36="","",Partidos!J36)</f>
        <v/>
      </c>
      <c r="DB2" s="48" t="s">
        <v>920</v>
      </c>
      <c r="DC2" s="48" t="str">
        <f>IF(Partidos!I37="","",Partidos!I37)</f>
        <v/>
      </c>
      <c r="DD2" s="48" t="str">
        <f>IF(Partidos!J37="","",Partidos!J37)</f>
        <v/>
      </c>
      <c r="DE2" s="48" t="s">
        <v>920</v>
      </c>
      <c r="DF2" s="48" t="str">
        <f>IF(Partidos!I38="","",Partidos!I38)</f>
        <v/>
      </c>
      <c r="DG2" s="48" t="str">
        <f>IF(Partidos!J38="","",Partidos!J38)</f>
        <v/>
      </c>
      <c r="DH2" s="48" t="s">
        <v>920</v>
      </c>
      <c r="DI2" s="48" t="str">
        <f>IF(Partidos!I39="","",Partidos!I39)</f>
        <v/>
      </c>
      <c r="DJ2" s="48" t="str">
        <f>IF(Partidos!J39="","",Partidos!J39)</f>
        <v/>
      </c>
      <c r="DK2" s="48" t="s">
        <v>920</v>
      </c>
      <c r="DL2" s="48" t="str">
        <f>IF(Partidos!I40="","",Partidos!I40)</f>
        <v/>
      </c>
      <c r="DM2" s="48" t="str">
        <f>IF(Partidos!J40="","",Partidos!J40)</f>
        <v/>
      </c>
      <c r="DN2" s="48" t="s">
        <v>920</v>
      </c>
      <c r="DO2" s="48" t="str">
        <f>IF(Partidos!I41="","",Partidos!I41)</f>
        <v/>
      </c>
      <c r="DP2" s="48" t="str">
        <f>IF(Partidos!J41="","",Partidos!J41)</f>
        <v/>
      </c>
      <c r="DQ2" s="48" t="s">
        <v>920</v>
      </c>
      <c r="DR2" s="48" t="str">
        <f>IF(Partidos!I42="","",Partidos!I42)</f>
        <v/>
      </c>
      <c r="DS2" s="48" t="str">
        <f>IF(Partidos!J42="","",Partidos!J42)</f>
        <v/>
      </c>
      <c r="DT2" s="48" t="s">
        <v>920</v>
      </c>
      <c r="DU2" s="48" t="str">
        <f>IF(Partidos!I43="","",Partidos!I43)</f>
        <v/>
      </c>
      <c r="DV2" s="48" t="str">
        <f>IF(Partidos!J43="","",Partidos!J43)</f>
        <v/>
      </c>
      <c r="DW2" s="48" t="s">
        <v>920</v>
      </c>
      <c r="DX2" s="48" t="str">
        <f>IF(Partidos!I44="","",Partidos!I44)</f>
        <v/>
      </c>
      <c r="DY2" s="48" t="str">
        <f>IF(Partidos!J44="","",Partidos!J44)</f>
        <v/>
      </c>
      <c r="DZ2" s="48" t="s">
        <v>920</v>
      </c>
      <c r="EA2" s="48" t="str">
        <f>IF(Partidos!I45="","",Partidos!I45)</f>
        <v/>
      </c>
      <c r="EB2" s="48" t="str">
        <f>IF(Partidos!J45="","",Partidos!J45)</f>
        <v/>
      </c>
      <c r="EC2" s="48" t="s">
        <v>920</v>
      </c>
      <c r="ED2" s="48" t="str">
        <f>IF(Partidos!I46="","",Partidos!I46)</f>
        <v/>
      </c>
      <c r="EE2" s="48" t="str">
        <f>IF(Partidos!J46="","",Partidos!J46)</f>
        <v/>
      </c>
      <c r="EF2" s="48" t="s">
        <v>920</v>
      </c>
      <c r="EG2" s="48" t="str">
        <f>IF(Partidos!I47="","",Partidos!I47)</f>
        <v/>
      </c>
      <c r="EH2" s="48" t="str">
        <f>IF(Partidos!J47="","",Partidos!J47)</f>
        <v/>
      </c>
      <c r="EI2" s="48" t="s">
        <v>920</v>
      </c>
      <c r="EJ2" s="48" t="str">
        <f>IF(Partidos!I48="","",Partidos!I48)</f>
        <v/>
      </c>
      <c r="EK2" s="48" t="str">
        <f>IF(Partidos!J48="","",Partidos!J48)</f>
        <v/>
      </c>
      <c r="EL2" s="48" t="s">
        <v>920</v>
      </c>
      <c r="EM2" s="48" t="str">
        <f>IF(Partidos!I49="","",Partidos!I49)</f>
        <v/>
      </c>
      <c r="EN2" s="48" t="str">
        <f>IF(Partidos!J49="","",Partidos!J49)</f>
        <v/>
      </c>
      <c r="EO2" s="48" t="s">
        <v>920</v>
      </c>
      <c r="EP2" s="48" t="str">
        <f>IF(Partidos!I50="","",Partidos!I50)</f>
        <v/>
      </c>
      <c r="EQ2" s="48" t="str">
        <f>IF(Partidos!J50="","",Partidos!J50)</f>
        <v/>
      </c>
      <c r="ER2" s="48" t="s">
        <v>920</v>
      </c>
      <c r="ES2" s="48" t="str">
        <f>IF(Partidos!I51="","",Partidos!I51)</f>
        <v/>
      </c>
      <c r="ET2" s="48" t="str">
        <f>IF(Partidos!J51="","",Partidos!J51)</f>
        <v/>
      </c>
      <c r="EU2" s="48" t="s">
        <v>920</v>
      </c>
      <c r="EV2" s="48" t="str">
        <f>IF(Partidos!I52="","",Partidos!I52)</f>
        <v/>
      </c>
      <c r="EW2" s="48" t="str">
        <f>IF(Partidos!J52="","",Partidos!J52)</f>
        <v/>
      </c>
      <c r="EX2" s="48" t="s">
        <v>920</v>
      </c>
      <c r="EY2" s="48" t="str">
        <f>IF(Partidos!I53="","",Partidos!I53)</f>
        <v/>
      </c>
      <c r="EZ2" s="48" t="str">
        <f>IF(Partidos!J53="","",Partidos!J53)</f>
        <v/>
      </c>
      <c r="FA2" s="48" t="s">
        <v>920</v>
      </c>
      <c r="FB2" s="48" t="str">
        <f>IF(Partidos!I54="","",Partidos!I54)</f>
        <v/>
      </c>
      <c r="FC2" s="48" t="str">
        <f>IF(Partidos!J54="","",Partidos!J54)</f>
        <v/>
      </c>
      <c r="FD2" s="48" t="s">
        <v>920</v>
      </c>
      <c r="FE2" s="48" t="str">
        <f>IF(Partidos!I55="","",Partidos!I55)</f>
        <v/>
      </c>
      <c r="FF2" s="48" t="str">
        <f>IF(Partidos!J55="","",Partidos!J55)</f>
        <v/>
      </c>
      <c r="FG2" s="48" t="s">
        <v>920</v>
      </c>
      <c r="FH2" s="48" t="str">
        <f>IF(Partidos!I56="","",Partidos!I56)</f>
        <v/>
      </c>
      <c r="FI2" s="48" t="str">
        <f>IF(Partidos!J56="","",Partidos!J56)</f>
        <v/>
      </c>
      <c r="FJ2" s="48" t="s">
        <v>920</v>
      </c>
      <c r="FK2" s="48" t="str">
        <f>IF(Partidos!I57="","",Partidos!I57)</f>
        <v/>
      </c>
      <c r="FL2" s="48" t="str">
        <f>IF(Partidos!J57="","",Partidos!J57)</f>
        <v/>
      </c>
      <c r="FM2" s="48" t="s">
        <v>920</v>
      </c>
      <c r="FN2" s="48" t="str">
        <f>IF(Partidos!I58="","",Partidos!I58)</f>
        <v/>
      </c>
      <c r="FO2" s="48" t="str">
        <f>IF(Partidos!J58="","",Partidos!J58)</f>
        <v/>
      </c>
      <c r="FP2" s="48" t="s">
        <v>920</v>
      </c>
      <c r="FQ2" s="48" t="str">
        <f>IF(Partidos!I59="","",Partidos!I59)</f>
        <v/>
      </c>
      <c r="FR2" s="48" t="str">
        <f>IF(Partidos!J59="","",Partidos!J59)</f>
        <v/>
      </c>
      <c r="FS2" s="48" t="s">
        <v>920</v>
      </c>
      <c r="FT2" s="48" t="str">
        <f>IF(Partidos!I60="","",Partidos!I60)</f>
        <v/>
      </c>
      <c r="FU2" s="48" t="str">
        <f>IF(Partidos!J60="","",Partidos!J60)</f>
        <v/>
      </c>
      <c r="FV2" s="48" t="s">
        <v>920</v>
      </c>
      <c r="FW2" s="48" t="str">
        <f>IF(Partidos!I61="","",Partidos!I61)</f>
        <v/>
      </c>
      <c r="FX2" s="48" t="str">
        <f>IF(Partidos!J61="","",Partidos!J61)</f>
        <v/>
      </c>
      <c r="FY2" s="48" t="s">
        <v>920</v>
      </c>
      <c r="FZ2" s="48" t="str">
        <f>IF(Partidos!I62="","",Partidos!I62)</f>
        <v/>
      </c>
      <c r="GA2" s="48" t="str">
        <f>IF(Partidos!J62="","",Partidos!J62)</f>
        <v/>
      </c>
      <c r="GB2" s="48" t="s">
        <v>920</v>
      </c>
      <c r="GC2" s="48" t="str">
        <f>IF(Partidos!I63="","",Partidos!I63)</f>
        <v/>
      </c>
      <c r="GD2" s="48" t="str">
        <f>IF(Partidos!J63="","",Partidos!J63)</f>
        <v/>
      </c>
      <c r="GE2" s="48" t="s">
        <v>920</v>
      </c>
      <c r="GF2" s="48" t="str">
        <f>IF(Partidos!I64="","",Partidos!I64)</f>
        <v/>
      </c>
      <c r="GG2" s="48" t="str">
        <f>IF(Partidos!J64="","",Partidos!J64)</f>
        <v/>
      </c>
      <c r="GH2" s="48" t="s">
        <v>920</v>
      </c>
      <c r="GI2" s="48" t="str">
        <f>IF(Partidos!I65="","",Partidos!I65)</f>
        <v/>
      </c>
      <c r="GJ2" s="48" t="str">
        <f>IF(Partidos!J65="","",Partidos!J65)</f>
        <v/>
      </c>
      <c r="GK2" s="48" t="s">
        <v>920</v>
      </c>
      <c r="GL2" s="48" t="str">
        <f>IF(Partidos!I66="","",Partidos!I66)</f>
        <v/>
      </c>
      <c r="GM2" s="48" t="str">
        <f>IF(Partidos!J66="","",Partidos!J66)</f>
        <v/>
      </c>
      <c r="GN2" s="48" t="s">
        <v>920</v>
      </c>
      <c r="GO2" s="48" t="str">
        <f>IF(Partidos!I67="","",Partidos!I67)</f>
        <v/>
      </c>
      <c r="GP2" s="48" t="str">
        <f>IF(Partidos!J67="","",Partidos!J67)</f>
        <v/>
      </c>
      <c r="GQ2" s="48" t="s">
        <v>920</v>
      </c>
      <c r="GR2" s="48" t="str">
        <f>IF(Partidos!I68="","",Partidos!I68)</f>
        <v/>
      </c>
      <c r="GS2" s="48" t="str">
        <f>IF(Partidos!J68="","",Partidos!J68)</f>
        <v/>
      </c>
      <c r="GT2" s="48" t="s">
        <v>920</v>
      </c>
      <c r="GU2" s="48" t="str">
        <f>IF(Partidos!I69="","",Partidos!I69)</f>
        <v/>
      </c>
      <c r="GV2" s="48" t="str">
        <f>IF(Partidos!J69="","",Partidos!J69)</f>
        <v/>
      </c>
      <c r="GW2" s="48" t="s">
        <v>920</v>
      </c>
      <c r="GX2" s="48" t="str">
        <f>IF(Partidos!I70="","",Partidos!I70)</f>
        <v/>
      </c>
      <c r="GY2" s="48" t="str">
        <f>IF(Partidos!J70="","",Partidos!J70)</f>
        <v/>
      </c>
      <c r="GZ2" s="48" t="s">
        <v>920</v>
      </c>
      <c r="HA2" s="48" t="str">
        <f>IF(Partidos!I71="","",Partidos!I71)</f>
        <v/>
      </c>
      <c r="HB2" s="48" t="str">
        <f>IF(Partidos!J71="","",Partidos!J71)</f>
        <v/>
      </c>
      <c r="HC2" s="48" t="s">
        <v>920</v>
      </c>
      <c r="HD2" s="48" t="str">
        <f>IF(Partidos!I72="","",Partidos!I72)</f>
        <v/>
      </c>
      <c r="HE2" s="48" t="str">
        <f>IF(Partidos!J72="","",Partidos!J72)</f>
        <v/>
      </c>
      <c r="HF2" s="48" t="s">
        <v>920</v>
      </c>
      <c r="HG2" s="48" t="str">
        <f>IF(Partidos!I73="","",Partidos!I73)</f>
        <v/>
      </c>
      <c r="HH2" s="48" t="str">
        <f>IF(Partidos!J73="","",Partidos!J73)</f>
        <v/>
      </c>
      <c r="HI2" s="48" t="s">
        <v>920</v>
      </c>
    </row>
    <row r="3" spans="1:218" ht="15" customHeight="1" x14ac:dyDescent="0.25">
      <c r="A3" s="49" t="str">
        <f>Participantes!B2</f>
        <v>Alberto</v>
      </c>
      <c r="B3" s="50">
        <f>Participantes!C2</f>
        <v>1</v>
      </c>
      <c r="C3" s="50">
        <f>Participantes!D2</f>
        <v>1</v>
      </c>
      <c r="D3" s="50">
        <f t="shared" ref="D3:D34" si="0">IF(B$2="","",IF(AND(B3=B$2,C3=C$2),3,IF(AND(B$2&gt;C$2,B3&gt;C3),1,IF(AND(C$2&gt;B$2,C3&gt;B3),1,IF(AND(B$2=C$2,B3=C3),1,0)))))</f>
        <v>0</v>
      </c>
      <c r="E3" s="50">
        <f>Participantes!E2</f>
        <v>2</v>
      </c>
      <c r="F3" s="50">
        <f>Participantes!F2</f>
        <v>0</v>
      </c>
      <c r="G3" s="50">
        <f t="shared" ref="G3:G34" si="1">IF(E$2="","",IF(AND(E3=E$2,F3=F$2),3,IF(AND(E$2&gt;F$2,E3&gt;F3),1,IF(AND(F$2&gt;E$2,F3&gt;E3),1,IF(AND(E$2=F$2,E3=F3),1,0)))))</f>
        <v>1</v>
      </c>
      <c r="H3" s="50">
        <f>Participantes!G2</f>
        <v>2</v>
      </c>
      <c r="I3" s="50">
        <f>Participantes!H2</f>
        <v>1</v>
      </c>
      <c r="J3" s="50" t="str">
        <f t="shared" ref="J3:J34" si="2">IF(H$2="","",IF(AND(H3=H$2,I3=I$2),3,IF(AND(H$2&gt;I$2,H3&gt;I3),1,IF(AND(I$2&gt;H$2,I3&gt;H3),1,IF(AND(H$2=I$2,H3=I3),1,0)))))</f>
        <v/>
      </c>
      <c r="K3" s="50">
        <f>Participantes!I2</f>
        <v>1</v>
      </c>
      <c r="L3" s="50">
        <f>Participantes!J2</f>
        <v>3</v>
      </c>
      <c r="M3" s="50" t="str">
        <f t="shared" ref="M3:M34" si="3">IF(K$2="","",IF(AND(K3=K$2,L3=L$2),3,IF(AND(K$2&gt;L$2,K3&gt;L3),1,IF(AND(L$2&gt;K$2,L3&gt;K3),1,IF(AND(K$2=L$2,K3=L3),1,0)))))</f>
        <v/>
      </c>
      <c r="N3" s="50">
        <f>Participantes!K2</f>
        <v>0</v>
      </c>
      <c r="O3" s="50">
        <f>Participantes!L2</f>
        <v>2</v>
      </c>
      <c r="P3" s="50" t="str">
        <f t="shared" ref="P3:P34" si="4">IF(N$2="","",IF(AND(N3=N$2,O3=O$2),3,IF(AND(N$2&gt;O$2,N3&gt;O3),1,IF(AND(O$2&gt;N$2,O3&gt;N3),1,IF(AND(N$2=O$2,N3=O3),1,0)))))</f>
        <v/>
      </c>
      <c r="Q3" s="50">
        <f>Participantes!M2</f>
        <v>0</v>
      </c>
      <c r="R3" s="50">
        <f>Participantes!N2</f>
        <v>1</v>
      </c>
      <c r="S3" s="50" t="str">
        <f t="shared" ref="S3:S34" si="5">IF(Q$2="","",IF(AND(Q3=Q$2,R3=R$2),3,IF(AND(Q$2&gt;R$2,Q3&gt;R3),1,IF(AND(R$2&gt;Q$2,R3&gt;Q3),1,IF(AND(Q$2=R$2,Q3=R3),1,0)))))</f>
        <v/>
      </c>
      <c r="T3" s="50">
        <f>Participantes!O2</f>
        <v>1</v>
      </c>
      <c r="U3" s="50">
        <f>Participantes!P2</f>
        <v>2</v>
      </c>
      <c r="V3" s="50" t="str">
        <f t="shared" ref="V3:V34" si="6">IF(T$2="","",IF(AND(T3=T$2,U3=U$2),3,IF(AND(T$2&gt;U$2,T3&gt;U3),1,IF(AND(U$2&gt;T$2,U3&gt;T3),1,IF(AND(T$2=U$2,T3=U3),1,0)))))</f>
        <v/>
      </c>
      <c r="W3" s="50">
        <f>Participantes!Q2</f>
        <v>0</v>
      </c>
      <c r="X3" s="50">
        <f>Participantes!R2</f>
        <v>2</v>
      </c>
      <c r="Y3" s="50" t="str">
        <f t="shared" ref="Y3:Y34" si="7">IF(W$2="","",IF(AND(W3=W$2,X3=X$2),3,IF(AND(W$2&gt;X$2,W3&gt;X3),1,IF(AND(X$2&gt;W$2,X3&gt;W3),1,IF(AND(W$2=X$2,W3=X3),1,0)))))</f>
        <v/>
      </c>
      <c r="Z3" s="50">
        <f>Participantes!S2</f>
        <v>1</v>
      </c>
      <c r="AA3" s="50">
        <f>Participantes!T2</f>
        <v>2</v>
      </c>
      <c r="AB3" s="50" t="str">
        <f t="shared" ref="AB3:AB34" si="8">IF(Z$2="","",IF(AND(Z3=Z$2,AA3=AA$2),3,IF(AND(Z$2&gt;AA$2,Z3&gt;AA3),1,IF(AND(AA$2&gt;Z$2,AA3&gt;Z3),1,IF(AND(Z$2=AA$2,Z3=AA3),1,0)))))</f>
        <v/>
      </c>
      <c r="AC3" s="50">
        <f>Participantes!U2</f>
        <v>5</v>
      </c>
      <c r="AD3" s="50">
        <f>Participantes!V2</f>
        <v>0</v>
      </c>
      <c r="AE3" s="50" t="str">
        <f t="shared" ref="AE3:AE34" si="9">IF(AC$2="","",IF(AND(AC3=AC$2,AD3=AD$2),3,IF(AND(AC$2&gt;AD$2,AC3&gt;AD3),1,IF(AND(AD$2&gt;AC$2,AD3&gt;AC3),1,IF(AND(AC$2=AD$2,AC3=AD3),1,0)))))</f>
        <v/>
      </c>
      <c r="AF3" s="50">
        <f>Participantes!W2</f>
        <v>3</v>
      </c>
      <c r="AG3" s="50">
        <f>Participantes!X2</f>
        <v>0</v>
      </c>
      <c r="AH3" s="50" t="str">
        <f t="shared" ref="AH3:AH34" si="10">IF(AF$2="","",IF(AND(AF3=AF$2,AG3=AG$2),3,IF(AND(AF$2&gt;AG$2,AF3&gt;AG3),1,IF(AND(AG$2&gt;AF$2,AG3&gt;AF3),1,IF(AND(AF$2=AG$2,AF3=AG3),1,0)))))</f>
        <v/>
      </c>
      <c r="AI3" s="50">
        <f>Participantes!Y2</f>
        <v>1</v>
      </c>
      <c r="AJ3" s="50">
        <f>Participantes!Z2</f>
        <v>1</v>
      </c>
      <c r="AK3" s="50" t="str">
        <f t="shared" ref="AK3:AK34" si="11">IF(AI$2="","",IF(AND(AI3=AI$2,AJ3=AJ$2),3,IF(AND(AI$2&gt;AJ$2,AI3&gt;AJ3),1,IF(AND(AJ$2&gt;AI$2,AJ3&gt;AI3),1,IF(AND(AI$2=AJ$2,AI3=AJ3),1,0)))))</f>
        <v/>
      </c>
      <c r="AL3" s="50">
        <f>Participantes!AA2</f>
        <v>0</v>
      </c>
      <c r="AM3" s="50">
        <f>Participantes!AB2</f>
        <v>2</v>
      </c>
      <c r="AN3" s="50" t="str">
        <f t="shared" ref="AN3:AN34" si="12">IF(AL$2="","",IF(AND(AL3=AL$2,AM3=AM$2),3,IF(AND(AL$2&gt;AM$2,AL3&gt;AM3),1,IF(AND(AM$2&gt;AL$2,AM3&gt;AL3),1,IF(AND(AL$2=AM$2,AL3=AM3),1,0)))))</f>
        <v/>
      </c>
      <c r="AO3" s="50">
        <f>Participantes!AC2</f>
        <v>6</v>
      </c>
      <c r="AP3" s="50">
        <f>Participantes!AD2</f>
        <v>0</v>
      </c>
      <c r="AQ3" s="50" t="str">
        <f t="shared" ref="AQ3:AQ34" si="13">IF(AO$2="","",IF(AND(AO3=AO$2,AP3=AP$2),3,IF(AND(AO$2&gt;AP$2,AO3&gt;AP3),1,IF(AND(AP$2&gt;AO$2,AP3&gt;AO3),1,IF(AND(AO$2=AP$2,AO3=AP3),1,0)))))</f>
        <v/>
      </c>
      <c r="AR3" s="50">
        <f>Participantes!AE2</f>
        <v>0</v>
      </c>
      <c r="AS3" s="50">
        <f>Participantes!AF2</f>
        <v>0</v>
      </c>
      <c r="AT3" s="50" t="str">
        <f t="shared" ref="AT3:AT34" si="14">IF(AR$2="","",IF(AND(AR3=AR$2,AS3=AS$2),3,IF(AND(AR$2&gt;AS$2,AR3&gt;AS3),1,IF(AND(AS$2&gt;AR$2,AS3&gt;AR3),1,IF(AND(AR$2=AS$2,AR3=AS3),1,0)))))</f>
        <v/>
      </c>
      <c r="AU3" s="50">
        <f>Participantes!AG2</f>
        <v>2</v>
      </c>
      <c r="AV3" s="50">
        <f>Participantes!AH2</f>
        <v>0</v>
      </c>
      <c r="AW3" s="50" t="str">
        <f t="shared" ref="AW3:AW34" si="15">IF(AU$2="","",IF(AND(AU3=AU$2,AV3=AV$2),3,IF(AND(AU$2&gt;AV$2,AU3&gt;AV3),1,IF(AND(AV$2&gt;AU$2,AV3&gt;AU3),1,IF(AND(AU$2=AV$2,AU3=AV3),1,0)))))</f>
        <v/>
      </c>
      <c r="AX3" s="50">
        <f>Participantes!AI2</f>
        <v>4</v>
      </c>
      <c r="AY3" s="50">
        <f>Participantes!AJ2</f>
        <v>0</v>
      </c>
      <c r="AZ3" s="50" t="str">
        <f t="shared" ref="AZ3:AZ34" si="16">IF(AX$2="","",IF(AND(AX3=AX$2,AY3=AY$2),3,IF(AND(AX$2&gt;AY$2,AX3&gt;AY3),1,IF(AND(AY$2&gt;AX$2,AY3&gt;AX3),1,IF(AND(AX$2=AY$2,AX3=AY3),1,0)))))</f>
        <v/>
      </c>
      <c r="BA3" s="50">
        <f>Participantes!AK2</f>
        <v>0</v>
      </c>
      <c r="BB3" s="50">
        <f>Participantes!AL2</f>
        <v>4</v>
      </c>
      <c r="BC3" s="50" t="str">
        <f t="shared" ref="BC3:BC34" si="17">IF(BA$2="","",IF(AND(BA3=BA$2,BB3=BB$2),3,IF(AND(BA$2&gt;BB$2,BA3&gt;BB3),1,IF(AND(BB$2&gt;BA$2,BB3&gt;BA3),1,IF(AND(BA$2=BB$2,BA3=BB3),1,0)))))</f>
        <v/>
      </c>
      <c r="BD3" s="50">
        <f>Participantes!AM2</f>
        <v>4</v>
      </c>
      <c r="BE3" s="50">
        <f>Participantes!AN2</f>
        <v>0</v>
      </c>
      <c r="BF3" s="50" t="str">
        <f t="shared" ref="BF3:BF34" si="18">IF(BD$2="","",IF(AND(BD3=BD$2,BE3=BE$2),3,IF(AND(BD$2&gt;BE$2,BD3&gt;BE3),1,IF(AND(BE$2&gt;BD$2,BE3&gt;BD3),1,IF(AND(BD$2=BE$2,BD3=BE3),1,0)))))</f>
        <v/>
      </c>
      <c r="BG3" s="50">
        <f>Participantes!AO2</f>
        <v>1</v>
      </c>
      <c r="BH3" s="50">
        <f>Participantes!AP2</f>
        <v>0</v>
      </c>
      <c r="BI3" s="50" t="str">
        <f t="shared" ref="BI3:BI34" si="19">IF(BG$2="","",IF(AND(BG3=BG$2,BH3=BH$2),3,IF(AND(BG$2&gt;BH$2,BG3&gt;BH3),1,IF(AND(BH$2&gt;BG$2,BH3&gt;BG3),1,IF(AND(BG$2=BH$2,BG3=BH3),1,0)))))</f>
        <v/>
      </c>
      <c r="BJ3" s="50">
        <f>Participantes!AQ2</f>
        <v>2</v>
      </c>
      <c r="BK3" s="50">
        <f>Participantes!AR2</f>
        <v>1</v>
      </c>
      <c r="BL3" s="50" t="str">
        <f t="shared" ref="BL3:BL34" si="20">IF(BJ$2="","",IF(AND(BJ3=BJ$2,BK3=BK$2),3,IF(AND(BJ$2&gt;BK$2,BJ3&gt;BK3),1,IF(AND(BK$2&gt;BJ$2,BK3&gt;BJ3),1,IF(AND(BJ$2=BK$2,BJ3=BK3),1,0)))))</f>
        <v/>
      </c>
      <c r="BM3" s="50">
        <f>Participantes!AS2</f>
        <v>4</v>
      </c>
      <c r="BN3" s="50">
        <f>Participantes!AT2</f>
        <v>2</v>
      </c>
      <c r="BO3" s="50" t="str">
        <f t="shared" ref="BO3:BO34" si="21">IF(BM$2="","",IF(AND(BM3=BM$2,BN3=BN$2),3,IF(AND(BM$2&gt;BN$2,BM3&gt;BN3),1,IF(AND(BN$2&gt;BM$2,BN3&gt;BM3),1,IF(AND(BM$2=BN$2,BM3=BN3),1,0)))))</f>
        <v/>
      </c>
      <c r="BP3" s="50">
        <f>Participantes!AU2</f>
        <v>5</v>
      </c>
      <c r="BQ3" s="50">
        <f>Participantes!AV2</f>
        <v>0</v>
      </c>
      <c r="BR3" s="50" t="str">
        <f t="shared" ref="BR3:BR34" si="22">IF(BP$2="","",IF(AND(BP3=BP$2,BQ3=BQ$2),3,IF(AND(BP$2&gt;BQ$2,BP3&gt;BQ3),1,IF(AND(BQ$2&gt;BP$2,BQ3&gt;BP3),1,IF(AND(BP$2=BQ$2,BP3=BQ3),1,0)))))</f>
        <v/>
      </c>
      <c r="BS3" s="50">
        <f>Participantes!AW2</f>
        <v>0</v>
      </c>
      <c r="BT3" s="50">
        <f>Participantes!AX2</f>
        <v>3</v>
      </c>
      <c r="BU3" s="50" t="str">
        <f t="shared" ref="BU3:BU34" si="23">IF(BS$2="","",IF(AND(BS3=BS$2,BT3=BT$2),3,IF(AND(BS$2&gt;BT$2,BS3&gt;BT3),1,IF(AND(BT$2&gt;BS$2,BT3&gt;BS3),1,IF(AND(BS$2=BT$2,BS3=BT3),1,0)))))</f>
        <v/>
      </c>
      <c r="BV3" s="50">
        <f>Participantes!AY2</f>
        <v>0</v>
      </c>
      <c r="BW3" s="50">
        <f>Participantes!AZ2</f>
        <v>1</v>
      </c>
      <c r="BX3" s="50" t="str">
        <f t="shared" ref="BX3:BX34" si="24">IF(BV$2="","",IF(AND(BV3=BV$2,BW3=BW$2),3,IF(AND(BV$2&gt;BW$2,BV3&gt;BW3),1,IF(AND(BW$2&gt;BV$2,BW3&gt;BV3),1,IF(AND(BV$2=BW$2,BV3=BW3),1,0)))))</f>
        <v/>
      </c>
      <c r="BY3" s="50">
        <f>Participantes!BA2</f>
        <v>1</v>
      </c>
      <c r="BZ3" s="50">
        <f>Participantes!BB2</f>
        <v>0</v>
      </c>
      <c r="CA3" s="50" t="str">
        <f t="shared" ref="CA3:CA34" si="25">IF(BY$2="","",IF(AND(BY3=BY$2,BZ3=BZ$2),3,IF(AND(BY$2&gt;BZ$2,BY3&gt;BZ3),1,IF(AND(BZ$2&gt;BY$2,BZ3&gt;BY3),1,IF(AND(BY$2=BZ$2,BY3=BZ3),1,0)))))</f>
        <v/>
      </c>
      <c r="CB3" s="50">
        <f>Participantes!BC2</f>
        <v>3</v>
      </c>
      <c r="CC3" s="50">
        <f>Participantes!BD2</f>
        <v>1</v>
      </c>
      <c r="CD3" s="50" t="str">
        <f t="shared" ref="CD3:CD34" si="26">IF(CB$2="","",IF(AND(CB3=CB$2,CC3=CC$2),3,IF(AND(CB$2&gt;CC$2,CB3&gt;CC3),1,IF(AND(CC$2&gt;CB$2,CC3&gt;CB3),1,IF(AND(CB$2=CC$2,CB3=CC3),1,0)))))</f>
        <v/>
      </c>
      <c r="CE3" s="50">
        <f>Participantes!BE2</f>
        <v>1</v>
      </c>
      <c r="CF3" s="50">
        <f>Participantes!BF2</f>
        <v>0</v>
      </c>
      <c r="CG3" s="50" t="str">
        <f t="shared" ref="CG3:CG34" si="27">IF(CE$2="","",IF(AND(CE3=CE$2,CF3=CF$2),3,IF(AND(CE$2&gt;CF$2,CE3&gt;CF3),1,IF(AND(CF$2&gt;CE$2,CF3&gt;CE3),1,IF(AND(CE$2=CF$2,CE3=CF3),1,0)))))</f>
        <v/>
      </c>
      <c r="CH3" s="50">
        <f>Participantes!BG2</f>
        <v>5</v>
      </c>
      <c r="CI3" s="50">
        <f>Participantes!BH2</f>
        <v>0</v>
      </c>
      <c r="CJ3" s="50" t="str">
        <f t="shared" ref="CJ3:CJ34" si="28">IF(CH$2="","",IF(AND(CH3=CH$2,CI3=CI$2),3,IF(AND(CH$2&gt;CI$2,CH3&gt;CI3),1,IF(AND(CI$2&gt;CH$2,CI3&gt;CH3),1,IF(AND(CH$2=CI$2,CH3=CI3),1,0)))))</f>
        <v/>
      </c>
      <c r="CK3" s="50">
        <f>Participantes!BI2</f>
        <v>0</v>
      </c>
      <c r="CL3" s="50">
        <f>Participantes!BJ2</f>
        <v>3</v>
      </c>
      <c r="CM3" s="50" t="str">
        <f t="shared" ref="CM3:CM34" si="29">IF(CK$2="","",IF(AND(CK3=CK$2,CL3=CL$2),3,IF(AND(CK$2&gt;CL$2,CK3&gt;CL3),1,IF(AND(CL$2&gt;CK$2,CL3&gt;CK3),1,IF(AND(CK$2=CL$2,CK3=CL3),1,0)))))</f>
        <v/>
      </c>
      <c r="CN3" s="50">
        <f>Participantes!BK2</f>
        <v>2</v>
      </c>
      <c r="CO3" s="50">
        <f>Participantes!BL2</f>
        <v>3</v>
      </c>
      <c r="CP3" s="50" t="str">
        <f t="shared" ref="CP3:CP34" si="30">IF(CN$2="","",IF(AND(CN3=CN$2,CO3=CO$2),3,IF(AND(CN$2&gt;CO$2,CN3&gt;CO3),1,IF(AND(CO$2&gt;CN$2,CO3&gt;CN3),1,IF(AND(CN$2=CO$2,CN3=CO3),1,0)))))</f>
        <v/>
      </c>
      <c r="CQ3" s="50">
        <f>Participantes!BM2</f>
        <v>2</v>
      </c>
      <c r="CR3" s="50">
        <f>Participantes!BN2</f>
        <v>1</v>
      </c>
      <c r="CS3" s="50" t="str">
        <f t="shared" ref="CS3:CS34" si="31">IF(CQ$2="","",IF(AND(CQ3=CQ$2,CR3=CR$2),3,IF(AND(CQ$2&gt;CR$2,CQ3&gt;CR3),1,IF(AND(CR$2&gt;CQ$2,CR3&gt;CQ3),1,IF(AND(CQ$2=CR$2,CQ3=CR3),1,0)))))</f>
        <v/>
      </c>
      <c r="CT3" s="50">
        <f>Participantes!BO2</f>
        <v>4</v>
      </c>
      <c r="CU3" s="50">
        <f>Participantes!BP2</f>
        <v>0</v>
      </c>
      <c r="CV3" s="50" t="str">
        <f t="shared" ref="CV3:CV34" si="32">IF(CT$2="","",IF(AND(CT3=CT$2,CU3=CU$2),3,IF(AND(CT$2&gt;CU$2,CT3&gt;CU3),1,IF(AND(CU$2&gt;CT$2,CU3&gt;CT3),1,IF(AND(CT$2=CU$2,CT3=CU3),1,0)))))</f>
        <v/>
      </c>
      <c r="CW3" s="50">
        <f>Participantes!BQ2</f>
        <v>4</v>
      </c>
      <c r="CX3" s="50">
        <f>Participantes!BR2</f>
        <v>0</v>
      </c>
      <c r="CY3" s="50" t="str">
        <f t="shared" ref="CY3:CY34" si="33">IF(CW$2="","",IF(AND(CW3=CW$2,CX3=CX$2),3,IF(AND(CW$2&gt;CX$2,CW3&gt;CX3),1,IF(AND(CX$2&gt;CW$2,CX3&gt;CW3),1,IF(AND(CW$2=CX$2,CW3=CX3),1,0)))))</f>
        <v/>
      </c>
      <c r="CZ3" s="50">
        <f>Participantes!BS2</f>
        <v>3</v>
      </c>
      <c r="DA3" s="50">
        <f>Participantes!BT2</f>
        <v>1</v>
      </c>
      <c r="DB3" s="50" t="str">
        <f t="shared" ref="DB3:DB34" si="34">IF(CZ$2="","",IF(AND(CZ3=CZ$2,DA3=DA$2),3,IF(AND(CZ$2&gt;DA$2,CZ3&gt;DA3),1,IF(AND(DA$2&gt;CZ$2,DA3&gt;CZ3),1,IF(AND(CZ$2=DA$2,CZ3=DA3),1,0)))))</f>
        <v/>
      </c>
      <c r="DC3" s="50">
        <f>Participantes!BU2</f>
        <v>0</v>
      </c>
      <c r="DD3" s="50">
        <f>Participantes!BV2</f>
        <v>2</v>
      </c>
      <c r="DE3" s="50" t="str">
        <f t="shared" ref="DE3:DE34" si="35">IF(DC$2="","",IF(AND(DC3=DC$2,DD3=DD$2),3,IF(AND(DC$2&gt;DD$2,DC3&gt;DD3),1,IF(AND(DD$2&gt;DC$2,DD3&gt;DC3),1,IF(AND(DC$2=DD$2,DC3=DD3),1,0)))))</f>
        <v/>
      </c>
      <c r="DF3" s="50">
        <f>Participantes!BW2</f>
        <v>4</v>
      </c>
      <c r="DG3" s="50">
        <f>Participantes!BX2</f>
        <v>0</v>
      </c>
      <c r="DH3" s="50" t="str">
        <f t="shared" ref="DH3:DH34" si="36">IF(DF$2="","",IF(AND(DF3=DF$2,DG3=DG$2),3,IF(AND(DF$2&gt;DG$2,DF3&gt;DG3),1,IF(AND(DG$2&gt;DF$2,DG3&gt;DF3),1,IF(AND(DF$2=DG$2,DF3=DG3),1,0)))))</f>
        <v/>
      </c>
      <c r="DI3" s="50">
        <f>Participantes!BY2</f>
        <v>5</v>
      </c>
      <c r="DJ3" s="50">
        <f>Participantes!BZ2</f>
        <v>0</v>
      </c>
      <c r="DK3" s="50" t="str">
        <f t="shared" ref="DK3:DK34" si="37">IF(DI$2="","",IF(AND(DI3=DI$2,DJ3=DJ$2),3,IF(AND(DI$2&gt;DJ$2,DI3&gt;DJ3),1,IF(AND(DJ$2&gt;DI$2,DJ3&gt;DI3),1,IF(AND(DI$2=DJ$2,DI3=DJ3),1,0)))))</f>
        <v/>
      </c>
      <c r="DL3" s="50">
        <f>Participantes!CA2</f>
        <v>3</v>
      </c>
      <c r="DM3" s="50">
        <f>Participantes!CB2</f>
        <v>0</v>
      </c>
      <c r="DN3" s="50" t="str">
        <f t="shared" ref="DN3:DN34" si="38">IF(DL$2="","",IF(AND(DL3=DL$2,DM3=DM$2),3,IF(AND(DL$2&gt;DM$2,DL3&gt;DM3),1,IF(AND(DM$2&gt;DL$2,DM3&gt;DL3),1,IF(AND(DL$2=DM$2,DL3=DM3),1,0)))))</f>
        <v/>
      </c>
      <c r="DO3" s="50">
        <f>Participantes!CC2</f>
        <v>1</v>
      </c>
      <c r="DP3" s="50">
        <f>Participantes!CD2</f>
        <v>2</v>
      </c>
      <c r="DQ3" s="50" t="str">
        <f t="shared" ref="DQ3:DQ34" si="39">IF(DO$2="","",IF(AND(DO3=DO$2,DP3=DP$2),3,IF(AND(DO$2&gt;DP$2,DO3&gt;DP3),1,IF(AND(DP$2&gt;DO$2,DP3&gt;DO3),1,IF(AND(DO$2=DP$2,DO3=DP3),1,0)))))</f>
        <v/>
      </c>
      <c r="DR3" s="50">
        <f>Participantes!CE2</f>
        <v>2</v>
      </c>
      <c r="DS3" s="50">
        <f>Participantes!CF2</f>
        <v>2</v>
      </c>
      <c r="DT3" s="50" t="str">
        <f t="shared" ref="DT3:DT34" si="40">IF(DR$2="","",IF(AND(DR3=DR$2,DS3=DS$2),3,IF(AND(DR$2&gt;DS$2,DR3&gt;DS3),1,IF(AND(DS$2&gt;DR$2,DS3&gt;DR3),1,IF(AND(DR$2=DS$2,DR3=DS3),1,0)))))</f>
        <v/>
      </c>
      <c r="DU3" s="50">
        <f>Participantes!CG2</f>
        <v>5</v>
      </c>
      <c r="DV3" s="50">
        <f>Participantes!CH2</f>
        <v>0</v>
      </c>
      <c r="DW3" s="50" t="str">
        <f t="shared" ref="DW3:DW34" si="41">IF(DU$2="","",IF(AND(DU3=DU$2,DV3=DV$2),3,IF(AND(DU$2&gt;DV$2,DU3&gt;DV3),1,IF(AND(DV$2&gt;DU$2,DV3&gt;DU3),1,IF(AND(DU$2=DV$2,DU3=DV3),1,0)))))</f>
        <v/>
      </c>
      <c r="DX3" s="50">
        <f>Participantes!CI2</f>
        <v>3</v>
      </c>
      <c r="DY3" s="50">
        <f>Participantes!CJ2</f>
        <v>0</v>
      </c>
      <c r="DZ3" s="50" t="str">
        <f t="shared" ref="DZ3:DZ34" si="42">IF(DX$2="","",IF(AND(DX3=DX$2,DY3=DY$2),3,IF(AND(DX$2&gt;DY$2,DX3&gt;DY3),1,IF(AND(DY$2&gt;DX$2,DY3&gt;DX3),1,IF(AND(DX$2=DY$2,DX3=DY3),1,0)))))</f>
        <v/>
      </c>
      <c r="EA3" s="50">
        <f>Participantes!CK2</f>
        <v>0</v>
      </c>
      <c r="EB3" s="50">
        <f>Participantes!CL2</f>
        <v>0</v>
      </c>
      <c r="EC3" s="50" t="str">
        <f t="shared" ref="EC3:EC34" si="43">IF(EA$2="","",IF(AND(EA3=EA$2,EB3=EB$2),3,IF(AND(EA$2&gt;EB$2,EA3&gt;EB3),1,IF(AND(EB$2&gt;EA$2,EB3&gt;EA3),1,IF(AND(EA$2=EB$2,EA3=EB3),1,0)))))</f>
        <v/>
      </c>
      <c r="ED3" s="50">
        <f>Participantes!CM2</f>
        <v>5</v>
      </c>
      <c r="EE3" s="50">
        <f>Participantes!CN2</f>
        <v>0</v>
      </c>
      <c r="EF3" s="50" t="str">
        <f t="shared" ref="EF3:EF34" si="44">IF(ED$2="","",IF(AND(ED3=ED$2,EE3=EE$2),3,IF(AND(ED$2&gt;EE$2,ED3&gt;EE3),1,IF(AND(EE$2&gt;ED$2,EE3&gt;ED3),1,IF(AND(ED$2=EE$2,ED3=EE3),1,0)))))</f>
        <v/>
      </c>
      <c r="EG3" s="50">
        <f>Participantes!CO2</f>
        <v>0</v>
      </c>
      <c r="EH3" s="50">
        <f>Participantes!CP2</f>
        <v>4</v>
      </c>
      <c r="EI3" s="50" t="str">
        <f t="shared" ref="EI3:EI34" si="45">IF(EG$2="","",IF(AND(EG3=EG$2,EH3=EH$2),3,IF(AND(EG$2&gt;EH$2,EG3&gt;EH3),1,IF(AND(EH$2&gt;EG$2,EH3&gt;EG3),1,IF(AND(EG$2=EH$2,EG3=EH3),1,0)))))</f>
        <v/>
      </c>
      <c r="EJ3" s="50">
        <f>Participantes!CQ2</f>
        <v>5</v>
      </c>
      <c r="EK3" s="50">
        <f>Participantes!CR2</f>
        <v>0</v>
      </c>
      <c r="EL3" s="50" t="str">
        <f t="shared" ref="EL3:EL34" si="46">IF(EJ$2="","",IF(AND(EJ3=EJ$2,EK3=EK$2),3,IF(AND(EJ$2&gt;EK$2,EJ3&gt;EK3),1,IF(AND(EK$2&gt;EJ$2,EK3&gt;EJ3),1,IF(AND(EJ$2=EK$2,EJ3=EK3),1,0)))))</f>
        <v/>
      </c>
      <c r="EM3" s="50">
        <f>Participantes!CS2</f>
        <v>2</v>
      </c>
      <c r="EN3" s="50">
        <f>Participantes!CT2</f>
        <v>1</v>
      </c>
      <c r="EO3" s="50" t="str">
        <f t="shared" ref="EO3:EO34" si="47">IF(EM$2="","",IF(AND(EM3=EM$2,EN3=EN$2),3,IF(AND(EM$2&gt;EN$2,EM3&gt;EN3),1,IF(AND(EN$2&gt;EM$2,EN3&gt;EM3),1,IF(AND(EM$2=EN$2,EM3=EN3),1,0)))))</f>
        <v/>
      </c>
      <c r="EP3" s="50">
        <f>Participantes!CU2</f>
        <v>0</v>
      </c>
      <c r="EQ3" s="50">
        <f>Participantes!CV2</f>
        <v>4</v>
      </c>
      <c r="ER3" s="50" t="str">
        <f t="shared" ref="ER3:ER34" si="48">IF(EP$2="","",IF(AND(EP3=EP$2,EQ3=EQ$2),3,IF(AND(EP$2&gt;EQ$2,EP3&gt;EQ3),1,IF(AND(EQ$2&gt;EP$2,EQ3&gt;EP3),1,IF(AND(EP$2=EQ$2,EP3=EQ3),1,0)))))</f>
        <v/>
      </c>
      <c r="ES3" s="50">
        <f>Participantes!CW2</f>
        <v>4</v>
      </c>
      <c r="ET3" s="50">
        <f>Participantes!CX2</f>
        <v>0</v>
      </c>
      <c r="EU3" s="50" t="str">
        <f t="shared" ref="EU3:EU34" si="49">IF(ES$2="","",IF(AND(ES3=ES$2,ET3=ET$2),3,IF(AND(ES$2&gt;ET$2,ES3&gt;ET3),1,IF(AND(ET$2&gt;ES$2,ET3&gt;ES3),1,IF(AND(ES$2=ET$2,ES3=ET3),1,0)))))</f>
        <v/>
      </c>
      <c r="EV3" s="50">
        <f>Participantes!CY2</f>
        <v>3</v>
      </c>
      <c r="EW3" s="50">
        <f>Participantes!CZ2</f>
        <v>2</v>
      </c>
      <c r="EX3" s="50" t="str">
        <f t="shared" ref="EX3:EX34" si="50">IF(EV$2="","",IF(AND(EV3=EV$2,EW3=EW$2),3,IF(AND(EV$2&gt;EW$2,EV3&gt;EW3),1,IF(AND(EW$2&gt;EV$2,EW3&gt;EV3),1,IF(AND(EV$2=EW$2,EV3=EW3),1,0)))))</f>
        <v/>
      </c>
      <c r="EY3" s="50">
        <f>Participantes!DA2</f>
        <v>1</v>
      </c>
      <c r="EZ3" s="50">
        <f>Participantes!DB2</f>
        <v>1</v>
      </c>
      <c r="FA3" s="50" t="str">
        <f t="shared" ref="FA3:FA34" si="51">IF(EY$2="","",IF(AND(EY3=EY$2,EZ3=EZ$2),3,IF(AND(EY$2&gt;EZ$2,EY3&gt;EZ3),1,IF(AND(EZ$2&gt;EY$2,EZ3&gt;EY3),1,IF(AND(EY$2=EZ$2,EY3=EZ3),1,0)))))</f>
        <v/>
      </c>
      <c r="FB3" s="50">
        <f>Participantes!DC2</f>
        <v>1</v>
      </c>
      <c r="FC3" s="50">
        <f>Participantes!DD2</f>
        <v>3</v>
      </c>
      <c r="FD3" s="50" t="str">
        <f t="shared" ref="FD3:FD34" si="52">IF(FB$2="","",IF(AND(FB3=FB$2,FC3=FC$2),3,IF(AND(FB$2&gt;FC$2,FB3&gt;FC3),1,IF(AND(FC$2&gt;FB$2,FC3&gt;FB3),1,IF(AND(FB$2=FC$2,FB3=FC3),1,0)))))</f>
        <v/>
      </c>
      <c r="FE3" s="50">
        <f>Participantes!DE2</f>
        <v>0</v>
      </c>
      <c r="FF3" s="50">
        <f>Participantes!DF2</f>
        <v>1</v>
      </c>
      <c r="FG3" s="50" t="str">
        <f t="shared" ref="FG3:FG34" si="53">IF(FE$2="","",IF(AND(FE3=FE$2,FF3=FF$2),3,IF(AND(FE$2&gt;FF$2,FE3&gt;FF3),1,IF(AND(FF$2&gt;FE$2,FF3&gt;FE3),1,IF(AND(FE$2=FF$2,FE3=FF3),1,0)))))</f>
        <v/>
      </c>
      <c r="FH3" s="50">
        <f>Participantes!DG2</f>
        <v>0</v>
      </c>
      <c r="FI3" s="50">
        <f>Participantes!DH2</f>
        <v>2</v>
      </c>
      <c r="FJ3" s="50" t="str">
        <f t="shared" ref="FJ3:FJ34" si="54">IF(FH$2="","",IF(AND(FH3=FH$2,FI3=FI$2),3,IF(AND(FH$2&gt;FI$2,FH3&gt;FI3),1,IF(AND(FI$2&gt;FH$2,FI3&gt;FH3),1,IF(AND(FH$2=FI$2,FH3=FI3),1,0)))))</f>
        <v/>
      </c>
      <c r="FK3" s="50">
        <f>Participantes!DI2</f>
        <v>2</v>
      </c>
      <c r="FL3" s="50">
        <f>Participantes!DJ2</f>
        <v>4</v>
      </c>
      <c r="FM3" s="50" t="str">
        <f t="shared" ref="FM3:FM34" si="55">IF(FK$2="","",IF(AND(FK3=FK$2,FL3=FL$2),3,IF(AND(FK$2&gt;FL$2,FK3&gt;FL3),1,IF(AND(FL$2&gt;FK$2,FL3&gt;FK3),1,IF(AND(FK$2=FL$2,FK3=FL3),1,0)))))</f>
        <v/>
      </c>
      <c r="FN3" s="50">
        <f>Participantes!DK2</f>
        <v>2</v>
      </c>
      <c r="FO3" s="50">
        <f>Participantes!DL2</f>
        <v>2</v>
      </c>
      <c r="FP3" s="50" t="str">
        <f t="shared" ref="FP3:FP34" si="56">IF(FN$2="","",IF(AND(FN3=FN$2,FO3=FO$2),3,IF(AND(FN$2&gt;FO$2,FN3&gt;FO3),1,IF(AND(FO$2&gt;FN$2,FO3&gt;FN3),1,IF(AND(FN$2=FO$2,FN3=FO3),1,0)))))</f>
        <v/>
      </c>
      <c r="FQ3" s="50">
        <f>Participantes!DM2</f>
        <v>0</v>
      </c>
      <c r="FR3" s="50">
        <f>Participantes!DN2</f>
        <v>3</v>
      </c>
      <c r="FS3" s="50" t="str">
        <f t="shared" ref="FS3:FS34" si="57">IF(FQ$2="","",IF(AND(FQ3=FQ$2,FR3=FR$2),3,IF(AND(FQ$2&gt;FR$2,FQ3&gt;FR3),1,IF(AND(FR$2&gt;FQ$2,FR3&gt;FQ3),1,IF(AND(FQ$2=FR$2,FQ3=FR3),1,0)))))</f>
        <v/>
      </c>
      <c r="FT3" s="50">
        <f>Participantes!DO2</f>
        <v>1</v>
      </c>
      <c r="FU3" s="50">
        <f>Participantes!DP2</f>
        <v>0</v>
      </c>
      <c r="FV3" s="50" t="str">
        <f t="shared" ref="FV3:FV34" si="58">IF(FT$2="","",IF(AND(FT3=FT$2,FU3=FU$2),3,IF(AND(FT$2&gt;FU$2,FT3&gt;FU3),1,IF(AND(FU$2&gt;FT$2,FU3&gt;FT3),1,IF(AND(FT$2=FU$2,FT3=FU3),1,0)))))</f>
        <v/>
      </c>
      <c r="FW3" s="50">
        <f>Participantes!DQ2</f>
        <v>1</v>
      </c>
      <c r="FX3" s="50">
        <f>Participantes!DR2</f>
        <v>0</v>
      </c>
      <c r="FY3" s="50" t="str">
        <f t="shared" ref="FY3:FY34" si="59">IF(FW$2="","",IF(AND(FW3=FW$2,FX3=FX$2),3,IF(AND(FW$2&gt;FX$2,FW3&gt;FX3),1,IF(AND(FX$2&gt;FW$2,FX3&gt;FW3),1,IF(AND(FW$2=FX$2,FW3=FX3),1,0)))))</f>
        <v/>
      </c>
      <c r="FZ3" s="50">
        <f>Participantes!DS2</f>
        <v>1</v>
      </c>
      <c r="GA3" s="50">
        <f>Participantes!DT2</f>
        <v>3</v>
      </c>
      <c r="GB3" s="50" t="str">
        <f t="shared" ref="GB3:GB34" si="60">IF(FZ$2="","",IF(AND(FZ3=FZ$2,GA3=GA$2),3,IF(AND(FZ$2&gt;GA$2,FZ3&gt;GA3),1,IF(AND(GA$2&gt;FZ$2,GA3&gt;FZ3),1,IF(AND(FZ$2=GA$2,FZ3=GA3),1,0)))))</f>
        <v/>
      </c>
      <c r="GC3" s="50">
        <f>Participantes!DU2</f>
        <v>2</v>
      </c>
      <c r="GD3" s="50">
        <f>Participantes!DV2</f>
        <v>0</v>
      </c>
      <c r="GE3" s="50" t="str">
        <f t="shared" ref="GE3:GE34" si="61">IF(GC$2="","",IF(AND(GC3=GC$2,GD3=GD$2),3,IF(AND(GC$2&gt;GD$2,GC3&gt;GD3),1,IF(AND(GD$2&gt;GC$2,GD3&gt;GC3),1,IF(AND(GC$2=GD$2,GC3=GD3),1,0)))))</f>
        <v/>
      </c>
      <c r="GF3" s="50">
        <f>Participantes!DW2</f>
        <v>2</v>
      </c>
      <c r="GG3" s="50">
        <f>Participantes!DX2</f>
        <v>1</v>
      </c>
      <c r="GH3" s="50" t="str">
        <f t="shared" ref="GH3:GH34" si="62">IF(GF$2="","",IF(AND(GF3=GF$2,GG3=GG$2),3,IF(AND(GF$2&gt;GG$2,GF3&gt;GG3),1,IF(AND(GG$2&gt;GF$2,GG3&gt;GF3),1,IF(AND(GF$2=GG$2,GF3=GG3),1,0)))))</f>
        <v/>
      </c>
      <c r="GI3" s="50">
        <f>Participantes!DY2</f>
        <v>0</v>
      </c>
      <c r="GJ3" s="50">
        <f>Participantes!DZ2</f>
        <v>4</v>
      </c>
      <c r="GK3" s="50" t="str">
        <f t="shared" ref="GK3:GK34" si="63">IF(GI$2="","",IF(AND(GI3=GI$2,GJ3=GJ$2),3,IF(AND(GI$2&gt;GJ$2,GI3&gt;GJ3),1,IF(AND(GJ$2&gt;GI$2,GJ3&gt;GI3),1,IF(AND(GI$2=GJ$2,GI3=GJ3),1,0)))))</f>
        <v/>
      </c>
      <c r="GL3" s="50">
        <f>Participantes!EA2</f>
        <v>0</v>
      </c>
      <c r="GM3" s="50">
        <f>Participantes!EB2</f>
        <v>1</v>
      </c>
      <c r="GN3" s="50" t="str">
        <f t="shared" ref="GN3:GN34" si="64">IF(GL$2="","",IF(AND(GL3=GL$2,GM3=GM$2),3,IF(AND(GL$2&gt;GM$2,GL3&gt;GM3),1,IF(AND(GM$2&gt;GL$2,GM3&gt;GL3),1,IF(AND(GL$2=GM$2,GL3=GM3),1,0)))))</f>
        <v/>
      </c>
      <c r="GO3" s="50">
        <f>Participantes!EC2</f>
        <v>1</v>
      </c>
      <c r="GP3" s="50">
        <f>Participantes!ED2</f>
        <v>2</v>
      </c>
      <c r="GQ3" s="50" t="str">
        <f t="shared" ref="GQ3:GQ34" si="65">IF(GO$2="","",IF(AND(GO3=GO$2,GP3=GP$2),3,IF(AND(GO$2&gt;GP$2,GO3&gt;GP3),1,IF(AND(GP$2&gt;GO$2,GP3&gt;GO3),1,IF(AND(GO$2=GP$2,GO3=GP3),1,0)))))</f>
        <v/>
      </c>
      <c r="GR3" s="50">
        <f>Participantes!EE2</f>
        <v>0</v>
      </c>
      <c r="GS3" s="50">
        <f>Participantes!EF2</f>
        <v>6</v>
      </c>
      <c r="GT3" s="50" t="str">
        <f t="shared" ref="GT3:GT34" si="66">IF(GR$2="","",IF(AND(GR3=GR$2,GS3=GS$2),3,IF(AND(GR$2&gt;GS$2,GR3&gt;GS3),1,IF(AND(GS$2&gt;GR$2,GS3&gt;GR3),1,IF(AND(GR$2=GS$2,GR3=GS3),1,0)))))</f>
        <v/>
      </c>
      <c r="GU3" s="50">
        <f>Participantes!EG2</f>
        <v>3</v>
      </c>
      <c r="GV3" s="50">
        <f>Participantes!EH2</f>
        <v>0</v>
      </c>
      <c r="GW3" s="50" t="str">
        <f t="shared" ref="GW3:GW34" si="67">IF(GU$2="","",IF(AND(GU3=GU$2,GV3=GV$2),3,IF(AND(GU$2&gt;GV$2,GU3&gt;GV3),1,IF(AND(GV$2&gt;GU$2,GV3&gt;GU3),1,IF(AND(GU$2=GV$2,GU3=GV3),1,0)))))</f>
        <v/>
      </c>
      <c r="GX3" s="50">
        <f>Participantes!EI2</f>
        <v>0</v>
      </c>
      <c r="GY3" s="50">
        <f>Participantes!EJ2</f>
        <v>0</v>
      </c>
      <c r="GZ3" s="50" t="str">
        <f t="shared" ref="GZ3:GZ34" si="68">IF(GX$2="","",IF(AND(GX3=GX$2,GY3=GY$2),3,IF(AND(GX$2&gt;GY$2,GX3&gt;GY3),1,IF(AND(GY$2&gt;GX$2,GY3&gt;GX3),1,IF(AND(GX$2=GY$2,GX3=GY3),1,0)))))</f>
        <v/>
      </c>
      <c r="HA3" s="50">
        <f>Participantes!EK2</f>
        <v>0</v>
      </c>
      <c r="HB3" s="50">
        <f>Participantes!EL2</f>
        <v>4</v>
      </c>
      <c r="HC3" s="50" t="str">
        <f t="shared" ref="HC3:HC34" si="69">IF(HA$2="","",IF(AND(HA3=HA$2,HB3=HB$2),3,IF(AND(HA$2&gt;HB$2,HA3&gt;HB3),1,IF(AND(HB$2&gt;HA$2,HB3&gt;HA3),1,IF(AND(HA$2=HB$2,HA3=HB3),1,0)))))</f>
        <v/>
      </c>
      <c r="HD3" s="50">
        <f>Participantes!EM2</f>
        <v>0</v>
      </c>
      <c r="HE3" s="50">
        <f>Participantes!EN2</f>
        <v>2</v>
      </c>
      <c r="HF3" s="50" t="str">
        <f t="shared" ref="HF3:HF34" si="70">IF(HD$2="","",IF(AND(HD3=HD$2,HE3=HE$2),3,IF(AND(HD$2&gt;HE$2,HD3&gt;HE3),1,IF(AND(HE$2&gt;HD$2,HE3&gt;HD3),1,IF(AND(HD$2=HE$2,HD3=HE3),1,0)))))</f>
        <v/>
      </c>
      <c r="HG3" s="50">
        <f>Participantes!EO2</f>
        <v>1</v>
      </c>
      <c r="HH3" s="50">
        <f>Participantes!EP2</f>
        <v>1</v>
      </c>
      <c r="HI3" s="50" t="str">
        <f t="shared" ref="HI3:HI34" si="71">IF(HG$2="","",IF(AND(HG3=HG$2,HH3=HH$2),3,IF(AND(HG$2&gt;HH$2,HG3&gt;HH3),1,IF(AND(HH$2&gt;HG$2,HH3&gt;HG3),1,IF(AND(HG$2=HH$2,HG3=HH3),1,0)))))</f>
        <v/>
      </c>
      <c r="HJ3" s="51">
        <f t="shared" ref="HJ3:HJ34" si="72">SUM(D3,G3,J3,M3,P3,S3,V3,Y3,AB3,AE3,AH3,AK3,AN3,AQ3,AT3,AW3,AZ3,BC3,BF3,BI3,BL3,BO3,BR3,BU3,BX3,CA3,CD3,CG3,CJ3,CM3,CP3,CS3,CV3,CY3,DB3,DE3,DH3,DK3,DN3,DQ3,DT3,DW3,DZ3,EC3,EF3,EI3,EL3,EO3,ER3,EU3,EX3,FA3,FD3,FG3,FJ3,FM3,FP3,FS3,FV3,FY3,GB3,GE3,GH3,GK3,GN3,GQ3,GT3,GW3,GZ3,HC3,HF3,HI3)</f>
        <v>1</v>
      </c>
    </row>
    <row r="4" spans="1:218" ht="15" customHeight="1" x14ac:dyDescent="0.25">
      <c r="A4" s="49" t="str">
        <f>Participantes!B3</f>
        <v>Alexander</v>
      </c>
      <c r="B4" s="50">
        <f>Participantes!C3</f>
        <v>2</v>
      </c>
      <c r="C4" s="50">
        <f>Participantes!D3</f>
        <v>0</v>
      </c>
      <c r="D4" s="50">
        <f t="shared" si="0"/>
        <v>3</v>
      </c>
      <c r="E4" s="50">
        <f>Participantes!E3</f>
        <v>1</v>
      </c>
      <c r="F4" s="50">
        <f>Participantes!F3</f>
        <v>1</v>
      </c>
      <c r="G4" s="50">
        <f t="shared" si="1"/>
        <v>0</v>
      </c>
      <c r="H4" s="50">
        <f>Participantes!G3</f>
        <v>1</v>
      </c>
      <c r="I4" s="50">
        <f>Participantes!H3</f>
        <v>1</v>
      </c>
      <c r="J4" s="50" t="str">
        <f t="shared" si="2"/>
        <v/>
      </c>
      <c r="K4" s="50">
        <f>Participantes!I3</f>
        <v>2</v>
      </c>
      <c r="L4" s="50">
        <f>Participantes!J3</f>
        <v>0</v>
      </c>
      <c r="M4" s="50" t="str">
        <f t="shared" si="3"/>
        <v/>
      </c>
      <c r="N4" s="50">
        <f>Participantes!K3</f>
        <v>0</v>
      </c>
      <c r="O4" s="50">
        <f>Participantes!L3</f>
        <v>2</v>
      </c>
      <c r="P4" s="50" t="str">
        <f t="shared" si="4"/>
        <v/>
      </c>
      <c r="Q4" s="50">
        <f>Participantes!M3</f>
        <v>1</v>
      </c>
      <c r="R4" s="50">
        <f>Participantes!N3</f>
        <v>1</v>
      </c>
      <c r="S4" s="50" t="str">
        <f t="shared" si="5"/>
        <v/>
      </c>
      <c r="T4" s="50">
        <f>Participantes!O3</f>
        <v>2</v>
      </c>
      <c r="U4" s="50">
        <f>Participantes!P3</f>
        <v>0</v>
      </c>
      <c r="V4" s="50" t="str">
        <f t="shared" si="6"/>
        <v/>
      </c>
      <c r="W4" s="50">
        <f>Participantes!Q3</f>
        <v>0</v>
      </c>
      <c r="X4" s="50">
        <f>Participantes!R3</f>
        <v>1</v>
      </c>
      <c r="Y4" s="50" t="str">
        <f t="shared" si="7"/>
        <v/>
      </c>
      <c r="Z4" s="50">
        <f>Participantes!S3</f>
        <v>1</v>
      </c>
      <c r="AA4" s="50">
        <f>Participantes!T3</f>
        <v>1</v>
      </c>
      <c r="AB4" s="50" t="str">
        <f t="shared" si="8"/>
        <v/>
      </c>
      <c r="AC4" s="50">
        <f>Participantes!U3</f>
        <v>3</v>
      </c>
      <c r="AD4" s="50">
        <f>Participantes!V3</f>
        <v>0</v>
      </c>
      <c r="AE4" s="50" t="str">
        <f t="shared" si="9"/>
        <v/>
      </c>
      <c r="AF4" s="50">
        <f>Participantes!W3</f>
        <v>2</v>
      </c>
      <c r="AG4" s="50">
        <f>Participantes!X3</f>
        <v>1</v>
      </c>
      <c r="AH4" s="50" t="str">
        <f t="shared" si="10"/>
        <v/>
      </c>
      <c r="AI4" s="50">
        <f>Participantes!Y3</f>
        <v>1</v>
      </c>
      <c r="AJ4" s="50">
        <f>Participantes!Z3</f>
        <v>0</v>
      </c>
      <c r="AK4" s="50" t="str">
        <f t="shared" si="11"/>
        <v/>
      </c>
      <c r="AL4" s="50">
        <f>Participantes!AA3</f>
        <v>1</v>
      </c>
      <c r="AM4" s="50">
        <f>Participantes!AB3</f>
        <v>2</v>
      </c>
      <c r="AN4" s="50" t="str">
        <f t="shared" si="12"/>
        <v/>
      </c>
      <c r="AO4" s="50">
        <f>Participantes!AC3</f>
        <v>3</v>
      </c>
      <c r="AP4" s="50">
        <f>Participantes!AD3</f>
        <v>0</v>
      </c>
      <c r="AQ4" s="50" t="str">
        <f t="shared" si="13"/>
        <v/>
      </c>
      <c r="AR4" s="50">
        <f>Participantes!AE3</f>
        <v>0</v>
      </c>
      <c r="AS4" s="50">
        <f>Participantes!AF3</f>
        <v>0</v>
      </c>
      <c r="AT4" s="50" t="str">
        <f t="shared" si="14"/>
        <v/>
      </c>
      <c r="AU4" s="50">
        <f>Participantes!AG3</f>
        <v>2</v>
      </c>
      <c r="AV4" s="50">
        <f>Participantes!AH3</f>
        <v>0</v>
      </c>
      <c r="AW4" s="50" t="str">
        <f t="shared" si="15"/>
        <v/>
      </c>
      <c r="AX4" s="50">
        <f>Participantes!AI3</f>
        <v>2</v>
      </c>
      <c r="AY4" s="50">
        <f>Participantes!AJ3</f>
        <v>1</v>
      </c>
      <c r="AZ4" s="50" t="str">
        <f t="shared" si="16"/>
        <v/>
      </c>
      <c r="BA4" s="50">
        <f>Participantes!AK3</f>
        <v>0</v>
      </c>
      <c r="BB4" s="50">
        <f>Participantes!AL3</f>
        <v>2</v>
      </c>
      <c r="BC4" s="50" t="str">
        <f t="shared" si="17"/>
        <v/>
      </c>
      <c r="BD4" s="50">
        <f>Participantes!AM3</f>
        <v>2</v>
      </c>
      <c r="BE4" s="50">
        <f>Participantes!AN3</f>
        <v>0</v>
      </c>
      <c r="BF4" s="50" t="str">
        <f t="shared" si="18"/>
        <v/>
      </c>
      <c r="BG4" s="50">
        <f>Participantes!AO3</f>
        <v>1</v>
      </c>
      <c r="BH4" s="50">
        <f>Participantes!AP3</f>
        <v>0</v>
      </c>
      <c r="BI4" s="50" t="str">
        <f t="shared" si="19"/>
        <v/>
      </c>
      <c r="BJ4" s="50">
        <f>Participantes!AQ3</f>
        <v>1</v>
      </c>
      <c r="BK4" s="50">
        <f>Participantes!AR3</f>
        <v>2</v>
      </c>
      <c r="BL4" s="50" t="str">
        <f t="shared" si="20"/>
        <v/>
      </c>
      <c r="BM4" s="50">
        <f>Participantes!AS3</f>
        <v>1</v>
      </c>
      <c r="BN4" s="50">
        <f>Participantes!AT3</f>
        <v>0</v>
      </c>
      <c r="BO4" s="50" t="str">
        <f t="shared" si="21"/>
        <v/>
      </c>
      <c r="BP4" s="50">
        <f>Participantes!AU3</f>
        <v>2</v>
      </c>
      <c r="BQ4" s="50">
        <f>Participantes!AV3</f>
        <v>0</v>
      </c>
      <c r="BR4" s="50" t="str">
        <f t="shared" si="22"/>
        <v/>
      </c>
      <c r="BS4" s="50">
        <f>Participantes!AW3</f>
        <v>1</v>
      </c>
      <c r="BT4" s="50">
        <f>Participantes!AX3</f>
        <v>1</v>
      </c>
      <c r="BU4" s="50" t="str">
        <f t="shared" si="23"/>
        <v/>
      </c>
      <c r="BV4" s="50">
        <f>Participantes!AY3</f>
        <v>1</v>
      </c>
      <c r="BW4" s="50">
        <f>Participantes!AZ3</f>
        <v>0</v>
      </c>
      <c r="BX4" s="50" t="str">
        <f t="shared" si="24"/>
        <v/>
      </c>
      <c r="BY4" s="50">
        <f>Participantes!BA3</f>
        <v>1</v>
      </c>
      <c r="BZ4" s="50">
        <f>Participantes!BB3</f>
        <v>1</v>
      </c>
      <c r="CA4" s="50" t="str">
        <f t="shared" si="25"/>
        <v/>
      </c>
      <c r="CB4" s="50">
        <f>Participantes!BC3</f>
        <v>2</v>
      </c>
      <c r="CC4" s="50">
        <f>Participantes!BD3</f>
        <v>0</v>
      </c>
      <c r="CD4" s="50" t="str">
        <f t="shared" si="26"/>
        <v/>
      </c>
      <c r="CE4" s="50">
        <f>Participantes!BE3</f>
        <v>2</v>
      </c>
      <c r="CF4" s="50">
        <f>Participantes!BF3</f>
        <v>1</v>
      </c>
      <c r="CG4" s="50" t="str">
        <f t="shared" si="27"/>
        <v/>
      </c>
      <c r="CH4" s="50">
        <f>Participantes!BG3</f>
        <v>3</v>
      </c>
      <c r="CI4" s="50">
        <f>Participantes!BH3</f>
        <v>1</v>
      </c>
      <c r="CJ4" s="50" t="str">
        <f t="shared" si="28"/>
        <v/>
      </c>
      <c r="CK4" s="50">
        <f>Participantes!BI3</f>
        <v>0</v>
      </c>
      <c r="CL4" s="50">
        <f>Participantes!BJ3</f>
        <v>1</v>
      </c>
      <c r="CM4" s="50" t="str">
        <f t="shared" si="29"/>
        <v/>
      </c>
      <c r="CN4" s="50">
        <f>Participantes!BK3</f>
        <v>0</v>
      </c>
      <c r="CO4" s="50">
        <f>Participantes!BL3</f>
        <v>1</v>
      </c>
      <c r="CP4" s="50" t="str">
        <f t="shared" si="30"/>
        <v/>
      </c>
      <c r="CQ4" s="50">
        <f>Participantes!BM3</f>
        <v>2</v>
      </c>
      <c r="CR4" s="50">
        <f>Participantes!BN3</f>
        <v>1</v>
      </c>
      <c r="CS4" s="50" t="str">
        <f t="shared" si="31"/>
        <v/>
      </c>
      <c r="CT4" s="50">
        <f>Participantes!BO3</f>
        <v>2</v>
      </c>
      <c r="CU4" s="50">
        <f>Participantes!BP3</f>
        <v>1</v>
      </c>
      <c r="CV4" s="50" t="str">
        <f t="shared" si="32"/>
        <v/>
      </c>
      <c r="CW4" s="50">
        <f>Participantes!BQ3</f>
        <v>2</v>
      </c>
      <c r="CX4" s="50">
        <f>Participantes!BR3</f>
        <v>0</v>
      </c>
      <c r="CY4" s="50" t="str">
        <f t="shared" si="33"/>
        <v/>
      </c>
      <c r="CZ4" s="50">
        <f>Participantes!BS3</f>
        <v>2</v>
      </c>
      <c r="DA4" s="50">
        <f>Participantes!BT3</f>
        <v>0</v>
      </c>
      <c r="DB4" s="50" t="str">
        <f t="shared" si="34"/>
        <v/>
      </c>
      <c r="DC4" s="50">
        <f>Participantes!BU3</f>
        <v>1</v>
      </c>
      <c r="DD4" s="50">
        <f>Participantes!BV3</f>
        <v>1</v>
      </c>
      <c r="DE4" s="50" t="str">
        <f t="shared" si="35"/>
        <v/>
      </c>
      <c r="DF4" s="50">
        <f>Participantes!BW3</f>
        <v>2</v>
      </c>
      <c r="DG4" s="50">
        <f>Participantes!BX3</f>
        <v>0</v>
      </c>
      <c r="DH4" s="50" t="str">
        <f t="shared" si="36"/>
        <v/>
      </c>
      <c r="DI4" s="50">
        <f>Participantes!BY3</f>
        <v>2</v>
      </c>
      <c r="DJ4" s="50">
        <f>Participantes!BZ3</f>
        <v>0</v>
      </c>
      <c r="DK4" s="50" t="str">
        <f t="shared" si="37"/>
        <v/>
      </c>
      <c r="DL4" s="50">
        <f>Participantes!CA3</f>
        <v>3</v>
      </c>
      <c r="DM4" s="50">
        <f>Participantes!CB3</f>
        <v>1</v>
      </c>
      <c r="DN4" s="50" t="str">
        <f t="shared" si="38"/>
        <v/>
      </c>
      <c r="DO4" s="50">
        <f>Participantes!CC3</f>
        <v>0</v>
      </c>
      <c r="DP4" s="50">
        <f>Participantes!CD3</f>
        <v>2</v>
      </c>
      <c r="DQ4" s="50" t="str">
        <f t="shared" si="39"/>
        <v/>
      </c>
      <c r="DR4" s="50">
        <f>Participantes!CE3</f>
        <v>1</v>
      </c>
      <c r="DS4" s="50">
        <f>Participantes!CF3</f>
        <v>2</v>
      </c>
      <c r="DT4" s="50" t="str">
        <f t="shared" si="40"/>
        <v/>
      </c>
      <c r="DU4" s="50">
        <f>Participantes!CG3</f>
        <v>3</v>
      </c>
      <c r="DV4" s="50">
        <f>Participantes!CH3</f>
        <v>0</v>
      </c>
      <c r="DW4" s="50" t="str">
        <f t="shared" si="41"/>
        <v/>
      </c>
      <c r="DX4" s="50">
        <f>Participantes!CI3</f>
        <v>3</v>
      </c>
      <c r="DY4" s="50">
        <f>Participantes!CJ3</f>
        <v>1</v>
      </c>
      <c r="DZ4" s="50" t="str">
        <f t="shared" si="42"/>
        <v/>
      </c>
      <c r="EA4" s="50">
        <f>Participantes!CK3</f>
        <v>1</v>
      </c>
      <c r="EB4" s="50">
        <f>Participantes!CL3</f>
        <v>2</v>
      </c>
      <c r="EC4" s="50" t="str">
        <f t="shared" si="43"/>
        <v/>
      </c>
      <c r="ED4" s="50">
        <f>Participantes!CM3</f>
        <v>2</v>
      </c>
      <c r="EE4" s="50">
        <f>Participantes!CN3</f>
        <v>0</v>
      </c>
      <c r="EF4" s="50" t="str">
        <f t="shared" si="44"/>
        <v/>
      </c>
      <c r="EG4" s="50">
        <f>Participantes!CO3</f>
        <v>1</v>
      </c>
      <c r="EH4" s="50">
        <f>Participantes!CP3</f>
        <v>1</v>
      </c>
      <c r="EI4" s="50" t="str">
        <f t="shared" si="45"/>
        <v/>
      </c>
      <c r="EJ4" s="50">
        <f>Participantes!CQ3</f>
        <v>3</v>
      </c>
      <c r="EK4" s="50">
        <f>Participantes!CR3</f>
        <v>0</v>
      </c>
      <c r="EL4" s="50" t="str">
        <f t="shared" si="46"/>
        <v/>
      </c>
      <c r="EM4" s="50">
        <f>Participantes!CS3</f>
        <v>2</v>
      </c>
      <c r="EN4" s="50">
        <f>Participantes!CT3</f>
        <v>1</v>
      </c>
      <c r="EO4" s="50" t="str">
        <f t="shared" si="47"/>
        <v/>
      </c>
      <c r="EP4" s="50">
        <f>Participantes!CU3</f>
        <v>1</v>
      </c>
      <c r="EQ4" s="50">
        <f>Participantes!CV3</f>
        <v>2</v>
      </c>
      <c r="ER4" s="50" t="str">
        <f t="shared" si="48"/>
        <v/>
      </c>
      <c r="ES4" s="50">
        <f>Participantes!CW3</f>
        <v>2</v>
      </c>
      <c r="ET4" s="50">
        <f>Participantes!CX3</f>
        <v>0</v>
      </c>
      <c r="EU4" s="50" t="str">
        <f t="shared" si="49"/>
        <v/>
      </c>
      <c r="EV4" s="50">
        <f>Participantes!CY3</f>
        <v>0</v>
      </c>
      <c r="EW4" s="50">
        <f>Participantes!CZ3</f>
        <v>1</v>
      </c>
      <c r="EX4" s="50" t="str">
        <f t="shared" si="50"/>
        <v/>
      </c>
      <c r="EY4" s="50">
        <f>Participantes!DA3</f>
        <v>2</v>
      </c>
      <c r="EZ4" s="50">
        <f>Participantes!DB3</f>
        <v>1</v>
      </c>
      <c r="FA4" s="50" t="str">
        <f t="shared" si="51"/>
        <v/>
      </c>
      <c r="FB4" s="50">
        <f>Participantes!DC3</f>
        <v>0</v>
      </c>
      <c r="FC4" s="50">
        <f>Participantes!DD3</f>
        <v>1</v>
      </c>
      <c r="FD4" s="50" t="str">
        <f t="shared" si="52"/>
        <v/>
      </c>
      <c r="FE4" s="50">
        <f>Participantes!DE3</f>
        <v>1</v>
      </c>
      <c r="FF4" s="50">
        <f>Participantes!DF3</f>
        <v>2</v>
      </c>
      <c r="FG4" s="50" t="str">
        <f t="shared" si="53"/>
        <v/>
      </c>
      <c r="FH4" s="50">
        <f>Participantes!DG3</f>
        <v>1</v>
      </c>
      <c r="FI4" s="50">
        <f>Participantes!DH3</f>
        <v>2</v>
      </c>
      <c r="FJ4" s="50" t="str">
        <f t="shared" si="54"/>
        <v/>
      </c>
      <c r="FK4" s="50">
        <f>Participantes!DI3</f>
        <v>0</v>
      </c>
      <c r="FL4" s="50">
        <f>Participantes!DJ3</f>
        <v>2</v>
      </c>
      <c r="FM4" s="50" t="str">
        <f t="shared" si="55"/>
        <v/>
      </c>
      <c r="FN4" s="50">
        <f>Participantes!DK3</f>
        <v>2</v>
      </c>
      <c r="FO4" s="50">
        <f>Participantes!DL3</f>
        <v>1</v>
      </c>
      <c r="FP4" s="50" t="str">
        <f t="shared" si="56"/>
        <v/>
      </c>
      <c r="FQ4" s="50">
        <f>Participantes!DM3</f>
        <v>1</v>
      </c>
      <c r="FR4" s="50">
        <f>Participantes!DN3</f>
        <v>3</v>
      </c>
      <c r="FS4" s="50" t="str">
        <f t="shared" si="57"/>
        <v/>
      </c>
      <c r="FT4" s="50">
        <f>Participantes!DO3</f>
        <v>1</v>
      </c>
      <c r="FU4" s="50">
        <f>Participantes!DP3</f>
        <v>1</v>
      </c>
      <c r="FV4" s="50" t="str">
        <f t="shared" si="58"/>
        <v/>
      </c>
      <c r="FW4" s="50">
        <f>Participantes!DQ3</f>
        <v>3</v>
      </c>
      <c r="FX4" s="50">
        <f>Participantes!DR3</f>
        <v>0</v>
      </c>
      <c r="FY4" s="50" t="str">
        <f t="shared" si="59"/>
        <v/>
      </c>
      <c r="FZ4" s="50">
        <f>Participantes!DS3</f>
        <v>0</v>
      </c>
      <c r="GA4" s="50">
        <f>Participantes!DT3</f>
        <v>2</v>
      </c>
      <c r="GB4" s="50" t="str">
        <f t="shared" si="60"/>
        <v/>
      </c>
      <c r="GC4" s="50">
        <f>Participantes!DU3</f>
        <v>2</v>
      </c>
      <c r="GD4" s="50">
        <f>Participantes!DV3</f>
        <v>0</v>
      </c>
      <c r="GE4" s="50" t="str">
        <f t="shared" si="61"/>
        <v/>
      </c>
      <c r="GF4" s="50">
        <f>Participantes!DW3</f>
        <v>1</v>
      </c>
      <c r="GG4" s="50">
        <f>Participantes!DX3</f>
        <v>1</v>
      </c>
      <c r="GH4" s="50" t="str">
        <f t="shared" si="62"/>
        <v/>
      </c>
      <c r="GI4" s="50">
        <f>Participantes!DY3</f>
        <v>0</v>
      </c>
      <c r="GJ4" s="50">
        <f>Participantes!DZ3</f>
        <v>2</v>
      </c>
      <c r="GK4" s="50" t="str">
        <f t="shared" si="63"/>
        <v/>
      </c>
      <c r="GL4" s="50">
        <f>Participantes!EA3</f>
        <v>0</v>
      </c>
      <c r="GM4" s="50">
        <f>Participantes!EB3</f>
        <v>2</v>
      </c>
      <c r="GN4" s="50" t="str">
        <f t="shared" si="64"/>
        <v/>
      </c>
      <c r="GO4" s="50">
        <f>Participantes!EC3</f>
        <v>1</v>
      </c>
      <c r="GP4" s="50">
        <f>Participantes!ED3</f>
        <v>2</v>
      </c>
      <c r="GQ4" s="50" t="str">
        <f t="shared" si="65"/>
        <v/>
      </c>
      <c r="GR4" s="50">
        <f>Participantes!EE3</f>
        <v>1</v>
      </c>
      <c r="GS4" s="50">
        <f>Participantes!EF3</f>
        <v>2</v>
      </c>
      <c r="GT4" s="50" t="str">
        <f t="shared" si="66"/>
        <v/>
      </c>
      <c r="GU4" s="50">
        <f>Participantes!EG3</f>
        <v>2</v>
      </c>
      <c r="GV4" s="50">
        <f>Participantes!EH3</f>
        <v>0</v>
      </c>
      <c r="GW4" s="50" t="str">
        <f t="shared" si="67"/>
        <v/>
      </c>
      <c r="GX4" s="50">
        <f>Participantes!EI3</f>
        <v>1</v>
      </c>
      <c r="GY4" s="50">
        <f>Participantes!EJ3</f>
        <v>1</v>
      </c>
      <c r="GZ4" s="50" t="str">
        <f t="shared" si="68"/>
        <v/>
      </c>
      <c r="HA4" s="50">
        <f>Participantes!EK3</f>
        <v>1</v>
      </c>
      <c r="HB4" s="50">
        <f>Participantes!EL3</f>
        <v>0</v>
      </c>
      <c r="HC4" s="50" t="str">
        <f t="shared" si="69"/>
        <v/>
      </c>
      <c r="HD4" s="50">
        <f>Participantes!EM3</f>
        <v>2</v>
      </c>
      <c r="HE4" s="50">
        <f>Participantes!EN3</f>
        <v>1</v>
      </c>
      <c r="HF4" s="50" t="str">
        <f t="shared" si="70"/>
        <v/>
      </c>
      <c r="HG4" s="50">
        <f>Participantes!EO3</f>
        <v>2</v>
      </c>
      <c r="HH4" s="50">
        <f>Participantes!EP3</f>
        <v>1</v>
      </c>
      <c r="HI4" s="50" t="str">
        <f t="shared" si="71"/>
        <v/>
      </c>
      <c r="HJ4" s="51">
        <f t="shared" si="72"/>
        <v>3</v>
      </c>
    </row>
    <row r="5" spans="1:218" ht="15" customHeight="1" x14ac:dyDescent="0.25">
      <c r="A5" s="49" t="str">
        <f>Participantes!B4</f>
        <v>Alfredo 1</v>
      </c>
      <c r="B5" s="50">
        <f>Participantes!C4</f>
        <v>2</v>
      </c>
      <c r="C5" s="50">
        <f>Participantes!D4</f>
        <v>1</v>
      </c>
      <c r="D5" s="50">
        <f t="shared" si="0"/>
        <v>1</v>
      </c>
      <c r="E5" s="50">
        <f>Participantes!E4</f>
        <v>1</v>
      </c>
      <c r="F5" s="50">
        <f>Participantes!F4</f>
        <v>1</v>
      </c>
      <c r="G5" s="50">
        <f t="shared" si="1"/>
        <v>0</v>
      </c>
      <c r="H5" s="50">
        <f>Participantes!G4</f>
        <v>1</v>
      </c>
      <c r="I5" s="50">
        <f>Participantes!H4</f>
        <v>0</v>
      </c>
      <c r="J5" s="50" t="str">
        <f t="shared" si="2"/>
        <v/>
      </c>
      <c r="K5" s="50">
        <f>Participantes!I4</f>
        <v>2</v>
      </c>
      <c r="L5" s="50">
        <f>Participantes!J4</f>
        <v>1</v>
      </c>
      <c r="M5" s="50" t="str">
        <f t="shared" si="3"/>
        <v/>
      </c>
      <c r="N5" s="50">
        <f>Participantes!K4</f>
        <v>1</v>
      </c>
      <c r="O5" s="50">
        <f>Participantes!L4</f>
        <v>1</v>
      </c>
      <c r="P5" s="50" t="str">
        <f t="shared" si="4"/>
        <v/>
      </c>
      <c r="Q5" s="50">
        <f>Participantes!M4</f>
        <v>1</v>
      </c>
      <c r="R5" s="50">
        <f>Participantes!N4</f>
        <v>2</v>
      </c>
      <c r="S5" s="50" t="str">
        <f t="shared" si="5"/>
        <v/>
      </c>
      <c r="T5" s="50">
        <f>Participantes!O4</f>
        <v>2</v>
      </c>
      <c r="U5" s="50">
        <f>Participantes!P4</f>
        <v>0</v>
      </c>
      <c r="V5" s="50" t="str">
        <f t="shared" si="6"/>
        <v/>
      </c>
      <c r="W5" s="50">
        <f>Participantes!Q4</f>
        <v>0</v>
      </c>
      <c r="X5" s="50">
        <f>Participantes!R4</f>
        <v>2</v>
      </c>
      <c r="Y5" s="50" t="str">
        <f t="shared" si="7"/>
        <v/>
      </c>
      <c r="Z5" s="50">
        <f>Participantes!S4</f>
        <v>1</v>
      </c>
      <c r="AA5" s="50">
        <f>Participantes!T4</f>
        <v>1</v>
      </c>
      <c r="AB5" s="50" t="str">
        <f t="shared" si="8"/>
        <v/>
      </c>
      <c r="AC5" s="50">
        <f>Participantes!U4</f>
        <v>4</v>
      </c>
      <c r="AD5" s="50">
        <f>Participantes!V4</f>
        <v>0</v>
      </c>
      <c r="AE5" s="50" t="str">
        <f t="shared" si="9"/>
        <v/>
      </c>
      <c r="AF5" s="50">
        <f>Participantes!W4</f>
        <v>2</v>
      </c>
      <c r="AG5" s="50">
        <f>Participantes!X4</f>
        <v>1</v>
      </c>
      <c r="AH5" s="50" t="str">
        <f t="shared" si="10"/>
        <v/>
      </c>
      <c r="AI5" s="50">
        <f>Participantes!Y4</f>
        <v>2</v>
      </c>
      <c r="AJ5" s="50">
        <f>Participantes!Z4</f>
        <v>0</v>
      </c>
      <c r="AK5" s="50" t="str">
        <f t="shared" si="11"/>
        <v/>
      </c>
      <c r="AL5" s="50">
        <f>Participantes!AA4</f>
        <v>0</v>
      </c>
      <c r="AM5" s="50">
        <f>Participantes!AB4</f>
        <v>1</v>
      </c>
      <c r="AN5" s="50" t="str">
        <f t="shared" si="12"/>
        <v/>
      </c>
      <c r="AO5" s="50">
        <f>Participantes!AC4</f>
        <v>2</v>
      </c>
      <c r="AP5" s="50">
        <f>Participantes!AD4</f>
        <v>0</v>
      </c>
      <c r="AQ5" s="50" t="str">
        <f t="shared" si="13"/>
        <v/>
      </c>
      <c r="AR5" s="50">
        <f>Participantes!AE4</f>
        <v>1</v>
      </c>
      <c r="AS5" s="50">
        <f>Participantes!AF4</f>
        <v>0</v>
      </c>
      <c r="AT5" s="50" t="str">
        <f t="shared" si="14"/>
        <v/>
      </c>
      <c r="AU5" s="50">
        <f>Participantes!AG4</f>
        <v>2</v>
      </c>
      <c r="AV5" s="50">
        <f>Participantes!AH4</f>
        <v>1</v>
      </c>
      <c r="AW5" s="50" t="str">
        <f t="shared" si="15"/>
        <v/>
      </c>
      <c r="AX5" s="50">
        <f>Participantes!AI4</f>
        <v>3</v>
      </c>
      <c r="AY5" s="50">
        <f>Participantes!AJ4</f>
        <v>1</v>
      </c>
      <c r="AZ5" s="50" t="str">
        <f t="shared" si="16"/>
        <v/>
      </c>
      <c r="BA5" s="50">
        <f>Participantes!AK4</f>
        <v>0</v>
      </c>
      <c r="BB5" s="50">
        <f>Participantes!AL4</f>
        <v>3</v>
      </c>
      <c r="BC5" s="50" t="str">
        <f t="shared" si="17"/>
        <v/>
      </c>
      <c r="BD5" s="50">
        <f>Participantes!AM4</f>
        <v>2</v>
      </c>
      <c r="BE5" s="50">
        <f>Participantes!AN4</f>
        <v>0</v>
      </c>
      <c r="BF5" s="50" t="str">
        <f t="shared" si="18"/>
        <v/>
      </c>
      <c r="BG5" s="50">
        <f>Participantes!AO4</f>
        <v>2</v>
      </c>
      <c r="BH5" s="50">
        <f>Participantes!AP4</f>
        <v>0</v>
      </c>
      <c r="BI5" s="50" t="str">
        <f t="shared" si="19"/>
        <v/>
      </c>
      <c r="BJ5" s="50">
        <f>Participantes!AQ4</f>
        <v>1</v>
      </c>
      <c r="BK5" s="50">
        <f>Participantes!AR4</f>
        <v>1</v>
      </c>
      <c r="BL5" s="50" t="str">
        <f t="shared" si="20"/>
        <v/>
      </c>
      <c r="BM5" s="50">
        <f>Participantes!AS4</f>
        <v>2</v>
      </c>
      <c r="BN5" s="50">
        <f>Participantes!AT4</f>
        <v>1</v>
      </c>
      <c r="BO5" s="50" t="str">
        <f t="shared" si="21"/>
        <v/>
      </c>
      <c r="BP5" s="50">
        <f>Participantes!AU4</f>
        <v>3</v>
      </c>
      <c r="BQ5" s="50">
        <f>Participantes!AV4</f>
        <v>0</v>
      </c>
      <c r="BR5" s="50" t="str">
        <f t="shared" si="22"/>
        <v/>
      </c>
      <c r="BS5" s="50">
        <f>Participantes!AW4</f>
        <v>0</v>
      </c>
      <c r="BT5" s="50">
        <f>Participantes!AX4</f>
        <v>2</v>
      </c>
      <c r="BU5" s="50" t="str">
        <f t="shared" si="23"/>
        <v/>
      </c>
      <c r="BV5" s="50">
        <f>Participantes!AY4</f>
        <v>2</v>
      </c>
      <c r="BW5" s="50">
        <f>Participantes!AZ4</f>
        <v>0</v>
      </c>
      <c r="BX5" s="50" t="str">
        <f t="shared" si="24"/>
        <v/>
      </c>
      <c r="BY5" s="50">
        <f>Participantes!BA4</f>
        <v>2</v>
      </c>
      <c r="BZ5" s="50">
        <f>Participantes!BB4</f>
        <v>1</v>
      </c>
      <c r="CA5" s="50" t="str">
        <f t="shared" si="25"/>
        <v/>
      </c>
      <c r="CB5" s="50">
        <f>Participantes!BC4</f>
        <v>1</v>
      </c>
      <c r="CC5" s="50">
        <f>Participantes!BD4</f>
        <v>0</v>
      </c>
      <c r="CD5" s="50" t="str">
        <f t="shared" si="26"/>
        <v/>
      </c>
      <c r="CE5" s="50">
        <f>Participantes!BE4</f>
        <v>2</v>
      </c>
      <c r="CF5" s="50">
        <f>Participantes!BF4</f>
        <v>1</v>
      </c>
      <c r="CG5" s="50" t="str">
        <f t="shared" si="27"/>
        <v/>
      </c>
      <c r="CH5" s="50">
        <f>Participantes!BG4</f>
        <v>3</v>
      </c>
      <c r="CI5" s="50">
        <f>Participantes!BH4</f>
        <v>0</v>
      </c>
      <c r="CJ5" s="50" t="str">
        <f t="shared" si="28"/>
        <v/>
      </c>
      <c r="CK5" s="50">
        <f>Participantes!BI4</f>
        <v>1</v>
      </c>
      <c r="CL5" s="50">
        <f>Participantes!BJ4</f>
        <v>2</v>
      </c>
      <c r="CM5" s="50" t="str">
        <f t="shared" si="29"/>
        <v/>
      </c>
      <c r="CN5" s="50">
        <f>Participantes!BK4</f>
        <v>2</v>
      </c>
      <c r="CO5" s="50">
        <f>Participantes!BL4</f>
        <v>0</v>
      </c>
      <c r="CP5" s="50" t="str">
        <f t="shared" si="30"/>
        <v/>
      </c>
      <c r="CQ5" s="50">
        <f>Participantes!BM4</f>
        <v>2</v>
      </c>
      <c r="CR5" s="50">
        <f>Participantes!BN4</f>
        <v>0</v>
      </c>
      <c r="CS5" s="50" t="str">
        <f t="shared" si="31"/>
        <v/>
      </c>
      <c r="CT5" s="50">
        <f>Participantes!BO4</f>
        <v>3</v>
      </c>
      <c r="CU5" s="50">
        <f>Participantes!BP4</f>
        <v>1</v>
      </c>
      <c r="CV5" s="50" t="str">
        <f t="shared" si="32"/>
        <v/>
      </c>
      <c r="CW5" s="50">
        <f>Participantes!BQ4</f>
        <v>3</v>
      </c>
      <c r="CX5" s="50">
        <f>Participantes!BR4</f>
        <v>0</v>
      </c>
      <c r="CY5" s="50" t="str">
        <f t="shared" si="33"/>
        <v/>
      </c>
      <c r="CZ5" s="50">
        <f>Participantes!BS4</f>
        <v>2</v>
      </c>
      <c r="DA5" s="50">
        <f>Participantes!BT4</f>
        <v>1</v>
      </c>
      <c r="DB5" s="50" t="str">
        <f t="shared" si="34"/>
        <v/>
      </c>
      <c r="DC5" s="50">
        <f>Participantes!BU4</f>
        <v>0</v>
      </c>
      <c r="DD5" s="50">
        <f>Participantes!BV4</f>
        <v>2</v>
      </c>
      <c r="DE5" s="50" t="str">
        <f t="shared" si="35"/>
        <v/>
      </c>
      <c r="DF5" s="50">
        <f>Participantes!BW4</f>
        <v>2</v>
      </c>
      <c r="DG5" s="50">
        <f>Participantes!BX4</f>
        <v>1</v>
      </c>
      <c r="DH5" s="50" t="str">
        <f t="shared" si="36"/>
        <v/>
      </c>
      <c r="DI5" s="50">
        <f>Participantes!BY4</f>
        <v>3</v>
      </c>
      <c r="DJ5" s="50">
        <f>Participantes!BZ4</f>
        <v>1</v>
      </c>
      <c r="DK5" s="50" t="str">
        <f t="shared" si="37"/>
        <v/>
      </c>
      <c r="DL5" s="50">
        <f>Participantes!CA4</f>
        <v>3</v>
      </c>
      <c r="DM5" s="50">
        <f>Participantes!CB4</f>
        <v>0</v>
      </c>
      <c r="DN5" s="50" t="str">
        <f t="shared" si="38"/>
        <v/>
      </c>
      <c r="DO5" s="50">
        <f>Participantes!CC4</f>
        <v>0</v>
      </c>
      <c r="DP5" s="50">
        <f>Participantes!CD4</f>
        <v>2</v>
      </c>
      <c r="DQ5" s="50" t="str">
        <f t="shared" si="39"/>
        <v/>
      </c>
      <c r="DR5" s="50">
        <f>Participantes!CE4</f>
        <v>2</v>
      </c>
      <c r="DS5" s="50">
        <f>Participantes!CF4</f>
        <v>1</v>
      </c>
      <c r="DT5" s="50" t="str">
        <f t="shared" si="40"/>
        <v/>
      </c>
      <c r="DU5" s="50">
        <f>Participantes!CG4</f>
        <v>3</v>
      </c>
      <c r="DV5" s="50">
        <f>Participantes!CH4</f>
        <v>0</v>
      </c>
      <c r="DW5" s="50" t="str">
        <f t="shared" si="41"/>
        <v/>
      </c>
      <c r="DX5" s="50">
        <f>Participantes!CI4</f>
        <v>2</v>
      </c>
      <c r="DY5" s="50">
        <f>Participantes!CJ4</f>
        <v>1</v>
      </c>
      <c r="DZ5" s="50" t="str">
        <f t="shared" si="42"/>
        <v/>
      </c>
      <c r="EA5" s="50">
        <f>Participantes!CK4</f>
        <v>0</v>
      </c>
      <c r="EB5" s="50">
        <f>Participantes!CL4</f>
        <v>1</v>
      </c>
      <c r="EC5" s="50" t="str">
        <f t="shared" si="43"/>
        <v/>
      </c>
      <c r="ED5" s="50">
        <f>Participantes!CM4</f>
        <v>3</v>
      </c>
      <c r="EE5" s="50">
        <f>Participantes!CN4</f>
        <v>1</v>
      </c>
      <c r="EF5" s="50" t="str">
        <f t="shared" si="44"/>
        <v/>
      </c>
      <c r="EG5" s="50">
        <f>Participantes!CO4</f>
        <v>1</v>
      </c>
      <c r="EH5" s="50">
        <f>Participantes!CP4</f>
        <v>2</v>
      </c>
      <c r="EI5" s="50" t="str">
        <f t="shared" si="45"/>
        <v/>
      </c>
      <c r="EJ5" s="50">
        <f>Participantes!CQ4</f>
        <v>3</v>
      </c>
      <c r="EK5" s="50">
        <f>Participantes!CR4</f>
        <v>0</v>
      </c>
      <c r="EL5" s="50" t="str">
        <f t="shared" si="46"/>
        <v/>
      </c>
      <c r="EM5" s="50">
        <f>Participantes!CS4</f>
        <v>2</v>
      </c>
      <c r="EN5" s="50">
        <f>Participantes!CT4</f>
        <v>0</v>
      </c>
      <c r="EO5" s="50" t="str">
        <f t="shared" si="47"/>
        <v/>
      </c>
      <c r="EP5" s="50">
        <f>Participantes!CU4</f>
        <v>1</v>
      </c>
      <c r="EQ5" s="50">
        <f>Participantes!CV4</f>
        <v>3</v>
      </c>
      <c r="ER5" s="50" t="str">
        <f t="shared" si="48"/>
        <v/>
      </c>
      <c r="ES5" s="50">
        <f>Participantes!CW4</f>
        <v>2</v>
      </c>
      <c r="ET5" s="50">
        <f>Participantes!CX4</f>
        <v>1</v>
      </c>
      <c r="EU5" s="50" t="str">
        <f t="shared" si="49"/>
        <v/>
      </c>
      <c r="EV5" s="50">
        <f>Participantes!CY4</f>
        <v>2</v>
      </c>
      <c r="EW5" s="50">
        <f>Participantes!CZ4</f>
        <v>1</v>
      </c>
      <c r="EX5" s="50" t="str">
        <f t="shared" si="50"/>
        <v/>
      </c>
      <c r="EY5" s="50">
        <f>Participantes!DA4</f>
        <v>2</v>
      </c>
      <c r="EZ5" s="50">
        <f>Participantes!DB4</f>
        <v>0</v>
      </c>
      <c r="FA5" s="50" t="str">
        <f t="shared" si="51"/>
        <v/>
      </c>
      <c r="FB5" s="50">
        <f>Participantes!DC4</f>
        <v>0</v>
      </c>
      <c r="FC5" s="50">
        <f>Participantes!DD4</f>
        <v>2</v>
      </c>
      <c r="FD5" s="50" t="str">
        <f t="shared" si="52"/>
        <v/>
      </c>
      <c r="FE5" s="50">
        <f>Participantes!DE4</f>
        <v>1</v>
      </c>
      <c r="FF5" s="50">
        <f>Participantes!DF4</f>
        <v>1</v>
      </c>
      <c r="FG5" s="50" t="str">
        <f t="shared" si="53"/>
        <v/>
      </c>
      <c r="FH5" s="50">
        <f>Participantes!DG4</f>
        <v>0</v>
      </c>
      <c r="FI5" s="50">
        <f>Participantes!DH4</f>
        <v>2</v>
      </c>
      <c r="FJ5" s="50" t="str">
        <f t="shared" si="54"/>
        <v/>
      </c>
      <c r="FK5" s="50">
        <f>Participantes!DI4</f>
        <v>1</v>
      </c>
      <c r="FL5" s="50">
        <f>Participantes!DJ4</f>
        <v>3</v>
      </c>
      <c r="FM5" s="50" t="str">
        <f t="shared" si="55"/>
        <v/>
      </c>
      <c r="FN5" s="50">
        <f>Participantes!DK4</f>
        <v>2</v>
      </c>
      <c r="FO5" s="50">
        <f>Participantes!DL4</f>
        <v>2</v>
      </c>
      <c r="FP5" s="50" t="str">
        <f t="shared" si="56"/>
        <v/>
      </c>
      <c r="FQ5" s="50">
        <f>Participantes!DM4</f>
        <v>0</v>
      </c>
      <c r="FR5" s="50">
        <f>Participantes!DN4</f>
        <v>3</v>
      </c>
      <c r="FS5" s="50" t="str">
        <f t="shared" si="57"/>
        <v/>
      </c>
      <c r="FT5" s="50">
        <f>Participantes!DO4</f>
        <v>2</v>
      </c>
      <c r="FU5" s="50">
        <f>Participantes!DP4</f>
        <v>1</v>
      </c>
      <c r="FV5" s="50" t="str">
        <f t="shared" si="58"/>
        <v/>
      </c>
      <c r="FW5" s="50">
        <f>Participantes!DQ4</f>
        <v>1</v>
      </c>
      <c r="FX5" s="50">
        <f>Participantes!DR4</f>
        <v>1</v>
      </c>
      <c r="FY5" s="50" t="str">
        <f t="shared" si="59"/>
        <v/>
      </c>
      <c r="FZ5" s="50">
        <f>Participantes!DS4</f>
        <v>2</v>
      </c>
      <c r="GA5" s="50">
        <f>Participantes!DT4</f>
        <v>2</v>
      </c>
      <c r="GB5" s="50" t="str">
        <f t="shared" si="60"/>
        <v/>
      </c>
      <c r="GC5" s="50">
        <f>Participantes!DU4</f>
        <v>1</v>
      </c>
      <c r="GD5" s="50">
        <f>Participantes!DV4</f>
        <v>1</v>
      </c>
      <c r="GE5" s="50" t="str">
        <f t="shared" si="61"/>
        <v/>
      </c>
      <c r="GF5" s="50">
        <f>Participantes!DW4</f>
        <v>3</v>
      </c>
      <c r="GG5" s="50">
        <f>Participantes!DX4</f>
        <v>0</v>
      </c>
      <c r="GH5" s="50" t="str">
        <f t="shared" si="62"/>
        <v/>
      </c>
      <c r="GI5" s="50">
        <f>Participantes!DY4</f>
        <v>0</v>
      </c>
      <c r="GJ5" s="50">
        <f>Participantes!DZ4</f>
        <v>3</v>
      </c>
      <c r="GK5" s="50" t="str">
        <f t="shared" si="63"/>
        <v/>
      </c>
      <c r="GL5" s="50">
        <f>Participantes!EA4</f>
        <v>0</v>
      </c>
      <c r="GM5" s="50">
        <f>Participantes!EB4</f>
        <v>1</v>
      </c>
      <c r="GN5" s="50" t="str">
        <f t="shared" si="64"/>
        <v/>
      </c>
      <c r="GO5" s="50">
        <f>Participantes!EC4</f>
        <v>1</v>
      </c>
      <c r="GP5" s="50">
        <f>Participantes!ED4</f>
        <v>2</v>
      </c>
      <c r="GQ5" s="50" t="str">
        <f t="shared" si="65"/>
        <v/>
      </c>
      <c r="GR5" s="50">
        <f>Participantes!EE4</f>
        <v>0</v>
      </c>
      <c r="GS5" s="50">
        <f>Participantes!EF4</f>
        <v>3</v>
      </c>
      <c r="GT5" s="50" t="str">
        <f t="shared" si="66"/>
        <v/>
      </c>
      <c r="GU5" s="50">
        <f>Participantes!EG4</f>
        <v>2</v>
      </c>
      <c r="GV5" s="50">
        <f>Participantes!EH4</f>
        <v>0</v>
      </c>
      <c r="GW5" s="50" t="str">
        <f t="shared" si="67"/>
        <v/>
      </c>
      <c r="GX5" s="50">
        <f>Participantes!EI4</f>
        <v>1</v>
      </c>
      <c r="GY5" s="50">
        <f>Participantes!EJ4</f>
        <v>2</v>
      </c>
      <c r="GZ5" s="50" t="str">
        <f t="shared" si="68"/>
        <v/>
      </c>
      <c r="HA5" s="50">
        <f>Participantes!EK4</f>
        <v>0</v>
      </c>
      <c r="HB5" s="50">
        <f>Participantes!EL4</f>
        <v>2</v>
      </c>
      <c r="HC5" s="50" t="str">
        <f t="shared" si="69"/>
        <v/>
      </c>
      <c r="HD5" s="50">
        <f>Participantes!EM4</f>
        <v>1</v>
      </c>
      <c r="HE5" s="50">
        <f>Participantes!EN4</f>
        <v>1</v>
      </c>
      <c r="HF5" s="50" t="str">
        <f t="shared" si="70"/>
        <v/>
      </c>
      <c r="HG5" s="50">
        <f>Participantes!EO4</f>
        <v>1</v>
      </c>
      <c r="HH5" s="50">
        <f>Participantes!EP4</f>
        <v>1</v>
      </c>
      <c r="HI5" s="50" t="str">
        <f t="shared" si="71"/>
        <v/>
      </c>
      <c r="HJ5" s="51">
        <f t="shared" si="72"/>
        <v>1</v>
      </c>
    </row>
    <row r="6" spans="1:218" ht="15" customHeight="1" x14ac:dyDescent="0.25">
      <c r="A6" s="49" t="str">
        <f>Participantes!B5</f>
        <v>Alfredo 2</v>
      </c>
      <c r="B6" s="50">
        <f>Participantes!C5</f>
        <v>2</v>
      </c>
      <c r="C6" s="50">
        <f>Participantes!D5</f>
        <v>0</v>
      </c>
      <c r="D6" s="50">
        <f t="shared" si="0"/>
        <v>3</v>
      </c>
      <c r="E6" s="50">
        <f>Participantes!E5</f>
        <v>0</v>
      </c>
      <c r="F6" s="50">
        <f>Participantes!F5</f>
        <v>1</v>
      </c>
      <c r="G6" s="50">
        <f t="shared" si="1"/>
        <v>0</v>
      </c>
      <c r="H6" s="50">
        <f>Participantes!G5</f>
        <v>2</v>
      </c>
      <c r="I6" s="50">
        <f>Participantes!H5</f>
        <v>0</v>
      </c>
      <c r="J6" s="50" t="str">
        <f t="shared" si="2"/>
        <v/>
      </c>
      <c r="K6" s="50">
        <f>Participantes!I5</f>
        <v>2</v>
      </c>
      <c r="L6" s="50">
        <f>Participantes!J5</f>
        <v>0</v>
      </c>
      <c r="M6" s="50" t="str">
        <f t="shared" si="3"/>
        <v/>
      </c>
      <c r="N6" s="50">
        <f>Participantes!K5</f>
        <v>0</v>
      </c>
      <c r="O6" s="50">
        <f>Participantes!L5</f>
        <v>1</v>
      </c>
      <c r="P6" s="50" t="str">
        <f t="shared" si="4"/>
        <v/>
      </c>
      <c r="Q6" s="50">
        <f>Participantes!M5</f>
        <v>0</v>
      </c>
      <c r="R6" s="50">
        <f>Participantes!N5</f>
        <v>2</v>
      </c>
      <c r="S6" s="50" t="str">
        <f t="shared" si="5"/>
        <v/>
      </c>
      <c r="T6" s="50">
        <f>Participantes!O5</f>
        <v>2</v>
      </c>
      <c r="U6" s="50">
        <f>Participantes!P5</f>
        <v>1</v>
      </c>
      <c r="V6" s="50" t="str">
        <f t="shared" si="6"/>
        <v/>
      </c>
      <c r="W6" s="50">
        <f>Participantes!Q5</f>
        <v>0</v>
      </c>
      <c r="X6" s="50">
        <f>Participantes!R5</f>
        <v>2</v>
      </c>
      <c r="Y6" s="50" t="str">
        <f t="shared" si="7"/>
        <v/>
      </c>
      <c r="Z6" s="50">
        <f>Participantes!S5</f>
        <v>0</v>
      </c>
      <c r="AA6" s="50">
        <f>Participantes!T5</f>
        <v>1</v>
      </c>
      <c r="AB6" s="50" t="str">
        <f t="shared" si="8"/>
        <v/>
      </c>
      <c r="AC6" s="50">
        <f>Participantes!U5</f>
        <v>3</v>
      </c>
      <c r="AD6" s="50">
        <f>Participantes!V5</f>
        <v>0</v>
      </c>
      <c r="AE6" s="50" t="str">
        <f t="shared" si="9"/>
        <v/>
      </c>
      <c r="AF6" s="50">
        <f>Participantes!W5</f>
        <v>2</v>
      </c>
      <c r="AG6" s="50">
        <f>Participantes!X5</f>
        <v>2</v>
      </c>
      <c r="AH6" s="50" t="str">
        <f t="shared" si="10"/>
        <v/>
      </c>
      <c r="AI6" s="50">
        <f>Participantes!Y5</f>
        <v>2</v>
      </c>
      <c r="AJ6" s="50">
        <f>Participantes!Z5</f>
        <v>1</v>
      </c>
      <c r="AK6" s="50" t="str">
        <f t="shared" si="11"/>
        <v/>
      </c>
      <c r="AL6" s="50">
        <f>Participantes!AA5</f>
        <v>1</v>
      </c>
      <c r="AM6" s="50">
        <f>Participantes!AB5</f>
        <v>1</v>
      </c>
      <c r="AN6" s="50" t="str">
        <f t="shared" si="12"/>
        <v/>
      </c>
      <c r="AO6" s="50">
        <f>Participantes!AC5</f>
        <v>3</v>
      </c>
      <c r="AP6" s="50">
        <f>Participantes!AD5</f>
        <v>0</v>
      </c>
      <c r="AQ6" s="50" t="str">
        <f t="shared" si="13"/>
        <v/>
      </c>
      <c r="AR6" s="50">
        <f>Participantes!AE5</f>
        <v>0</v>
      </c>
      <c r="AS6" s="50">
        <f>Participantes!AF5</f>
        <v>0</v>
      </c>
      <c r="AT6" s="50" t="str">
        <f t="shared" si="14"/>
        <v/>
      </c>
      <c r="AU6" s="50">
        <f>Participantes!AG5</f>
        <v>3</v>
      </c>
      <c r="AV6" s="50">
        <f>Participantes!AH5</f>
        <v>1</v>
      </c>
      <c r="AW6" s="50" t="str">
        <f t="shared" si="15"/>
        <v/>
      </c>
      <c r="AX6" s="50">
        <f>Participantes!AI5</f>
        <v>3</v>
      </c>
      <c r="AY6" s="50">
        <f>Participantes!AJ5</f>
        <v>0</v>
      </c>
      <c r="AZ6" s="50" t="str">
        <f t="shared" si="16"/>
        <v/>
      </c>
      <c r="BA6" s="50">
        <f>Participantes!AK5</f>
        <v>0</v>
      </c>
      <c r="BB6" s="50">
        <f>Participantes!AL5</f>
        <v>2</v>
      </c>
      <c r="BC6" s="50" t="str">
        <f t="shared" si="17"/>
        <v/>
      </c>
      <c r="BD6" s="50">
        <f>Participantes!AM5</f>
        <v>2</v>
      </c>
      <c r="BE6" s="50">
        <f>Participantes!AN5</f>
        <v>1</v>
      </c>
      <c r="BF6" s="50" t="str">
        <f t="shared" si="18"/>
        <v/>
      </c>
      <c r="BG6" s="50">
        <f>Participantes!AO5</f>
        <v>1</v>
      </c>
      <c r="BH6" s="50">
        <f>Participantes!AP5</f>
        <v>0</v>
      </c>
      <c r="BI6" s="50" t="str">
        <f t="shared" si="19"/>
        <v/>
      </c>
      <c r="BJ6" s="50">
        <f>Participantes!AQ5</f>
        <v>1</v>
      </c>
      <c r="BK6" s="50">
        <f>Participantes!AR5</f>
        <v>2</v>
      </c>
      <c r="BL6" s="50" t="str">
        <f t="shared" si="20"/>
        <v/>
      </c>
      <c r="BM6" s="50">
        <f>Participantes!AS5</f>
        <v>1</v>
      </c>
      <c r="BN6" s="50">
        <f>Participantes!AT5</f>
        <v>1</v>
      </c>
      <c r="BO6" s="50" t="str">
        <f t="shared" si="21"/>
        <v/>
      </c>
      <c r="BP6" s="50">
        <f>Participantes!AU5</f>
        <v>2</v>
      </c>
      <c r="BQ6" s="50">
        <f>Participantes!AV5</f>
        <v>0</v>
      </c>
      <c r="BR6" s="50" t="str">
        <f t="shared" si="22"/>
        <v/>
      </c>
      <c r="BS6" s="50">
        <f>Participantes!AW5</f>
        <v>0</v>
      </c>
      <c r="BT6" s="50">
        <f>Participantes!AX5</f>
        <v>3</v>
      </c>
      <c r="BU6" s="50" t="str">
        <f t="shared" si="23"/>
        <v/>
      </c>
      <c r="BV6" s="50">
        <f>Participantes!AY5</f>
        <v>2</v>
      </c>
      <c r="BW6" s="50">
        <f>Participantes!AZ5</f>
        <v>1</v>
      </c>
      <c r="BX6" s="50" t="str">
        <f t="shared" si="24"/>
        <v/>
      </c>
      <c r="BY6" s="50">
        <f>Participantes!BA5</f>
        <v>2</v>
      </c>
      <c r="BZ6" s="50">
        <f>Participantes!BB5</f>
        <v>2</v>
      </c>
      <c r="CA6" s="50" t="str">
        <f t="shared" si="25"/>
        <v/>
      </c>
      <c r="CB6" s="50">
        <f>Participantes!BC5</f>
        <v>2</v>
      </c>
      <c r="CC6" s="50">
        <f>Participantes!BD5</f>
        <v>0</v>
      </c>
      <c r="CD6" s="50" t="str">
        <f t="shared" si="26"/>
        <v/>
      </c>
      <c r="CE6" s="50">
        <f>Participantes!BE5</f>
        <v>2</v>
      </c>
      <c r="CF6" s="50">
        <f>Participantes!BF5</f>
        <v>0</v>
      </c>
      <c r="CG6" s="50" t="str">
        <f t="shared" si="27"/>
        <v/>
      </c>
      <c r="CH6" s="50">
        <f>Participantes!BG5</f>
        <v>3</v>
      </c>
      <c r="CI6" s="50">
        <f>Participantes!BH5</f>
        <v>1</v>
      </c>
      <c r="CJ6" s="50" t="str">
        <f t="shared" si="28"/>
        <v/>
      </c>
      <c r="CK6" s="50">
        <f>Participantes!BI5</f>
        <v>0</v>
      </c>
      <c r="CL6" s="50">
        <f>Participantes!BJ5</f>
        <v>2</v>
      </c>
      <c r="CM6" s="50" t="str">
        <f t="shared" si="29"/>
        <v/>
      </c>
      <c r="CN6" s="50">
        <f>Participantes!BK5</f>
        <v>2</v>
      </c>
      <c r="CO6" s="50">
        <f>Participantes!BL5</f>
        <v>1</v>
      </c>
      <c r="CP6" s="50" t="str">
        <f t="shared" si="30"/>
        <v/>
      </c>
      <c r="CQ6" s="50">
        <f>Participantes!BM5</f>
        <v>3</v>
      </c>
      <c r="CR6" s="50">
        <f>Participantes!BN5</f>
        <v>0</v>
      </c>
      <c r="CS6" s="50" t="str">
        <f t="shared" si="31"/>
        <v/>
      </c>
      <c r="CT6" s="50">
        <f>Participantes!BO5</f>
        <v>4</v>
      </c>
      <c r="CU6" s="50">
        <f>Participantes!BP5</f>
        <v>1</v>
      </c>
      <c r="CV6" s="50" t="str">
        <f t="shared" si="32"/>
        <v/>
      </c>
      <c r="CW6" s="50">
        <f>Participantes!BQ5</f>
        <v>2</v>
      </c>
      <c r="CX6" s="50">
        <f>Participantes!BR5</f>
        <v>0</v>
      </c>
      <c r="CY6" s="50" t="str">
        <f t="shared" si="33"/>
        <v/>
      </c>
      <c r="CZ6" s="50">
        <f>Participantes!BS5</f>
        <v>1</v>
      </c>
      <c r="DA6" s="50">
        <f>Participantes!BT5</f>
        <v>1</v>
      </c>
      <c r="DB6" s="50" t="str">
        <f t="shared" si="34"/>
        <v/>
      </c>
      <c r="DC6" s="50">
        <f>Participantes!BU5</f>
        <v>0</v>
      </c>
      <c r="DD6" s="50">
        <f>Participantes!BV5</f>
        <v>2</v>
      </c>
      <c r="DE6" s="50" t="str">
        <f t="shared" si="35"/>
        <v/>
      </c>
      <c r="DF6" s="50">
        <f>Participantes!BW5</f>
        <v>2</v>
      </c>
      <c r="DG6" s="50">
        <f>Participantes!BX5</f>
        <v>0</v>
      </c>
      <c r="DH6" s="50" t="str">
        <f t="shared" si="36"/>
        <v/>
      </c>
      <c r="DI6" s="50">
        <f>Participantes!BY5</f>
        <v>3</v>
      </c>
      <c r="DJ6" s="50">
        <f>Participantes!BZ5</f>
        <v>1</v>
      </c>
      <c r="DK6" s="50" t="str">
        <f t="shared" si="37"/>
        <v/>
      </c>
      <c r="DL6" s="50">
        <f>Participantes!CA5</f>
        <v>3</v>
      </c>
      <c r="DM6" s="50">
        <f>Participantes!CB5</f>
        <v>0</v>
      </c>
      <c r="DN6" s="50" t="str">
        <f t="shared" si="38"/>
        <v/>
      </c>
      <c r="DO6" s="50">
        <f>Participantes!CC5</f>
        <v>0</v>
      </c>
      <c r="DP6" s="50">
        <f>Participantes!CD5</f>
        <v>3</v>
      </c>
      <c r="DQ6" s="50" t="str">
        <f t="shared" si="39"/>
        <v/>
      </c>
      <c r="DR6" s="50">
        <f>Participantes!CE5</f>
        <v>4</v>
      </c>
      <c r="DS6" s="50">
        <f>Participantes!CF5</f>
        <v>1</v>
      </c>
      <c r="DT6" s="50" t="str">
        <f t="shared" si="40"/>
        <v/>
      </c>
      <c r="DU6" s="50">
        <f>Participantes!CG5</f>
        <v>3</v>
      </c>
      <c r="DV6" s="50">
        <f>Participantes!CH5</f>
        <v>0</v>
      </c>
      <c r="DW6" s="50" t="str">
        <f t="shared" si="41"/>
        <v/>
      </c>
      <c r="DX6" s="50">
        <f>Participantes!CI5</f>
        <v>2</v>
      </c>
      <c r="DY6" s="50">
        <f>Participantes!CJ5</f>
        <v>1</v>
      </c>
      <c r="DZ6" s="50" t="str">
        <f t="shared" si="42"/>
        <v/>
      </c>
      <c r="EA6" s="50">
        <f>Participantes!CK5</f>
        <v>0</v>
      </c>
      <c r="EB6" s="50">
        <f>Participantes!CL5</f>
        <v>2</v>
      </c>
      <c r="EC6" s="50" t="str">
        <f t="shared" si="43"/>
        <v/>
      </c>
      <c r="ED6" s="50">
        <f>Participantes!CM5</f>
        <v>3</v>
      </c>
      <c r="EE6" s="50">
        <f>Participantes!CN5</f>
        <v>0</v>
      </c>
      <c r="EF6" s="50" t="str">
        <f t="shared" si="44"/>
        <v/>
      </c>
      <c r="EG6" s="50">
        <f>Participantes!CO5</f>
        <v>1</v>
      </c>
      <c r="EH6" s="50">
        <f>Participantes!CP5</f>
        <v>1</v>
      </c>
      <c r="EI6" s="50" t="str">
        <f t="shared" si="45"/>
        <v/>
      </c>
      <c r="EJ6" s="50">
        <f>Participantes!CQ5</f>
        <v>3</v>
      </c>
      <c r="EK6" s="50">
        <f>Participantes!CR5</f>
        <v>0</v>
      </c>
      <c r="EL6" s="50" t="str">
        <f t="shared" si="46"/>
        <v/>
      </c>
      <c r="EM6" s="50">
        <f>Participantes!CS5</f>
        <v>3</v>
      </c>
      <c r="EN6" s="50">
        <f>Participantes!CT5</f>
        <v>0</v>
      </c>
      <c r="EO6" s="50" t="str">
        <f t="shared" si="47"/>
        <v/>
      </c>
      <c r="EP6" s="50">
        <f>Participantes!CU5</f>
        <v>0</v>
      </c>
      <c r="EQ6" s="50">
        <f>Participantes!CV5</f>
        <v>3</v>
      </c>
      <c r="ER6" s="50" t="str">
        <f t="shared" si="48"/>
        <v/>
      </c>
      <c r="ES6" s="50">
        <f>Participantes!CW5</f>
        <v>2</v>
      </c>
      <c r="ET6" s="50">
        <f>Participantes!CX5</f>
        <v>0</v>
      </c>
      <c r="EU6" s="50" t="str">
        <f t="shared" si="49"/>
        <v/>
      </c>
      <c r="EV6" s="50">
        <f>Participantes!CY5</f>
        <v>1</v>
      </c>
      <c r="EW6" s="50">
        <f>Participantes!CZ5</f>
        <v>1</v>
      </c>
      <c r="EX6" s="50" t="str">
        <f t="shared" si="50"/>
        <v/>
      </c>
      <c r="EY6" s="50">
        <f>Participantes!DA5</f>
        <v>1</v>
      </c>
      <c r="EZ6" s="50">
        <f>Participantes!DB5</f>
        <v>0</v>
      </c>
      <c r="FA6" s="50" t="str">
        <f t="shared" si="51"/>
        <v/>
      </c>
      <c r="FB6" s="50">
        <f>Participantes!DC5</f>
        <v>1</v>
      </c>
      <c r="FC6" s="50">
        <f>Participantes!DD5</f>
        <v>2</v>
      </c>
      <c r="FD6" s="50" t="str">
        <f t="shared" si="52"/>
        <v/>
      </c>
      <c r="FE6" s="50">
        <f>Participantes!DE5</f>
        <v>0</v>
      </c>
      <c r="FF6" s="50">
        <f>Participantes!DF5</f>
        <v>1</v>
      </c>
      <c r="FG6" s="50" t="str">
        <f t="shared" si="53"/>
        <v/>
      </c>
      <c r="FH6" s="50">
        <f>Participantes!DG5</f>
        <v>0</v>
      </c>
      <c r="FI6" s="50">
        <f>Participantes!DH5</f>
        <v>1</v>
      </c>
      <c r="FJ6" s="50" t="str">
        <f t="shared" si="54"/>
        <v/>
      </c>
      <c r="FK6" s="50">
        <f>Participantes!DI5</f>
        <v>1</v>
      </c>
      <c r="FL6" s="50">
        <f>Participantes!DJ5</f>
        <v>2</v>
      </c>
      <c r="FM6" s="50" t="str">
        <f t="shared" si="55"/>
        <v/>
      </c>
      <c r="FN6" s="50">
        <f>Participantes!DK5</f>
        <v>2</v>
      </c>
      <c r="FO6" s="50">
        <f>Participantes!DL5</f>
        <v>2</v>
      </c>
      <c r="FP6" s="50" t="str">
        <f t="shared" si="56"/>
        <v/>
      </c>
      <c r="FQ6" s="50">
        <f>Participantes!DM5</f>
        <v>0</v>
      </c>
      <c r="FR6" s="50">
        <f>Participantes!DN5</f>
        <v>2</v>
      </c>
      <c r="FS6" s="50" t="str">
        <f t="shared" si="57"/>
        <v/>
      </c>
      <c r="FT6" s="50">
        <f>Participantes!DO5</f>
        <v>1</v>
      </c>
      <c r="FU6" s="50">
        <f>Participantes!DP5</f>
        <v>1</v>
      </c>
      <c r="FV6" s="50" t="str">
        <f t="shared" si="58"/>
        <v/>
      </c>
      <c r="FW6" s="50">
        <f>Participantes!DQ5</f>
        <v>1</v>
      </c>
      <c r="FX6" s="50">
        <f>Participantes!DR5</f>
        <v>0</v>
      </c>
      <c r="FY6" s="50" t="str">
        <f t="shared" si="59"/>
        <v/>
      </c>
      <c r="FZ6" s="50">
        <f>Participantes!DS5</f>
        <v>2</v>
      </c>
      <c r="GA6" s="50">
        <f>Participantes!DT5</f>
        <v>2</v>
      </c>
      <c r="GB6" s="50" t="str">
        <f t="shared" si="60"/>
        <v/>
      </c>
      <c r="GC6" s="50">
        <f>Participantes!DU5</f>
        <v>1</v>
      </c>
      <c r="GD6" s="50">
        <f>Participantes!DV5</f>
        <v>0</v>
      </c>
      <c r="GE6" s="50" t="str">
        <f t="shared" si="61"/>
        <v/>
      </c>
      <c r="GF6" s="50">
        <f>Participantes!DW5</f>
        <v>2</v>
      </c>
      <c r="GG6" s="50">
        <f>Participantes!DX5</f>
        <v>0</v>
      </c>
      <c r="GH6" s="50" t="str">
        <f t="shared" si="62"/>
        <v/>
      </c>
      <c r="GI6" s="50">
        <f>Participantes!DY5</f>
        <v>0</v>
      </c>
      <c r="GJ6" s="50">
        <f>Participantes!DZ5</f>
        <v>4</v>
      </c>
      <c r="GK6" s="50" t="str">
        <f t="shared" si="63"/>
        <v/>
      </c>
      <c r="GL6" s="50">
        <f>Participantes!EA5</f>
        <v>0</v>
      </c>
      <c r="GM6" s="50">
        <f>Participantes!EB5</f>
        <v>2</v>
      </c>
      <c r="GN6" s="50" t="str">
        <f t="shared" si="64"/>
        <v/>
      </c>
      <c r="GO6" s="50">
        <f>Participantes!EC5</f>
        <v>1</v>
      </c>
      <c r="GP6" s="50">
        <f>Participantes!ED5</f>
        <v>3</v>
      </c>
      <c r="GQ6" s="50" t="str">
        <f t="shared" si="65"/>
        <v/>
      </c>
      <c r="GR6" s="50">
        <f>Participantes!EE5</f>
        <v>1</v>
      </c>
      <c r="GS6" s="50">
        <f>Participantes!EF5</f>
        <v>4</v>
      </c>
      <c r="GT6" s="50" t="str">
        <f t="shared" si="66"/>
        <v/>
      </c>
      <c r="GU6" s="50">
        <f>Participantes!EG5</f>
        <v>2</v>
      </c>
      <c r="GV6" s="50">
        <f>Participantes!EH5</f>
        <v>1</v>
      </c>
      <c r="GW6" s="50" t="str">
        <f t="shared" si="67"/>
        <v/>
      </c>
      <c r="GX6" s="50">
        <f>Participantes!EI5</f>
        <v>1</v>
      </c>
      <c r="GY6" s="50">
        <f>Participantes!EJ5</f>
        <v>1</v>
      </c>
      <c r="GZ6" s="50" t="str">
        <f t="shared" si="68"/>
        <v/>
      </c>
      <c r="HA6" s="50">
        <f>Participantes!EK5</f>
        <v>0</v>
      </c>
      <c r="HB6" s="50">
        <f>Participantes!EL5</f>
        <v>3</v>
      </c>
      <c r="HC6" s="50" t="str">
        <f t="shared" si="69"/>
        <v/>
      </c>
      <c r="HD6" s="50">
        <f>Participantes!EM5</f>
        <v>2</v>
      </c>
      <c r="HE6" s="50">
        <f>Participantes!EN5</f>
        <v>2</v>
      </c>
      <c r="HF6" s="50" t="str">
        <f t="shared" si="70"/>
        <v/>
      </c>
      <c r="HG6" s="50">
        <f>Participantes!EO5</f>
        <v>0</v>
      </c>
      <c r="HH6" s="50">
        <f>Participantes!EP5</f>
        <v>0</v>
      </c>
      <c r="HI6" s="50" t="str">
        <f t="shared" si="71"/>
        <v/>
      </c>
      <c r="HJ6" s="51">
        <f t="shared" si="72"/>
        <v>3</v>
      </c>
    </row>
    <row r="7" spans="1:218" ht="15" customHeight="1" x14ac:dyDescent="0.25">
      <c r="A7" s="49" t="str">
        <f>Participantes!B6</f>
        <v>Aneth</v>
      </c>
      <c r="B7" s="50">
        <f>Participantes!C6</f>
        <v>2</v>
      </c>
      <c r="C7" s="50">
        <f>Participantes!D6</f>
        <v>0</v>
      </c>
      <c r="D7" s="50">
        <f t="shared" si="0"/>
        <v>3</v>
      </c>
      <c r="E7" s="50">
        <f>Participantes!E6</f>
        <v>1</v>
      </c>
      <c r="F7" s="50">
        <f>Participantes!F6</f>
        <v>1</v>
      </c>
      <c r="G7" s="50">
        <f t="shared" si="1"/>
        <v>0</v>
      </c>
      <c r="H7" s="50">
        <f>Participantes!G6</f>
        <v>2</v>
      </c>
      <c r="I7" s="50">
        <f>Participantes!H6</f>
        <v>1</v>
      </c>
      <c r="J7" s="50" t="str">
        <f t="shared" si="2"/>
        <v/>
      </c>
      <c r="K7" s="50">
        <f>Participantes!I6</f>
        <v>2</v>
      </c>
      <c r="L7" s="50">
        <f>Participantes!J6</f>
        <v>1</v>
      </c>
      <c r="M7" s="50" t="str">
        <f t="shared" si="3"/>
        <v/>
      </c>
      <c r="N7" s="50">
        <f>Participantes!K6</f>
        <v>2</v>
      </c>
      <c r="O7" s="50">
        <f>Participantes!L6</f>
        <v>0</v>
      </c>
      <c r="P7" s="50" t="str">
        <f t="shared" si="4"/>
        <v/>
      </c>
      <c r="Q7" s="50">
        <f>Participantes!M6</f>
        <v>1</v>
      </c>
      <c r="R7" s="50">
        <f>Participantes!N6</f>
        <v>1</v>
      </c>
      <c r="S7" s="50" t="str">
        <f t="shared" si="5"/>
        <v/>
      </c>
      <c r="T7" s="50">
        <f>Participantes!O6</f>
        <v>2</v>
      </c>
      <c r="U7" s="50">
        <f>Participantes!P6</f>
        <v>1</v>
      </c>
      <c r="V7" s="50" t="str">
        <f t="shared" si="6"/>
        <v/>
      </c>
      <c r="W7" s="50">
        <f>Participantes!Q6</f>
        <v>2</v>
      </c>
      <c r="X7" s="50">
        <f>Participantes!R6</f>
        <v>0</v>
      </c>
      <c r="Y7" s="50" t="str">
        <f t="shared" si="7"/>
        <v/>
      </c>
      <c r="Z7" s="50">
        <f>Participantes!S6</f>
        <v>1</v>
      </c>
      <c r="AA7" s="50">
        <f>Participantes!T6</f>
        <v>1</v>
      </c>
      <c r="AB7" s="50" t="str">
        <f t="shared" si="8"/>
        <v/>
      </c>
      <c r="AC7" s="50">
        <f>Participantes!U6</f>
        <v>4</v>
      </c>
      <c r="AD7" s="50">
        <f>Participantes!V6</f>
        <v>0</v>
      </c>
      <c r="AE7" s="50" t="str">
        <f t="shared" si="9"/>
        <v/>
      </c>
      <c r="AF7" s="50">
        <f>Participantes!W6</f>
        <v>2</v>
      </c>
      <c r="AG7" s="50">
        <f>Participantes!X6</f>
        <v>1</v>
      </c>
      <c r="AH7" s="50" t="str">
        <f t="shared" si="10"/>
        <v/>
      </c>
      <c r="AI7" s="50">
        <f>Participantes!Y6</f>
        <v>1</v>
      </c>
      <c r="AJ7" s="50">
        <f>Participantes!Z6</f>
        <v>0</v>
      </c>
      <c r="AK7" s="50" t="str">
        <f t="shared" si="11"/>
        <v/>
      </c>
      <c r="AL7" s="50">
        <f>Participantes!AA6</f>
        <v>3</v>
      </c>
      <c r="AM7" s="50">
        <f>Participantes!AB6</f>
        <v>0</v>
      </c>
      <c r="AN7" s="50" t="str">
        <f t="shared" si="12"/>
        <v/>
      </c>
      <c r="AO7" s="50">
        <f>Participantes!AC6</f>
        <v>3</v>
      </c>
      <c r="AP7" s="50">
        <f>Participantes!AD6</f>
        <v>0</v>
      </c>
      <c r="AQ7" s="50" t="str">
        <f t="shared" si="13"/>
        <v/>
      </c>
      <c r="AR7" s="50">
        <f>Participantes!AE6</f>
        <v>2</v>
      </c>
      <c r="AS7" s="50">
        <f>Participantes!AF6</f>
        <v>0</v>
      </c>
      <c r="AT7" s="50" t="str">
        <f t="shared" si="14"/>
        <v/>
      </c>
      <c r="AU7" s="50">
        <f>Participantes!AG6</f>
        <v>2</v>
      </c>
      <c r="AV7" s="50">
        <f>Participantes!AH6</f>
        <v>1</v>
      </c>
      <c r="AW7" s="50" t="str">
        <f t="shared" si="15"/>
        <v/>
      </c>
      <c r="AX7" s="50">
        <f>Participantes!AI6</f>
        <v>2</v>
      </c>
      <c r="AY7" s="50">
        <f>Participantes!AJ6</f>
        <v>1</v>
      </c>
      <c r="AZ7" s="50" t="str">
        <f t="shared" si="16"/>
        <v/>
      </c>
      <c r="BA7" s="50">
        <f>Participantes!AK6</f>
        <v>2</v>
      </c>
      <c r="BB7" s="50">
        <f>Participantes!AL6</f>
        <v>0</v>
      </c>
      <c r="BC7" s="50" t="str">
        <f t="shared" si="17"/>
        <v/>
      </c>
      <c r="BD7" s="50">
        <f>Participantes!AM6</f>
        <v>3</v>
      </c>
      <c r="BE7" s="50">
        <f>Participantes!AN6</f>
        <v>0</v>
      </c>
      <c r="BF7" s="50" t="str">
        <f t="shared" si="18"/>
        <v/>
      </c>
      <c r="BG7" s="50">
        <f>Participantes!AO6</f>
        <v>2</v>
      </c>
      <c r="BH7" s="50">
        <f>Participantes!AP6</f>
        <v>0</v>
      </c>
      <c r="BI7" s="50" t="str">
        <f t="shared" si="19"/>
        <v/>
      </c>
      <c r="BJ7" s="50">
        <f>Participantes!AQ6</f>
        <v>1</v>
      </c>
      <c r="BK7" s="50">
        <f>Participantes!AR6</f>
        <v>1</v>
      </c>
      <c r="BL7" s="50" t="str">
        <f t="shared" si="20"/>
        <v/>
      </c>
      <c r="BM7" s="50">
        <f>Participantes!AS6</f>
        <v>2</v>
      </c>
      <c r="BN7" s="50">
        <f>Participantes!AT6</f>
        <v>1</v>
      </c>
      <c r="BO7" s="50" t="str">
        <f t="shared" si="21"/>
        <v/>
      </c>
      <c r="BP7" s="50">
        <f>Participantes!AU6</f>
        <v>3</v>
      </c>
      <c r="BQ7" s="50">
        <f>Participantes!AV6</f>
        <v>0</v>
      </c>
      <c r="BR7" s="50" t="str">
        <f t="shared" si="22"/>
        <v/>
      </c>
      <c r="BS7" s="50">
        <f>Participantes!AW6</f>
        <v>2</v>
      </c>
      <c r="BT7" s="50">
        <f>Participantes!AX6</f>
        <v>0</v>
      </c>
      <c r="BU7" s="50" t="str">
        <f t="shared" si="23"/>
        <v/>
      </c>
      <c r="BV7" s="50">
        <f>Participantes!AY6</f>
        <v>2</v>
      </c>
      <c r="BW7" s="50">
        <f>Participantes!AZ6</f>
        <v>1</v>
      </c>
      <c r="BX7" s="50" t="str">
        <f t="shared" si="24"/>
        <v/>
      </c>
      <c r="BY7" s="50">
        <f>Participantes!BA6</f>
        <v>2</v>
      </c>
      <c r="BZ7" s="50">
        <f>Participantes!BB6</f>
        <v>0</v>
      </c>
      <c r="CA7" s="50" t="str">
        <f t="shared" si="25"/>
        <v/>
      </c>
      <c r="CB7" s="50">
        <f>Participantes!BC6</f>
        <v>1</v>
      </c>
      <c r="CC7" s="50">
        <f>Participantes!BD6</f>
        <v>1</v>
      </c>
      <c r="CD7" s="50" t="str">
        <f t="shared" si="26"/>
        <v/>
      </c>
      <c r="CE7" s="50">
        <f>Participantes!BE6</f>
        <v>2</v>
      </c>
      <c r="CF7" s="50">
        <f>Participantes!BF6</f>
        <v>1</v>
      </c>
      <c r="CG7" s="50" t="str">
        <f t="shared" si="27"/>
        <v/>
      </c>
      <c r="CH7" s="50">
        <f>Participantes!BG6</f>
        <v>0</v>
      </c>
      <c r="CI7" s="50">
        <f>Participantes!BH6</f>
        <v>0</v>
      </c>
      <c r="CJ7" s="50" t="str">
        <f t="shared" si="28"/>
        <v/>
      </c>
      <c r="CK7" s="50">
        <f>Participantes!BI6</f>
        <v>0</v>
      </c>
      <c r="CL7" s="50">
        <f>Participantes!BJ6</f>
        <v>0</v>
      </c>
      <c r="CM7" s="50" t="str">
        <f t="shared" si="29"/>
        <v/>
      </c>
      <c r="CN7" s="50">
        <f>Participantes!BK6</f>
        <v>0</v>
      </c>
      <c r="CO7" s="50">
        <f>Participantes!BL6</f>
        <v>0</v>
      </c>
      <c r="CP7" s="50" t="str">
        <f t="shared" si="30"/>
        <v/>
      </c>
      <c r="CQ7" s="50">
        <f>Participantes!BM6</f>
        <v>0</v>
      </c>
      <c r="CR7" s="50">
        <f>Participantes!BN6</f>
        <v>0</v>
      </c>
      <c r="CS7" s="50" t="str">
        <f t="shared" si="31"/>
        <v/>
      </c>
      <c r="CT7" s="50">
        <f>Participantes!BO6</f>
        <v>0</v>
      </c>
      <c r="CU7" s="50">
        <f>Participantes!BP6</f>
        <v>0</v>
      </c>
      <c r="CV7" s="50" t="str">
        <f t="shared" si="32"/>
        <v/>
      </c>
      <c r="CW7" s="50">
        <f>Participantes!BQ6</f>
        <v>0</v>
      </c>
      <c r="CX7" s="50">
        <f>Participantes!BR6</f>
        <v>0</v>
      </c>
      <c r="CY7" s="50" t="str">
        <f t="shared" si="33"/>
        <v/>
      </c>
      <c r="CZ7" s="50">
        <f>Participantes!BS6</f>
        <v>0</v>
      </c>
      <c r="DA7" s="50">
        <f>Participantes!BT6</f>
        <v>0</v>
      </c>
      <c r="DB7" s="50" t="str">
        <f t="shared" si="34"/>
        <v/>
      </c>
      <c r="DC7" s="50">
        <f>Participantes!BU6</f>
        <v>0</v>
      </c>
      <c r="DD7" s="50">
        <f>Participantes!BV6</f>
        <v>0</v>
      </c>
      <c r="DE7" s="50" t="str">
        <f t="shared" si="35"/>
        <v/>
      </c>
      <c r="DF7" s="50">
        <f>Participantes!BW6</f>
        <v>0</v>
      </c>
      <c r="DG7" s="50">
        <f>Participantes!BX6</f>
        <v>0</v>
      </c>
      <c r="DH7" s="50" t="str">
        <f t="shared" si="36"/>
        <v/>
      </c>
      <c r="DI7" s="50">
        <f>Participantes!BY6</f>
        <v>0</v>
      </c>
      <c r="DJ7" s="50">
        <f>Participantes!BZ6</f>
        <v>0</v>
      </c>
      <c r="DK7" s="50" t="str">
        <f t="shared" si="37"/>
        <v/>
      </c>
      <c r="DL7" s="50">
        <f>Participantes!CA6</f>
        <v>0</v>
      </c>
      <c r="DM7" s="50">
        <f>Participantes!CB6</f>
        <v>0</v>
      </c>
      <c r="DN7" s="50" t="str">
        <f t="shared" si="38"/>
        <v/>
      </c>
      <c r="DO7" s="50">
        <f>Participantes!CC6</f>
        <v>0</v>
      </c>
      <c r="DP7" s="50">
        <f>Participantes!CD6</f>
        <v>0</v>
      </c>
      <c r="DQ7" s="50" t="str">
        <f t="shared" si="39"/>
        <v/>
      </c>
      <c r="DR7" s="50">
        <f>Participantes!CE6</f>
        <v>0</v>
      </c>
      <c r="DS7" s="50">
        <f>Participantes!CF6</f>
        <v>0</v>
      </c>
      <c r="DT7" s="50" t="str">
        <f t="shared" si="40"/>
        <v/>
      </c>
      <c r="DU7" s="50">
        <f>Participantes!CG6</f>
        <v>0</v>
      </c>
      <c r="DV7" s="50">
        <f>Participantes!CH6</f>
        <v>0</v>
      </c>
      <c r="DW7" s="50" t="str">
        <f t="shared" si="41"/>
        <v/>
      </c>
      <c r="DX7" s="50">
        <f>Participantes!CI6</f>
        <v>0</v>
      </c>
      <c r="DY7" s="50">
        <f>Participantes!CJ6</f>
        <v>0</v>
      </c>
      <c r="DZ7" s="50" t="str">
        <f t="shared" si="42"/>
        <v/>
      </c>
      <c r="EA7" s="50">
        <f>Participantes!CK6</f>
        <v>0</v>
      </c>
      <c r="EB7" s="50">
        <f>Participantes!CL6</f>
        <v>0</v>
      </c>
      <c r="EC7" s="50" t="str">
        <f t="shared" si="43"/>
        <v/>
      </c>
      <c r="ED7" s="50">
        <f>Participantes!CM6</f>
        <v>0</v>
      </c>
      <c r="EE7" s="50">
        <f>Participantes!CN6</f>
        <v>0</v>
      </c>
      <c r="EF7" s="50" t="str">
        <f t="shared" si="44"/>
        <v/>
      </c>
      <c r="EG7" s="50">
        <f>Participantes!CO6</f>
        <v>0</v>
      </c>
      <c r="EH7" s="50">
        <f>Participantes!CP6</f>
        <v>0</v>
      </c>
      <c r="EI7" s="50" t="str">
        <f t="shared" si="45"/>
        <v/>
      </c>
      <c r="EJ7" s="50">
        <f>Participantes!CQ6</f>
        <v>0</v>
      </c>
      <c r="EK7" s="50">
        <f>Participantes!CR6</f>
        <v>0</v>
      </c>
      <c r="EL7" s="50" t="str">
        <f t="shared" si="46"/>
        <v/>
      </c>
      <c r="EM7" s="50">
        <f>Participantes!CS6</f>
        <v>0</v>
      </c>
      <c r="EN7" s="50">
        <f>Participantes!CT6</f>
        <v>0</v>
      </c>
      <c r="EO7" s="50" t="str">
        <f t="shared" si="47"/>
        <v/>
      </c>
      <c r="EP7" s="50">
        <f>Participantes!CU6</f>
        <v>0</v>
      </c>
      <c r="EQ7" s="50">
        <f>Participantes!CV6</f>
        <v>0</v>
      </c>
      <c r="ER7" s="50" t="str">
        <f t="shared" si="48"/>
        <v/>
      </c>
      <c r="ES7" s="50">
        <f>Participantes!CW6</f>
        <v>0</v>
      </c>
      <c r="ET7" s="50">
        <f>Participantes!CX6</f>
        <v>0</v>
      </c>
      <c r="EU7" s="50" t="str">
        <f t="shared" si="49"/>
        <v/>
      </c>
      <c r="EV7" s="50">
        <f>Participantes!CY6</f>
        <v>0</v>
      </c>
      <c r="EW7" s="50">
        <f>Participantes!CZ6</f>
        <v>0</v>
      </c>
      <c r="EX7" s="50" t="str">
        <f t="shared" si="50"/>
        <v/>
      </c>
      <c r="EY7" s="50">
        <f>Participantes!DA6</f>
        <v>0</v>
      </c>
      <c r="EZ7" s="50">
        <f>Participantes!DB6</f>
        <v>0</v>
      </c>
      <c r="FA7" s="50" t="str">
        <f t="shared" si="51"/>
        <v/>
      </c>
      <c r="FB7" s="50">
        <f>Participantes!DC6</f>
        <v>0</v>
      </c>
      <c r="FC7" s="50">
        <f>Participantes!DD6</f>
        <v>0</v>
      </c>
      <c r="FD7" s="50" t="str">
        <f t="shared" si="52"/>
        <v/>
      </c>
      <c r="FE7" s="50">
        <f>Participantes!DE6</f>
        <v>0</v>
      </c>
      <c r="FF7" s="50">
        <f>Participantes!DF6</f>
        <v>0</v>
      </c>
      <c r="FG7" s="50" t="str">
        <f t="shared" si="53"/>
        <v/>
      </c>
      <c r="FH7" s="50">
        <f>Participantes!DG6</f>
        <v>0</v>
      </c>
      <c r="FI7" s="50">
        <f>Participantes!DH6</f>
        <v>0</v>
      </c>
      <c r="FJ7" s="50" t="str">
        <f t="shared" si="54"/>
        <v/>
      </c>
      <c r="FK7" s="50">
        <f>Participantes!DI6</f>
        <v>0</v>
      </c>
      <c r="FL7" s="50">
        <f>Participantes!DJ6</f>
        <v>0</v>
      </c>
      <c r="FM7" s="50" t="str">
        <f t="shared" si="55"/>
        <v/>
      </c>
      <c r="FN7" s="50">
        <f>Participantes!DK6</f>
        <v>0</v>
      </c>
      <c r="FO7" s="50">
        <f>Participantes!DL6</f>
        <v>0</v>
      </c>
      <c r="FP7" s="50" t="str">
        <f t="shared" si="56"/>
        <v/>
      </c>
      <c r="FQ7" s="50">
        <f>Participantes!DM6</f>
        <v>0</v>
      </c>
      <c r="FR7" s="50">
        <f>Participantes!DN6</f>
        <v>0</v>
      </c>
      <c r="FS7" s="50" t="str">
        <f t="shared" si="57"/>
        <v/>
      </c>
      <c r="FT7" s="50">
        <f>Participantes!DO6</f>
        <v>0</v>
      </c>
      <c r="FU7" s="50">
        <f>Participantes!DP6</f>
        <v>0</v>
      </c>
      <c r="FV7" s="50" t="str">
        <f t="shared" si="58"/>
        <v/>
      </c>
      <c r="FW7" s="50">
        <f>Participantes!DQ6</f>
        <v>0</v>
      </c>
      <c r="FX7" s="50">
        <f>Participantes!DR6</f>
        <v>0</v>
      </c>
      <c r="FY7" s="50" t="str">
        <f t="shared" si="59"/>
        <v/>
      </c>
      <c r="FZ7" s="50">
        <f>Participantes!DS6</f>
        <v>0</v>
      </c>
      <c r="GA7" s="50">
        <f>Participantes!DT6</f>
        <v>0</v>
      </c>
      <c r="GB7" s="50" t="str">
        <f t="shared" si="60"/>
        <v/>
      </c>
      <c r="GC7" s="50">
        <f>Participantes!DU6</f>
        <v>0</v>
      </c>
      <c r="GD7" s="50">
        <f>Participantes!DV6</f>
        <v>0</v>
      </c>
      <c r="GE7" s="50" t="str">
        <f t="shared" si="61"/>
        <v/>
      </c>
      <c r="GF7" s="50">
        <f>Participantes!DW6</f>
        <v>0</v>
      </c>
      <c r="GG7" s="50">
        <f>Participantes!DX6</f>
        <v>0</v>
      </c>
      <c r="GH7" s="50" t="str">
        <f t="shared" si="62"/>
        <v/>
      </c>
      <c r="GI7" s="50">
        <f>Participantes!DY6</f>
        <v>0</v>
      </c>
      <c r="GJ7" s="50">
        <f>Participantes!DZ6</f>
        <v>0</v>
      </c>
      <c r="GK7" s="50" t="str">
        <f t="shared" si="63"/>
        <v/>
      </c>
      <c r="GL7" s="50">
        <f>Participantes!EA6</f>
        <v>0</v>
      </c>
      <c r="GM7" s="50">
        <f>Participantes!EB6</f>
        <v>0</v>
      </c>
      <c r="GN7" s="50" t="str">
        <f t="shared" si="64"/>
        <v/>
      </c>
      <c r="GO7" s="50">
        <f>Participantes!EC6</f>
        <v>0</v>
      </c>
      <c r="GP7" s="50">
        <f>Participantes!ED6</f>
        <v>0</v>
      </c>
      <c r="GQ7" s="50" t="str">
        <f t="shared" si="65"/>
        <v/>
      </c>
      <c r="GR7" s="50">
        <f>Participantes!EE6</f>
        <v>0</v>
      </c>
      <c r="GS7" s="50">
        <f>Participantes!EF6</f>
        <v>0</v>
      </c>
      <c r="GT7" s="50" t="str">
        <f t="shared" si="66"/>
        <v/>
      </c>
      <c r="GU7" s="50">
        <f>Participantes!EG6</f>
        <v>0</v>
      </c>
      <c r="GV7" s="50">
        <f>Participantes!EH6</f>
        <v>0</v>
      </c>
      <c r="GW7" s="50" t="str">
        <f t="shared" si="67"/>
        <v/>
      </c>
      <c r="GX7" s="50">
        <f>Participantes!EI6</f>
        <v>0</v>
      </c>
      <c r="GY7" s="50">
        <f>Participantes!EJ6</f>
        <v>0</v>
      </c>
      <c r="GZ7" s="50" t="str">
        <f t="shared" si="68"/>
        <v/>
      </c>
      <c r="HA7" s="50">
        <f>Participantes!EK6</f>
        <v>0</v>
      </c>
      <c r="HB7" s="50">
        <f>Participantes!EL6</f>
        <v>0</v>
      </c>
      <c r="HC7" s="50" t="str">
        <f t="shared" si="69"/>
        <v/>
      </c>
      <c r="HD7" s="50">
        <f>Participantes!EM6</f>
        <v>0</v>
      </c>
      <c r="HE7" s="50">
        <f>Participantes!EN6</f>
        <v>0</v>
      </c>
      <c r="HF7" s="50" t="str">
        <f t="shared" si="70"/>
        <v/>
      </c>
      <c r="HG7" s="50">
        <f>Participantes!EO6</f>
        <v>0</v>
      </c>
      <c r="HH7" s="50">
        <f>Participantes!EP6</f>
        <v>0</v>
      </c>
      <c r="HI7" s="50" t="str">
        <f t="shared" si="71"/>
        <v/>
      </c>
      <c r="HJ7" s="51">
        <f t="shared" si="72"/>
        <v>3</v>
      </c>
    </row>
    <row r="8" spans="1:218" ht="15" customHeight="1" x14ac:dyDescent="0.25">
      <c r="A8" s="49" t="str">
        <f>Participantes!B7</f>
        <v>Antonio</v>
      </c>
      <c r="B8" s="50">
        <f>Participantes!C7</f>
        <v>2</v>
      </c>
      <c r="C8" s="50">
        <f>Participantes!D7</f>
        <v>0</v>
      </c>
      <c r="D8" s="50">
        <f t="shared" si="0"/>
        <v>3</v>
      </c>
      <c r="E8" s="50">
        <f>Participantes!E7</f>
        <v>1</v>
      </c>
      <c r="F8" s="50">
        <f>Participantes!F7</f>
        <v>1</v>
      </c>
      <c r="G8" s="50">
        <f t="shared" si="1"/>
        <v>0</v>
      </c>
      <c r="H8" s="50">
        <f>Participantes!G7</f>
        <v>3</v>
      </c>
      <c r="I8" s="50">
        <f>Participantes!H7</f>
        <v>1</v>
      </c>
      <c r="J8" s="50" t="str">
        <f t="shared" si="2"/>
        <v/>
      </c>
      <c r="K8" s="50">
        <f>Participantes!I7</f>
        <v>2</v>
      </c>
      <c r="L8" s="50">
        <f>Participantes!J7</f>
        <v>0</v>
      </c>
      <c r="M8" s="50" t="str">
        <f t="shared" si="3"/>
        <v/>
      </c>
      <c r="N8" s="50">
        <f>Participantes!K7</f>
        <v>0</v>
      </c>
      <c r="O8" s="50">
        <f>Participantes!L7</f>
        <v>3</v>
      </c>
      <c r="P8" s="50" t="str">
        <f t="shared" si="4"/>
        <v/>
      </c>
      <c r="Q8" s="50">
        <f>Participantes!M7</f>
        <v>1</v>
      </c>
      <c r="R8" s="50">
        <f>Participantes!N7</f>
        <v>2</v>
      </c>
      <c r="S8" s="50" t="str">
        <f t="shared" si="5"/>
        <v/>
      </c>
      <c r="T8" s="50">
        <f>Participantes!O7</f>
        <v>2</v>
      </c>
      <c r="U8" s="50">
        <f>Participantes!P7</f>
        <v>2</v>
      </c>
      <c r="V8" s="50" t="str">
        <f t="shared" si="6"/>
        <v/>
      </c>
      <c r="W8" s="50">
        <f>Participantes!Q7</f>
        <v>0</v>
      </c>
      <c r="X8" s="50">
        <f>Participantes!R7</f>
        <v>2</v>
      </c>
      <c r="Y8" s="50" t="str">
        <f t="shared" si="7"/>
        <v/>
      </c>
      <c r="Z8" s="50">
        <f>Participantes!S7</f>
        <v>1</v>
      </c>
      <c r="AA8" s="50">
        <f>Participantes!T7</f>
        <v>1</v>
      </c>
      <c r="AB8" s="50" t="str">
        <f t="shared" si="8"/>
        <v/>
      </c>
      <c r="AC8" s="50">
        <f>Participantes!U7</f>
        <v>4</v>
      </c>
      <c r="AD8" s="50">
        <f>Participantes!V7</f>
        <v>0</v>
      </c>
      <c r="AE8" s="50" t="str">
        <f t="shared" si="9"/>
        <v/>
      </c>
      <c r="AF8" s="50">
        <f>Participantes!W7</f>
        <v>3</v>
      </c>
      <c r="AG8" s="50">
        <f>Participantes!X7</f>
        <v>0</v>
      </c>
      <c r="AH8" s="50" t="str">
        <f t="shared" si="10"/>
        <v/>
      </c>
      <c r="AI8" s="50">
        <f>Participantes!Y7</f>
        <v>2</v>
      </c>
      <c r="AJ8" s="50">
        <f>Participantes!Z7</f>
        <v>1</v>
      </c>
      <c r="AK8" s="50" t="str">
        <f t="shared" si="11"/>
        <v/>
      </c>
      <c r="AL8" s="50">
        <f>Participantes!AA7</f>
        <v>0</v>
      </c>
      <c r="AM8" s="50">
        <f>Participantes!AB7</f>
        <v>1</v>
      </c>
      <c r="AN8" s="50" t="str">
        <f t="shared" si="12"/>
        <v/>
      </c>
      <c r="AO8" s="50">
        <f>Participantes!AC7</f>
        <v>3</v>
      </c>
      <c r="AP8" s="50">
        <f>Participantes!AD7</f>
        <v>0</v>
      </c>
      <c r="AQ8" s="50" t="str">
        <f t="shared" si="13"/>
        <v/>
      </c>
      <c r="AR8" s="50">
        <f>Participantes!AE7</f>
        <v>0</v>
      </c>
      <c r="AS8" s="50">
        <f>Participantes!AF7</f>
        <v>2</v>
      </c>
      <c r="AT8" s="50" t="str">
        <f t="shared" si="14"/>
        <v/>
      </c>
      <c r="AU8" s="50">
        <f>Participantes!AG7</f>
        <v>3</v>
      </c>
      <c r="AV8" s="50">
        <f>Participantes!AH7</f>
        <v>1</v>
      </c>
      <c r="AW8" s="50" t="str">
        <f t="shared" si="15"/>
        <v/>
      </c>
      <c r="AX8" s="50">
        <f>Participantes!AI7</f>
        <v>4</v>
      </c>
      <c r="AY8" s="50">
        <f>Participantes!AJ7</f>
        <v>0</v>
      </c>
      <c r="AZ8" s="50" t="str">
        <f t="shared" si="16"/>
        <v/>
      </c>
      <c r="BA8" s="50">
        <f>Participantes!AK7</f>
        <v>0</v>
      </c>
      <c r="BB8" s="50">
        <f>Participantes!AL7</f>
        <v>1</v>
      </c>
      <c r="BC8" s="50" t="str">
        <f t="shared" si="17"/>
        <v/>
      </c>
      <c r="BD8" s="50">
        <f>Participantes!AM7</f>
        <v>3</v>
      </c>
      <c r="BE8" s="50">
        <f>Participantes!AN7</f>
        <v>1</v>
      </c>
      <c r="BF8" s="50" t="str">
        <f t="shared" si="18"/>
        <v/>
      </c>
      <c r="BG8" s="50">
        <f>Participantes!AO7</f>
        <v>2</v>
      </c>
      <c r="BH8" s="50">
        <f>Participantes!AP7</f>
        <v>1</v>
      </c>
      <c r="BI8" s="50" t="str">
        <f t="shared" si="19"/>
        <v/>
      </c>
      <c r="BJ8" s="50">
        <f>Participantes!AQ7</f>
        <v>0</v>
      </c>
      <c r="BK8" s="50">
        <f>Participantes!AR7</f>
        <v>1</v>
      </c>
      <c r="BL8" s="50" t="str">
        <f t="shared" si="20"/>
        <v/>
      </c>
      <c r="BM8" s="50">
        <f>Participantes!AS7</f>
        <v>3</v>
      </c>
      <c r="BN8" s="50">
        <f>Participantes!AT7</f>
        <v>2</v>
      </c>
      <c r="BO8" s="50" t="str">
        <f t="shared" si="21"/>
        <v/>
      </c>
      <c r="BP8" s="50">
        <f>Participantes!AU7</f>
        <v>4</v>
      </c>
      <c r="BQ8" s="50">
        <f>Participantes!AV7</f>
        <v>0</v>
      </c>
      <c r="BR8" s="50" t="str">
        <f t="shared" si="22"/>
        <v/>
      </c>
      <c r="BS8" s="50">
        <f>Participantes!AW7</f>
        <v>0</v>
      </c>
      <c r="BT8" s="50">
        <f>Participantes!AX7</f>
        <v>4</v>
      </c>
      <c r="BU8" s="50" t="str">
        <f t="shared" si="23"/>
        <v/>
      </c>
      <c r="BV8" s="50">
        <f>Participantes!AY7</f>
        <v>0</v>
      </c>
      <c r="BW8" s="50">
        <f>Participantes!AZ7</f>
        <v>1</v>
      </c>
      <c r="BX8" s="50" t="str">
        <f t="shared" si="24"/>
        <v/>
      </c>
      <c r="BY8" s="50">
        <f>Participantes!BA7</f>
        <v>3</v>
      </c>
      <c r="BZ8" s="50">
        <f>Participantes!BB7</f>
        <v>2</v>
      </c>
      <c r="CA8" s="50" t="str">
        <f t="shared" si="25"/>
        <v/>
      </c>
      <c r="CB8" s="50">
        <f>Participantes!BC7</f>
        <v>2</v>
      </c>
      <c r="CC8" s="50">
        <f>Participantes!BD7</f>
        <v>1</v>
      </c>
      <c r="CD8" s="50" t="str">
        <f t="shared" si="26"/>
        <v/>
      </c>
      <c r="CE8" s="50">
        <f>Participantes!BE7</f>
        <v>3</v>
      </c>
      <c r="CF8" s="50">
        <f>Participantes!BF7</f>
        <v>1</v>
      </c>
      <c r="CG8" s="50" t="str">
        <f t="shared" si="27"/>
        <v/>
      </c>
      <c r="CH8" s="50">
        <f>Participantes!BG7</f>
        <v>0</v>
      </c>
      <c r="CI8" s="50">
        <f>Participantes!BH7</f>
        <v>0</v>
      </c>
      <c r="CJ8" s="50" t="str">
        <f t="shared" si="28"/>
        <v/>
      </c>
      <c r="CK8" s="50">
        <f>Participantes!BI7</f>
        <v>0</v>
      </c>
      <c r="CL8" s="50">
        <f>Participantes!BJ7</f>
        <v>0</v>
      </c>
      <c r="CM8" s="50" t="str">
        <f t="shared" si="29"/>
        <v/>
      </c>
      <c r="CN8" s="50">
        <f>Participantes!BK7</f>
        <v>0</v>
      </c>
      <c r="CO8" s="50">
        <f>Participantes!BL7</f>
        <v>0</v>
      </c>
      <c r="CP8" s="50" t="str">
        <f t="shared" si="30"/>
        <v/>
      </c>
      <c r="CQ8" s="50">
        <f>Participantes!BM7</f>
        <v>0</v>
      </c>
      <c r="CR8" s="50">
        <f>Participantes!BN7</f>
        <v>0</v>
      </c>
      <c r="CS8" s="50" t="str">
        <f t="shared" si="31"/>
        <v/>
      </c>
      <c r="CT8" s="50">
        <f>Participantes!BO7</f>
        <v>0</v>
      </c>
      <c r="CU8" s="50">
        <f>Participantes!BP7</f>
        <v>0</v>
      </c>
      <c r="CV8" s="50" t="str">
        <f t="shared" si="32"/>
        <v/>
      </c>
      <c r="CW8" s="50">
        <f>Participantes!BQ7</f>
        <v>0</v>
      </c>
      <c r="CX8" s="50">
        <f>Participantes!BR7</f>
        <v>0</v>
      </c>
      <c r="CY8" s="50" t="str">
        <f t="shared" si="33"/>
        <v/>
      </c>
      <c r="CZ8" s="50">
        <f>Participantes!BS7</f>
        <v>0</v>
      </c>
      <c r="DA8" s="50">
        <f>Participantes!BT7</f>
        <v>0</v>
      </c>
      <c r="DB8" s="50" t="str">
        <f t="shared" si="34"/>
        <v/>
      </c>
      <c r="DC8" s="50">
        <f>Participantes!BU7</f>
        <v>0</v>
      </c>
      <c r="DD8" s="50">
        <f>Participantes!BV7</f>
        <v>0</v>
      </c>
      <c r="DE8" s="50" t="str">
        <f t="shared" si="35"/>
        <v/>
      </c>
      <c r="DF8" s="50">
        <f>Participantes!BW7</f>
        <v>0</v>
      </c>
      <c r="DG8" s="50">
        <f>Participantes!BX7</f>
        <v>0</v>
      </c>
      <c r="DH8" s="50" t="str">
        <f t="shared" si="36"/>
        <v/>
      </c>
      <c r="DI8" s="50">
        <f>Participantes!BY7</f>
        <v>0</v>
      </c>
      <c r="DJ8" s="50">
        <f>Participantes!BZ7</f>
        <v>0</v>
      </c>
      <c r="DK8" s="50" t="str">
        <f t="shared" si="37"/>
        <v/>
      </c>
      <c r="DL8" s="50">
        <f>Participantes!CA7</f>
        <v>0</v>
      </c>
      <c r="DM8" s="50">
        <f>Participantes!CB7</f>
        <v>0</v>
      </c>
      <c r="DN8" s="50" t="str">
        <f t="shared" si="38"/>
        <v/>
      </c>
      <c r="DO8" s="50">
        <f>Participantes!CC7</f>
        <v>0</v>
      </c>
      <c r="DP8" s="50">
        <f>Participantes!CD7</f>
        <v>0</v>
      </c>
      <c r="DQ8" s="50" t="str">
        <f t="shared" si="39"/>
        <v/>
      </c>
      <c r="DR8" s="50">
        <f>Participantes!CE7</f>
        <v>0</v>
      </c>
      <c r="DS8" s="50">
        <f>Participantes!CF7</f>
        <v>0</v>
      </c>
      <c r="DT8" s="50" t="str">
        <f t="shared" si="40"/>
        <v/>
      </c>
      <c r="DU8" s="50">
        <f>Participantes!CG7</f>
        <v>0</v>
      </c>
      <c r="DV8" s="50">
        <f>Participantes!CH7</f>
        <v>0</v>
      </c>
      <c r="DW8" s="50" t="str">
        <f t="shared" si="41"/>
        <v/>
      </c>
      <c r="DX8" s="50">
        <f>Participantes!CI7</f>
        <v>0</v>
      </c>
      <c r="DY8" s="50">
        <f>Participantes!CJ7</f>
        <v>0</v>
      </c>
      <c r="DZ8" s="50" t="str">
        <f t="shared" si="42"/>
        <v/>
      </c>
      <c r="EA8" s="50">
        <f>Participantes!CK7</f>
        <v>0</v>
      </c>
      <c r="EB8" s="50">
        <f>Participantes!CL7</f>
        <v>0</v>
      </c>
      <c r="EC8" s="50" t="str">
        <f t="shared" si="43"/>
        <v/>
      </c>
      <c r="ED8" s="50">
        <f>Participantes!CM7</f>
        <v>0</v>
      </c>
      <c r="EE8" s="50">
        <f>Participantes!CN7</f>
        <v>0</v>
      </c>
      <c r="EF8" s="50" t="str">
        <f t="shared" si="44"/>
        <v/>
      </c>
      <c r="EG8" s="50">
        <f>Participantes!CO7</f>
        <v>0</v>
      </c>
      <c r="EH8" s="50">
        <f>Participantes!CP7</f>
        <v>0</v>
      </c>
      <c r="EI8" s="50" t="str">
        <f t="shared" si="45"/>
        <v/>
      </c>
      <c r="EJ8" s="50">
        <f>Participantes!CQ7</f>
        <v>0</v>
      </c>
      <c r="EK8" s="50">
        <f>Participantes!CR7</f>
        <v>0</v>
      </c>
      <c r="EL8" s="50" t="str">
        <f t="shared" si="46"/>
        <v/>
      </c>
      <c r="EM8" s="50">
        <f>Participantes!CS7</f>
        <v>0</v>
      </c>
      <c r="EN8" s="50">
        <f>Participantes!CT7</f>
        <v>0</v>
      </c>
      <c r="EO8" s="50" t="str">
        <f t="shared" si="47"/>
        <v/>
      </c>
      <c r="EP8" s="50">
        <f>Participantes!CU7</f>
        <v>0</v>
      </c>
      <c r="EQ8" s="50">
        <f>Participantes!CV7</f>
        <v>0</v>
      </c>
      <c r="ER8" s="50" t="str">
        <f t="shared" si="48"/>
        <v/>
      </c>
      <c r="ES8" s="50">
        <f>Participantes!CW7</f>
        <v>0</v>
      </c>
      <c r="ET8" s="50">
        <f>Participantes!CX7</f>
        <v>0</v>
      </c>
      <c r="EU8" s="50" t="str">
        <f t="shared" si="49"/>
        <v/>
      </c>
      <c r="EV8" s="50">
        <f>Participantes!CY7</f>
        <v>0</v>
      </c>
      <c r="EW8" s="50">
        <f>Participantes!CZ7</f>
        <v>0</v>
      </c>
      <c r="EX8" s="50" t="str">
        <f t="shared" si="50"/>
        <v/>
      </c>
      <c r="EY8" s="50">
        <f>Participantes!DA7</f>
        <v>0</v>
      </c>
      <c r="EZ8" s="50">
        <f>Participantes!DB7</f>
        <v>0</v>
      </c>
      <c r="FA8" s="50" t="str">
        <f t="shared" si="51"/>
        <v/>
      </c>
      <c r="FB8" s="50">
        <f>Participantes!DC7</f>
        <v>0</v>
      </c>
      <c r="FC8" s="50">
        <f>Participantes!DD7</f>
        <v>0</v>
      </c>
      <c r="FD8" s="50" t="str">
        <f t="shared" si="52"/>
        <v/>
      </c>
      <c r="FE8" s="50">
        <f>Participantes!DE7</f>
        <v>0</v>
      </c>
      <c r="FF8" s="50">
        <f>Participantes!DF7</f>
        <v>0</v>
      </c>
      <c r="FG8" s="50" t="str">
        <f t="shared" si="53"/>
        <v/>
      </c>
      <c r="FH8" s="50">
        <f>Participantes!DG7</f>
        <v>0</v>
      </c>
      <c r="FI8" s="50">
        <f>Participantes!DH7</f>
        <v>0</v>
      </c>
      <c r="FJ8" s="50" t="str">
        <f t="shared" si="54"/>
        <v/>
      </c>
      <c r="FK8" s="50">
        <f>Participantes!DI7</f>
        <v>0</v>
      </c>
      <c r="FL8" s="50">
        <f>Participantes!DJ7</f>
        <v>0</v>
      </c>
      <c r="FM8" s="50" t="str">
        <f t="shared" si="55"/>
        <v/>
      </c>
      <c r="FN8" s="50">
        <f>Participantes!DK7</f>
        <v>0</v>
      </c>
      <c r="FO8" s="50">
        <f>Participantes!DL7</f>
        <v>0</v>
      </c>
      <c r="FP8" s="50" t="str">
        <f t="shared" si="56"/>
        <v/>
      </c>
      <c r="FQ8" s="50">
        <f>Participantes!DM7</f>
        <v>0</v>
      </c>
      <c r="FR8" s="50">
        <f>Participantes!DN7</f>
        <v>0</v>
      </c>
      <c r="FS8" s="50" t="str">
        <f t="shared" si="57"/>
        <v/>
      </c>
      <c r="FT8" s="50">
        <f>Participantes!DO7</f>
        <v>0</v>
      </c>
      <c r="FU8" s="50">
        <f>Participantes!DP7</f>
        <v>0</v>
      </c>
      <c r="FV8" s="50" t="str">
        <f t="shared" si="58"/>
        <v/>
      </c>
      <c r="FW8" s="50">
        <f>Participantes!DQ7</f>
        <v>0</v>
      </c>
      <c r="FX8" s="50">
        <f>Participantes!DR7</f>
        <v>0</v>
      </c>
      <c r="FY8" s="50" t="str">
        <f t="shared" si="59"/>
        <v/>
      </c>
      <c r="FZ8" s="50">
        <f>Participantes!DS7</f>
        <v>0</v>
      </c>
      <c r="GA8" s="50">
        <f>Participantes!DT7</f>
        <v>0</v>
      </c>
      <c r="GB8" s="50" t="str">
        <f t="shared" si="60"/>
        <v/>
      </c>
      <c r="GC8" s="50">
        <f>Participantes!DU7</f>
        <v>0</v>
      </c>
      <c r="GD8" s="50">
        <f>Participantes!DV7</f>
        <v>0</v>
      </c>
      <c r="GE8" s="50" t="str">
        <f t="shared" si="61"/>
        <v/>
      </c>
      <c r="GF8" s="50">
        <f>Participantes!DW7</f>
        <v>0</v>
      </c>
      <c r="GG8" s="50">
        <f>Participantes!DX7</f>
        <v>0</v>
      </c>
      <c r="GH8" s="50" t="str">
        <f t="shared" si="62"/>
        <v/>
      </c>
      <c r="GI8" s="50">
        <f>Participantes!DY7</f>
        <v>0</v>
      </c>
      <c r="GJ8" s="50">
        <f>Participantes!DZ7</f>
        <v>0</v>
      </c>
      <c r="GK8" s="50" t="str">
        <f t="shared" si="63"/>
        <v/>
      </c>
      <c r="GL8" s="50">
        <f>Participantes!EA7</f>
        <v>0</v>
      </c>
      <c r="GM8" s="50">
        <f>Participantes!EB7</f>
        <v>0</v>
      </c>
      <c r="GN8" s="50" t="str">
        <f t="shared" si="64"/>
        <v/>
      </c>
      <c r="GO8" s="50">
        <f>Participantes!EC7</f>
        <v>0</v>
      </c>
      <c r="GP8" s="50">
        <f>Participantes!ED7</f>
        <v>0</v>
      </c>
      <c r="GQ8" s="50" t="str">
        <f t="shared" si="65"/>
        <v/>
      </c>
      <c r="GR8" s="50">
        <f>Participantes!EE7</f>
        <v>0</v>
      </c>
      <c r="GS8" s="50">
        <f>Participantes!EF7</f>
        <v>0</v>
      </c>
      <c r="GT8" s="50" t="str">
        <f t="shared" si="66"/>
        <v/>
      </c>
      <c r="GU8" s="50">
        <f>Participantes!EG7</f>
        <v>0</v>
      </c>
      <c r="GV8" s="50">
        <f>Participantes!EH7</f>
        <v>0</v>
      </c>
      <c r="GW8" s="50" t="str">
        <f t="shared" si="67"/>
        <v/>
      </c>
      <c r="GX8" s="50">
        <f>Participantes!EI7</f>
        <v>0</v>
      </c>
      <c r="GY8" s="50">
        <f>Participantes!EJ7</f>
        <v>0</v>
      </c>
      <c r="GZ8" s="50" t="str">
        <f t="shared" si="68"/>
        <v/>
      </c>
      <c r="HA8" s="50">
        <f>Participantes!EK7</f>
        <v>0</v>
      </c>
      <c r="HB8" s="50">
        <f>Participantes!EL7</f>
        <v>0</v>
      </c>
      <c r="HC8" s="50" t="str">
        <f t="shared" si="69"/>
        <v/>
      </c>
      <c r="HD8" s="50">
        <f>Participantes!EM7</f>
        <v>0</v>
      </c>
      <c r="HE8" s="50">
        <f>Participantes!EN7</f>
        <v>0</v>
      </c>
      <c r="HF8" s="50" t="str">
        <f t="shared" si="70"/>
        <v/>
      </c>
      <c r="HG8" s="50">
        <f>Participantes!EO7</f>
        <v>0</v>
      </c>
      <c r="HH8" s="50">
        <f>Participantes!EP7</f>
        <v>0</v>
      </c>
      <c r="HI8" s="50" t="str">
        <f t="shared" si="71"/>
        <v/>
      </c>
      <c r="HJ8" s="51">
        <f t="shared" si="72"/>
        <v>3</v>
      </c>
    </row>
    <row r="9" spans="1:218" ht="15" customHeight="1" x14ac:dyDescent="0.25">
      <c r="A9" s="49" t="str">
        <f>Participantes!B8</f>
        <v>Carlos</v>
      </c>
      <c r="B9" s="50">
        <f>Participantes!C8</f>
        <v>2</v>
      </c>
      <c r="C9" s="50">
        <f>Participantes!D8</f>
        <v>1</v>
      </c>
      <c r="D9" s="50">
        <f t="shared" si="0"/>
        <v>1</v>
      </c>
      <c r="E9" s="50">
        <f>Participantes!E8</f>
        <v>1</v>
      </c>
      <c r="F9" s="50">
        <f>Participantes!F8</f>
        <v>1</v>
      </c>
      <c r="G9" s="50">
        <f t="shared" si="1"/>
        <v>0</v>
      </c>
      <c r="H9" s="50">
        <f>Participantes!G8</f>
        <v>2</v>
      </c>
      <c r="I9" s="50">
        <f>Participantes!H8</f>
        <v>1</v>
      </c>
      <c r="J9" s="50" t="str">
        <f t="shared" si="2"/>
        <v/>
      </c>
      <c r="K9" s="50">
        <f>Participantes!I8</f>
        <v>2</v>
      </c>
      <c r="L9" s="50">
        <f>Participantes!J8</f>
        <v>0</v>
      </c>
      <c r="M9" s="50" t="str">
        <f t="shared" si="3"/>
        <v/>
      </c>
      <c r="N9" s="50">
        <f>Participantes!K8</f>
        <v>0</v>
      </c>
      <c r="O9" s="50">
        <f>Participantes!L8</f>
        <v>2</v>
      </c>
      <c r="P9" s="50" t="str">
        <f t="shared" si="4"/>
        <v/>
      </c>
      <c r="Q9" s="50">
        <f>Participantes!M8</f>
        <v>1</v>
      </c>
      <c r="R9" s="50">
        <f>Participantes!N8</f>
        <v>2</v>
      </c>
      <c r="S9" s="50" t="str">
        <f t="shared" si="5"/>
        <v/>
      </c>
      <c r="T9" s="50">
        <f>Participantes!O8</f>
        <v>2</v>
      </c>
      <c r="U9" s="50">
        <f>Participantes!P8</f>
        <v>1</v>
      </c>
      <c r="V9" s="50" t="str">
        <f t="shared" si="6"/>
        <v/>
      </c>
      <c r="W9" s="50">
        <f>Participantes!Q8</f>
        <v>0</v>
      </c>
      <c r="X9" s="50">
        <f>Participantes!R8</f>
        <v>2</v>
      </c>
      <c r="Y9" s="50" t="str">
        <f t="shared" si="7"/>
        <v/>
      </c>
      <c r="Z9" s="50">
        <f>Participantes!S8</f>
        <v>1</v>
      </c>
      <c r="AA9" s="50">
        <f>Participantes!T8</f>
        <v>1</v>
      </c>
      <c r="AB9" s="50" t="str">
        <f t="shared" si="8"/>
        <v/>
      </c>
      <c r="AC9" s="50">
        <f>Participantes!U8</f>
        <v>5</v>
      </c>
      <c r="AD9" s="50">
        <f>Participantes!V8</f>
        <v>0</v>
      </c>
      <c r="AE9" s="50" t="str">
        <f t="shared" si="9"/>
        <v/>
      </c>
      <c r="AF9" s="50">
        <f>Participantes!W8</f>
        <v>2</v>
      </c>
      <c r="AG9" s="50">
        <f>Participantes!X8</f>
        <v>1</v>
      </c>
      <c r="AH9" s="50" t="str">
        <f t="shared" si="10"/>
        <v/>
      </c>
      <c r="AI9" s="50">
        <f>Participantes!Y8</f>
        <v>2</v>
      </c>
      <c r="AJ9" s="50">
        <f>Participantes!Z8</f>
        <v>0</v>
      </c>
      <c r="AK9" s="50" t="str">
        <f t="shared" si="11"/>
        <v/>
      </c>
      <c r="AL9" s="50">
        <f>Participantes!AA8</f>
        <v>0</v>
      </c>
      <c r="AM9" s="50">
        <f>Participantes!AB8</f>
        <v>2</v>
      </c>
      <c r="AN9" s="50" t="str">
        <f t="shared" si="12"/>
        <v/>
      </c>
      <c r="AO9" s="50">
        <f>Participantes!AC8</f>
        <v>4</v>
      </c>
      <c r="AP9" s="50">
        <f>Participantes!AD8</f>
        <v>0</v>
      </c>
      <c r="AQ9" s="50" t="str">
        <f t="shared" si="13"/>
        <v/>
      </c>
      <c r="AR9" s="50">
        <f>Participantes!AE8</f>
        <v>2</v>
      </c>
      <c r="AS9" s="50">
        <f>Participantes!AF8</f>
        <v>0</v>
      </c>
      <c r="AT9" s="50" t="str">
        <f t="shared" si="14"/>
        <v/>
      </c>
      <c r="AU9" s="50">
        <f>Participantes!AG8</f>
        <v>2</v>
      </c>
      <c r="AV9" s="50">
        <f>Participantes!AH8</f>
        <v>0</v>
      </c>
      <c r="AW9" s="50" t="str">
        <f t="shared" si="15"/>
        <v/>
      </c>
      <c r="AX9" s="50">
        <f>Participantes!AI8</f>
        <v>2</v>
      </c>
      <c r="AY9" s="50">
        <f>Participantes!AJ8</f>
        <v>1</v>
      </c>
      <c r="AZ9" s="50" t="str">
        <f t="shared" si="16"/>
        <v/>
      </c>
      <c r="BA9" s="50">
        <f>Participantes!AK8</f>
        <v>0</v>
      </c>
      <c r="BB9" s="50">
        <f>Participantes!AL8</f>
        <v>3</v>
      </c>
      <c r="BC9" s="50" t="str">
        <f t="shared" si="17"/>
        <v/>
      </c>
      <c r="BD9" s="50">
        <f>Participantes!AM8</f>
        <v>3</v>
      </c>
      <c r="BE9" s="50">
        <f>Participantes!AN8</f>
        <v>0</v>
      </c>
      <c r="BF9" s="50" t="str">
        <f t="shared" si="18"/>
        <v/>
      </c>
      <c r="BG9" s="50">
        <f>Participantes!AO8</f>
        <v>2</v>
      </c>
      <c r="BH9" s="50">
        <f>Participantes!AP8</f>
        <v>0</v>
      </c>
      <c r="BI9" s="50" t="str">
        <f t="shared" si="19"/>
        <v/>
      </c>
      <c r="BJ9" s="50">
        <f>Participantes!AQ8</f>
        <v>1</v>
      </c>
      <c r="BK9" s="50">
        <f>Participantes!AR8</f>
        <v>2</v>
      </c>
      <c r="BL9" s="50" t="str">
        <f t="shared" si="20"/>
        <v/>
      </c>
      <c r="BM9" s="50">
        <f>Participantes!AS8</f>
        <v>2</v>
      </c>
      <c r="BN9" s="50">
        <f>Participantes!AT8</f>
        <v>1</v>
      </c>
      <c r="BO9" s="50" t="str">
        <f t="shared" si="21"/>
        <v/>
      </c>
      <c r="BP9" s="50">
        <f>Participantes!AU8</f>
        <v>3</v>
      </c>
      <c r="BQ9" s="50">
        <f>Participantes!AV8</f>
        <v>0</v>
      </c>
      <c r="BR9" s="50" t="str">
        <f t="shared" si="22"/>
        <v/>
      </c>
      <c r="BS9" s="50">
        <f>Participantes!AW8</f>
        <v>0</v>
      </c>
      <c r="BT9" s="50">
        <f>Participantes!AX8</f>
        <v>2</v>
      </c>
      <c r="BU9" s="50" t="str">
        <f t="shared" si="23"/>
        <v/>
      </c>
      <c r="BV9" s="50">
        <f>Participantes!AY8</f>
        <v>2</v>
      </c>
      <c r="BW9" s="50">
        <f>Participantes!AZ8</f>
        <v>1</v>
      </c>
      <c r="BX9" s="50" t="str">
        <f t="shared" si="24"/>
        <v/>
      </c>
      <c r="BY9" s="50">
        <f>Participantes!BA8</f>
        <v>1</v>
      </c>
      <c r="BZ9" s="50">
        <f>Participantes!BB8</f>
        <v>1</v>
      </c>
      <c r="CA9" s="50" t="str">
        <f t="shared" si="25"/>
        <v/>
      </c>
      <c r="CB9" s="50">
        <f>Participantes!BC8</f>
        <v>3</v>
      </c>
      <c r="CC9" s="50">
        <f>Participantes!BD8</f>
        <v>1</v>
      </c>
      <c r="CD9" s="50" t="str">
        <f t="shared" si="26"/>
        <v/>
      </c>
      <c r="CE9" s="50">
        <f>Participantes!BE8</f>
        <v>2</v>
      </c>
      <c r="CF9" s="50">
        <f>Participantes!BF8</f>
        <v>1</v>
      </c>
      <c r="CG9" s="50" t="str">
        <f t="shared" si="27"/>
        <v/>
      </c>
      <c r="CH9" s="50">
        <f>Participantes!BG8</f>
        <v>0</v>
      </c>
      <c r="CI9" s="50">
        <f>Participantes!BH8</f>
        <v>0</v>
      </c>
      <c r="CJ9" s="50" t="str">
        <f t="shared" si="28"/>
        <v/>
      </c>
      <c r="CK9" s="50">
        <f>Participantes!BI8</f>
        <v>0</v>
      </c>
      <c r="CL9" s="50">
        <f>Participantes!BJ8</f>
        <v>0</v>
      </c>
      <c r="CM9" s="50" t="str">
        <f t="shared" si="29"/>
        <v/>
      </c>
      <c r="CN9" s="50">
        <f>Participantes!BK8</f>
        <v>0</v>
      </c>
      <c r="CO9" s="50">
        <f>Participantes!BL8</f>
        <v>0</v>
      </c>
      <c r="CP9" s="50" t="str">
        <f t="shared" si="30"/>
        <v/>
      </c>
      <c r="CQ9" s="50">
        <f>Participantes!BM8</f>
        <v>0</v>
      </c>
      <c r="CR9" s="50">
        <f>Participantes!BN8</f>
        <v>0</v>
      </c>
      <c r="CS9" s="50" t="str">
        <f t="shared" si="31"/>
        <v/>
      </c>
      <c r="CT9" s="50">
        <f>Participantes!BO8</f>
        <v>0</v>
      </c>
      <c r="CU9" s="50">
        <f>Participantes!BP8</f>
        <v>0</v>
      </c>
      <c r="CV9" s="50" t="str">
        <f t="shared" si="32"/>
        <v/>
      </c>
      <c r="CW9" s="50">
        <f>Participantes!BQ8</f>
        <v>0</v>
      </c>
      <c r="CX9" s="50">
        <f>Participantes!BR8</f>
        <v>0</v>
      </c>
      <c r="CY9" s="50" t="str">
        <f t="shared" si="33"/>
        <v/>
      </c>
      <c r="CZ9" s="50">
        <f>Participantes!BS8</f>
        <v>0</v>
      </c>
      <c r="DA9" s="50">
        <f>Participantes!BT8</f>
        <v>0</v>
      </c>
      <c r="DB9" s="50" t="str">
        <f t="shared" si="34"/>
        <v/>
      </c>
      <c r="DC9" s="50">
        <f>Participantes!BU8</f>
        <v>0</v>
      </c>
      <c r="DD9" s="50">
        <f>Participantes!BV8</f>
        <v>0</v>
      </c>
      <c r="DE9" s="50" t="str">
        <f t="shared" si="35"/>
        <v/>
      </c>
      <c r="DF9" s="50">
        <f>Participantes!BW8</f>
        <v>0</v>
      </c>
      <c r="DG9" s="50">
        <f>Participantes!BX8</f>
        <v>0</v>
      </c>
      <c r="DH9" s="50" t="str">
        <f t="shared" si="36"/>
        <v/>
      </c>
      <c r="DI9" s="50">
        <f>Participantes!BY8</f>
        <v>0</v>
      </c>
      <c r="DJ9" s="50">
        <f>Participantes!BZ8</f>
        <v>0</v>
      </c>
      <c r="DK9" s="50" t="str">
        <f t="shared" si="37"/>
        <v/>
      </c>
      <c r="DL9" s="50">
        <f>Participantes!CA8</f>
        <v>0</v>
      </c>
      <c r="DM9" s="50">
        <f>Participantes!CB8</f>
        <v>0</v>
      </c>
      <c r="DN9" s="50" t="str">
        <f t="shared" si="38"/>
        <v/>
      </c>
      <c r="DO9" s="50">
        <f>Participantes!CC8</f>
        <v>0</v>
      </c>
      <c r="DP9" s="50">
        <f>Participantes!CD8</f>
        <v>0</v>
      </c>
      <c r="DQ9" s="50" t="str">
        <f t="shared" si="39"/>
        <v/>
      </c>
      <c r="DR9" s="50">
        <f>Participantes!CE8</f>
        <v>0</v>
      </c>
      <c r="DS9" s="50">
        <f>Participantes!CF8</f>
        <v>0</v>
      </c>
      <c r="DT9" s="50" t="str">
        <f t="shared" si="40"/>
        <v/>
      </c>
      <c r="DU9" s="50">
        <f>Participantes!CG8</f>
        <v>0</v>
      </c>
      <c r="DV9" s="50">
        <f>Participantes!CH8</f>
        <v>0</v>
      </c>
      <c r="DW9" s="50" t="str">
        <f t="shared" si="41"/>
        <v/>
      </c>
      <c r="DX9" s="50">
        <f>Participantes!CI8</f>
        <v>0</v>
      </c>
      <c r="DY9" s="50">
        <f>Participantes!CJ8</f>
        <v>0</v>
      </c>
      <c r="DZ9" s="50" t="str">
        <f t="shared" si="42"/>
        <v/>
      </c>
      <c r="EA9" s="50">
        <f>Participantes!CK8</f>
        <v>0</v>
      </c>
      <c r="EB9" s="50">
        <f>Participantes!CL8</f>
        <v>0</v>
      </c>
      <c r="EC9" s="50" t="str">
        <f t="shared" si="43"/>
        <v/>
      </c>
      <c r="ED9" s="50">
        <f>Participantes!CM8</f>
        <v>0</v>
      </c>
      <c r="EE9" s="50">
        <f>Participantes!CN8</f>
        <v>0</v>
      </c>
      <c r="EF9" s="50" t="str">
        <f t="shared" si="44"/>
        <v/>
      </c>
      <c r="EG9" s="50">
        <f>Participantes!CO8</f>
        <v>0</v>
      </c>
      <c r="EH9" s="50">
        <f>Participantes!CP8</f>
        <v>0</v>
      </c>
      <c r="EI9" s="50" t="str">
        <f t="shared" si="45"/>
        <v/>
      </c>
      <c r="EJ9" s="50">
        <f>Participantes!CQ8</f>
        <v>0</v>
      </c>
      <c r="EK9" s="50">
        <f>Participantes!CR8</f>
        <v>0</v>
      </c>
      <c r="EL9" s="50" t="str">
        <f t="shared" si="46"/>
        <v/>
      </c>
      <c r="EM9" s="50">
        <f>Participantes!CS8</f>
        <v>0</v>
      </c>
      <c r="EN9" s="50">
        <f>Participantes!CT8</f>
        <v>0</v>
      </c>
      <c r="EO9" s="50" t="str">
        <f t="shared" si="47"/>
        <v/>
      </c>
      <c r="EP9" s="50">
        <f>Participantes!CU8</f>
        <v>0</v>
      </c>
      <c r="EQ9" s="50">
        <f>Participantes!CV8</f>
        <v>0</v>
      </c>
      <c r="ER9" s="50" t="str">
        <f t="shared" si="48"/>
        <v/>
      </c>
      <c r="ES9" s="50">
        <f>Participantes!CW8</f>
        <v>0</v>
      </c>
      <c r="ET9" s="50">
        <f>Participantes!CX8</f>
        <v>0</v>
      </c>
      <c r="EU9" s="50" t="str">
        <f t="shared" si="49"/>
        <v/>
      </c>
      <c r="EV9" s="50">
        <f>Participantes!CY8</f>
        <v>0</v>
      </c>
      <c r="EW9" s="50">
        <f>Participantes!CZ8</f>
        <v>0</v>
      </c>
      <c r="EX9" s="50" t="str">
        <f t="shared" si="50"/>
        <v/>
      </c>
      <c r="EY9" s="50">
        <f>Participantes!DA8</f>
        <v>0</v>
      </c>
      <c r="EZ9" s="50">
        <f>Participantes!DB8</f>
        <v>0</v>
      </c>
      <c r="FA9" s="50" t="str">
        <f t="shared" si="51"/>
        <v/>
      </c>
      <c r="FB9" s="50">
        <f>Participantes!DC8</f>
        <v>0</v>
      </c>
      <c r="FC9" s="50">
        <f>Participantes!DD8</f>
        <v>0</v>
      </c>
      <c r="FD9" s="50" t="str">
        <f t="shared" si="52"/>
        <v/>
      </c>
      <c r="FE9" s="50">
        <f>Participantes!DE8</f>
        <v>0</v>
      </c>
      <c r="FF9" s="50">
        <f>Participantes!DF8</f>
        <v>0</v>
      </c>
      <c r="FG9" s="50" t="str">
        <f t="shared" si="53"/>
        <v/>
      </c>
      <c r="FH9" s="50">
        <f>Participantes!DG8</f>
        <v>0</v>
      </c>
      <c r="FI9" s="50">
        <f>Participantes!DH8</f>
        <v>0</v>
      </c>
      <c r="FJ9" s="50" t="str">
        <f t="shared" si="54"/>
        <v/>
      </c>
      <c r="FK9" s="50">
        <f>Participantes!DI8</f>
        <v>0</v>
      </c>
      <c r="FL9" s="50">
        <f>Participantes!DJ8</f>
        <v>0</v>
      </c>
      <c r="FM9" s="50" t="str">
        <f t="shared" si="55"/>
        <v/>
      </c>
      <c r="FN9" s="50">
        <f>Participantes!DK8</f>
        <v>0</v>
      </c>
      <c r="FO9" s="50">
        <f>Participantes!DL8</f>
        <v>0</v>
      </c>
      <c r="FP9" s="50" t="str">
        <f t="shared" si="56"/>
        <v/>
      </c>
      <c r="FQ9" s="50">
        <f>Participantes!DM8</f>
        <v>0</v>
      </c>
      <c r="FR9" s="50">
        <f>Participantes!DN8</f>
        <v>0</v>
      </c>
      <c r="FS9" s="50" t="str">
        <f t="shared" si="57"/>
        <v/>
      </c>
      <c r="FT9" s="50">
        <f>Participantes!DO8</f>
        <v>0</v>
      </c>
      <c r="FU9" s="50">
        <f>Participantes!DP8</f>
        <v>0</v>
      </c>
      <c r="FV9" s="50" t="str">
        <f t="shared" si="58"/>
        <v/>
      </c>
      <c r="FW9" s="50">
        <f>Participantes!DQ8</f>
        <v>0</v>
      </c>
      <c r="FX9" s="50">
        <f>Participantes!DR8</f>
        <v>0</v>
      </c>
      <c r="FY9" s="50" t="str">
        <f t="shared" si="59"/>
        <v/>
      </c>
      <c r="FZ9" s="50">
        <f>Participantes!DS8</f>
        <v>0</v>
      </c>
      <c r="GA9" s="50">
        <f>Participantes!DT8</f>
        <v>0</v>
      </c>
      <c r="GB9" s="50" t="str">
        <f t="shared" si="60"/>
        <v/>
      </c>
      <c r="GC9" s="50">
        <f>Participantes!DU8</f>
        <v>0</v>
      </c>
      <c r="GD9" s="50">
        <f>Participantes!DV8</f>
        <v>0</v>
      </c>
      <c r="GE9" s="50" t="str">
        <f t="shared" si="61"/>
        <v/>
      </c>
      <c r="GF9" s="50">
        <f>Participantes!DW8</f>
        <v>0</v>
      </c>
      <c r="GG9" s="50">
        <f>Participantes!DX8</f>
        <v>0</v>
      </c>
      <c r="GH9" s="50" t="str">
        <f t="shared" si="62"/>
        <v/>
      </c>
      <c r="GI9" s="50">
        <f>Participantes!DY8</f>
        <v>0</v>
      </c>
      <c r="GJ9" s="50">
        <f>Participantes!DZ8</f>
        <v>0</v>
      </c>
      <c r="GK9" s="50" t="str">
        <f t="shared" si="63"/>
        <v/>
      </c>
      <c r="GL9" s="50">
        <f>Participantes!EA8</f>
        <v>0</v>
      </c>
      <c r="GM9" s="50">
        <f>Participantes!EB8</f>
        <v>0</v>
      </c>
      <c r="GN9" s="50" t="str">
        <f t="shared" si="64"/>
        <v/>
      </c>
      <c r="GO9" s="50">
        <f>Participantes!EC8</f>
        <v>0</v>
      </c>
      <c r="GP9" s="50">
        <f>Participantes!ED8</f>
        <v>0</v>
      </c>
      <c r="GQ9" s="50" t="str">
        <f t="shared" si="65"/>
        <v/>
      </c>
      <c r="GR9" s="50">
        <f>Participantes!EE8</f>
        <v>0</v>
      </c>
      <c r="GS9" s="50">
        <f>Participantes!EF8</f>
        <v>0</v>
      </c>
      <c r="GT9" s="50" t="str">
        <f t="shared" si="66"/>
        <v/>
      </c>
      <c r="GU9" s="50">
        <f>Participantes!EG8</f>
        <v>0</v>
      </c>
      <c r="GV9" s="50">
        <f>Participantes!EH8</f>
        <v>0</v>
      </c>
      <c r="GW9" s="50" t="str">
        <f t="shared" si="67"/>
        <v/>
      </c>
      <c r="GX9" s="50">
        <f>Participantes!EI8</f>
        <v>0</v>
      </c>
      <c r="GY9" s="50">
        <f>Participantes!EJ8</f>
        <v>0</v>
      </c>
      <c r="GZ9" s="50" t="str">
        <f t="shared" si="68"/>
        <v/>
      </c>
      <c r="HA9" s="50">
        <f>Participantes!EK8</f>
        <v>0</v>
      </c>
      <c r="HB9" s="50">
        <f>Participantes!EL8</f>
        <v>0</v>
      </c>
      <c r="HC9" s="50" t="str">
        <f t="shared" si="69"/>
        <v/>
      </c>
      <c r="HD9" s="50">
        <f>Participantes!EM8</f>
        <v>0</v>
      </c>
      <c r="HE9" s="50">
        <f>Participantes!EN8</f>
        <v>0</v>
      </c>
      <c r="HF9" s="50" t="str">
        <f t="shared" si="70"/>
        <v/>
      </c>
      <c r="HG9" s="50">
        <f>Participantes!EO8</f>
        <v>0</v>
      </c>
      <c r="HH9" s="50">
        <f>Participantes!EP8</f>
        <v>0</v>
      </c>
      <c r="HI9" s="50" t="str">
        <f t="shared" si="71"/>
        <v/>
      </c>
      <c r="HJ9" s="51">
        <f t="shared" si="72"/>
        <v>1</v>
      </c>
    </row>
    <row r="10" spans="1:218" ht="15" customHeight="1" x14ac:dyDescent="0.25">
      <c r="A10" s="49" t="str">
        <f>Participantes!B9</f>
        <v>Castillo L.</v>
      </c>
      <c r="B10" s="50">
        <f>Participantes!C9</f>
        <v>2</v>
      </c>
      <c r="C10" s="50">
        <f>Participantes!D9</f>
        <v>1</v>
      </c>
      <c r="D10" s="50">
        <f t="shared" si="0"/>
        <v>1</v>
      </c>
      <c r="E10" s="50">
        <f>Participantes!E9</f>
        <v>2</v>
      </c>
      <c r="F10" s="50">
        <f>Participantes!F9</f>
        <v>1</v>
      </c>
      <c r="G10" s="50">
        <f t="shared" si="1"/>
        <v>3</v>
      </c>
      <c r="H10" s="50">
        <f>Participantes!G9</f>
        <v>1</v>
      </c>
      <c r="I10" s="50">
        <f>Participantes!H9</f>
        <v>1</v>
      </c>
      <c r="J10" s="50" t="str">
        <f t="shared" si="2"/>
        <v/>
      </c>
      <c r="K10" s="50">
        <f>Participantes!I9</f>
        <v>2</v>
      </c>
      <c r="L10" s="50">
        <f>Participantes!J9</f>
        <v>1</v>
      </c>
      <c r="M10" s="50" t="str">
        <f t="shared" si="3"/>
        <v/>
      </c>
      <c r="N10" s="50">
        <f>Participantes!K9</f>
        <v>0</v>
      </c>
      <c r="O10" s="50">
        <f>Participantes!L9</f>
        <v>2</v>
      </c>
      <c r="P10" s="50" t="str">
        <f t="shared" si="4"/>
        <v/>
      </c>
      <c r="Q10" s="50">
        <f>Participantes!M9</f>
        <v>1</v>
      </c>
      <c r="R10" s="50">
        <f>Participantes!N9</f>
        <v>3</v>
      </c>
      <c r="S10" s="50" t="str">
        <f t="shared" si="5"/>
        <v/>
      </c>
      <c r="T10" s="50">
        <f>Participantes!O9</f>
        <v>2</v>
      </c>
      <c r="U10" s="50">
        <f>Participantes!P9</f>
        <v>1</v>
      </c>
      <c r="V10" s="50" t="str">
        <f t="shared" si="6"/>
        <v/>
      </c>
      <c r="W10" s="50">
        <f>Participantes!Q9</f>
        <v>0</v>
      </c>
      <c r="X10" s="50">
        <f>Participantes!R9</f>
        <v>3</v>
      </c>
      <c r="Y10" s="50" t="str">
        <f t="shared" si="7"/>
        <v/>
      </c>
      <c r="Z10" s="50">
        <f>Participantes!S9</f>
        <v>1</v>
      </c>
      <c r="AA10" s="50">
        <f>Participantes!T9</f>
        <v>1</v>
      </c>
      <c r="AB10" s="50" t="str">
        <f t="shared" si="8"/>
        <v/>
      </c>
      <c r="AC10" s="50">
        <f>Participantes!U9</f>
        <v>4</v>
      </c>
      <c r="AD10" s="50">
        <f>Participantes!V9</f>
        <v>0</v>
      </c>
      <c r="AE10" s="50" t="str">
        <f t="shared" si="9"/>
        <v/>
      </c>
      <c r="AF10" s="50">
        <f>Participantes!W9</f>
        <v>2</v>
      </c>
      <c r="AG10" s="50">
        <f>Participantes!X9</f>
        <v>2</v>
      </c>
      <c r="AH10" s="50" t="str">
        <f t="shared" si="10"/>
        <v/>
      </c>
      <c r="AI10" s="50">
        <f>Participantes!Y9</f>
        <v>2</v>
      </c>
      <c r="AJ10" s="50">
        <f>Participantes!Z9</f>
        <v>11</v>
      </c>
      <c r="AK10" s="50" t="str">
        <f t="shared" si="11"/>
        <v/>
      </c>
      <c r="AL10" s="50">
        <f>Participantes!AA9</f>
        <v>0</v>
      </c>
      <c r="AM10" s="50">
        <f>Participantes!AB9</f>
        <v>2</v>
      </c>
      <c r="AN10" s="50" t="str">
        <f t="shared" si="12"/>
        <v/>
      </c>
      <c r="AO10" s="50">
        <f>Participantes!AC9</f>
        <v>4</v>
      </c>
      <c r="AP10" s="50">
        <f>Participantes!AD9</f>
        <v>0</v>
      </c>
      <c r="AQ10" s="50" t="str">
        <f t="shared" si="13"/>
        <v/>
      </c>
      <c r="AR10" s="50">
        <f>Participantes!AE9</f>
        <v>2</v>
      </c>
      <c r="AS10" s="50">
        <f>Participantes!AF9</f>
        <v>0</v>
      </c>
      <c r="AT10" s="50" t="str">
        <f t="shared" si="14"/>
        <v/>
      </c>
      <c r="AU10" s="50">
        <f>Participantes!AG9</f>
        <v>3</v>
      </c>
      <c r="AV10" s="50">
        <f>Participantes!AH9</f>
        <v>1</v>
      </c>
      <c r="AW10" s="50" t="str">
        <f t="shared" si="15"/>
        <v/>
      </c>
      <c r="AX10" s="50">
        <f>Participantes!AI9</f>
        <v>2</v>
      </c>
      <c r="AY10" s="50">
        <f>Participantes!AJ9</f>
        <v>1</v>
      </c>
      <c r="AZ10" s="50" t="str">
        <f t="shared" si="16"/>
        <v/>
      </c>
      <c r="BA10" s="50">
        <f>Participantes!AK9</f>
        <v>0</v>
      </c>
      <c r="BB10" s="50">
        <f>Participantes!AL9</f>
        <v>3</v>
      </c>
      <c r="BC10" s="50" t="str">
        <f t="shared" si="17"/>
        <v/>
      </c>
      <c r="BD10" s="50">
        <f>Participantes!AM9</f>
        <v>3</v>
      </c>
      <c r="BE10" s="50">
        <f>Participantes!AN9</f>
        <v>0</v>
      </c>
      <c r="BF10" s="50" t="str">
        <f t="shared" si="18"/>
        <v/>
      </c>
      <c r="BG10" s="50">
        <f>Participantes!AO9</f>
        <v>2</v>
      </c>
      <c r="BH10" s="50">
        <f>Participantes!AP9</f>
        <v>1</v>
      </c>
      <c r="BI10" s="50" t="str">
        <f t="shared" si="19"/>
        <v/>
      </c>
      <c r="BJ10" s="50">
        <f>Participantes!AQ9</f>
        <v>2</v>
      </c>
      <c r="BK10" s="50">
        <f>Participantes!AR9</f>
        <v>1</v>
      </c>
      <c r="BL10" s="50" t="str">
        <f t="shared" si="20"/>
        <v/>
      </c>
      <c r="BM10" s="50">
        <f>Participantes!AS9</f>
        <v>2</v>
      </c>
      <c r="BN10" s="50">
        <f>Participantes!AT9</f>
        <v>2</v>
      </c>
      <c r="BO10" s="50" t="str">
        <f t="shared" si="21"/>
        <v/>
      </c>
      <c r="BP10" s="50">
        <f>Participantes!AU9</f>
        <v>3</v>
      </c>
      <c r="BQ10" s="50">
        <f>Participantes!AV9</f>
        <v>0</v>
      </c>
      <c r="BR10" s="50" t="str">
        <f t="shared" si="22"/>
        <v/>
      </c>
      <c r="BS10" s="50">
        <f>Participantes!AW9</f>
        <v>1</v>
      </c>
      <c r="BT10" s="50">
        <f>Participantes!AX9</f>
        <v>1</v>
      </c>
      <c r="BU10" s="50" t="str">
        <f t="shared" si="23"/>
        <v/>
      </c>
      <c r="BV10" s="50">
        <f>Participantes!AY9</f>
        <v>3</v>
      </c>
      <c r="BW10" s="50">
        <f>Participantes!AZ9</f>
        <v>0</v>
      </c>
      <c r="BX10" s="50" t="str">
        <f t="shared" si="24"/>
        <v/>
      </c>
      <c r="BY10" s="50">
        <f>Participantes!BA9</f>
        <v>2</v>
      </c>
      <c r="BZ10" s="50">
        <f>Participantes!BB9</f>
        <v>0</v>
      </c>
      <c r="CA10" s="50" t="str">
        <f t="shared" si="25"/>
        <v/>
      </c>
      <c r="CB10" s="50">
        <f>Participantes!BC9</f>
        <v>3</v>
      </c>
      <c r="CC10" s="50">
        <f>Participantes!BD9</f>
        <v>1</v>
      </c>
      <c r="CD10" s="50" t="str">
        <f t="shared" si="26"/>
        <v/>
      </c>
      <c r="CE10" s="50">
        <f>Participantes!BE9</f>
        <v>1</v>
      </c>
      <c r="CF10" s="50">
        <f>Participantes!BF9</f>
        <v>2</v>
      </c>
      <c r="CG10" s="50" t="str">
        <f t="shared" si="27"/>
        <v/>
      </c>
      <c r="CH10" s="50">
        <f>Participantes!BG9</f>
        <v>0</v>
      </c>
      <c r="CI10" s="50">
        <f>Participantes!BH9</f>
        <v>0</v>
      </c>
      <c r="CJ10" s="50" t="str">
        <f t="shared" si="28"/>
        <v/>
      </c>
      <c r="CK10" s="50">
        <f>Participantes!BI9</f>
        <v>0</v>
      </c>
      <c r="CL10" s="50">
        <f>Participantes!BJ9</f>
        <v>0</v>
      </c>
      <c r="CM10" s="50" t="str">
        <f t="shared" si="29"/>
        <v/>
      </c>
      <c r="CN10" s="50">
        <f>Participantes!BK9</f>
        <v>0</v>
      </c>
      <c r="CO10" s="50">
        <f>Participantes!BL9</f>
        <v>0</v>
      </c>
      <c r="CP10" s="50" t="str">
        <f t="shared" si="30"/>
        <v/>
      </c>
      <c r="CQ10" s="50">
        <f>Participantes!BM9</f>
        <v>0</v>
      </c>
      <c r="CR10" s="50">
        <f>Participantes!BN9</f>
        <v>0</v>
      </c>
      <c r="CS10" s="50" t="str">
        <f t="shared" si="31"/>
        <v/>
      </c>
      <c r="CT10" s="50">
        <f>Participantes!BO9</f>
        <v>0</v>
      </c>
      <c r="CU10" s="50">
        <f>Participantes!BP9</f>
        <v>0</v>
      </c>
      <c r="CV10" s="50" t="str">
        <f t="shared" si="32"/>
        <v/>
      </c>
      <c r="CW10" s="50">
        <f>Participantes!BQ9</f>
        <v>0</v>
      </c>
      <c r="CX10" s="50">
        <f>Participantes!BR9</f>
        <v>0</v>
      </c>
      <c r="CY10" s="50" t="str">
        <f t="shared" si="33"/>
        <v/>
      </c>
      <c r="CZ10" s="50">
        <f>Participantes!BS9</f>
        <v>0</v>
      </c>
      <c r="DA10" s="50">
        <f>Participantes!BT9</f>
        <v>0</v>
      </c>
      <c r="DB10" s="50" t="str">
        <f t="shared" si="34"/>
        <v/>
      </c>
      <c r="DC10" s="50">
        <f>Participantes!BU9</f>
        <v>0</v>
      </c>
      <c r="DD10" s="50">
        <f>Participantes!BV9</f>
        <v>0</v>
      </c>
      <c r="DE10" s="50" t="str">
        <f t="shared" si="35"/>
        <v/>
      </c>
      <c r="DF10" s="50">
        <f>Participantes!BW9</f>
        <v>0</v>
      </c>
      <c r="DG10" s="50">
        <f>Participantes!BX9</f>
        <v>0</v>
      </c>
      <c r="DH10" s="50" t="str">
        <f t="shared" si="36"/>
        <v/>
      </c>
      <c r="DI10" s="50">
        <f>Participantes!BY9</f>
        <v>0</v>
      </c>
      <c r="DJ10" s="50">
        <f>Participantes!BZ9</f>
        <v>0</v>
      </c>
      <c r="DK10" s="50" t="str">
        <f t="shared" si="37"/>
        <v/>
      </c>
      <c r="DL10" s="50">
        <f>Participantes!CA9</f>
        <v>0</v>
      </c>
      <c r="DM10" s="50">
        <f>Participantes!CB9</f>
        <v>0</v>
      </c>
      <c r="DN10" s="50" t="str">
        <f t="shared" si="38"/>
        <v/>
      </c>
      <c r="DO10" s="50">
        <f>Participantes!CC9</f>
        <v>0</v>
      </c>
      <c r="DP10" s="50">
        <f>Participantes!CD9</f>
        <v>0</v>
      </c>
      <c r="DQ10" s="50" t="str">
        <f t="shared" si="39"/>
        <v/>
      </c>
      <c r="DR10" s="50">
        <f>Participantes!CE9</f>
        <v>0</v>
      </c>
      <c r="DS10" s="50">
        <f>Participantes!CF9</f>
        <v>0</v>
      </c>
      <c r="DT10" s="50" t="str">
        <f t="shared" si="40"/>
        <v/>
      </c>
      <c r="DU10" s="50">
        <f>Participantes!CG9</f>
        <v>0</v>
      </c>
      <c r="DV10" s="50">
        <f>Participantes!CH9</f>
        <v>0</v>
      </c>
      <c r="DW10" s="50" t="str">
        <f t="shared" si="41"/>
        <v/>
      </c>
      <c r="DX10" s="50">
        <f>Participantes!CI9</f>
        <v>0</v>
      </c>
      <c r="DY10" s="50">
        <f>Participantes!CJ9</f>
        <v>0</v>
      </c>
      <c r="DZ10" s="50" t="str">
        <f t="shared" si="42"/>
        <v/>
      </c>
      <c r="EA10" s="50">
        <f>Participantes!CK9</f>
        <v>0</v>
      </c>
      <c r="EB10" s="50">
        <f>Participantes!CL9</f>
        <v>0</v>
      </c>
      <c r="EC10" s="50" t="str">
        <f t="shared" si="43"/>
        <v/>
      </c>
      <c r="ED10" s="50">
        <f>Participantes!CM9</f>
        <v>0</v>
      </c>
      <c r="EE10" s="50">
        <f>Participantes!CN9</f>
        <v>0</v>
      </c>
      <c r="EF10" s="50" t="str">
        <f t="shared" si="44"/>
        <v/>
      </c>
      <c r="EG10" s="50">
        <f>Participantes!CO9</f>
        <v>0</v>
      </c>
      <c r="EH10" s="50">
        <f>Participantes!CP9</f>
        <v>0</v>
      </c>
      <c r="EI10" s="50" t="str">
        <f t="shared" si="45"/>
        <v/>
      </c>
      <c r="EJ10" s="50">
        <f>Participantes!CQ9</f>
        <v>0</v>
      </c>
      <c r="EK10" s="50">
        <f>Participantes!CR9</f>
        <v>0</v>
      </c>
      <c r="EL10" s="50" t="str">
        <f t="shared" si="46"/>
        <v/>
      </c>
      <c r="EM10" s="50">
        <f>Participantes!CS9</f>
        <v>0</v>
      </c>
      <c r="EN10" s="50">
        <f>Participantes!CT9</f>
        <v>0</v>
      </c>
      <c r="EO10" s="50" t="str">
        <f t="shared" si="47"/>
        <v/>
      </c>
      <c r="EP10" s="50">
        <f>Participantes!CU9</f>
        <v>0</v>
      </c>
      <c r="EQ10" s="50">
        <f>Participantes!CV9</f>
        <v>0</v>
      </c>
      <c r="ER10" s="50" t="str">
        <f t="shared" si="48"/>
        <v/>
      </c>
      <c r="ES10" s="50">
        <f>Participantes!CW9</f>
        <v>0</v>
      </c>
      <c r="ET10" s="50">
        <f>Participantes!CX9</f>
        <v>0</v>
      </c>
      <c r="EU10" s="50" t="str">
        <f t="shared" si="49"/>
        <v/>
      </c>
      <c r="EV10" s="50">
        <f>Participantes!CY9</f>
        <v>0</v>
      </c>
      <c r="EW10" s="50">
        <f>Participantes!CZ9</f>
        <v>0</v>
      </c>
      <c r="EX10" s="50" t="str">
        <f t="shared" si="50"/>
        <v/>
      </c>
      <c r="EY10" s="50">
        <f>Participantes!DA9</f>
        <v>0</v>
      </c>
      <c r="EZ10" s="50">
        <f>Participantes!DB9</f>
        <v>0</v>
      </c>
      <c r="FA10" s="50" t="str">
        <f t="shared" si="51"/>
        <v/>
      </c>
      <c r="FB10" s="50">
        <f>Participantes!DC9</f>
        <v>0</v>
      </c>
      <c r="FC10" s="50">
        <f>Participantes!DD9</f>
        <v>0</v>
      </c>
      <c r="FD10" s="50" t="str">
        <f t="shared" si="52"/>
        <v/>
      </c>
      <c r="FE10" s="50">
        <f>Participantes!DE9</f>
        <v>0</v>
      </c>
      <c r="FF10" s="50">
        <f>Participantes!DF9</f>
        <v>0</v>
      </c>
      <c r="FG10" s="50" t="str">
        <f t="shared" si="53"/>
        <v/>
      </c>
      <c r="FH10" s="50">
        <f>Participantes!DG9</f>
        <v>0</v>
      </c>
      <c r="FI10" s="50">
        <f>Participantes!DH9</f>
        <v>0</v>
      </c>
      <c r="FJ10" s="50" t="str">
        <f t="shared" si="54"/>
        <v/>
      </c>
      <c r="FK10" s="50">
        <f>Participantes!DI9</f>
        <v>0</v>
      </c>
      <c r="FL10" s="50">
        <f>Participantes!DJ9</f>
        <v>0</v>
      </c>
      <c r="FM10" s="50" t="str">
        <f t="shared" si="55"/>
        <v/>
      </c>
      <c r="FN10" s="50">
        <f>Participantes!DK9</f>
        <v>0</v>
      </c>
      <c r="FO10" s="50">
        <f>Participantes!DL9</f>
        <v>0</v>
      </c>
      <c r="FP10" s="50" t="str">
        <f t="shared" si="56"/>
        <v/>
      </c>
      <c r="FQ10" s="50">
        <f>Participantes!DM9</f>
        <v>0</v>
      </c>
      <c r="FR10" s="50">
        <f>Participantes!DN9</f>
        <v>0</v>
      </c>
      <c r="FS10" s="50" t="str">
        <f t="shared" si="57"/>
        <v/>
      </c>
      <c r="FT10" s="50">
        <f>Participantes!DO9</f>
        <v>0</v>
      </c>
      <c r="FU10" s="50">
        <f>Participantes!DP9</f>
        <v>0</v>
      </c>
      <c r="FV10" s="50" t="str">
        <f t="shared" si="58"/>
        <v/>
      </c>
      <c r="FW10" s="50">
        <f>Participantes!DQ9</f>
        <v>0</v>
      </c>
      <c r="FX10" s="50">
        <f>Participantes!DR9</f>
        <v>0</v>
      </c>
      <c r="FY10" s="50" t="str">
        <f t="shared" si="59"/>
        <v/>
      </c>
      <c r="FZ10" s="50">
        <f>Participantes!DS9</f>
        <v>0</v>
      </c>
      <c r="GA10" s="50">
        <f>Participantes!DT9</f>
        <v>0</v>
      </c>
      <c r="GB10" s="50" t="str">
        <f t="shared" si="60"/>
        <v/>
      </c>
      <c r="GC10" s="50">
        <f>Participantes!DU9</f>
        <v>0</v>
      </c>
      <c r="GD10" s="50">
        <f>Participantes!DV9</f>
        <v>0</v>
      </c>
      <c r="GE10" s="50" t="str">
        <f t="shared" si="61"/>
        <v/>
      </c>
      <c r="GF10" s="50">
        <f>Participantes!DW9</f>
        <v>0</v>
      </c>
      <c r="GG10" s="50">
        <f>Participantes!DX9</f>
        <v>0</v>
      </c>
      <c r="GH10" s="50" t="str">
        <f t="shared" si="62"/>
        <v/>
      </c>
      <c r="GI10" s="50">
        <f>Participantes!DY9</f>
        <v>0</v>
      </c>
      <c r="GJ10" s="50">
        <f>Participantes!DZ9</f>
        <v>0</v>
      </c>
      <c r="GK10" s="50" t="str">
        <f t="shared" si="63"/>
        <v/>
      </c>
      <c r="GL10" s="50">
        <f>Participantes!EA9</f>
        <v>0</v>
      </c>
      <c r="GM10" s="50">
        <f>Participantes!EB9</f>
        <v>0</v>
      </c>
      <c r="GN10" s="50" t="str">
        <f t="shared" si="64"/>
        <v/>
      </c>
      <c r="GO10" s="50">
        <f>Participantes!EC9</f>
        <v>0</v>
      </c>
      <c r="GP10" s="50">
        <f>Participantes!ED9</f>
        <v>0</v>
      </c>
      <c r="GQ10" s="50" t="str">
        <f t="shared" si="65"/>
        <v/>
      </c>
      <c r="GR10" s="50">
        <f>Participantes!EE9</f>
        <v>0</v>
      </c>
      <c r="GS10" s="50">
        <f>Participantes!EF9</f>
        <v>0</v>
      </c>
      <c r="GT10" s="50" t="str">
        <f t="shared" si="66"/>
        <v/>
      </c>
      <c r="GU10" s="50">
        <f>Participantes!EG9</f>
        <v>0</v>
      </c>
      <c r="GV10" s="50">
        <f>Participantes!EH9</f>
        <v>0</v>
      </c>
      <c r="GW10" s="50" t="str">
        <f t="shared" si="67"/>
        <v/>
      </c>
      <c r="GX10" s="50">
        <f>Participantes!EI9</f>
        <v>0</v>
      </c>
      <c r="GY10" s="50">
        <f>Participantes!EJ9</f>
        <v>0</v>
      </c>
      <c r="GZ10" s="50" t="str">
        <f t="shared" si="68"/>
        <v/>
      </c>
      <c r="HA10" s="50">
        <f>Participantes!EK9</f>
        <v>0</v>
      </c>
      <c r="HB10" s="50">
        <f>Participantes!EL9</f>
        <v>0</v>
      </c>
      <c r="HC10" s="50" t="str">
        <f t="shared" si="69"/>
        <v/>
      </c>
      <c r="HD10" s="50">
        <f>Participantes!EM9</f>
        <v>0</v>
      </c>
      <c r="HE10" s="50">
        <f>Participantes!EN9</f>
        <v>0</v>
      </c>
      <c r="HF10" s="50" t="str">
        <f t="shared" si="70"/>
        <v/>
      </c>
      <c r="HG10" s="50">
        <f>Participantes!EO9</f>
        <v>0</v>
      </c>
      <c r="HH10" s="50">
        <f>Participantes!EP9</f>
        <v>0</v>
      </c>
      <c r="HI10" s="50" t="str">
        <f t="shared" si="71"/>
        <v/>
      </c>
      <c r="HJ10" s="51">
        <f t="shared" si="72"/>
        <v>4</v>
      </c>
    </row>
    <row r="11" spans="1:218" ht="15" customHeight="1" x14ac:dyDescent="0.25">
      <c r="A11" s="49" t="str">
        <f>Participantes!B10</f>
        <v>Christofer</v>
      </c>
      <c r="B11" s="50">
        <f>Participantes!C10</f>
        <v>2</v>
      </c>
      <c r="C11" s="50">
        <f>Participantes!D10</f>
        <v>3</v>
      </c>
      <c r="D11" s="50">
        <f t="shared" si="0"/>
        <v>0</v>
      </c>
      <c r="E11" s="50">
        <f>Participantes!E10</f>
        <v>1</v>
      </c>
      <c r="F11" s="50">
        <f>Participantes!F10</f>
        <v>1</v>
      </c>
      <c r="G11" s="50">
        <f t="shared" si="1"/>
        <v>0</v>
      </c>
      <c r="H11" s="50">
        <f>Participantes!G10</f>
        <v>1</v>
      </c>
      <c r="I11" s="50">
        <f>Participantes!H10</f>
        <v>2</v>
      </c>
      <c r="J11" s="50" t="str">
        <f t="shared" si="2"/>
        <v/>
      </c>
      <c r="K11" s="50">
        <f>Participantes!I10</f>
        <v>2</v>
      </c>
      <c r="L11" s="50">
        <f>Participantes!J10</f>
        <v>4</v>
      </c>
      <c r="M11" s="50" t="str">
        <f t="shared" si="3"/>
        <v/>
      </c>
      <c r="N11" s="50">
        <f>Participantes!K10</f>
        <v>3</v>
      </c>
      <c r="O11" s="50">
        <f>Participantes!L10</f>
        <v>4</v>
      </c>
      <c r="P11" s="50" t="str">
        <f t="shared" si="4"/>
        <v/>
      </c>
      <c r="Q11" s="50">
        <f>Participantes!M10</f>
        <v>2</v>
      </c>
      <c r="R11" s="50">
        <f>Participantes!N10</f>
        <v>1</v>
      </c>
      <c r="S11" s="50" t="str">
        <f t="shared" si="5"/>
        <v/>
      </c>
      <c r="T11" s="50">
        <f>Participantes!O10</f>
        <v>5</v>
      </c>
      <c r="U11" s="50">
        <f>Participantes!P10</f>
        <v>1</v>
      </c>
      <c r="V11" s="50" t="str">
        <f t="shared" si="6"/>
        <v/>
      </c>
      <c r="W11" s="50">
        <f>Participantes!Q10</f>
        <v>2</v>
      </c>
      <c r="X11" s="50">
        <f>Participantes!R10</f>
        <v>1</v>
      </c>
      <c r="Y11" s="50" t="str">
        <f t="shared" si="7"/>
        <v/>
      </c>
      <c r="Z11" s="50">
        <f>Participantes!S10</f>
        <v>0</v>
      </c>
      <c r="AA11" s="50">
        <f>Participantes!T10</f>
        <v>3</v>
      </c>
      <c r="AB11" s="50" t="str">
        <f t="shared" si="8"/>
        <v/>
      </c>
      <c r="AC11" s="50">
        <f>Participantes!U10</f>
        <v>2</v>
      </c>
      <c r="AD11" s="50">
        <f>Participantes!V10</f>
        <v>2</v>
      </c>
      <c r="AE11" s="50" t="str">
        <f t="shared" si="9"/>
        <v/>
      </c>
      <c r="AF11" s="50">
        <f>Participantes!W10</f>
        <v>2</v>
      </c>
      <c r="AG11" s="50">
        <f>Participantes!X10</f>
        <v>5</v>
      </c>
      <c r="AH11" s="50" t="str">
        <f t="shared" si="10"/>
        <v/>
      </c>
      <c r="AI11" s="50">
        <f>Participantes!Y10</f>
        <v>4</v>
      </c>
      <c r="AJ11" s="50">
        <f>Participantes!Z10</f>
        <v>1</v>
      </c>
      <c r="AK11" s="50" t="str">
        <f t="shared" si="11"/>
        <v/>
      </c>
      <c r="AL11" s="50">
        <f>Participantes!AA10</f>
        <v>1</v>
      </c>
      <c r="AM11" s="50">
        <f>Participantes!AB10</f>
        <v>2</v>
      </c>
      <c r="AN11" s="50" t="str">
        <f t="shared" si="12"/>
        <v/>
      </c>
      <c r="AO11" s="50">
        <f>Participantes!AC10</f>
        <v>3</v>
      </c>
      <c r="AP11" s="50">
        <f>Participantes!AD10</f>
        <v>1</v>
      </c>
      <c r="AQ11" s="50" t="str">
        <f t="shared" si="13"/>
        <v/>
      </c>
      <c r="AR11" s="50">
        <f>Participantes!AE10</f>
        <v>1</v>
      </c>
      <c r="AS11" s="50">
        <f>Participantes!AF10</f>
        <v>1</v>
      </c>
      <c r="AT11" s="50" t="str">
        <f t="shared" si="14"/>
        <v/>
      </c>
      <c r="AU11" s="50">
        <f>Participantes!AG10</f>
        <v>2</v>
      </c>
      <c r="AV11" s="50">
        <f>Participantes!AH10</f>
        <v>0</v>
      </c>
      <c r="AW11" s="50" t="str">
        <f t="shared" si="15"/>
        <v/>
      </c>
      <c r="AX11" s="50">
        <f>Participantes!AI10</f>
        <v>1</v>
      </c>
      <c r="AY11" s="50">
        <f>Participantes!AJ10</f>
        <v>3</v>
      </c>
      <c r="AZ11" s="50" t="str">
        <f t="shared" si="16"/>
        <v/>
      </c>
      <c r="BA11" s="50">
        <f>Participantes!AK10</f>
        <v>1</v>
      </c>
      <c r="BB11" s="50">
        <f>Participantes!AL10</f>
        <v>4</v>
      </c>
      <c r="BC11" s="50" t="str">
        <f t="shared" si="17"/>
        <v/>
      </c>
      <c r="BD11" s="50">
        <f>Participantes!AM10</f>
        <v>3</v>
      </c>
      <c r="BE11" s="50">
        <f>Participantes!AN10</f>
        <v>2</v>
      </c>
      <c r="BF11" s="50" t="str">
        <f t="shared" si="18"/>
        <v/>
      </c>
      <c r="BG11" s="50">
        <f>Participantes!AO10</f>
        <v>1</v>
      </c>
      <c r="BH11" s="50">
        <f>Participantes!AP10</f>
        <v>1</v>
      </c>
      <c r="BI11" s="50" t="str">
        <f t="shared" si="19"/>
        <v/>
      </c>
      <c r="BJ11" s="50">
        <f>Participantes!AQ10</f>
        <v>1</v>
      </c>
      <c r="BK11" s="50">
        <f>Participantes!AR10</f>
        <v>3</v>
      </c>
      <c r="BL11" s="50" t="str">
        <f t="shared" si="20"/>
        <v/>
      </c>
      <c r="BM11" s="50">
        <f>Participantes!AS10</f>
        <v>2</v>
      </c>
      <c r="BN11" s="50">
        <f>Participantes!AT10</f>
        <v>1</v>
      </c>
      <c r="BO11" s="50" t="str">
        <f t="shared" si="21"/>
        <v/>
      </c>
      <c r="BP11" s="50">
        <f>Participantes!AU10</f>
        <v>7</v>
      </c>
      <c r="BQ11" s="50">
        <f>Participantes!AV10</f>
        <v>4</v>
      </c>
      <c r="BR11" s="50" t="str">
        <f t="shared" si="22"/>
        <v/>
      </c>
      <c r="BS11" s="50">
        <f>Participantes!AW10</f>
        <v>1</v>
      </c>
      <c r="BT11" s="50">
        <f>Participantes!AX10</f>
        <v>2</v>
      </c>
      <c r="BU11" s="50" t="str">
        <f t="shared" si="23"/>
        <v/>
      </c>
      <c r="BV11" s="50">
        <f>Participantes!AY10</f>
        <v>2</v>
      </c>
      <c r="BW11" s="50">
        <f>Participantes!AZ10</f>
        <v>2</v>
      </c>
      <c r="BX11" s="50" t="str">
        <f t="shared" si="24"/>
        <v/>
      </c>
      <c r="BY11" s="50">
        <f>Participantes!BA10</f>
        <v>3</v>
      </c>
      <c r="BZ11" s="50">
        <f>Participantes!BB10</f>
        <v>4</v>
      </c>
      <c r="CA11" s="50" t="str">
        <f t="shared" si="25"/>
        <v/>
      </c>
      <c r="CB11" s="50">
        <f>Participantes!BC10</f>
        <v>2</v>
      </c>
      <c r="CC11" s="50">
        <f>Participantes!BD10</f>
        <v>3</v>
      </c>
      <c r="CD11" s="50" t="str">
        <f t="shared" si="26"/>
        <v/>
      </c>
      <c r="CE11" s="50">
        <f>Participantes!BE10</f>
        <v>1</v>
      </c>
      <c r="CF11" s="50">
        <f>Participantes!BF10</f>
        <v>2</v>
      </c>
      <c r="CG11" s="50" t="str">
        <f t="shared" si="27"/>
        <v/>
      </c>
      <c r="CH11" s="50">
        <f>Participantes!BG10</f>
        <v>0</v>
      </c>
      <c r="CI11" s="50">
        <f>Participantes!BH10</f>
        <v>0</v>
      </c>
      <c r="CJ11" s="50" t="str">
        <f t="shared" si="28"/>
        <v/>
      </c>
      <c r="CK11" s="50">
        <f>Participantes!BI10</f>
        <v>0</v>
      </c>
      <c r="CL11" s="50">
        <f>Participantes!BJ10</f>
        <v>0</v>
      </c>
      <c r="CM11" s="50" t="str">
        <f t="shared" si="29"/>
        <v/>
      </c>
      <c r="CN11" s="50">
        <f>Participantes!BK10</f>
        <v>0</v>
      </c>
      <c r="CO11" s="50">
        <f>Participantes!BL10</f>
        <v>0</v>
      </c>
      <c r="CP11" s="50" t="str">
        <f t="shared" si="30"/>
        <v/>
      </c>
      <c r="CQ11" s="50">
        <f>Participantes!BM10</f>
        <v>0</v>
      </c>
      <c r="CR11" s="50">
        <f>Participantes!BN10</f>
        <v>0</v>
      </c>
      <c r="CS11" s="50" t="str">
        <f t="shared" si="31"/>
        <v/>
      </c>
      <c r="CT11" s="50">
        <f>Participantes!BO10</f>
        <v>0</v>
      </c>
      <c r="CU11" s="50">
        <f>Participantes!BP10</f>
        <v>0</v>
      </c>
      <c r="CV11" s="50" t="str">
        <f t="shared" si="32"/>
        <v/>
      </c>
      <c r="CW11" s="50">
        <f>Participantes!BQ10</f>
        <v>0</v>
      </c>
      <c r="CX11" s="50">
        <f>Participantes!BR10</f>
        <v>0</v>
      </c>
      <c r="CY11" s="50" t="str">
        <f t="shared" si="33"/>
        <v/>
      </c>
      <c r="CZ11" s="50">
        <f>Participantes!BS10</f>
        <v>0</v>
      </c>
      <c r="DA11" s="50">
        <f>Participantes!BT10</f>
        <v>0</v>
      </c>
      <c r="DB11" s="50" t="str">
        <f t="shared" si="34"/>
        <v/>
      </c>
      <c r="DC11" s="50">
        <f>Participantes!BU10</f>
        <v>0</v>
      </c>
      <c r="DD11" s="50">
        <f>Participantes!BV10</f>
        <v>0</v>
      </c>
      <c r="DE11" s="50" t="str">
        <f t="shared" si="35"/>
        <v/>
      </c>
      <c r="DF11" s="50">
        <f>Participantes!BW10</f>
        <v>0</v>
      </c>
      <c r="DG11" s="50">
        <f>Participantes!BX10</f>
        <v>0</v>
      </c>
      <c r="DH11" s="50" t="str">
        <f t="shared" si="36"/>
        <v/>
      </c>
      <c r="DI11" s="50">
        <f>Participantes!BY10</f>
        <v>0</v>
      </c>
      <c r="DJ11" s="50">
        <f>Participantes!BZ10</f>
        <v>0</v>
      </c>
      <c r="DK11" s="50" t="str">
        <f t="shared" si="37"/>
        <v/>
      </c>
      <c r="DL11" s="50">
        <f>Participantes!CA10</f>
        <v>0</v>
      </c>
      <c r="DM11" s="50">
        <f>Participantes!CB10</f>
        <v>0</v>
      </c>
      <c r="DN11" s="50" t="str">
        <f t="shared" si="38"/>
        <v/>
      </c>
      <c r="DO11" s="50">
        <f>Participantes!CC10</f>
        <v>0</v>
      </c>
      <c r="DP11" s="50">
        <f>Participantes!CD10</f>
        <v>0</v>
      </c>
      <c r="DQ11" s="50" t="str">
        <f t="shared" si="39"/>
        <v/>
      </c>
      <c r="DR11" s="50">
        <f>Participantes!CE10</f>
        <v>0</v>
      </c>
      <c r="DS11" s="50">
        <f>Participantes!CF10</f>
        <v>0</v>
      </c>
      <c r="DT11" s="50" t="str">
        <f t="shared" si="40"/>
        <v/>
      </c>
      <c r="DU11" s="50">
        <f>Participantes!CG10</f>
        <v>0</v>
      </c>
      <c r="DV11" s="50">
        <f>Participantes!CH10</f>
        <v>0</v>
      </c>
      <c r="DW11" s="50" t="str">
        <f t="shared" si="41"/>
        <v/>
      </c>
      <c r="DX11" s="50">
        <f>Participantes!CI10</f>
        <v>0</v>
      </c>
      <c r="DY11" s="50">
        <f>Participantes!CJ10</f>
        <v>0</v>
      </c>
      <c r="DZ11" s="50" t="str">
        <f t="shared" si="42"/>
        <v/>
      </c>
      <c r="EA11" s="50">
        <f>Participantes!CK10</f>
        <v>0</v>
      </c>
      <c r="EB11" s="50">
        <f>Participantes!CL10</f>
        <v>0</v>
      </c>
      <c r="EC11" s="50" t="str">
        <f t="shared" si="43"/>
        <v/>
      </c>
      <c r="ED11" s="50">
        <f>Participantes!CM10</f>
        <v>0</v>
      </c>
      <c r="EE11" s="50">
        <f>Participantes!CN10</f>
        <v>0</v>
      </c>
      <c r="EF11" s="50" t="str">
        <f t="shared" si="44"/>
        <v/>
      </c>
      <c r="EG11" s="50">
        <f>Participantes!CO10</f>
        <v>0</v>
      </c>
      <c r="EH11" s="50">
        <f>Participantes!CP10</f>
        <v>0</v>
      </c>
      <c r="EI11" s="50" t="str">
        <f t="shared" si="45"/>
        <v/>
      </c>
      <c r="EJ11" s="50">
        <f>Participantes!CQ10</f>
        <v>0</v>
      </c>
      <c r="EK11" s="50">
        <f>Participantes!CR10</f>
        <v>0</v>
      </c>
      <c r="EL11" s="50" t="str">
        <f t="shared" si="46"/>
        <v/>
      </c>
      <c r="EM11" s="50">
        <f>Participantes!CS10</f>
        <v>0</v>
      </c>
      <c r="EN11" s="50">
        <f>Participantes!CT10</f>
        <v>0</v>
      </c>
      <c r="EO11" s="50" t="str">
        <f t="shared" si="47"/>
        <v/>
      </c>
      <c r="EP11" s="50">
        <f>Participantes!CU10</f>
        <v>0</v>
      </c>
      <c r="EQ11" s="50">
        <f>Participantes!CV10</f>
        <v>0</v>
      </c>
      <c r="ER11" s="50" t="str">
        <f t="shared" si="48"/>
        <v/>
      </c>
      <c r="ES11" s="50">
        <f>Participantes!CW10</f>
        <v>0</v>
      </c>
      <c r="ET11" s="50">
        <f>Participantes!CX10</f>
        <v>0</v>
      </c>
      <c r="EU11" s="50" t="str">
        <f t="shared" si="49"/>
        <v/>
      </c>
      <c r="EV11" s="50">
        <f>Participantes!CY10</f>
        <v>0</v>
      </c>
      <c r="EW11" s="50">
        <f>Participantes!CZ10</f>
        <v>0</v>
      </c>
      <c r="EX11" s="50" t="str">
        <f t="shared" si="50"/>
        <v/>
      </c>
      <c r="EY11" s="50">
        <f>Participantes!DA10</f>
        <v>0</v>
      </c>
      <c r="EZ11" s="50">
        <f>Participantes!DB10</f>
        <v>0</v>
      </c>
      <c r="FA11" s="50" t="str">
        <f t="shared" si="51"/>
        <v/>
      </c>
      <c r="FB11" s="50">
        <f>Participantes!DC10</f>
        <v>0</v>
      </c>
      <c r="FC11" s="50">
        <f>Participantes!DD10</f>
        <v>0</v>
      </c>
      <c r="FD11" s="50" t="str">
        <f t="shared" si="52"/>
        <v/>
      </c>
      <c r="FE11" s="50">
        <f>Participantes!DE10</f>
        <v>0</v>
      </c>
      <c r="FF11" s="50">
        <f>Participantes!DF10</f>
        <v>0</v>
      </c>
      <c r="FG11" s="50" t="str">
        <f t="shared" si="53"/>
        <v/>
      </c>
      <c r="FH11" s="50">
        <f>Participantes!DG10</f>
        <v>0</v>
      </c>
      <c r="FI11" s="50">
        <f>Participantes!DH10</f>
        <v>0</v>
      </c>
      <c r="FJ11" s="50" t="str">
        <f t="shared" si="54"/>
        <v/>
      </c>
      <c r="FK11" s="50">
        <f>Participantes!DI10</f>
        <v>0</v>
      </c>
      <c r="FL11" s="50">
        <f>Participantes!DJ10</f>
        <v>0</v>
      </c>
      <c r="FM11" s="50" t="str">
        <f t="shared" si="55"/>
        <v/>
      </c>
      <c r="FN11" s="50">
        <f>Participantes!DK10</f>
        <v>0</v>
      </c>
      <c r="FO11" s="50">
        <f>Participantes!DL10</f>
        <v>0</v>
      </c>
      <c r="FP11" s="50" t="str">
        <f t="shared" si="56"/>
        <v/>
      </c>
      <c r="FQ11" s="50">
        <f>Participantes!DM10</f>
        <v>0</v>
      </c>
      <c r="FR11" s="50">
        <f>Participantes!DN10</f>
        <v>0</v>
      </c>
      <c r="FS11" s="50" t="str">
        <f t="shared" si="57"/>
        <v/>
      </c>
      <c r="FT11" s="50">
        <f>Participantes!DO10</f>
        <v>0</v>
      </c>
      <c r="FU11" s="50">
        <f>Participantes!DP10</f>
        <v>0</v>
      </c>
      <c r="FV11" s="50" t="str">
        <f t="shared" si="58"/>
        <v/>
      </c>
      <c r="FW11" s="50">
        <f>Participantes!DQ10</f>
        <v>0</v>
      </c>
      <c r="FX11" s="50">
        <f>Participantes!DR10</f>
        <v>0</v>
      </c>
      <c r="FY11" s="50" t="str">
        <f t="shared" si="59"/>
        <v/>
      </c>
      <c r="FZ11" s="50">
        <f>Participantes!DS10</f>
        <v>0</v>
      </c>
      <c r="GA11" s="50">
        <f>Participantes!DT10</f>
        <v>0</v>
      </c>
      <c r="GB11" s="50" t="str">
        <f t="shared" si="60"/>
        <v/>
      </c>
      <c r="GC11" s="50">
        <f>Participantes!DU10</f>
        <v>0</v>
      </c>
      <c r="GD11" s="50">
        <f>Participantes!DV10</f>
        <v>0</v>
      </c>
      <c r="GE11" s="50" t="str">
        <f t="shared" si="61"/>
        <v/>
      </c>
      <c r="GF11" s="50">
        <f>Participantes!DW10</f>
        <v>0</v>
      </c>
      <c r="GG11" s="50">
        <f>Participantes!DX10</f>
        <v>0</v>
      </c>
      <c r="GH11" s="50" t="str">
        <f t="shared" si="62"/>
        <v/>
      </c>
      <c r="GI11" s="50">
        <f>Participantes!DY10</f>
        <v>0</v>
      </c>
      <c r="GJ11" s="50">
        <f>Participantes!DZ10</f>
        <v>0</v>
      </c>
      <c r="GK11" s="50" t="str">
        <f t="shared" si="63"/>
        <v/>
      </c>
      <c r="GL11" s="50">
        <f>Participantes!EA10</f>
        <v>0</v>
      </c>
      <c r="GM11" s="50">
        <f>Participantes!EB10</f>
        <v>0</v>
      </c>
      <c r="GN11" s="50" t="str">
        <f t="shared" si="64"/>
        <v/>
      </c>
      <c r="GO11" s="50">
        <f>Participantes!EC10</f>
        <v>0</v>
      </c>
      <c r="GP11" s="50">
        <f>Participantes!ED10</f>
        <v>0</v>
      </c>
      <c r="GQ11" s="50" t="str">
        <f t="shared" si="65"/>
        <v/>
      </c>
      <c r="GR11" s="50">
        <f>Participantes!EE10</f>
        <v>0</v>
      </c>
      <c r="GS11" s="50">
        <f>Participantes!EF10</f>
        <v>0</v>
      </c>
      <c r="GT11" s="50" t="str">
        <f t="shared" si="66"/>
        <v/>
      </c>
      <c r="GU11" s="50">
        <f>Participantes!EG10</f>
        <v>0</v>
      </c>
      <c r="GV11" s="50">
        <f>Participantes!EH10</f>
        <v>0</v>
      </c>
      <c r="GW11" s="50" t="str">
        <f t="shared" si="67"/>
        <v/>
      </c>
      <c r="GX11" s="50">
        <f>Participantes!EI10</f>
        <v>0</v>
      </c>
      <c r="GY11" s="50">
        <f>Participantes!EJ10</f>
        <v>0</v>
      </c>
      <c r="GZ11" s="50" t="str">
        <f t="shared" si="68"/>
        <v/>
      </c>
      <c r="HA11" s="50">
        <f>Participantes!EK10</f>
        <v>0</v>
      </c>
      <c r="HB11" s="50">
        <f>Participantes!EL10</f>
        <v>0</v>
      </c>
      <c r="HC11" s="50" t="str">
        <f t="shared" si="69"/>
        <v/>
      </c>
      <c r="HD11" s="50">
        <f>Participantes!EM10</f>
        <v>0</v>
      </c>
      <c r="HE11" s="50">
        <f>Participantes!EN10</f>
        <v>0</v>
      </c>
      <c r="HF11" s="50" t="str">
        <f t="shared" si="70"/>
        <v/>
      </c>
      <c r="HG11" s="50">
        <f>Participantes!EO10</f>
        <v>0</v>
      </c>
      <c r="HH11" s="50">
        <f>Participantes!EP10</f>
        <v>0</v>
      </c>
      <c r="HI11" s="50" t="str">
        <f t="shared" si="71"/>
        <v/>
      </c>
      <c r="HJ11" s="51">
        <f t="shared" si="72"/>
        <v>0</v>
      </c>
    </row>
    <row r="12" spans="1:218" ht="15" customHeight="1" x14ac:dyDescent="0.25">
      <c r="A12" s="49" t="str">
        <f>Participantes!B11</f>
        <v>Cynthia</v>
      </c>
      <c r="B12" s="50">
        <f>Participantes!C11</f>
        <v>1</v>
      </c>
      <c r="C12" s="50">
        <f>Participantes!D11</f>
        <v>2</v>
      </c>
      <c r="D12" s="50">
        <f t="shared" si="0"/>
        <v>0</v>
      </c>
      <c r="E12" s="50">
        <f>Participantes!E11</f>
        <v>1</v>
      </c>
      <c r="F12" s="50">
        <f>Participantes!F11</f>
        <v>0</v>
      </c>
      <c r="G12" s="50">
        <f t="shared" si="1"/>
        <v>1</v>
      </c>
      <c r="H12" s="50">
        <f>Participantes!G11</f>
        <v>2</v>
      </c>
      <c r="I12" s="50">
        <f>Participantes!H11</f>
        <v>1</v>
      </c>
      <c r="J12" s="50" t="str">
        <f t="shared" si="2"/>
        <v/>
      </c>
      <c r="K12" s="50">
        <f>Participantes!I11</f>
        <v>0</v>
      </c>
      <c r="L12" s="50">
        <f>Participantes!J11</f>
        <v>0</v>
      </c>
      <c r="M12" s="50" t="str">
        <f t="shared" si="3"/>
        <v/>
      </c>
      <c r="N12" s="50">
        <f>Participantes!K11</f>
        <v>1</v>
      </c>
      <c r="O12" s="50">
        <f>Participantes!L11</f>
        <v>3</v>
      </c>
      <c r="P12" s="50" t="str">
        <f t="shared" si="4"/>
        <v/>
      </c>
      <c r="Q12" s="50">
        <f>Participantes!M11</f>
        <v>1</v>
      </c>
      <c r="R12" s="50">
        <f>Participantes!N11</f>
        <v>1</v>
      </c>
      <c r="S12" s="50" t="str">
        <f t="shared" si="5"/>
        <v/>
      </c>
      <c r="T12" s="50">
        <f>Participantes!O11</f>
        <v>2</v>
      </c>
      <c r="U12" s="50">
        <f>Participantes!P11</f>
        <v>2</v>
      </c>
      <c r="V12" s="50" t="str">
        <f t="shared" si="6"/>
        <v/>
      </c>
      <c r="W12" s="50">
        <f>Participantes!Q11</f>
        <v>0</v>
      </c>
      <c r="X12" s="50">
        <f>Participantes!R11</f>
        <v>1</v>
      </c>
      <c r="Y12" s="50" t="str">
        <f t="shared" si="7"/>
        <v/>
      </c>
      <c r="Z12" s="50">
        <f>Participantes!S11</f>
        <v>0</v>
      </c>
      <c r="AA12" s="50">
        <f>Participantes!T11</f>
        <v>1</v>
      </c>
      <c r="AB12" s="50" t="str">
        <f t="shared" si="8"/>
        <v/>
      </c>
      <c r="AC12" s="50">
        <f>Participantes!U11</f>
        <v>3</v>
      </c>
      <c r="AD12" s="50">
        <f>Participantes!V11</f>
        <v>1</v>
      </c>
      <c r="AE12" s="50" t="str">
        <f t="shared" si="9"/>
        <v/>
      </c>
      <c r="AF12" s="50">
        <f>Participantes!W11</f>
        <v>2</v>
      </c>
      <c r="AG12" s="50">
        <f>Participantes!X11</f>
        <v>2</v>
      </c>
      <c r="AH12" s="50" t="str">
        <f t="shared" si="10"/>
        <v/>
      </c>
      <c r="AI12" s="50">
        <f>Participantes!Y11</f>
        <v>3</v>
      </c>
      <c r="AJ12" s="50">
        <f>Participantes!Z11</f>
        <v>1</v>
      </c>
      <c r="AK12" s="50" t="str">
        <f t="shared" si="11"/>
        <v/>
      </c>
      <c r="AL12" s="50">
        <f>Participantes!AA11</f>
        <v>2</v>
      </c>
      <c r="AM12" s="50">
        <f>Participantes!AB11</f>
        <v>2</v>
      </c>
      <c r="AN12" s="50" t="str">
        <f t="shared" si="12"/>
        <v/>
      </c>
      <c r="AO12" s="50">
        <f>Participantes!AC11</f>
        <v>3</v>
      </c>
      <c r="AP12" s="50">
        <f>Participantes!AD11</f>
        <v>1</v>
      </c>
      <c r="AQ12" s="50" t="str">
        <f t="shared" si="13"/>
        <v/>
      </c>
      <c r="AR12" s="50">
        <f>Participantes!AE11</f>
        <v>1</v>
      </c>
      <c r="AS12" s="50">
        <f>Participantes!AF11</f>
        <v>1</v>
      </c>
      <c r="AT12" s="50" t="str">
        <f t="shared" si="14"/>
        <v/>
      </c>
      <c r="AU12" s="50">
        <f>Participantes!AG11</f>
        <v>0</v>
      </c>
      <c r="AV12" s="50">
        <f>Participantes!AH11</f>
        <v>0</v>
      </c>
      <c r="AW12" s="50" t="str">
        <f t="shared" si="15"/>
        <v/>
      </c>
      <c r="AX12" s="50">
        <f>Participantes!AI11</f>
        <v>2</v>
      </c>
      <c r="AY12" s="50">
        <f>Participantes!AJ11</f>
        <v>1</v>
      </c>
      <c r="AZ12" s="50" t="str">
        <f t="shared" si="16"/>
        <v/>
      </c>
      <c r="BA12" s="50">
        <f>Participantes!AK11</f>
        <v>1</v>
      </c>
      <c r="BB12" s="50">
        <f>Participantes!AL11</f>
        <v>0</v>
      </c>
      <c r="BC12" s="50" t="str">
        <f t="shared" si="17"/>
        <v/>
      </c>
      <c r="BD12" s="50">
        <f>Participantes!AM11</f>
        <v>3</v>
      </c>
      <c r="BE12" s="50">
        <f>Participantes!AN11</f>
        <v>1</v>
      </c>
      <c r="BF12" s="50" t="str">
        <f t="shared" si="18"/>
        <v/>
      </c>
      <c r="BG12" s="50">
        <f>Participantes!AO11</f>
        <v>2</v>
      </c>
      <c r="BH12" s="50">
        <f>Participantes!AP11</f>
        <v>1</v>
      </c>
      <c r="BI12" s="50" t="str">
        <f t="shared" si="19"/>
        <v/>
      </c>
      <c r="BJ12" s="50">
        <f>Participantes!AQ11</f>
        <v>0</v>
      </c>
      <c r="BK12" s="50">
        <f>Participantes!AR11</f>
        <v>1</v>
      </c>
      <c r="BL12" s="50" t="str">
        <f t="shared" si="20"/>
        <v/>
      </c>
      <c r="BM12" s="50">
        <f>Participantes!AS11</f>
        <v>3</v>
      </c>
      <c r="BN12" s="50">
        <f>Participantes!AT11</f>
        <v>1</v>
      </c>
      <c r="BO12" s="50" t="str">
        <f t="shared" si="21"/>
        <v/>
      </c>
      <c r="BP12" s="50">
        <f>Participantes!AU11</f>
        <v>2</v>
      </c>
      <c r="BQ12" s="50">
        <f>Participantes!AV11</f>
        <v>1</v>
      </c>
      <c r="BR12" s="50" t="str">
        <f t="shared" si="22"/>
        <v/>
      </c>
      <c r="BS12" s="50">
        <f>Participantes!AW11</f>
        <v>1</v>
      </c>
      <c r="BT12" s="50">
        <f>Participantes!AX11</f>
        <v>3</v>
      </c>
      <c r="BU12" s="50" t="str">
        <f t="shared" si="23"/>
        <v/>
      </c>
      <c r="BV12" s="50">
        <f>Participantes!AY11</f>
        <v>1</v>
      </c>
      <c r="BW12" s="50">
        <f>Participantes!AZ11</f>
        <v>2</v>
      </c>
      <c r="BX12" s="50" t="str">
        <f t="shared" si="24"/>
        <v/>
      </c>
      <c r="BY12" s="50">
        <f>Participantes!BA11</f>
        <v>1</v>
      </c>
      <c r="BZ12" s="50">
        <f>Participantes!BB11</f>
        <v>0</v>
      </c>
      <c r="CA12" s="50" t="str">
        <f t="shared" si="25"/>
        <v/>
      </c>
      <c r="CB12" s="50">
        <f>Participantes!BC11</f>
        <v>1</v>
      </c>
      <c r="CC12" s="50">
        <f>Participantes!BD11</f>
        <v>1</v>
      </c>
      <c r="CD12" s="50" t="str">
        <f t="shared" si="26"/>
        <v/>
      </c>
      <c r="CE12" s="50">
        <f>Participantes!BE11</f>
        <v>1</v>
      </c>
      <c r="CF12" s="50">
        <f>Participantes!BF11</f>
        <v>1</v>
      </c>
      <c r="CG12" s="50" t="str">
        <f t="shared" si="27"/>
        <v/>
      </c>
      <c r="CH12" s="50">
        <f>Participantes!BG11</f>
        <v>0</v>
      </c>
      <c r="CI12" s="50">
        <f>Participantes!BH11</f>
        <v>0</v>
      </c>
      <c r="CJ12" s="50" t="str">
        <f t="shared" si="28"/>
        <v/>
      </c>
      <c r="CK12" s="50">
        <f>Participantes!BI11</f>
        <v>0</v>
      </c>
      <c r="CL12" s="50">
        <f>Participantes!BJ11</f>
        <v>0</v>
      </c>
      <c r="CM12" s="50" t="str">
        <f t="shared" si="29"/>
        <v/>
      </c>
      <c r="CN12" s="50">
        <f>Participantes!BK11</f>
        <v>0</v>
      </c>
      <c r="CO12" s="50">
        <f>Participantes!BL11</f>
        <v>0</v>
      </c>
      <c r="CP12" s="50" t="str">
        <f t="shared" si="30"/>
        <v/>
      </c>
      <c r="CQ12" s="50">
        <f>Participantes!BM11</f>
        <v>0</v>
      </c>
      <c r="CR12" s="50">
        <f>Participantes!BN11</f>
        <v>0</v>
      </c>
      <c r="CS12" s="50" t="str">
        <f t="shared" si="31"/>
        <v/>
      </c>
      <c r="CT12" s="50">
        <f>Participantes!BO11</f>
        <v>0</v>
      </c>
      <c r="CU12" s="50">
        <f>Participantes!BP11</f>
        <v>0</v>
      </c>
      <c r="CV12" s="50" t="str">
        <f t="shared" si="32"/>
        <v/>
      </c>
      <c r="CW12" s="50">
        <f>Participantes!BQ11</f>
        <v>0</v>
      </c>
      <c r="CX12" s="50">
        <f>Participantes!BR11</f>
        <v>0</v>
      </c>
      <c r="CY12" s="50" t="str">
        <f t="shared" si="33"/>
        <v/>
      </c>
      <c r="CZ12" s="50">
        <f>Participantes!BS11</f>
        <v>0</v>
      </c>
      <c r="DA12" s="50">
        <f>Participantes!BT11</f>
        <v>0</v>
      </c>
      <c r="DB12" s="50" t="str">
        <f t="shared" si="34"/>
        <v/>
      </c>
      <c r="DC12" s="50">
        <f>Participantes!BU11</f>
        <v>0</v>
      </c>
      <c r="DD12" s="50">
        <f>Participantes!BV11</f>
        <v>0</v>
      </c>
      <c r="DE12" s="50" t="str">
        <f t="shared" si="35"/>
        <v/>
      </c>
      <c r="DF12" s="50">
        <f>Participantes!BW11</f>
        <v>0</v>
      </c>
      <c r="DG12" s="50">
        <f>Participantes!BX11</f>
        <v>0</v>
      </c>
      <c r="DH12" s="50" t="str">
        <f t="shared" si="36"/>
        <v/>
      </c>
      <c r="DI12" s="50">
        <f>Participantes!BY11</f>
        <v>0</v>
      </c>
      <c r="DJ12" s="50">
        <f>Participantes!BZ11</f>
        <v>0</v>
      </c>
      <c r="DK12" s="50" t="str">
        <f t="shared" si="37"/>
        <v/>
      </c>
      <c r="DL12" s="50">
        <f>Participantes!CA11</f>
        <v>0</v>
      </c>
      <c r="DM12" s="50">
        <f>Participantes!CB11</f>
        <v>0</v>
      </c>
      <c r="DN12" s="50" t="str">
        <f t="shared" si="38"/>
        <v/>
      </c>
      <c r="DO12" s="50">
        <f>Participantes!CC11</f>
        <v>0</v>
      </c>
      <c r="DP12" s="50">
        <f>Participantes!CD11</f>
        <v>0</v>
      </c>
      <c r="DQ12" s="50" t="str">
        <f t="shared" si="39"/>
        <v/>
      </c>
      <c r="DR12" s="50">
        <f>Participantes!CE11</f>
        <v>0</v>
      </c>
      <c r="DS12" s="50">
        <f>Participantes!CF11</f>
        <v>0</v>
      </c>
      <c r="DT12" s="50" t="str">
        <f t="shared" si="40"/>
        <v/>
      </c>
      <c r="DU12" s="50">
        <f>Participantes!CG11</f>
        <v>0</v>
      </c>
      <c r="DV12" s="50">
        <f>Participantes!CH11</f>
        <v>0</v>
      </c>
      <c r="DW12" s="50" t="str">
        <f t="shared" si="41"/>
        <v/>
      </c>
      <c r="DX12" s="50">
        <f>Participantes!CI11</f>
        <v>0</v>
      </c>
      <c r="DY12" s="50">
        <f>Participantes!CJ11</f>
        <v>0</v>
      </c>
      <c r="DZ12" s="50" t="str">
        <f t="shared" si="42"/>
        <v/>
      </c>
      <c r="EA12" s="50">
        <f>Participantes!CK11</f>
        <v>0</v>
      </c>
      <c r="EB12" s="50">
        <f>Participantes!CL11</f>
        <v>0</v>
      </c>
      <c r="EC12" s="50" t="str">
        <f t="shared" si="43"/>
        <v/>
      </c>
      <c r="ED12" s="50">
        <f>Participantes!CM11</f>
        <v>0</v>
      </c>
      <c r="EE12" s="50">
        <f>Participantes!CN11</f>
        <v>0</v>
      </c>
      <c r="EF12" s="50" t="str">
        <f t="shared" si="44"/>
        <v/>
      </c>
      <c r="EG12" s="50">
        <f>Participantes!CO11</f>
        <v>0</v>
      </c>
      <c r="EH12" s="50">
        <f>Participantes!CP11</f>
        <v>0</v>
      </c>
      <c r="EI12" s="50" t="str">
        <f t="shared" si="45"/>
        <v/>
      </c>
      <c r="EJ12" s="50">
        <f>Participantes!CQ11</f>
        <v>0</v>
      </c>
      <c r="EK12" s="50">
        <f>Participantes!CR11</f>
        <v>0</v>
      </c>
      <c r="EL12" s="50" t="str">
        <f t="shared" si="46"/>
        <v/>
      </c>
      <c r="EM12" s="50">
        <f>Participantes!CS11</f>
        <v>0</v>
      </c>
      <c r="EN12" s="50">
        <f>Participantes!CT11</f>
        <v>0</v>
      </c>
      <c r="EO12" s="50" t="str">
        <f t="shared" si="47"/>
        <v/>
      </c>
      <c r="EP12" s="50">
        <f>Participantes!CU11</f>
        <v>0</v>
      </c>
      <c r="EQ12" s="50">
        <f>Participantes!CV11</f>
        <v>0</v>
      </c>
      <c r="ER12" s="50" t="str">
        <f t="shared" si="48"/>
        <v/>
      </c>
      <c r="ES12" s="50">
        <f>Participantes!CW11</f>
        <v>0</v>
      </c>
      <c r="ET12" s="50">
        <f>Participantes!CX11</f>
        <v>0</v>
      </c>
      <c r="EU12" s="50" t="str">
        <f t="shared" si="49"/>
        <v/>
      </c>
      <c r="EV12" s="50">
        <f>Participantes!CY11</f>
        <v>0</v>
      </c>
      <c r="EW12" s="50">
        <f>Participantes!CZ11</f>
        <v>0</v>
      </c>
      <c r="EX12" s="50" t="str">
        <f t="shared" si="50"/>
        <v/>
      </c>
      <c r="EY12" s="50">
        <f>Participantes!DA11</f>
        <v>0</v>
      </c>
      <c r="EZ12" s="50">
        <f>Participantes!DB11</f>
        <v>0</v>
      </c>
      <c r="FA12" s="50" t="str">
        <f t="shared" si="51"/>
        <v/>
      </c>
      <c r="FB12" s="50">
        <f>Participantes!DC11</f>
        <v>0</v>
      </c>
      <c r="FC12" s="50">
        <f>Participantes!DD11</f>
        <v>0</v>
      </c>
      <c r="FD12" s="50" t="str">
        <f t="shared" si="52"/>
        <v/>
      </c>
      <c r="FE12" s="50">
        <f>Participantes!DE11</f>
        <v>0</v>
      </c>
      <c r="FF12" s="50">
        <f>Participantes!DF11</f>
        <v>0</v>
      </c>
      <c r="FG12" s="50" t="str">
        <f t="shared" si="53"/>
        <v/>
      </c>
      <c r="FH12" s="50">
        <f>Participantes!DG11</f>
        <v>0</v>
      </c>
      <c r="FI12" s="50">
        <f>Participantes!DH11</f>
        <v>0</v>
      </c>
      <c r="FJ12" s="50" t="str">
        <f t="shared" si="54"/>
        <v/>
      </c>
      <c r="FK12" s="50">
        <f>Participantes!DI11</f>
        <v>0</v>
      </c>
      <c r="FL12" s="50">
        <f>Participantes!DJ11</f>
        <v>0</v>
      </c>
      <c r="FM12" s="50" t="str">
        <f t="shared" si="55"/>
        <v/>
      </c>
      <c r="FN12" s="50">
        <f>Participantes!DK11</f>
        <v>0</v>
      </c>
      <c r="FO12" s="50">
        <f>Participantes!DL11</f>
        <v>0</v>
      </c>
      <c r="FP12" s="50" t="str">
        <f t="shared" si="56"/>
        <v/>
      </c>
      <c r="FQ12" s="50">
        <f>Participantes!DM11</f>
        <v>0</v>
      </c>
      <c r="FR12" s="50">
        <f>Participantes!DN11</f>
        <v>0</v>
      </c>
      <c r="FS12" s="50" t="str">
        <f t="shared" si="57"/>
        <v/>
      </c>
      <c r="FT12" s="50">
        <f>Participantes!DO11</f>
        <v>0</v>
      </c>
      <c r="FU12" s="50">
        <f>Participantes!DP11</f>
        <v>0</v>
      </c>
      <c r="FV12" s="50" t="str">
        <f t="shared" si="58"/>
        <v/>
      </c>
      <c r="FW12" s="50">
        <f>Participantes!DQ11</f>
        <v>0</v>
      </c>
      <c r="FX12" s="50">
        <f>Participantes!DR11</f>
        <v>0</v>
      </c>
      <c r="FY12" s="50" t="str">
        <f t="shared" si="59"/>
        <v/>
      </c>
      <c r="FZ12" s="50">
        <f>Participantes!DS11</f>
        <v>0</v>
      </c>
      <c r="GA12" s="50">
        <f>Participantes!DT11</f>
        <v>0</v>
      </c>
      <c r="GB12" s="50" t="str">
        <f t="shared" si="60"/>
        <v/>
      </c>
      <c r="GC12" s="50">
        <f>Participantes!DU11</f>
        <v>0</v>
      </c>
      <c r="GD12" s="50">
        <f>Participantes!DV11</f>
        <v>0</v>
      </c>
      <c r="GE12" s="50" t="str">
        <f t="shared" si="61"/>
        <v/>
      </c>
      <c r="GF12" s="50">
        <f>Participantes!DW11</f>
        <v>0</v>
      </c>
      <c r="GG12" s="50">
        <f>Participantes!DX11</f>
        <v>0</v>
      </c>
      <c r="GH12" s="50" t="str">
        <f t="shared" si="62"/>
        <v/>
      </c>
      <c r="GI12" s="50">
        <f>Participantes!DY11</f>
        <v>0</v>
      </c>
      <c r="GJ12" s="50">
        <f>Participantes!DZ11</f>
        <v>0</v>
      </c>
      <c r="GK12" s="50" t="str">
        <f t="shared" si="63"/>
        <v/>
      </c>
      <c r="GL12" s="50">
        <f>Participantes!EA11</f>
        <v>0</v>
      </c>
      <c r="GM12" s="50">
        <f>Participantes!EB11</f>
        <v>0</v>
      </c>
      <c r="GN12" s="50" t="str">
        <f t="shared" si="64"/>
        <v/>
      </c>
      <c r="GO12" s="50">
        <f>Participantes!EC11</f>
        <v>0</v>
      </c>
      <c r="GP12" s="50">
        <f>Participantes!ED11</f>
        <v>0</v>
      </c>
      <c r="GQ12" s="50" t="str">
        <f t="shared" si="65"/>
        <v/>
      </c>
      <c r="GR12" s="50">
        <f>Participantes!EE11</f>
        <v>0</v>
      </c>
      <c r="GS12" s="50">
        <f>Participantes!EF11</f>
        <v>0</v>
      </c>
      <c r="GT12" s="50" t="str">
        <f t="shared" si="66"/>
        <v/>
      </c>
      <c r="GU12" s="50">
        <f>Participantes!EG11</f>
        <v>0</v>
      </c>
      <c r="GV12" s="50">
        <f>Participantes!EH11</f>
        <v>0</v>
      </c>
      <c r="GW12" s="50" t="str">
        <f t="shared" si="67"/>
        <v/>
      </c>
      <c r="GX12" s="50">
        <f>Participantes!EI11</f>
        <v>0</v>
      </c>
      <c r="GY12" s="50">
        <f>Participantes!EJ11</f>
        <v>0</v>
      </c>
      <c r="GZ12" s="50" t="str">
        <f t="shared" si="68"/>
        <v/>
      </c>
      <c r="HA12" s="50">
        <f>Participantes!EK11</f>
        <v>0</v>
      </c>
      <c r="HB12" s="50">
        <f>Participantes!EL11</f>
        <v>0</v>
      </c>
      <c r="HC12" s="50" t="str">
        <f t="shared" si="69"/>
        <v/>
      </c>
      <c r="HD12" s="50">
        <f>Participantes!EM11</f>
        <v>0</v>
      </c>
      <c r="HE12" s="50">
        <f>Participantes!EN11</f>
        <v>0</v>
      </c>
      <c r="HF12" s="50" t="str">
        <f t="shared" si="70"/>
        <v/>
      </c>
      <c r="HG12" s="50">
        <f>Participantes!EO11</f>
        <v>0</v>
      </c>
      <c r="HH12" s="50">
        <f>Participantes!EP11</f>
        <v>0</v>
      </c>
      <c r="HI12" s="50" t="str">
        <f t="shared" si="71"/>
        <v/>
      </c>
      <c r="HJ12" s="51">
        <f t="shared" si="72"/>
        <v>1</v>
      </c>
    </row>
    <row r="13" spans="1:218" ht="15" customHeight="1" x14ac:dyDescent="0.25">
      <c r="A13" s="49" t="str">
        <f>Participantes!B12</f>
        <v>Edward</v>
      </c>
      <c r="B13" s="50">
        <f>Participantes!C12</f>
        <v>2</v>
      </c>
      <c r="C13" s="50">
        <f>Participantes!D12</f>
        <v>0</v>
      </c>
      <c r="D13" s="50">
        <f t="shared" si="0"/>
        <v>3</v>
      </c>
      <c r="E13" s="50">
        <f>Participantes!E12</f>
        <v>2</v>
      </c>
      <c r="F13" s="50">
        <f>Participantes!F12</f>
        <v>1</v>
      </c>
      <c r="G13" s="50">
        <f t="shared" si="1"/>
        <v>3</v>
      </c>
      <c r="H13" s="50">
        <f>Participantes!G12</f>
        <v>2</v>
      </c>
      <c r="I13" s="50">
        <f>Participantes!H12</f>
        <v>1</v>
      </c>
      <c r="J13" s="50" t="str">
        <f t="shared" si="2"/>
        <v/>
      </c>
      <c r="K13" s="50">
        <f>Participantes!I12</f>
        <v>2</v>
      </c>
      <c r="L13" s="50">
        <f>Participantes!J12</f>
        <v>1</v>
      </c>
      <c r="M13" s="50" t="str">
        <f t="shared" si="3"/>
        <v/>
      </c>
      <c r="N13" s="50">
        <f>Participantes!K12</f>
        <v>0</v>
      </c>
      <c r="O13" s="50">
        <f>Participantes!L12</f>
        <v>2</v>
      </c>
      <c r="P13" s="50" t="str">
        <f t="shared" si="4"/>
        <v/>
      </c>
      <c r="Q13" s="50">
        <f>Participantes!M12</f>
        <v>0</v>
      </c>
      <c r="R13" s="50">
        <f>Participantes!N12</f>
        <v>1</v>
      </c>
      <c r="S13" s="50" t="str">
        <f t="shared" si="5"/>
        <v/>
      </c>
      <c r="T13" s="50">
        <f>Participantes!O12</f>
        <v>2</v>
      </c>
      <c r="U13" s="50">
        <f>Participantes!P12</f>
        <v>1</v>
      </c>
      <c r="V13" s="50" t="str">
        <f t="shared" si="6"/>
        <v/>
      </c>
      <c r="W13" s="50">
        <f>Participantes!Q12</f>
        <v>0</v>
      </c>
      <c r="X13" s="50">
        <f>Participantes!R12</f>
        <v>2</v>
      </c>
      <c r="Y13" s="50" t="str">
        <f t="shared" si="7"/>
        <v/>
      </c>
      <c r="Z13" s="50">
        <f>Participantes!S12</f>
        <v>1</v>
      </c>
      <c r="AA13" s="50">
        <f>Participantes!T12</f>
        <v>1</v>
      </c>
      <c r="AB13" s="50" t="str">
        <f t="shared" si="8"/>
        <v/>
      </c>
      <c r="AC13" s="50">
        <f>Participantes!U12</f>
        <v>3</v>
      </c>
      <c r="AD13" s="50">
        <f>Participantes!V12</f>
        <v>0</v>
      </c>
      <c r="AE13" s="50" t="str">
        <f t="shared" si="9"/>
        <v/>
      </c>
      <c r="AF13" s="50">
        <f>Participantes!W12</f>
        <v>2</v>
      </c>
      <c r="AG13" s="50">
        <f>Participantes!X12</f>
        <v>1</v>
      </c>
      <c r="AH13" s="50" t="str">
        <f t="shared" si="10"/>
        <v/>
      </c>
      <c r="AI13" s="50">
        <f>Participantes!Y12</f>
        <v>2</v>
      </c>
      <c r="AJ13" s="50">
        <f>Participantes!Z12</f>
        <v>0</v>
      </c>
      <c r="AK13" s="50" t="str">
        <f t="shared" si="11"/>
        <v/>
      </c>
      <c r="AL13" s="50">
        <f>Participantes!AA12</f>
        <v>1</v>
      </c>
      <c r="AM13" s="50">
        <f>Participantes!AB12</f>
        <v>2</v>
      </c>
      <c r="AN13" s="50" t="str">
        <f t="shared" si="12"/>
        <v/>
      </c>
      <c r="AO13" s="50">
        <f>Participantes!AC12</f>
        <v>4</v>
      </c>
      <c r="AP13" s="50">
        <f>Participantes!AD12</f>
        <v>0</v>
      </c>
      <c r="AQ13" s="50" t="str">
        <f t="shared" si="13"/>
        <v/>
      </c>
      <c r="AR13" s="50">
        <f>Participantes!AE12</f>
        <v>1</v>
      </c>
      <c r="AS13" s="50">
        <f>Participantes!AF12</f>
        <v>0</v>
      </c>
      <c r="AT13" s="50" t="str">
        <f t="shared" si="14"/>
        <v/>
      </c>
      <c r="AU13" s="50">
        <f>Participantes!AG12</f>
        <v>2</v>
      </c>
      <c r="AV13" s="50">
        <f>Participantes!AH12</f>
        <v>1</v>
      </c>
      <c r="AW13" s="50" t="str">
        <f t="shared" si="15"/>
        <v/>
      </c>
      <c r="AX13" s="50">
        <f>Participantes!AI12</f>
        <v>2</v>
      </c>
      <c r="AY13" s="50">
        <f>Participantes!AJ12</f>
        <v>1</v>
      </c>
      <c r="AZ13" s="50" t="str">
        <f t="shared" si="16"/>
        <v/>
      </c>
      <c r="BA13" s="50">
        <f>Participantes!AK12</f>
        <v>0</v>
      </c>
      <c r="BB13" s="50">
        <f>Participantes!AL12</f>
        <v>2</v>
      </c>
      <c r="BC13" s="50" t="str">
        <f t="shared" si="17"/>
        <v/>
      </c>
      <c r="BD13" s="50">
        <f>Participantes!AM12</f>
        <v>2</v>
      </c>
      <c r="BE13" s="50">
        <f>Participantes!AN12</f>
        <v>0</v>
      </c>
      <c r="BF13" s="50" t="str">
        <f t="shared" si="18"/>
        <v/>
      </c>
      <c r="BG13" s="50">
        <f>Participantes!AO12</f>
        <v>2</v>
      </c>
      <c r="BH13" s="50">
        <f>Participantes!AP12</f>
        <v>0</v>
      </c>
      <c r="BI13" s="50" t="str">
        <f t="shared" si="19"/>
        <v/>
      </c>
      <c r="BJ13" s="50">
        <f>Participantes!AQ12</f>
        <v>1</v>
      </c>
      <c r="BK13" s="50">
        <f>Participantes!AR12</f>
        <v>2</v>
      </c>
      <c r="BL13" s="50" t="str">
        <f t="shared" si="20"/>
        <v/>
      </c>
      <c r="BM13" s="50">
        <f>Participantes!AS12</f>
        <v>2</v>
      </c>
      <c r="BN13" s="50">
        <f>Participantes!AT12</f>
        <v>1</v>
      </c>
      <c r="BO13" s="50" t="str">
        <f t="shared" si="21"/>
        <v/>
      </c>
      <c r="BP13" s="50">
        <f>Participantes!AU12</f>
        <v>2</v>
      </c>
      <c r="BQ13" s="50">
        <f>Participantes!AV12</f>
        <v>1</v>
      </c>
      <c r="BR13" s="50" t="str">
        <f t="shared" si="22"/>
        <v/>
      </c>
      <c r="BS13" s="50">
        <f>Participantes!AW12</f>
        <v>1</v>
      </c>
      <c r="BT13" s="50">
        <f>Participantes!AX12</f>
        <v>2</v>
      </c>
      <c r="BU13" s="50" t="str">
        <f t="shared" si="23"/>
        <v/>
      </c>
      <c r="BV13" s="50">
        <f>Participantes!AY12</f>
        <v>2</v>
      </c>
      <c r="BW13" s="50">
        <f>Participantes!AZ12</f>
        <v>0</v>
      </c>
      <c r="BX13" s="50" t="str">
        <f t="shared" si="24"/>
        <v/>
      </c>
      <c r="BY13" s="50">
        <f>Participantes!BA12</f>
        <v>2</v>
      </c>
      <c r="BZ13" s="50">
        <f>Participantes!BB12</f>
        <v>1</v>
      </c>
      <c r="CA13" s="50" t="str">
        <f t="shared" si="25"/>
        <v/>
      </c>
      <c r="CB13" s="50">
        <f>Participantes!BC12</f>
        <v>2</v>
      </c>
      <c r="CC13" s="50">
        <f>Participantes!BD12</f>
        <v>0</v>
      </c>
      <c r="CD13" s="50" t="str">
        <f t="shared" si="26"/>
        <v/>
      </c>
      <c r="CE13" s="50">
        <f>Participantes!BE12</f>
        <v>1</v>
      </c>
      <c r="CF13" s="50">
        <f>Participantes!BF12</f>
        <v>1</v>
      </c>
      <c r="CG13" s="50" t="str">
        <f t="shared" si="27"/>
        <v/>
      </c>
      <c r="CH13" s="50">
        <f>Participantes!BG12</f>
        <v>0</v>
      </c>
      <c r="CI13" s="50">
        <f>Participantes!BH12</f>
        <v>0</v>
      </c>
      <c r="CJ13" s="50" t="str">
        <f t="shared" si="28"/>
        <v/>
      </c>
      <c r="CK13" s="50">
        <f>Participantes!BI12</f>
        <v>0</v>
      </c>
      <c r="CL13" s="50">
        <f>Participantes!BJ12</f>
        <v>0</v>
      </c>
      <c r="CM13" s="50" t="str">
        <f t="shared" si="29"/>
        <v/>
      </c>
      <c r="CN13" s="50">
        <f>Participantes!BK12</f>
        <v>0</v>
      </c>
      <c r="CO13" s="50">
        <f>Participantes!BL12</f>
        <v>0</v>
      </c>
      <c r="CP13" s="50" t="str">
        <f t="shared" si="30"/>
        <v/>
      </c>
      <c r="CQ13" s="50">
        <f>Participantes!BM12</f>
        <v>0</v>
      </c>
      <c r="CR13" s="50">
        <f>Participantes!BN12</f>
        <v>0</v>
      </c>
      <c r="CS13" s="50" t="str">
        <f t="shared" si="31"/>
        <v/>
      </c>
      <c r="CT13" s="50">
        <f>Participantes!BO12</f>
        <v>0</v>
      </c>
      <c r="CU13" s="50">
        <f>Participantes!BP12</f>
        <v>0</v>
      </c>
      <c r="CV13" s="50" t="str">
        <f t="shared" si="32"/>
        <v/>
      </c>
      <c r="CW13" s="50">
        <f>Participantes!BQ12</f>
        <v>0</v>
      </c>
      <c r="CX13" s="50">
        <f>Participantes!BR12</f>
        <v>0</v>
      </c>
      <c r="CY13" s="50" t="str">
        <f t="shared" si="33"/>
        <v/>
      </c>
      <c r="CZ13" s="50">
        <f>Participantes!BS12</f>
        <v>0</v>
      </c>
      <c r="DA13" s="50">
        <f>Participantes!BT12</f>
        <v>0</v>
      </c>
      <c r="DB13" s="50" t="str">
        <f t="shared" si="34"/>
        <v/>
      </c>
      <c r="DC13" s="50">
        <f>Participantes!BU12</f>
        <v>0</v>
      </c>
      <c r="DD13" s="50">
        <f>Participantes!BV12</f>
        <v>0</v>
      </c>
      <c r="DE13" s="50" t="str">
        <f t="shared" si="35"/>
        <v/>
      </c>
      <c r="DF13" s="50">
        <f>Participantes!BW12</f>
        <v>0</v>
      </c>
      <c r="DG13" s="50">
        <f>Participantes!BX12</f>
        <v>0</v>
      </c>
      <c r="DH13" s="50" t="str">
        <f t="shared" si="36"/>
        <v/>
      </c>
      <c r="DI13" s="50">
        <f>Participantes!BY12</f>
        <v>0</v>
      </c>
      <c r="DJ13" s="50">
        <f>Participantes!BZ12</f>
        <v>0</v>
      </c>
      <c r="DK13" s="50" t="str">
        <f t="shared" si="37"/>
        <v/>
      </c>
      <c r="DL13" s="50">
        <f>Participantes!CA12</f>
        <v>0</v>
      </c>
      <c r="DM13" s="50">
        <f>Participantes!CB12</f>
        <v>0</v>
      </c>
      <c r="DN13" s="50" t="str">
        <f t="shared" si="38"/>
        <v/>
      </c>
      <c r="DO13" s="50">
        <f>Participantes!CC12</f>
        <v>0</v>
      </c>
      <c r="DP13" s="50">
        <f>Participantes!CD12</f>
        <v>0</v>
      </c>
      <c r="DQ13" s="50" t="str">
        <f t="shared" si="39"/>
        <v/>
      </c>
      <c r="DR13" s="50">
        <f>Participantes!CE12</f>
        <v>0</v>
      </c>
      <c r="DS13" s="50">
        <f>Participantes!CF12</f>
        <v>0</v>
      </c>
      <c r="DT13" s="50" t="str">
        <f t="shared" si="40"/>
        <v/>
      </c>
      <c r="DU13" s="50">
        <f>Participantes!CG12</f>
        <v>0</v>
      </c>
      <c r="DV13" s="50">
        <f>Participantes!CH12</f>
        <v>0</v>
      </c>
      <c r="DW13" s="50" t="str">
        <f t="shared" si="41"/>
        <v/>
      </c>
      <c r="DX13" s="50">
        <f>Participantes!CI12</f>
        <v>0</v>
      </c>
      <c r="DY13" s="50">
        <f>Participantes!CJ12</f>
        <v>0</v>
      </c>
      <c r="DZ13" s="50" t="str">
        <f t="shared" si="42"/>
        <v/>
      </c>
      <c r="EA13" s="50">
        <f>Participantes!CK12</f>
        <v>0</v>
      </c>
      <c r="EB13" s="50">
        <f>Participantes!CL12</f>
        <v>0</v>
      </c>
      <c r="EC13" s="50" t="str">
        <f t="shared" si="43"/>
        <v/>
      </c>
      <c r="ED13" s="50">
        <f>Participantes!CM12</f>
        <v>0</v>
      </c>
      <c r="EE13" s="50">
        <f>Participantes!CN12</f>
        <v>0</v>
      </c>
      <c r="EF13" s="50" t="str">
        <f t="shared" si="44"/>
        <v/>
      </c>
      <c r="EG13" s="50">
        <f>Participantes!CO12</f>
        <v>0</v>
      </c>
      <c r="EH13" s="50">
        <f>Participantes!CP12</f>
        <v>0</v>
      </c>
      <c r="EI13" s="50" t="str">
        <f t="shared" si="45"/>
        <v/>
      </c>
      <c r="EJ13" s="50">
        <f>Participantes!CQ12</f>
        <v>0</v>
      </c>
      <c r="EK13" s="50">
        <f>Participantes!CR12</f>
        <v>0</v>
      </c>
      <c r="EL13" s="50" t="str">
        <f t="shared" si="46"/>
        <v/>
      </c>
      <c r="EM13" s="50">
        <f>Participantes!CS12</f>
        <v>0</v>
      </c>
      <c r="EN13" s="50">
        <f>Participantes!CT12</f>
        <v>0</v>
      </c>
      <c r="EO13" s="50" t="str">
        <f t="shared" si="47"/>
        <v/>
      </c>
      <c r="EP13" s="50">
        <f>Participantes!CU12</f>
        <v>0</v>
      </c>
      <c r="EQ13" s="50">
        <f>Participantes!CV12</f>
        <v>0</v>
      </c>
      <c r="ER13" s="50" t="str">
        <f t="shared" si="48"/>
        <v/>
      </c>
      <c r="ES13" s="50">
        <f>Participantes!CW12</f>
        <v>0</v>
      </c>
      <c r="ET13" s="50">
        <f>Participantes!CX12</f>
        <v>0</v>
      </c>
      <c r="EU13" s="50" t="str">
        <f t="shared" si="49"/>
        <v/>
      </c>
      <c r="EV13" s="50">
        <f>Participantes!CY12</f>
        <v>0</v>
      </c>
      <c r="EW13" s="50">
        <f>Participantes!CZ12</f>
        <v>0</v>
      </c>
      <c r="EX13" s="50" t="str">
        <f t="shared" si="50"/>
        <v/>
      </c>
      <c r="EY13" s="50">
        <f>Participantes!DA12</f>
        <v>0</v>
      </c>
      <c r="EZ13" s="50">
        <f>Participantes!DB12</f>
        <v>0</v>
      </c>
      <c r="FA13" s="50" t="str">
        <f t="shared" si="51"/>
        <v/>
      </c>
      <c r="FB13" s="50">
        <f>Participantes!DC12</f>
        <v>0</v>
      </c>
      <c r="FC13" s="50">
        <f>Participantes!DD12</f>
        <v>0</v>
      </c>
      <c r="FD13" s="50" t="str">
        <f t="shared" si="52"/>
        <v/>
      </c>
      <c r="FE13" s="50">
        <f>Participantes!DE12</f>
        <v>0</v>
      </c>
      <c r="FF13" s="50">
        <f>Participantes!DF12</f>
        <v>0</v>
      </c>
      <c r="FG13" s="50" t="str">
        <f t="shared" si="53"/>
        <v/>
      </c>
      <c r="FH13" s="50">
        <f>Participantes!DG12</f>
        <v>0</v>
      </c>
      <c r="FI13" s="50">
        <f>Participantes!DH12</f>
        <v>0</v>
      </c>
      <c r="FJ13" s="50" t="str">
        <f t="shared" si="54"/>
        <v/>
      </c>
      <c r="FK13" s="50">
        <f>Participantes!DI12</f>
        <v>0</v>
      </c>
      <c r="FL13" s="50">
        <f>Participantes!DJ12</f>
        <v>0</v>
      </c>
      <c r="FM13" s="50" t="str">
        <f t="shared" si="55"/>
        <v/>
      </c>
      <c r="FN13" s="50">
        <f>Participantes!DK12</f>
        <v>0</v>
      </c>
      <c r="FO13" s="50">
        <f>Participantes!DL12</f>
        <v>0</v>
      </c>
      <c r="FP13" s="50" t="str">
        <f t="shared" si="56"/>
        <v/>
      </c>
      <c r="FQ13" s="50">
        <f>Participantes!DM12</f>
        <v>0</v>
      </c>
      <c r="FR13" s="50">
        <f>Participantes!DN12</f>
        <v>0</v>
      </c>
      <c r="FS13" s="50" t="str">
        <f t="shared" si="57"/>
        <v/>
      </c>
      <c r="FT13" s="50">
        <f>Participantes!DO12</f>
        <v>0</v>
      </c>
      <c r="FU13" s="50">
        <f>Participantes!DP12</f>
        <v>0</v>
      </c>
      <c r="FV13" s="50" t="str">
        <f t="shared" si="58"/>
        <v/>
      </c>
      <c r="FW13" s="50">
        <f>Participantes!DQ12</f>
        <v>0</v>
      </c>
      <c r="FX13" s="50">
        <f>Participantes!DR12</f>
        <v>0</v>
      </c>
      <c r="FY13" s="50" t="str">
        <f t="shared" si="59"/>
        <v/>
      </c>
      <c r="FZ13" s="50">
        <f>Participantes!DS12</f>
        <v>0</v>
      </c>
      <c r="GA13" s="50">
        <f>Participantes!DT12</f>
        <v>0</v>
      </c>
      <c r="GB13" s="50" t="str">
        <f t="shared" si="60"/>
        <v/>
      </c>
      <c r="GC13" s="50">
        <f>Participantes!DU12</f>
        <v>0</v>
      </c>
      <c r="GD13" s="50">
        <f>Participantes!DV12</f>
        <v>0</v>
      </c>
      <c r="GE13" s="50" t="str">
        <f t="shared" si="61"/>
        <v/>
      </c>
      <c r="GF13" s="50">
        <f>Participantes!DW12</f>
        <v>0</v>
      </c>
      <c r="GG13" s="50">
        <f>Participantes!DX12</f>
        <v>0</v>
      </c>
      <c r="GH13" s="50" t="str">
        <f t="shared" si="62"/>
        <v/>
      </c>
      <c r="GI13" s="50">
        <f>Participantes!DY12</f>
        <v>0</v>
      </c>
      <c r="GJ13" s="50">
        <f>Participantes!DZ12</f>
        <v>0</v>
      </c>
      <c r="GK13" s="50" t="str">
        <f t="shared" si="63"/>
        <v/>
      </c>
      <c r="GL13" s="50">
        <f>Participantes!EA12</f>
        <v>0</v>
      </c>
      <c r="GM13" s="50">
        <f>Participantes!EB12</f>
        <v>0</v>
      </c>
      <c r="GN13" s="50" t="str">
        <f t="shared" si="64"/>
        <v/>
      </c>
      <c r="GO13" s="50">
        <f>Participantes!EC12</f>
        <v>0</v>
      </c>
      <c r="GP13" s="50">
        <f>Participantes!ED12</f>
        <v>0</v>
      </c>
      <c r="GQ13" s="50" t="str">
        <f t="shared" si="65"/>
        <v/>
      </c>
      <c r="GR13" s="50">
        <f>Participantes!EE12</f>
        <v>0</v>
      </c>
      <c r="GS13" s="50">
        <f>Participantes!EF12</f>
        <v>0</v>
      </c>
      <c r="GT13" s="50" t="str">
        <f t="shared" si="66"/>
        <v/>
      </c>
      <c r="GU13" s="50">
        <f>Participantes!EG12</f>
        <v>0</v>
      </c>
      <c r="GV13" s="50">
        <f>Participantes!EH12</f>
        <v>0</v>
      </c>
      <c r="GW13" s="50" t="str">
        <f t="shared" si="67"/>
        <v/>
      </c>
      <c r="GX13" s="50">
        <f>Participantes!EI12</f>
        <v>0</v>
      </c>
      <c r="GY13" s="50">
        <f>Participantes!EJ12</f>
        <v>0</v>
      </c>
      <c r="GZ13" s="50" t="str">
        <f t="shared" si="68"/>
        <v/>
      </c>
      <c r="HA13" s="50">
        <f>Participantes!EK12</f>
        <v>0</v>
      </c>
      <c r="HB13" s="50">
        <f>Participantes!EL12</f>
        <v>0</v>
      </c>
      <c r="HC13" s="50" t="str">
        <f t="shared" si="69"/>
        <v/>
      </c>
      <c r="HD13" s="50">
        <f>Participantes!EM12</f>
        <v>0</v>
      </c>
      <c r="HE13" s="50">
        <f>Participantes!EN12</f>
        <v>0</v>
      </c>
      <c r="HF13" s="50" t="str">
        <f t="shared" si="70"/>
        <v/>
      </c>
      <c r="HG13" s="50">
        <f>Participantes!EO12</f>
        <v>0</v>
      </c>
      <c r="HH13" s="50">
        <f>Participantes!EP12</f>
        <v>0</v>
      </c>
      <c r="HI13" s="50" t="str">
        <f t="shared" si="71"/>
        <v/>
      </c>
      <c r="HJ13" s="51">
        <f t="shared" si="72"/>
        <v>6</v>
      </c>
    </row>
    <row r="14" spans="1:218" ht="15" customHeight="1" x14ac:dyDescent="0.25">
      <c r="A14" s="49" t="str">
        <f>Participantes!B13</f>
        <v>Espinosa L.</v>
      </c>
      <c r="B14" s="50">
        <f>Participantes!C13</f>
        <v>2</v>
      </c>
      <c r="C14" s="50">
        <f>Participantes!D13</f>
        <v>1</v>
      </c>
      <c r="D14" s="50">
        <f t="shared" si="0"/>
        <v>1</v>
      </c>
      <c r="E14" s="50">
        <f>Participantes!E13</f>
        <v>1</v>
      </c>
      <c r="F14" s="50">
        <f>Participantes!F13</f>
        <v>0</v>
      </c>
      <c r="G14" s="50">
        <f t="shared" si="1"/>
        <v>1</v>
      </c>
      <c r="H14" s="50">
        <f>Participantes!G13</f>
        <v>3</v>
      </c>
      <c r="I14" s="50">
        <f>Participantes!H13</f>
        <v>0</v>
      </c>
      <c r="J14" s="50" t="str">
        <f t="shared" si="2"/>
        <v/>
      </c>
      <c r="K14" s="50">
        <f>Participantes!I13</f>
        <v>2</v>
      </c>
      <c r="L14" s="50">
        <f>Participantes!J13</f>
        <v>1</v>
      </c>
      <c r="M14" s="50" t="str">
        <f t="shared" si="3"/>
        <v/>
      </c>
      <c r="N14" s="50">
        <f>Participantes!K13</f>
        <v>3</v>
      </c>
      <c r="O14" s="50">
        <f>Participantes!L13</f>
        <v>1</v>
      </c>
      <c r="P14" s="50" t="str">
        <f t="shared" si="4"/>
        <v/>
      </c>
      <c r="Q14" s="50">
        <f>Participantes!M13</f>
        <v>1</v>
      </c>
      <c r="R14" s="50">
        <f>Participantes!N13</f>
        <v>1</v>
      </c>
      <c r="S14" s="50" t="str">
        <f t="shared" si="5"/>
        <v/>
      </c>
      <c r="T14" s="50">
        <f>Participantes!O13</f>
        <v>2</v>
      </c>
      <c r="U14" s="50">
        <f>Participantes!P13</f>
        <v>0</v>
      </c>
      <c r="V14" s="50" t="str">
        <f t="shared" si="6"/>
        <v/>
      </c>
      <c r="W14" s="50">
        <f>Participantes!Q13</f>
        <v>0</v>
      </c>
      <c r="X14" s="50">
        <f>Participantes!R13</f>
        <v>0</v>
      </c>
      <c r="Y14" s="50" t="str">
        <f t="shared" si="7"/>
        <v/>
      </c>
      <c r="Z14" s="50">
        <f>Participantes!S13</f>
        <v>1</v>
      </c>
      <c r="AA14" s="50">
        <f>Participantes!T13</f>
        <v>2</v>
      </c>
      <c r="AB14" s="50" t="str">
        <f t="shared" si="8"/>
        <v/>
      </c>
      <c r="AC14" s="50">
        <f>Participantes!U13</f>
        <v>3</v>
      </c>
      <c r="AD14" s="50">
        <f>Participantes!V13</f>
        <v>0</v>
      </c>
      <c r="AE14" s="50" t="str">
        <f t="shared" si="9"/>
        <v/>
      </c>
      <c r="AF14" s="50">
        <f>Participantes!W13</f>
        <v>0</v>
      </c>
      <c r="AG14" s="50">
        <f>Participantes!X13</f>
        <v>2</v>
      </c>
      <c r="AH14" s="50" t="str">
        <f t="shared" si="10"/>
        <v/>
      </c>
      <c r="AI14" s="50">
        <f>Participantes!Y13</f>
        <v>1</v>
      </c>
      <c r="AJ14" s="50">
        <f>Participantes!Z13</f>
        <v>1</v>
      </c>
      <c r="AK14" s="50" t="str">
        <f t="shared" si="11"/>
        <v/>
      </c>
      <c r="AL14" s="50">
        <f>Participantes!AA13</f>
        <v>0</v>
      </c>
      <c r="AM14" s="50">
        <f>Participantes!AB13</f>
        <v>1</v>
      </c>
      <c r="AN14" s="50" t="str">
        <f t="shared" si="12"/>
        <v/>
      </c>
      <c r="AO14" s="50">
        <f>Participantes!AC13</f>
        <v>2</v>
      </c>
      <c r="AP14" s="50">
        <f>Participantes!AD13</f>
        <v>0</v>
      </c>
      <c r="AQ14" s="50" t="str">
        <f t="shared" si="13"/>
        <v/>
      </c>
      <c r="AR14" s="50">
        <f>Participantes!AE13</f>
        <v>2</v>
      </c>
      <c r="AS14" s="50">
        <f>Participantes!AF13</f>
        <v>0</v>
      </c>
      <c r="AT14" s="50" t="str">
        <f t="shared" si="14"/>
        <v/>
      </c>
      <c r="AU14" s="50">
        <f>Participantes!AG13</f>
        <v>1</v>
      </c>
      <c r="AV14" s="50">
        <f>Participantes!AH13</f>
        <v>0</v>
      </c>
      <c r="AW14" s="50" t="str">
        <f t="shared" si="15"/>
        <v/>
      </c>
      <c r="AX14" s="50">
        <f>Participantes!AI13</f>
        <v>3</v>
      </c>
      <c r="AY14" s="50">
        <f>Participantes!AJ13</f>
        <v>0</v>
      </c>
      <c r="AZ14" s="50" t="str">
        <f t="shared" si="16"/>
        <v/>
      </c>
      <c r="BA14" s="50">
        <f>Participantes!AK13</f>
        <v>1</v>
      </c>
      <c r="BB14" s="50">
        <f>Participantes!AL13</f>
        <v>1</v>
      </c>
      <c r="BC14" s="50" t="str">
        <f t="shared" si="17"/>
        <v/>
      </c>
      <c r="BD14" s="50">
        <f>Participantes!AM13</f>
        <v>2</v>
      </c>
      <c r="BE14" s="50">
        <f>Participantes!AN13</f>
        <v>0</v>
      </c>
      <c r="BF14" s="50" t="str">
        <f t="shared" si="18"/>
        <v/>
      </c>
      <c r="BG14" s="50">
        <f>Participantes!AO13</f>
        <v>1</v>
      </c>
      <c r="BH14" s="50">
        <f>Participantes!AP13</f>
        <v>1</v>
      </c>
      <c r="BI14" s="50" t="str">
        <f t="shared" si="19"/>
        <v/>
      </c>
      <c r="BJ14" s="50">
        <f>Participantes!AQ13</f>
        <v>0</v>
      </c>
      <c r="BK14" s="50">
        <f>Participantes!AR13</f>
        <v>1</v>
      </c>
      <c r="BL14" s="50" t="str">
        <f t="shared" si="20"/>
        <v/>
      </c>
      <c r="BM14" s="50">
        <f>Participantes!AS13</f>
        <v>1</v>
      </c>
      <c r="BN14" s="50">
        <f>Participantes!AT13</f>
        <v>0</v>
      </c>
      <c r="BO14" s="50" t="str">
        <f t="shared" si="21"/>
        <v/>
      </c>
      <c r="BP14" s="50">
        <f>Participantes!AU13</f>
        <v>2</v>
      </c>
      <c r="BQ14" s="50">
        <f>Participantes!AV13</f>
        <v>0</v>
      </c>
      <c r="BR14" s="50" t="str">
        <f t="shared" si="22"/>
        <v/>
      </c>
      <c r="BS14" s="50">
        <f>Participantes!AW13</f>
        <v>1</v>
      </c>
      <c r="BT14" s="50">
        <f>Participantes!AX13</f>
        <v>2</v>
      </c>
      <c r="BU14" s="50" t="str">
        <f t="shared" si="23"/>
        <v/>
      </c>
      <c r="BV14" s="50">
        <f>Participantes!AY13</f>
        <v>1</v>
      </c>
      <c r="BW14" s="50">
        <f>Participantes!AZ13</f>
        <v>1</v>
      </c>
      <c r="BX14" s="50" t="str">
        <f t="shared" si="24"/>
        <v/>
      </c>
      <c r="BY14" s="50">
        <f>Participantes!BA13</f>
        <v>0</v>
      </c>
      <c r="BZ14" s="50">
        <f>Participantes!BB13</f>
        <v>1</v>
      </c>
      <c r="CA14" s="50" t="str">
        <f t="shared" si="25"/>
        <v/>
      </c>
      <c r="CB14" s="50">
        <f>Participantes!BC13</f>
        <v>2</v>
      </c>
      <c r="CC14" s="50">
        <f>Participantes!BD13</f>
        <v>0</v>
      </c>
      <c r="CD14" s="50" t="str">
        <f t="shared" si="26"/>
        <v/>
      </c>
      <c r="CE14" s="50">
        <f>Participantes!BE13</f>
        <v>2</v>
      </c>
      <c r="CF14" s="50">
        <f>Participantes!BF13</f>
        <v>0</v>
      </c>
      <c r="CG14" s="50" t="str">
        <f t="shared" si="27"/>
        <v/>
      </c>
      <c r="CH14" s="50">
        <f>Participantes!BG13</f>
        <v>0</v>
      </c>
      <c r="CI14" s="50">
        <f>Participantes!BH13</f>
        <v>0</v>
      </c>
      <c r="CJ14" s="50" t="str">
        <f t="shared" si="28"/>
        <v/>
      </c>
      <c r="CK14" s="50">
        <f>Participantes!BI13</f>
        <v>0</v>
      </c>
      <c r="CL14" s="50">
        <f>Participantes!BJ13</f>
        <v>0</v>
      </c>
      <c r="CM14" s="50" t="str">
        <f t="shared" si="29"/>
        <v/>
      </c>
      <c r="CN14" s="50">
        <f>Participantes!BK13</f>
        <v>0</v>
      </c>
      <c r="CO14" s="50">
        <f>Participantes!BL13</f>
        <v>0</v>
      </c>
      <c r="CP14" s="50" t="str">
        <f t="shared" si="30"/>
        <v/>
      </c>
      <c r="CQ14" s="50">
        <f>Participantes!BM13</f>
        <v>0</v>
      </c>
      <c r="CR14" s="50">
        <f>Participantes!BN13</f>
        <v>0</v>
      </c>
      <c r="CS14" s="50" t="str">
        <f t="shared" si="31"/>
        <v/>
      </c>
      <c r="CT14" s="50">
        <f>Participantes!BO13</f>
        <v>0</v>
      </c>
      <c r="CU14" s="50">
        <f>Participantes!BP13</f>
        <v>0</v>
      </c>
      <c r="CV14" s="50" t="str">
        <f t="shared" si="32"/>
        <v/>
      </c>
      <c r="CW14" s="50">
        <f>Participantes!BQ13</f>
        <v>0</v>
      </c>
      <c r="CX14" s="50">
        <f>Participantes!BR13</f>
        <v>0</v>
      </c>
      <c r="CY14" s="50" t="str">
        <f t="shared" si="33"/>
        <v/>
      </c>
      <c r="CZ14" s="50">
        <f>Participantes!BS13</f>
        <v>0</v>
      </c>
      <c r="DA14" s="50">
        <f>Participantes!BT13</f>
        <v>0</v>
      </c>
      <c r="DB14" s="50" t="str">
        <f t="shared" si="34"/>
        <v/>
      </c>
      <c r="DC14" s="50">
        <f>Participantes!BU13</f>
        <v>0</v>
      </c>
      <c r="DD14" s="50">
        <f>Participantes!BV13</f>
        <v>0</v>
      </c>
      <c r="DE14" s="50" t="str">
        <f t="shared" si="35"/>
        <v/>
      </c>
      <c r="DF14" s="50">
        <f>Participantes!BW13</f>
        <v>0</v>
      </c>
      <c r="DG14" s="50">
        <f>Participantes!BX13</f>
        <v>0</v>
      </c>
      <c r="DH14" s="50" t="str">
        <f t="shared" si="36"/>
        <v/>
      </c>
      <c r="DI14" s="50">
        <f>Participantes!BY13</f>
        <v>0</v>
      </c>
      <c r="DJ14" s="50">
        <f>Participantes!BZ13</f>
        <v>0</v>
      </c>
      <c r="DK14" s="50" t="str">
        <f t="shared" si="37"/>
        <v/>
      </c>
      <c r="DL14" s="50">
        <f>Participantes!CA13</f>
        <v>0</v>
      </c>
      <c r="DM14" s="50">
        <f>Participantes!CB13</f>
        <v>0</v>
      </c>
      <c r="DN14" s="50" t="str">
        <f t="shared" si="38"/>
        <v/>
      </c>
      <c r="DO14" s="50">
        <f>Participantes!CC13</f>
        <v>0</v>
      </c>
      <c r="DP14" s="50">
        <f>Participantes!CD13</f>
        <v>0</v>
      </c>
      <c r="DQ14" s="50" t="str">
        <f t="shared" si="39"/>
        <v/>
      </c>
      <c r="DR14" s="50">
        <f>Participantes!CE13</f>
        <v>0</v>
      </c>
      <c r="DS14" s="50">
        <f>Participantes!CF13</f>
        <v>0</v>
      </c>
      <c r="DT14" s="50" t="str">
        <f t="shared" si="40"/>
        <v/>
      </c>
      <c r="DU14" s="50">
        <f>Participantes!CG13</f>
        <v>0</v>
      </c>
      <c r="DV14" s="50">
        <f>Participantes!CH13</f>
        <v>0</v>
      </c>
      <c r="DW14" s="50" t="str">
        <f t="shared" si="41"/>
        <v/>
      </c>
      <c r="DX14" s="50">
        <f>Participantes!CI13</f>
        <v>0</v>
      </c>
      <c r="DY14" s="50">
        <f>Participantes!CJ13</f>
        <v>0</v>
      </c>
      <c r="DZ14" s="50" t="str">
        <f t="shared" si="42"/>
        <v/>
      </c>
      <c r="EA14" s="50">
        <f>Participantes!CK13</f>
        <v>0</v>
      </c>
      <c r="EB14" s="50">
        <f>Participantes!CL13</f>
        <v>0</v>
      </c>
      <c r="EC14" s="50" t="str">
        <f t="shared" si="43"/>
        <v/>
      </c>
      <c r="ED14" s="50">
        <f>Participantes!CM13</f>
        <v>0</v>
      </c>
      <c r="EE14" s="50">
        <f>Participantes!CN13</f>
        <v>0</v>
      </c>
      <c r="EF14" s="50" t="str">
        <f t="shared" si="44"/>
        <v/>
      </c>
      <c r="EG14" s="50">
        <f>Participantes!CO13</f>
        <v>0</v>
      </c>
      <c r="EH14" s="50">
        <f>Participantes!CP13</f>
        <v>0</v>
      </c>
      <c r="EI14" s="50" t="str">
        <f t="shared" si="45"/>
        <v/>
      </c>
      <c r="EJ14" s="50">
        <f>Participantes!CQ13</f>
        <v>0</v>
      </c>
      <c r="EK14" s="50">
        <f>Participantes!CR13</f>
        <v>0</v>
      </c>
      <c r="EL14" s="50" t="str">
        <f t="shared" si="46"/>
        <v/>
      </c>
      <c r="EM14" s="50">
        <f>Participantes!CS13</f>
        <v>0</v>
      </c>
      <c r="EN14" s="50">
        <f>Participantes!CT13</f>
        <v>0</v>
      </c>
      <c r="EO14" s="50" t="str">
        <f t="shared" si="47"/>
        <v/>
      </c>
      <c r="EP14" s="50">
        <f>Participantes!CU13</f>
        <v>0</v>
      </c>
      <c r="EQ14" s="50">
        <f>Participantes!CV13</f>
        <v>0</v>
      </c>
      <c r="ER14" s="50" t="str">
        <f t="shared" si="48"/>
        <v/>
      </c>
      <c r="ES14" s="50">
        <f>Participantes!CW13</f>
        <v>0</v>
      </c>
      <c r="ET14" s="50">
        <f>Participantes!CX13</f>
        <v>0</v>
      </c>
      <c r="EU14" s="50" t="str">
        <f t="shared" si="49"/>
        <v/>
      </c>
      <c r="EV14" s="50">
        <f>Participantes!CY13</f>
        <v>0</v>
      </c>
      <c r="EW14" s="50">
        <f>Participantes!CZ13</f>
        <v>0</v>
      </c>
      <c r="EX14" s="50" t="str">
        <f t="shared" si="50"/>
        <v/>
      </c>
      <c r="EY14" s="50">
        <f>Participantes!DA13</f>
        <v>0</v>
      </c>
      <c r="EZ14" s="50">
        <f>Participantes!DB13</f>
        <v>0</v>
      </c>
      <c r="FA14" s="50" t="str">
        <f t="shared" si="51"/>
        <v/>
      </c>
      <c r="FB14" s="50">
        <f>Participantes!DC13</f>
        <v>0</v>
      </c>
      <c r="FC14" s="50">
        <f>Participantes!DD13</f>
        <v>0</v>
      </c>
      <c r="FD14" s="50" t="str">
        <f t="shared" si="52"/>
        <v/>
      </c>
      <c r="FE14" s="50">
        <f>Participantes!DE13</f>
        <v>0</v>
      </c>
      <c r="FF14" s="50">
        <f>Participantes!DF13</f>
        <v>0</v>
      </c>
      <c r="FG14" s="50" t="str">
        <f t="shared" si="53"/>
        <v/>
      </c>
      <c r="FH14" s="50">
        <f>Participantes!DG13</f>
        <v>0</v>
      </c>
      <c r="FI14" s="50">
        <f>Participantes!DH13</f>
        <v>0</v>
      </c>
      <c r="FJ14" s="50" t="str">
        <f t="shared" si="54"/>
        <v/>
      </c>
      <c r="FK14" s="50">
        <f>Participantes!DI13</f>
        <v>0</v>
      </c>
      <c r="FL14" s="50">
        <f>Participantes!DJ13</f>
        <v>0</v>
      </c>
      <c r="FM14" s="50" t="str">
        <f t="shared" si="55"/>
        <v/>
      </c>
      <c r="FN14" s="50">
        <f>Participantes!DK13</f>
        <v>0</v>
      </c>
      <c r="FO14" s="50">
        <f>Participantes!DL13</f>
        <v>0</v>
      </c>
      <c r="FP14" s="50" t="str">
        <f t="shared" si="56"/>
        <v/>
      </c>
      <c r="FQ14" s="50">
        <f>Participantes!DM13</f>
        <v>0</v>
      </c>
      <c r="FR14" s="50">
        <f>Participantes!DN13</f>
        <v>0</v>
      </c>
      <c r="FS14" s="50" t="str">
        <f t="shared" si="57"/>
        <v/>
      </c>
      <c r="FT14" s="50">
        <f>Participantes!DO13</f>
        <v>0</v>
      </c>
      <c r="FU14" s="50">
        <f>Participantes!DP13</f>
        <v>0</v>
      </c>
      <c r="FV14" s="50" t="str">
        <f t="shared" si="58"/>
        <v/>
      </c>
      <c r="FW14" s="50">
        <f>Participantes!DQ13</f>
        <v>0</v>
      </c>
      <c r="FX14" s="50">
        <f>Participantes!DR13</f>
        <v>0</v>
      </c>
      <c r="FY14" s="50" t="str">
        <f t="shared" si="59"/>
        <v/>
      </c>
      <c r="FZ14" s="50">
        <f>Participantes!DS13</f>
        <v>0</v>
      </c>
      <c r="GA14" s="50">
        <f>Participantes!DT13</f>
        <v>0</v>
      </c>
      <c r="GB14" s="50" t="str">
        <f t="shared" si="60"/>
        <v/>
      </c>
      <c r="GC14" s="50">
        <f>Participantes!DU13</f>
        <v>0</v>
      </c>
      <c r="GD14" s="50">
        <f>Participantes!DV13</f>
        <v>0</v>
      </c>
      <c r="GE14" s="50" t="str">
        <f t="shared" si="61"/>
        <v/>
      </c>
      <c r="GF14" s="50">
        <f>Participantes!DW13</f>
        <v>0</v>
      </c>
      <c r="GG14" s="50">
        <f>Participantes!DX13</f>
        <v>0</v>
      </c>
      <c r="GH14" s="50" t="str">
        <f t="shared" si="62"/>
        <v/>
      </c>
      <c r="GI14" s="50">
        <f>Participantes!DY13</f>
        <v>0</v>
      </c>
      <c r="GJ14" s="50">
        <f>Participantes!DZ13</f>
        <v>0</v>
      </c>
      <c r="GK14" s="50" t="str">
        <f t="shared" si="63"/>
        <v/>
      </c>
      <c r="GL14" s="50">
        <f>Participantes!EA13</f>
        <v>0</v>
      </c>
      <c r="GM14" s="50">
        <f>Participantes!EB13</f>
        <v>0</v>
      </c>
      <c r="GN14" s="50" t="str">
        <f t="shared" si="64"/>
        <v/>
      </c>
      <c r="GO14" s="50">
        <f>Participantes!EC13</f>
        <v>0</v>
      </c>
      <c r="GP14" s="50">
        <f>Participantes!ED13</f>
        <v>0</v>
      </c>
      <c r="GQ14" s="50" t="str">
        <f t="shared" si="65"/>
        <v/>
      </c>
      <c r="GR14" s="50">
        <f>Participantes!EE13</f>
        <v>0</v>
      </c>
      <c r="GS14" s="50">
        <f>Participantes!EF13</f>
        <v>0</v>
      </c>
      <c r="GT14" s="50" t="str">
        <f t="shared" si="66"/>
        <v/>
      </c>
      <c r="GU14" s="50">
        <f>Participantes!EG13</f>
        <v>0</v>
      </c>
      <c r="GV14" s="50">
        <f>Participantes!EH13</f>
        <v>0</v>
      </c>
      <c r="GW14" s="50" t="str">
        <f t="shared" si="67"/>
        <v/>
      </c>
      <c r="GX14" s="50">
        <f>Participantes!EI13</f>
        <v>0</v>
      </c>
      <c r="GY14" s="50">
        <f>Participantes!EJ13</f>
        <v>0</v>
      </c>
      <c r="GZ14" s="50" t="str">
        <f t="shared" si="68"/>
        <v/>
      </c>
      <c r="HA14" s="50">
        <f>Participantes!EK13</f>
        <v>0</v>
      </c>
      <c r="HB14" s="50">
        <f>Participantes!EL13</f>
        <v>0</v>
      </c>
      <c r="HC14" s="50" t="str">
        <f t="shared" si="69"/>
        <v/>
      </c>
      <c r="HD14" s="50">
        <f>Participantes!EM13</f>
        <v>0</v>
      </c>
      <c r="HE14" s="50">
        <f>Participantes!EN13</f>
        <v>0</v>
      </c>
      <c r="HF14" s="50" t="str">
        <f t="shared" si="70"/>
        <v/>
      </c>
      <c r="HG14" s="50">
        <f>Participantes!EO13</f>
        <v>0</v>
      </c>
      <c r="HH14" s="50">
        <f>Participantes!EP13</f>
        <v>0</v>
      </c>
      <c r="HI14" s="50" t="str">
        <f t="shared" si="71"/>
        <v/>
      </c>
      <c r="HJ14" s="51">
        <f t="shared" si="72"/>
        <v>2</v>
      </c>
    </row>
    <row r="15" spans="1:218" ht="15" customHeight="1" x14ac:dyDescent="0.25">
      <c r="A15" s="49" t="str">
        <f>Participantes!B14</f>
        <v>Freddy</v>
      </c>
      <c r="B15" s="50">
        <f>Participantes!C14</f>
        <v>3</v>
      </c>
      <c r="C15" s="50">
        <f>Participantes!D14</f>
        <v>1</v>
      </c>
      <c r="D15" s="50">
        <f t="shared" si="0"/>
        <v>1</v>
      </c>
      <c r="E15" s="50">
        <f>Participantes!E14</f>
        <v>1</v>
      </c>
      <c r="F15" s="50">
        <f>Participantes!F14</f>
        <v>1</v>
      </c>
      <c r="G15" s="50">
        <f t="shared" si="1"/>
        <v>0</v>
      </c>
      <c r="H15" s="50">
        <f>Participantes!G14</f>
        <v>3</v>
      </c>
      <c r="I15" s="50">
        <f>Participantes!H14</f>
        <v>1</v>
      </c>
      <c r="J15" s="50" t="str">
        <f t="shared" si="2"/>
        <v/>
      </c>
      <c r="K15" s="50">
        <f>Participantes!I14</f>
        <v>2</v>
      </c>
      <c r="L15" s="50">
        <f>Participantes!J14</f>
        <v>0</v>
      </c>
      <c r="M15" s="50" t="str">
        <f t="shared" si="3"/>
        <v/>
      </c>
      <c r="N15" s="50">
        <f>Participantes!K14</f>
        <v>0</v>
      </c>
      <c r="O15" s="50">
        <f>Participantes!L14</f>
        <v>1</v>
      </c>
      <c r="P15" s="50" t="str">
        <f t="shared" si="4"/>
        <v/>
      </c>
      <c r="Q15" s="50">
        <f>Participantes!M14</f>
        <v>1</v>
      </c>
      <c r="R15" s="50">
        <f>Participantes!N14</f>
        <v>2</v>
      </c>
      <c r="S15" s="50" t="str">
        <f t="shared" si="5"/>
        <v/>
      </c>
      <c r="T15" s="50">
        <f>Participantes!O14</f>
        <v>2</v>
      </c>
      <c r="U15" s="50">
        <f>Participantes!P14</f>
        <v>2</v>
      </c>
      <c r="V15" s="50" t="str">
        <f t="shared" si="6"/>
        <v/>
      </c>
      <c r="W15" s="50">
        <f>Participantes!Q14</f>
        <v>1</v>
      </c>
      <c r="X15" s="50">
        <f>Participantes!R14</f>
        <v>2</v>
      </c>
      <c r="Y15" s="50" t="str">
        <f t="shared" si="7"/>
        <v/>
      </c>
      <c r="Z15" s="50">
        <f>Participantes!S14</f>
        <v>0</v>
      </c>
      <c r="AA15" s="50">
        <f>Participantes!T14</f>
        <v>1</v>
      </c>
      <c r="AB15" s="50" t="str">
        <f t="shared" si="8"/>
        <v/>
      </c>
      <c r="AC15" s="50">
        <f>Participantes!U14</f>
        <v>6</v>
      </c>
      <c r="AD15" s="50">
        <f>Participantes!V14</f>
        <v>0</v>
      </c>
      <c r="AE15" s="50" t="str">
        <f t="shared" si="9"/>
        <v/>
      </c>
      <c r="AF15" s="50">
        <f>Participantes!W14</f>
        <v>1</v>
      </c>
      <c r="AG15" s="50">
        <f>Participantes!X14</f>
        <v>0</v>
      </c>
      <c r="AH15" s="50" t="str">
        <f t="shared" si="10"/>
        <v/>
      </c>
      <c r="AI15" s="50">
        <f>Participantes!Y14</f>
        <v>3</v>
      </c>
      <c r="AJ15" s="50">
        <f>Participantes!Z14</f>
        <v>0</v>
      </c>
      <c r="AK15" s="50" t="str">
        <f t="shared" si="11"/>
        <v/>
      </c>
      <c r="AL15" s="50">
        <f>Participantes!AA14</f>
        <v>0</v>
      </c>
      <c r="AM15" s="50">
        <f>Participantes!AB14</f>
        <v>2</v>
      </c>
      <c r="AN15" s="50" t="str">
        <f t="shared" si="12"/>
        <v/>
      </c>
      <c r="AO15" s="50">
        <f>Participantes!AC14</f>
        <v>5</v>
      </c>
      <c r="AP15" s="50">
        <f>Participantes!AD14</f>
        <v>0</v>
      </c>
      <c r="AQ15" s="50" t="str">
        <f t="shared" si="13"/>
        <v/>
      </c>
      <c r="AR15" s="50">
        <f>Participantes!AE14</f>
        <v>0</v>
      </c>
      <c r="AS15" s="50">
        <f>Participantes!AF14</f>
        <v>1</v>
      </c>
      <c r="AT15" s="50" t="str">
        <f t="shared" si="14"/>
        <v/>
      </c>
      <c r="AU15" s="50">
        <f>Participantes!AG14</f>
        <v>4</v>
      </c>
      <c r="AV15" s="50">
        <f>Participantes!AH14</f>
        <v>1</v>
      </c>
      <c r="AW15" s="50" t="str">
        <f t="shared" si="15"/>
        <v/>
      </c>
      <c r="AX15" s="50">
        <f>Participantes!AI14</f>
        <v>4</v>
      </c>
      <c r="AY15" s="50">
        <f>Participantes!AJ14</f>
        <v>0</v>
      </c>
      <c r="AZ15" s="50" t="str">
        <f t="shared" si="16"/>
        <v/>
      </c>
      <c r="BA15" s="50">
        <f>Participantes!AK14</f>
        <v>0</v>
      </c>
      <c r="BB15" s="50">
        <f>Participantes!AL14</f>
        <v>3</v>
      </c>
      <c r="BC15" s="50" t="str">
        <f t="shared" si="17"/>
        <v/>
      </c>
      <c r="BD15" s="50">
        <f>Participantes!AM14</f>
        <v>4</v>
      </c>
      <c r="BE15" s="50">
        <f>Participantes!AN14</f>
        <v>1</v>
      </c>
      <c r="BF15" s="50" t="str">
        <f t="shared" si="18"/>
        <v/>
      </c>
      <c r="BG15" s="50">
        <f>Participantes!AO14</f>
        <v>3</v>
      </c>
      <c r="BH15" s="50">
        <f>Participantes!AP14</f>
        <v>0</v>
      </c>
      <c r="BI15" s="50" t="str">
        <f t="shared" si="19"/>
        <v/>
      </c>
      <c r="BJ15" s="50">
        <f>Participantes!AQ14</f>
        <v>1</v>
      </c>
      <c r="BK15" s="50">
        <f>Participantes!AR14</f>
        <v>1</v>
      </c>
      <c r="BL15" s="50" t="str">
        <f t="shared" si="20"/>
        <v/>
      </c>
      <c r="BM15" s="50">
        <f>Participantes!AS14</f>
        <v>2</v>
      </c>
      <c r="BN15" s="50">
        <f>Participantes!AT14</f>
        <v>1</v>
      </c>
      <c r="BO15" s="50" t="str">
        <f t="shared" si="21"/>
        <v/>
      </c>
      <c r="BP15" s="50">
        <f>Participantes!AU14</f>
        <v>5</v>
      </c>
      <c r="BQ15" s="50">
        <f>Participantes!AV14</f>
        <v>0</v>
      </c>
      <c r="BR15" s="50" t="str">
        <f t="shared" si="22"/>
        <v/>
      </c>
      <c r="BS15" s="50">
        <f>Participantes!AW14</f>
        <v>1</v>
      </c>
      <c r="BT15" s="50">
        <f>Participantes!AX14</f>
        <v>2</v>
      </c>
      <c r="BU15" s="50" t="str">
        <f t="shared" si="23"/>
        <v/>
      </c>
      <c r="BV15" s="50">
        <f>Participantes!AY14</f>
        <v>0</v>
      </c>
      <c r="BW15" s="50">
        <f>Participantes!AZ14</f>
        <v>0</v>
      </c>
      <c r="BX15" s="50" t="str">
        <f t="shared" si="24"/>
        <v/>
      </c>
      <c r="BY15" s="50">
        <f>Participantes!BA14</f>
        <v>1</v>
      </c>
      <c r="BZ15" s="50">
        <f>Participantes!BB14</f>
        <v>0</v>
      </c>
      <c r="CA15" s="50" t="str">
        <f t="shared" si="25"/>
        <v/>
      </c>
      <c r="CB15" s="50">
        <f>Participantes!BC14</f>
        <v>2</v>
      </c>
      <c r="CC15" s="50">
        <f>Participantes!BD14</f>
        <v>0</v>
      </c>
      <c r="CD15" s="50" t="str">
        <f t="shared" si="26"/>
        <v/>
      </c>
      <c r="CE15" s="50">
        <f>Participantes!BE14</f>
        <v>1</v>
      </c>
      <c r="CF15" s="50">
        <f>Participantes!BF14</f>
        <v>1</v>
      </c>
      <c r="CG15" s="50" t="str">
        <f t="shared" si="27"/>
        <v/>
      </c>
      <c r="CH15" s="50">
        <f>Participantes!BG14</f>
        <v>0</v>
      </c>
      <c r="CI15" s="50">
        <f>Participantes!BH14</f>
        <v>0</v>
      </c>
      <c r="CJ15" s="50" t="str">
        <f t="shared" si="28"/>
        <v/>
      </c>
      <c r="CK15" s="50">
        <f>Participantes!BI14</f>
        <v>0</v>
      </c>
      <c r="CL15" s="50">
        <f>Participantes!BJ14</f>
        <v>0</v>
      </c>
      <c r="CM15" s="50" t="str">
        <f t="shared" si="29"/>
        <v/>
      </c>
      <c r="CN15" s="50">
        <f>Participantes!BK14</f>
        <v>0</v>
      </c>
      <c r="CO15" s="50">
        <f>Participantes!BL14</f>
        <v>0</v>
      </c>
      <c r="CP15" s="50" t="str">
        <f t="shared" si="30"/>
        <v/>
      </c>
      <c r="CQ15" s="50">
        <f>Participantes!BM14</f>
        <v>0</v>
      </c>
      <c r="CR15" s="50">
        <f>Participantes!BN14</f>
        <v>0</v>
      </c>
      <c r="CS15" s="50" t="str">
        <f t="shared" si="31"/>
        <v/>
      </c>
      <c r="CT15" s="50">
        <f>Participantes!BO14</f>
        <v>0</v>
      </c>
      <c r="CU15" s="50">
        <f>Participantes!BP14</f>
        <v>0</v>
      </c>
      <c r="CV15" s="50" t="str">
        <f t="shared" si="32"/>
        <v/>
      </c>
      <c r="CW15" s="50">
        <f>Participantes!BQ14</f>
        <v>0</v>
      </c>
      <c r="CX15" s="50">
        <f>Participantes!BR14</f>
        <v>0</v>
      </c>
      <c r="CY15" s="50" t="str">
        <f t="shared" si="33"/>
        <v/>
      </c>
      <c r="CZ15" s="50">
        <f>Participantes!BS14</f>
        <v>0</v>
      </c>
      <c r="DA15" s="50">
        <f>Participantes!BT14</f>
        <v>0</v>
      </c>
      <c r="DB15" s="50" t="str">
        <f t="shared" si="34"/>
        <v/>
      </c>
      <c r="DC15" s="50">
        <f>Participantes!BU14</f>
        <v>0</v>
      </c>
      <c r="DD15" s="50">
        <f>Participantes!BV14</f>
        <v>0</v>
      </c>
      <c r="DE15" s="50" t="str">
        <f t="shared" si="35"/>
        <v/>
      </c>
      <c r="DF15" s="50">
        <f>Participantes!BW14</f>
        <v>0</v>
      </c>
      <c r="DG15" s="50">
        <f>Participantes!BX14</f>
        <v>0</v>
      </c>
      <c r="DH15" s="50" t="str">
        <f t="shared" si="36"/>
        <v/>
      </c>
      <c r="DI15" s="50">
        <f>Participantes!BY14</f>
        <v>0</v>
      </c>
      <c r="DJ15" s="50">
        <f>Participantes!BZ14</f>
        <v>0</v>
      </c>
      <c r="DK15" s="50" t="str">
        <f t="shared" si="37"/>
        <v/>
      </c>
      <c r="DL15" s="50">
        <f>Participantes!CA14</f>
        <v>0</v>
      </c>
      <c r="DM15" s="50">
        <f>Participantes!CB14</f>
        <v>0</v>
      </c>
      <c r="DN15" s="50" t="str">
        <f t="shared" si="38"/>
        <v/>
      </c>
      <c r="DO15" s="50">
        <f>Participantes!CC14</f>
        <v>0</v>
      </c>
      <c r="DP15" s="50">
        <f>Participantes!CD14</f>
        <v>0</v>
      </c>
      <c r="DQ15" s="50" t="str">
        <f t="shared" si="39"/>
        <v/>
      </c>
      <c r="DR15" s="50">
        <f>Participantes!CE14</f>
        <v>0</v>
      </c>
      <c r="DS15" s="50">
        <f>Participantes!CF14</f>
        <v>0</v>
      </c>
      <c r="DT15" s="50" t="str">
        <f t="shared" si="40"/>
        <v/>
      </c>
      <c r="DU15" s="50">
        <f>Participantes!CG14</f>
        <v>0</v>
      </c>
      <c r="DV15" s="50">
        <f>Participantes!CH14</f>
        <v>0</v>
      </c>
      <c r="DW15" s="50" t="str">
        <f t="shared" si="41"/>
        <v/>
      </c>
      <c r="DX15" s="50">
        <f>Participantes!CI14</f>
        <v>0</v>
      </c>
      <c r="DY15" s="50">
        <f>Participantes!CJ14</f>
        <v>0</v>
      </c>
      <c r="DZ15" s="50" t="str">
        <f t="shared" si="42"/>
        <v/>
      </c>
      <c r="EA15" s="50">
        <f>Participantes!CK14</f>
        <v>0</v>
      </c>
      <c r="EB15" s="50">
        <f>Participantes!CL14</f>
        <v>0</v>
      </c>
      <c r="EC15" s="50" t="str">
        <f t="shared" si="43"/>
        <v/>
      </c>
      <c r="ED15" s="50">
        <f>Participantes!CM14</f>
        <v>0</v>
      </c>
      <c r="EE15" s="50">
        <f>Participantes!CN14</f>
        <v>0</v>
      </c>
      <c r="EF15" s="50" t="str">
        <f t="shared" si="44"/>
        <v/>
      </c>
      <c r="EG15" s="50">
        <f>Participantes!CO14</f>
        <v>0</v>
      </c>
      <c r="EH15" s="50">
        <f>Participantes!CP14</f>
        <v>0</v>
      </c>
      <c r="EI15" s="50" t="str">
        <f t="shared" si="45"/>
        <v/>
      </c>
      <c r="EJ15" s="50">
        <f>Participantes!CQ14</f>
        <v>0</v>
      </c>
      <c r="EK15" s="50">
        <f>Participantes!CR14</f>
        <v>0</v>
      </c>
      <c r="EL15" s="50" t="str">
        <f t="shared" si="46"/>
        <v/>
      </c>
      <c r="EM15" s="50">
        <f>Participantes!CS14</f>
        <v>0</v>
      </c>
      <c r="EN15" s="50">
        <f>Participantes!CT14</f>
        <v>0</v>
      </c>
      <c r="EO15" s="50" t="str">
        <f t="shared" si="47"/>
        <v/>
      </c>
      <c r="EP15" s="50">
        <f>Participantes!CU14</f>
        <v>0</v>
      </c>
      <c r="EQ15" s="50">
        <f>Participantes!CV14</f>
        <v>0</v>
      </c>
      <c r="ER15" s="50" t="str">
        <f t="shared" si="48"/>
        <v/>
      </c>
      <c r="ES15" s="50">
        <f>Participantes!CW14</f>
        <v>0</v>
      </c>
      <c r="ET15" s="50">
        <f>Participantes!CX14</f>
        <v>0</v>
      </c>
      <c r="EU15" s="50" t="str">
        <f t="shared" si="49"/>
        <v/>
      </c>
      <c r="EV15" s="50">
        <f>Participantes!CY14</f>
        <v>0</v>
      </c>
      <c r="EW15" s="50">
        <f>Participantes!CZ14</f>
        <v>0</v>
      </c>
      <c r="EX15" s="50" t="str">
        <f t="shared" si="50"/>
        <v/>
      </c>
      <c r="EY15" s="50">
        <f>Participantes!DA14</f>
        <v>0</v>
      </c>
      <c r="EZ15" s="50">
        <f>Participantes!DB14</f>
        <v>0</v>
      </c>
      <c r="FA15" s="50" t="str">
        <f t="shared" si="51"/>
        <v/>
      </c>
      <c r="FB15" s="50">
        <f>Participantes!DC14</f>
        <v>0</v>
      </c>
      <c r="FC15" s="50">
        <f>Participantes!DD14</f>
        <v>0</v>
      </c>
      <c r="FD15" s="50" t="str">
        <f t="shared" si="52"/>
        <v/>
      </c>
      <c r="FE15" s="50">
        <f>Participantes!DE14</f>
        <v>0</v>
      </c>
      <c r="FF15" s="50">
        <f>Participantes!DF14</f>
        <v>0</v>
      </c>
      <c r="FG15" s="50" t="str">
        <f t="shared" si="53"/>
        <v/>
      </c>
      <c r="FH15" s="50">
        <f>Participantes!DG14</f>
        <v>0</v>
      </c>
      <c r="FI15" s="50">
        <f>Participantes!DH14</f>
        <v>0</v>
      </c>
      <c r="FJ15" s="50" t="str">
        <f t="shared" si="54"/>
        <v/>
      </c>
      <c r="FK15" s="50">
        <f>Participantes!DI14</f>
        <v>0</v>
      </c>
      <c r="FL15" s="50">
        <f>Participantes!DJ14</f>
        <v>0</v>
      </c>
      <c r="FM15" s="50" t="str">
        <f t="shared" si="55"/>
        <v/>
      </c>
      <c r="FN15" s="50">
        <f>Participantes!DK14</f>
        <v>0</v>
      </c>
      <c r="FO15" s="50">
        <f>Participantes!DL14</f>
        <v>0</v>
      </c>
      <c r="FP15" s="50" t="str">
        <f t="shared" si="56"/>
        <v/>
      </c>
      <c r="FQ15" s="50">
        <f>Participantes!DM14</f>
        <v>0</v>
      </c>
      <c r="FR15" s="50">
        <f>Participantes!DN14</f>
        <v>0</v>
      </c>
      <c r="FS15" s="50" t="str">
        <f t="shared" si="57"/>
        <v/>
      </c>
      <c r="FT15" s="50">
        <f>Participantes!DO14</f>
        <v>0</v>
      </c>
      <c r="FU15" s="50">
        <f>Participantes!DP14</f>
        <v>0</v>
      </c>
      <c r="FV15" s="50" t="str">
        <f t="shared" si="58"/>
        <v/>
      </c>
      <c r="FW15" s="50">
        <f>Participantes!DQ14</f>
        <v>0</v>
      </c>
      <c r="FX15" s="50">
        <f>Participantes!DR14</f>
        <v>0</v>
      </c>
      <c r="FY15" s="50" t="str">
        <f t="shared" si="59"/>
        <v/>
      </c>
      <c r="FZ15" s="50">
        <f>Participantes!DS14</f>
        <v>0</v>
      </c>
      <c r="GA15" s="50">
        <f>Participantes!DT14</f>
        <v>0</v>
      </c>
      <c r="GB15" s="50" t="str">
        <f t="shared" si="60"/>
        <v/>
      </c>
      <c r="GC15" s="50">
        <f>Participantes!DU14</f>
        <v>0</v>
      </c>
      <c r="GD15" s="50">
        <f>Participantes!DV14</f>
        <v>0</v>
      </c>
      <c r="GE15" s="50" t="str">
        <f t="shared" si="61"/>
        <v/>
      </c>
      <c r="GF15" s="50">
        <f>Participantes!DW14</f>
        <v>0</v>
      </c>
      <c r="GG15" s="50">
        <f>Participantes!DX14</f>
        <v>0</v>
      </c>
      <c r="GH15" s="50" t="str">
        <f t="shared" si="62"/>
        <v/>
      </c>
      <c r="GI15" s="50">
        <f>Participantes!DY14</f>
        <v>0</v>
      </c>
      <c r="GJ15" s="50">
        <f>Participantes!DZ14</f>
        <v>0</v>
      </c>
      <c r="GK15" s="50" t="str">
        <f t="shared" si="63"/>
        <v/>
      </c>
      <c r="GL15" s="50">
        <f>Participantes!EA14</f>
        <v>0</v>
      </c>
      <c r="GM15" s="50">
        <f>Participantes!EB14</f>
        <v>0</v>
      </c>
      <c r="GN15" s="50" t="str">
        <f t="shared" si="64"/>
        <v/>
      </c>
      <c r="GO15" s="50">
        <f>Participantes!EC14</f>
        <v>0</v>
      </c>
      <c r="GP15" s="50">
        <f>Participantes!ED14</f>
        <v>0</v>
      </c>
      <c r="GQ15" s="50" t="str">
        <f t="shared" si="65"/>
        <v/>
      </c>
      <c r="GR15" s="50">
        <f>Participantes!EE14</f>
        <v>0</v>
      </c>
      <c r="GS15" s="50">
        <f>Participantes!EF14</f>
        <v>0</v>
      </c>
      <c r="GT15" s="50" t="str">
        <f t="shared" si="66"/>
        <v/>
      </c>
      <c r="GU15" s="50">
        <f>Participantes!EG14</f>
        <v>0</v>
      </c>
      <c r="GV15" s="50">
        <f>Participantes!EH14</f>
        <v>0</v>
      </c>
      <c r="GW15" s="50" t="str">
        <f t="shared" si="67"/>
        <v/>
      </c>
      <c r="GX15" s="50">
        <f>Participantes!EI14</f>
        <v>0</v>
      </c>
      <c r="GY15" s="50">
        <f>Participantes!EJ14</f>
        <v>0</v>
      </c>
      <c r="GZ15" s="50" t="str">
        <f t="shared" si="68"/>
        <v/>
      </c>
      <c r="HA15" s="50">
        <f>Participantes!EK14</f>
        <v>0</v>
      </c>
      <c r="HB15" s="50">
        <f>Participantes!EL14</f>
        <v>0</v>
      </c>
      <c r="HC15" s="50" t="str">
        <f t="shared" si="69"/>
        <v/>
      </c>
      <c r="HD15" s="50">
        <f>Participantes!EM14</f>
        <v>0</v>
      </c>
      <c r="HE15" s="50">
        <f>Participantes!EN14</f>
        <v>0</v>
      </c>
      <c r="HF15" s="50" t="str">
        <f t="shared" si="70"/>
        <v/>
      </c>
      <c r="HG15" s="50">
        <f>Participantes!EO14</f>
        <v>0</v>
      </c>
      <c r="HH15" s="50">
        <f>Participantes!EP14</f>
        <v>0</v>
      </c>
      <c r="HI15" s="50" t="str">
        <f t="shared" si="71"/>
        <v/>
      </c>
      <c r="HJ15" s="51">
        <f t="shared" si="72"/>
        <v>1</v>
      </c>
    </row>
    <row r="16" spans="1:218" ht="15" customHeight="1" x14ac:dyDescent="0.25">
      <c r="A16" s="49" t="str">
        <f>Participantes!B15</f>
        <v>Isabel 1</v>
      </c>
      <c r="B16" s="50">
        <f>Participantes!C15</f>
        <v>3</v>
      </c>
      <c r="C16" s="50">
        <f>Participantes!D15</f>
        <v>1</v>
      </c>
      <c r="D16" s="50">
        <f t="shared" si="0"/>
        <v>1</v>
      </c>
      <c r="E16" s="50">
        <f>Participantes!E15</f>
        <v>1</v>
      </c>
      <c r="F16" s="50">
        <f>Participantes!F15</f>
        <v>1</v>
      </c>
      <c r="G16" s="50">
        <f t="shared" si="1"/>
        <v>0</v>
      </c>
      <c r="H16" s="50">
        <f>Participantes!G15</f>
        <v>2</v>
      </c>
      <c r="I16" s="50">
        <f>Participantes!H15</f>
        <v>1</v>
      </c>
      <c r="J16" s="50" t="str">
        <f t="shared" si="2"/>
        <v/>
      </c>
      <c r="K16" s="50">
        <f>Participantes!I15</f>
        <v>2</v>
      </c>
      <c r="L16" s="50">
        <f>Participantes!J15</f>
        <v>2</v>
      </c>
      <c r="M16" s="50" t="str">
        <f t="shared" si="3"/>
        <v/>
      </c>
      <c r="N16" s="50">
        <f>Participantes!K15</f>
        <v>1</v>
      </c>
      <c r="O16" s="50">
        <f>Participantes!L15</f>
        <v>3</v>
      </c>
      <c r="P16" s="50" t="str">
        <f t="shared" si="4"/>
        <v/>
      </c>
      <c r="Q16" s="50">
        <f>Participantes!M15</f>
        <v>1</v>
      </c>
      <c r="R16" s="50">
        <f>Participantes!N15</f>
        <v>2</v>
      </c>
      <c r="S16" s="50" t="str">
        <f t="shared" si="5"/>
        <v/>
      </c>
      <c r="T16" s="50">
        <f>Participantes!O15</f>
        <v>3</v>
      </c>
      <c r="U16" s="50">
        <f>Participantes!P15</f>
        <v>2</v>
      </c>
      <c r="V16" s="50" t="str">
        <f t="shared" si="6"/>
        <v/>
      </c>
      <c r="W16" s="50">
        <f>Participantes!Q15</f>
        <v>0</v>
      </c>
      <c r="X16" s="50">
        <f>Participantes!R15</f>
        <v>2</v>
      </c>
      <c r="Y16" s="50" t="str">
        <f t="shared" si="7"/>
        <v/>
      </c>
      <c r="Z16" s="50">
        <f>Participantes!S15</f>
        <v>1</v>
      </c>
      <c r="AA16" s="50">
        <f>Participantes!T15</f>
        <v>2</v>
      </c>
      <c r="AB16" s="50" t="str">
        <f t="shared" si="8"/>
        <v/>
      </c>
      <c r="AC16" s="50">
        <f>Participantes!U15</f>
        <v>5</v>
      </c>
      <c r="AD16" s="50">
        <f>Participantes!V15</f>
        <v>1</v>
      </c>
      <c r="AE16" s="50" t="str">
        <f t="shared" si="9"/>
        <v/>
      </c>
      <c r="AF16" s="50">
        <f>Participantes!W15</f>
        <v>2</v>
      </c>
      <c r="AG16" s="50">
        <f>Participantes!X15</f>
        <v>2</v>
      </c>
      <c r="AH16" s="50" t="str">
        <f t="shared" si="10"/>
        <v/>
      </c>
      <c r="AI16" s="50">
        <f>Participantes!Y15</f>
        <v>1</v>
      </c>
      <c r="AJ16" s="50">
        <f>Participantes!Z15</f>
        <v>1</v>
      </c>
      <c r="AK16" s="50" t="str">
        <f t="shared" si="11"/>
        <v/>
      </c>
      <c r="AL16" s="50">
        <f>Participantes!AA15</f>
        <v>1</v>
      </c>
      <c r="AM16" s="50">
        <f>Participantes!AB15</f>
        <v>2</v>
      </c>
      <c r="AN16" s="50" t="str">
        <f t="shared" si="12"/>
        <v/>
      </c>
      <c r="AO16" s="50">
        <f>Participantes!AC15</f>
        <v>4</v>
      </c>
      <c r="AP16" s="50">
        <f>Participantes!AD15</f>
        <v>0</v>
      </c>
      <c r="AQ16" s="50" t="str">
        <f t="shared" si="13"/>
        <v/>
      </c>
      <c r="AR16" s="50">
        <f>Participantes!AE15</f>
        <v>2</v>
      </c>
      <c r="AS16" s="50">
        <f>Participantes!AF15</f>
        <v>0</v>
      </c>
      <c r="AT16" s="50" t="str">
        <f t="shared" si="14"/>
        <v/>
      </c>
      <c r="AU16" s="50">
        <f>Participantes!AG15</f>
        <v>2</v>
      </c>
      <c r="AV16" s="50">
        <f>Participantes!AH15</f>
        <v>2</v>
      </c>
      <c r="AW16" s="50" t="str">
        <f t="shared" si="15"/>
        <v/>
      </c>
      <c r="AX16" s="50">
        <f>Participantes!AI15</f>
        <v>3</v>
      </c>
      <c r="AY16" s="50">
        <f>Participantes!AJ15</f>
        <v>1</v>
      </c>
      <c r="AZ16" s="50" t="str">
        <f t="shared" si="16"/>
        <v/>
      </c>
      <c r="BA16" s="50">
        <f>Participantes!AK15</f>
        <v>0</v>
      </c>
      <c r="BB16" s="50">
        <f>Participantes!AL15</f>
        <v>2</v>
      </c>
      <c r="BC16" s="50" t="str">
        <f t="shared" si="17"/>
        <v/>
      </c>
      <c r="BD16" s="50">
        <f>Participantes!AM15</f>
        <v>3</v>
      </c>
      <c r="BE16" s="50">
        <f>Participantes!AN15</f>
        <v>1</v>
      </c>
      <c r="BF16" s="50" t="str">
        <f t="shared" si="18"/>
        <v/>
      </c>
      <c r="BG16" s="50">
        <f>Participantes!AO15</f>
        <v>2</v>
      </c>
      <c r="BH16" s="50">
        <f>Participantes!AP15</f>
        <v>0</v>
      </c>
      <c r="BI16" s="50" t="str">
        <f t="shared" si="19"/>
        <v/>
      </c>
      <c r="BJ16" s="50">
        <f>Participantes!AQ15</f>
        <v>1</v>
      </c>
      <c r="BK16" s="50">
        <f>Participantes!AR15</f>
        <v>1</v>
      </c>
      <c r="BL16" s="50" t="str">
        <f t="shared" si="20"/>
        <v/>
      </c>
      <c r="BM16" s="50">
        <f>Participantes!AS15</f>
        <v>1</v>
      </c>
      <c r="BN16" s="50">
        <f>Participantes!AT15</f>
        <v>2</v>
      </c>
      <c r="BO16" s="50" t="str">
        <f t="shared" si="21"/>
        <v/>
      </c>
      <c r="BP16" s="50">
        <f>Participantes!AU15</f>
        <v>3</v>
      </c>
      <c r="BQ16" s="50">
        <f>Participantes!AV15</f>
        <v>1</v>
      </c>
      <c r="BR16" s="50" t="str">
        <f t="shared" si="22"/>
        <v/>
      </c>
      <c r="BS16" s="50">
        <f>Participantes!AW15</f>
        <v>1</v>
      </c>
      <c r="BT16" s="50">
        <f>Participantes!AX15</f>
        <v>2</v>
      </c>
      <c r="BU16" s="50" t="str">
        <f t="shared" si="23"/>
        <v/>
      </c>
      <c r="BV16" s="50">
        <f>Participantes!AY15</f>
        <v>1</v>
      </c>
      <c r="BW16" s="50">
        <f>Participantes!AZ15</f>
        <v>1</v>
      </c>
      <c r="BX16" s="50" t="str">
        <f t="shared" si="24"/>
        <v/>
      </c>
      <c r="BY16" s="50">
        <f>Participantes!BA15</f>
        <v>2</v>
      </c>
      <c r="BZ16" s="50">
        <f>Participantes!BB15</f>
        <v>1</v>
      </c>
      <c r="CA16" s="50" t="str">
        <f t="shared" si="25"/>
        <v/>
      </c>
      <c r="CB16" s="50">
        <f>Participantes!BC15</f>
        <v>2</v>
      </c>
      <c r="CC16" s="50">
        <f>Participantes!BD15</f>
        <v>1</v>
      </c>
      <c r="CD16" s="50" t="str">
        <f t="shared" si="26"/>
        <v/>
      </c>
      <c r="CE16" s="50">
        <f>Participantes!BE15</f>
        <v>2</v>
      </c>
      <c r="CF16" s="50">
        <f>Participantes!BF15</f>
        <v>2</v>
      </c>
      <c r="CG16" s="50" t="str">
        <f t="shared" si="27"/>
        <v/>
      </c>
      <c r="CH16" s="50">
        <f>Participantes!BG15</f>
        <v>0</v>
      </c>
      <c r="CI16" s="50">
        <f>Participantes!BH15</f>
        <v>0</v>
      </c>
      <c r="CJ16" s="50" t="str">
        <f t="shared" si="28"/>
        <v/>
      </c>
      <c r="CK16" s="50">
        <f>Participantes!BI15</f>
        <v>0</v>
      </c>
      <c r="CL16" s="50">
        <f>Participantes!BJ15</f>
        <v>0</v>
      </c>
      <c r="CM16" s="50" t="str">
        <f t="shared" si="29"/>
        <v/>
      </c>
      <c r="CN16" s="50">
        <f>Participantes!BK15</f>
        <v>0</v>
      </c>
      <c r="CO16" s="50">
        <f>Participantes!BL15</f>
        <v>0</v>
      </c>
      <c r="CP16" s="50" t="str">
        <f t="shared" si="30"/>
        <v/>
      </c>
      <c r="CQ16" s="50">
        <f>Participantes!BM15</f>
        <v>0</v>
      </c>
      <c r="CR16" s="50">
        <f>Participantes!BN15</f>
        <v>0</v>
      </c>
      <c r="CS16" s="50" t="str">
        <f t="shared" si="31"/>
        <v/>
      </c>
      <c r="CT16" s="50">
        <f>Participantes!BO15</f>
        <v>0</v>
      </c>
      <c r="CU16" s="50">
        <f>Participantes!BP15</f>
        <v>0</v>
      </c>
      <c r="CV16" s="50" t="str">
        <f t="shared" si="32"/>
        <v/>
      </c>
      <c r="CW16" s="50">
        <f>Participantes!BQ15</f>
        <v>0</v>
      </c>
      <c r="CX16" s="50">
        <f>Participantes!BR15</f>
        <v>0</v>
      </c>
      <c r="CY16" s="50" t="str">
        <f t="shared" si="33"/>
        <v/>
      </c>
      <c r="CZ16" s="50">
        <f>Participantes!BS15</f>
        <v>0</v>
      </c>
      <c r="DA16" s="50">
        <f>Participantes!BT15</f>
        <v>0</v>
      </c>
      <c r="DB16" s="50" t="str">
        <f t="shared" si="34"/>
        <v/>
      </c>
      <c r="DC16" s="50">
        <f>Participantes!BU15</f>
        <v>0</v>
      </c>
      <c r="DD16" s="50">
        <f>Participantes!BV15</f>
        <v>0</v>
      </c>
      <c r="DE16" s="50" t="str">
        <f t="shared" si="35"/>
        <v/>
      </c>
      <c r="DF16" s="50">
        <f>Participantes!BW15</f>
        <v>0</v>
      </c>
      <c r="DG16" s="50">
        <f>Participantes!BX15</f>
        <v>0</v>
      </c>
      <c r="DH16" s="50" t="str">
        <f t="shared" si="36"/>
        <v/>
      </c>
      <c r="DI16" s="50">
        <f>Participantes!BY15</f>
        <v>0</v>
      </c>
      <c r="DJ16" s="50">
        <f>Participantes!BZ15</f>
        <v>0</v>
      </c>
      <c r="DK16" s="50" t="str">
        <f t="shared" si="37"/>
        <v/>
      </c>
      <c r="DL16" s="50">
        <f>Participantes!CA15</f>
        <v>0</v>
      </c>
      <c r="DM16" s="50">
        <f>Participantes!CB15</f>
        <v>0</v>
      </c>
      <c r="DN16" s="50" t="str">
        <f t="shared" si="38"/>
        <v/>
      </c>
      <c r="DO16" s="50">
        <f>Participantes!CC15</f>
        <v>0</v>
      </c>
      <c r="DP16" s="50">
        <f>Participantes!CD15</f>
        <v>0</v>
      </c>
      <c r="DQ16" s="50" t="str">
        <f t="shared" si="39"/>
        <v/>
      </c>
      <c r="DR16" s="50">
        <f>Participantes!CE15</f>
        <v>0</v>
      </c>
      <c r="DS16" s="50">
        <f>Participantes!CF15</f>
        <v>0</v>
      </c>
      <c r="DT16" s="50" t="str">
        <f t="shared" si="40"/>
        <v/>
      </c>
      <c r="DU16" s="50">
        <f>Participantes!CG15</f>
        <v>0</v>
      </c>
      <c r="DV16" s="50">
        <f>Participantes!CH15</f>
        <v>0</v>
      </c>
      <c r="DW16" s="50" t="str">
        <f t="shared" si="41"/>
        <v/>
      </c>
      <c r="DX16" s="50">
        <f>Participantes!CI15</f>
        <v>0</v>
      </c>
      <c r="DY16" s="50">
        <f>Participantes!CJ15</f>
        <v>0</v>
      </c>
      <c r="DZ16" s="50" t="str">
        <f t="shared" si="42"/>
        <v/>
      </c>
      <c r="EA16" s="50">
        <f>Participantes!CK15</f>
        <v>0</v>
      </c>
      <c r="EB16" s="50">
        <f>Participantes!CL15</f>
        <v>0</v>
      </c>
      <c r="EC16" s="50" t="str">
        <f t="shared" si="43"/>
        <v/>
      </c>
      <c r="ED16" s="50">
        <f>Participantes!CM15</f>
        <v>0</v>
      </c>
      <c r="EE16" s="50">
        <f>Participantes!CN15</f>
        <v>0</v>
      </c>
      <c r="EF16" s="50" t="str">
        <f t="shared" si="44"/>
        <v/>
      </c>
      <c r="EG16" s="50">
        <f>Participantes!CO15</f>
        <v>0</v>
      </c>
      <c r="EH16" s="50">
        <f>Participantes!CP15</f>
        <v>0</v>
      </c>
      <c r="EI16" s="50" t="str">
        <f t="shared" si="45"/>
        <v/>
      </c>
      <c r="EJ16" s="50">
        <f>Participantes!CQ15</f>
        <v>0</v>
      </c>
      <c r="EK16" s="50">
        <f>Participantes!CR15</f>
        <v>0</v>
      </c>
      <c r="EL16" s="50" t="str">
        <f t="shared" si="46"/>
        <v/>
      </c>
      <c r="EM16" s="50">
        <f>Participantes!CS15</f>
        <v>0</v>
      </c>
      <c r="EN16" s="50">
        <f>Participantes!CT15</f>
        <v>0</v>
      </c>
      <c r="EO16" s="50" t="str">
        <f t="shared" si="47"/>
        <v/>
      </c>
      <c r="EP16" s="50">
        <f>Participantes!CU15</f>
        <v>0</v>
      </c>
      <c r="EQ16" s="50">
        <f>Participantes!CV15</f>
        <v>0</v>
      </c>
      <c r="ER16" s="50" t="str">
        <f t="shared" si="48"/>
        <v/>
      </c>
      <c r="ES16" s="50">
        <f>Participantes!CW15</f>
        <v>0</v>
      </c>
      <c r="ET16" s="50">
        <f>Participantes!CX15</f>
        <v>0</v>
      </c>
      <c r="EU16" s="50" t="str">
        <f t="shared" si="49"/>
        <v/>
      </c>
      <c r="EV16" s="50">
        <f>Participantes!CY15</f>
        <v>0</v>
      </c>
      <c r="EW16" s="50">
        <f>Participantes!CZ15</f>
        <v>0</v>
      </c>
      <c r="EX16" s="50" t="str">
        <f t="shared" si="50"/>
        <v/>
      </c>
      <c r="EY16" s="50">
        <f>Participantes!DA15</f>
        <v>0</v>
      </c>
      <c r="EZ16" s="50">
        <f>Participantes!DB15</f>
        <v>0</v>
      </c>
      <c r="FA16" s="50" t="str">
        <f t="shared" si="51"/>
        <v/>
      </c>
      <c r="FB16" s="50">
        <f>Participantes!DC15</f>
        <v>0</v>
      </c>
      <c r="FC16" s="50">
        <f>Participantes!DD15</f>
        <v>0</v>
      </c>
      <c r="FD16" s="50" t="str">
        <f t="shared" si="52"/>
        <v/>
      </c>
      <c r="FE16" s="50">
        <f>Participantes!DE15</f>
        <v>0</v>
      </c>
      <c r="FF16" s="50">
        <f>Participantes!DF15</f>
        <v>0</v>
      </c>
      <c r="FG16" s="50" t="str">
        <f t="shared" si="53"/>
        <v/>
      </c>
      <c r="FH16" s="50">
        <f>Participantes!DG15</f>
        <v>0</v>
      </c>
      <c r="FI16" s="50">
        <f>Participantes!DH15</f>
        <v>0</v>
      </c>
      <c r="FJ16" s="50" t="str">
        <f t="shared" si="54"/>
        <v/>
      </c>
      <c r="FK16" s="50">
        <f>Participantes!DI15</f>
        <v>0</v>
      </c>
      <c r="FL16" s="50">
        <f>Participantes!DJ15</f>
        <v>0</v>
      </c>
      <c r="FM16" s="50" t="str">
        <f t="shared" si="55"/>
        <v/>
      </c>
      <c r="FN16" s="50">
        <f>Participantes!DK15</f>
        <v>0</v>
      </c>
      <c r="FO16" s="50">
        <f>Participantes!DL15</f>
        <v>0</v>
      </c>
      <c r="FP16" s="50" t="str">
        <f t="shared" si="56"/>
        <v/>
      </c>
      <c r="FQ16" s="50">
        <f>Participantes!DM15</f>
        <v>0</v>
      </c>
      <c r="FR16" s="50">
        <f>Participantes!DN15</f>
        <v>0</v>
      </c>
      <c r="FS16" s="50" t="str">
        <f t="shared" si="57"/>
        <v/>
      </c>
      <c r="FT16" s="50">
        <f>Participantes!DO15</f>
        <v>0</v>
      </c>
      <c r="FU16" s="50">
        <f>Participantes!DP15</f>
        <v>0</v>
      </c>
      <c r="FV16" s="50" t="str">
        <f t="shared" si="58"/>
        <v/>
      </c>
      <c r="FW16" s="50">
        <f>Participantes!DQ15</f>
        <v>0</v>
      </c>
      <c r="FX16" s="50">
        <f>Participantes!DR15</f>
        <v>0</v>
      </c>
      <c r="FY16" s="50" t="str">
        <f t="shared" si="59"/>
        <v/>
      </c>
      <c r="FZ16" s="50">
        <f>Participantes!DS15</f>
        <v>0</v>
      </c>
      <c r="GA16" s="50">
        <f>Participantes!DT15</f>
        <v>0</v>
      </c>
      <c r="GB16" s="50" t="str">
        <f t="shared" si="60"/>
        <v/>
      </c>
      <c r="GC16" s="50">
        <f>Participantes!DU15</f>
        <v>0</v>
      </c>
      <c r="GD16" s="50">
        <f>Participantes!DV15</f>
        <v>0</v>
      </c>
      <c r="GE16" s="50" t="str">
        <f t="shared" si="61"/>
        <v/>
      </c>
      <c r="GF16" s="50">
        <f>Participantes!DW15</f>
        <v>0</v>
      </c>
      <c r="GG16" s="50">
        <f>Participantes!DX15</f>
        <v>0</v>
      </c>
      <c r="GH16" s="50" t="str">
        <f t="shared" si="62"/>
        <v/>
      </c>
      <c r="GI16" s="50">
        <f>Participantes!DY15</f>
        <v>0</v>
      </c>
      <c r="GJ16" s="50">
        <f>Participantes!DZ15</f>
        <v>0</v>
      </c>
      <c r="GK16" s="50" t="str">
        <f t="shared" si="63"/>
        <v/>
      </c>
      <c r="GL16" s="50">
        <f>Participantes!EA15</f>
        <v>0</v>
      </c>
      <c r="GM16" s="50">
        <f>Participantes!EB15</f>
        <v>0</v>
      </c>
      <c r="GN16" s="50" t="str">
        <f t="shared" si="64"/>
        <v/>
      </c>
      <c r="GO16" s="50">
        <f>Participantes!EC15</f>
        <v>0</v>
      </c>
      <c r="GP16" s="50">
        <f>Participantes!ED15</f>
        <v>0</v>
      </c>
      <c r="GQ16" s="50" t="str">
        <f t="shared" si="65"/>
        <v/>
      </c>
      <c r="GR16" s="50">
        <f>Participantes!EE15</f>
        <v>0</v>
      </c>
      <c r="GS16" s="50">
        <f>Participantes!EF15</f>
        <v>0</v>
      </c>
      <c r="GT16" s="50" t="str">
        <f t="shared" si="66"/>
        <v/>
      </c>
      <c r="GU16" s="50">
        <f>Participantes!EG15</f>
        <v>0</v>
      </c>
      <c r="GV16" s="50">
        <f>Participantes!EH15</f>
        <v>0</v>
      </c>
      <c r="GW16" s="50" t="str">
        <f t="shared" si="67"/>
        <v/>
      </c>
      <c r="GX16" s="50">
        <f>Participantes!EI15</f>
        <v>0</v>
      </c>
      <c r="GY16" s="50">
        <f>Participantes!EJ15</f>
        <v>0</v>
      </c>
      <c r="GZ16" s="50" t="str">
        <f t="shared" si="68"/>
        <v/>
      </c>
      <c r="HA16" s="50">
        <f>Participantes!EK15</f>
        <v>0</v>
      </c>
      <c r="HB16" s="50">
        <f>Participantes!EL15</f>
        <v>0</v>
      </c>
      <c r="HC16" s="50" t="str">
        <f t="shared" si="69"/>
        <v/>
      </c>
      <c r="HD16" s="50">
        <f>Participantes!EM15</f>
        <v>0</v>
      </c>
      <c r="HE16" s="50">
        <f>Participantes!EN15</f>
        <v>0</v>
      </c>
      <c r="HF16" s="50" t="str">
        <f t="shared" si="70"/>
        <v/>
      </c>
      <c r="HG16" s="50">
        <f>Participantes!EO15</f>
        <v>0</v>
      </c>
      <c r="HH16" s="50">
        <f>Participantes!EP15</f>
        <v>0</v>
      </c>
      <c r="HI16" s="50" t="str">
        <f t="shared" si="71"/>
        <v/>
      </c>
      <c r="HJ16" s="51">
        <f t="shared" si="72"/>
        <v>1</v>
      </c>
    </row>
    <row r="17" spans="1:218" ht="15" customHeight="1" x14ac:dyDescent="0.25">
      <c r="A17" s="49" t="str">
        <f>Participantes!B16</f>
        <v>Isabel 2</v>
      </c>
      <c r="B17" s="50">
        <f>Participantes!C16</f>
        <v>1</v>
      </c>
      <c r="C17" s="50">
        <f>Participantes!D16</f>
        <v>0</v>
      </c>
      <c r="D17" s="50">
        <f t="shared" si="0"/>
        <v>1</v>
      </c>
      <c r="E17" s="50">
        <f>Participantes!E16</f>
        <v>2</v>
      </c>
      <c r="F17" s="50">
        <f>Participantes!F16</f>
        <v>0</v>
      </c>
      <c r="G17" s="50">
        <f t="shared" si="1"/>
        <v>1</v>
      </c>
      <c r="H17" s="50">
        <f>Participantes!G16</f>
        <v>2</v>
      </c>
      <c r="I17" s="50">
        <f>Participantes!H16</f>
        <v>1</v>
      </c>
      <c r="J17" s="50" t="str">
        <f t="shared" si="2"/>
        <v/>
      </c>
      <c r="K17" s="50">
        <f>Participantes!I16</f>
        <v>3</v>
      </c>
      <c r="L17" s="50">
        <f>Participantes!J16</f>
        <v>1</v>
      </c>
      <c r="M17" s="50" t="str">
        <f t="shared" si="3"/>
        <v/>
      </c>
      <c r="N17" s="50">
        <f>Participantes!K16</f>
        <v>0</v>
      </c>
      <c r="O17" s="50">
        <f>Participantes!L16</f>
        <v>2</v>
      </c>
      <c r="P17" s="50" t="str">
        <f t="shared" si="4"/>
        <v/>
      </c>
      <c r="Q17" s="50">
        <f>Participantes!M16</f>
        <v>0</v>
      </c>
      <c r="R17" s="50">
        <f>Participantes!N16</f>
        <v>3</v>
      </c>
      <c r="S17" s="50" t="str">
        <f t="shared" si="5"/>
        <v/>
      </c>
      <c r="T17" s="50">
        <f>Participantes!O16</f>
        <v>4</v>
      </c>
      <c r="U17" s="50">
        <f>Participantes!P16</f>
        <v>1</v>
      </c>
      <c r="V17" s="50" t="str">
        <f t="shared" si="6"/>
        <v/>
      </c>
      <c r="W17" s="50">
        <f>Participantes!Q16</f>
        <v>0</v>
      </c>
      <c r="X17" s="50">
        <f>Participantes!R16</f>
        <v>1</v>
      </c>
      <c r="Y17" s="50" t="str">
        <f t="shared" si="7"/>
        <v/>
      </c>
      <c r="Z17" s="50">
        <f>Participantes!S16</f>
        <v>1</v>
      </c>
      <c r="AA17" s="50">
        <f>Participantes!T16</f>
        <v>1</v>
      </c>
      <c r="AB17" s="50" t="str">
        <f t="shared" si="8"/>
        <v/>
      </c>
      <c r="AC17" s="50">
        <f>Participantes!U16</f>
        <v>4</v>
      </c>
      <c r="AD17" s="50">
        <f>Participantes!V16</f>
        <v>0</v>
      </c>
      <c r="AE17" s="50" t="str">
        <f t="shared" si="9"/>
        <v/>
      </c>
      <c r="AF17" s="50">
        <f>Participantes!W16</f>
        <v>2</v>
      </c>
      <c r="AG17" s="50">
        <f>Participantes!X16</f>
        <v>1</v>
      </c>
      <c r="AH17" s="50" t="str">
        <f t="shared" si="10"/>
        <v/>
      </c>
      <c r="AI17" s="50">
        <f>Participantes!Y16</f>
        <v>3</v>
      </c>
      <c r="AJ17" s="50">
        <f>Participantes!Z16</f>
        <v>0</v>
      </c>
      <c r="AK17" s="50" t="str">
        <f t="shared" si="11"/>
        <v/>
      </c>
      <c r="AL17" s="50">
        <f>Participantes!AA16</f>
        <v>0</v>
      </c>
      <c r="AM17" s="50">
        <f>Participantes!AB16</f>
        <v>1</v>
      </c>
      <c r="AN17" s="50" t="str">
        <f t="shared" si="12"/>
        <v/>
      </c>
      <c r="AO17" s="50">
        <f>Participantes!AC16</f>
        <v>5</v>
      </c>
      <c r="AP17" s="50">
        <f>Participantes!AD16</f>
        <v>0</v>
      </c>
      <c r="AQ17" s="50" t="str">
        <f t="shared" si="13"/>
        <v/>
      </c>
      <c r="AR17" s="50">
        <f>Participantes!AE16</f>
        <v>1</v>
      </c>
      <c r="AS17" s="50">
        <f>Participantes!AF16</f>
        <v>0</v>
      </c>
      <c r="AT17" s="50" t="str">
        <f t="shared" si="14"/>
        <v/>
      </c>
      <c r="AU17" s="50">
        <f>Participantes!AG16</f>
        <v>2</v>
      </c>
      <c r="AV17" s="50">
        <f>Participantes!AH16</f>
        <v>0</v>
      </c>
      <c r="AW17" s="50" t="str">
        <f t="shared" si="15"/>
        <v/>
      </c>
      <c r="AX17" s="50">
        <f>Participantes!AI16</f>
        <v>3</v>
      </c>
      <c r="AY17" s="50">
        <f>Participantes!AJ16</f>
        <v>1</v>
      </c>
      <c r="AZ17" s="50" t="str">
        <f t="shared" si="16"/>
        <v/>
      </c>
      <c r="BA17" s="50">
        <f>Participantes!AK16</f>
        <v>0</v>
      </c>
      <c r="BB17" s="50">
        <f>Participantes!AL16</f>
        <v>2</v>
      </c>
      <c r="BC17" s="50" t="str">
        <f t="shared" si="17"/>
        <v/>
      </c>
      <c r="BD17" s="50">
        <f>Participantes!AM16</f>
        <v>2</v>
      </c>
      <c r="BE17" s="50">
        <f>Participantes!AN16</f>
        <v>0</v>
      </c>
      <c r="BF17" s="50" t="str">
        <f t="shared" si="18"/>
        <v/>
      </c>
      <c r="BG17" s="50">
        <f>Participantes!AO16</f>
        <v>1</v>
      </c>
      <c r="BH17" s="50">
        <f>Participantes!AP16</f>
        <v>0</v>
      </c>
      <c r="BI17" s="50" t="str">
        <f t="shared" si="19"/>
        <v/>
      </c>
      <c r="BJ17" s="50">
        <f>Participantes!AQ16</f>
        <v>1</v>
      </c>
      <c r="BK17" s="50">
        <f>Participantes!AR16</f>
        <v>2</v>
      </c>
      <c r="BL17" s="50" t="str">
        <f t="shared" si="20"/>
        <v/>
      </c>
      <c r="BM17" s="50">
        <f>Participantes!AS16</f>
        <v>3</v>
      </c>
      <c r="BN17" s="50">
        <f>Participantes!AT16</f>
        <v>2</v>
      </c>
      <c r="BO17" s="50" t="str">
        <f t="shared" si="21"/>
        <v/>
      </c>
      <c r="BP17" s="50">
        <f>Participantes!AU16</f>
        <v>3</v>
      </c>
      <c r="BQ17" s="50">
        <f>Participantes!AV16</f>
        <v>0</v>
      </c>
      <c r="BR17" s="50" t="str">
        <f t="shared" si="22"/>
        <v/>
      </c>
      <c r="BS17" s="50">
        <f>Participantes!AW16</f>
        <v>0</v>
      </c>
      <c r="BT17" s="50">
        <f>Participantes!AX16</f>
        <v>4</v>
      </c>
      <c r="BU17" s="50" t="str">
        <f t="shared" si="23"/>
        <v/>
      </c>
      <c r="BV17" s="50">
        <f>Participantes!AY16</f>
        <v>1</v>
      </c>
      <c r="BW17" s="50">
        <f>Participantes!AZ16</f>
        <v>1</v>
      </c>
      <c r="BX17" s="50" t="str">
        <f t="shared" si="24"/>
        <v/>
      </c>
      <c r="BY17" s="50">
        <f>Participantes!BA16</f>
        <v>2</v>
      </c>
      <c r="BZ17" s="50">
        <f>Participantes!BB16</f>
        <v>1</v>
      </c>
      <c r="CA17" s="50" t="str">
        <f t="shared" si="25"/>
        <v/>
      </c>
      <c r="CB17" s="50">
        <f>Participantes!BC16</f>
        <v>2</v>
      </c>
      <c r="CC17" s="50">
        <f>Participantes!BD16</f>
        <v>1</v>
      </c>
      <c r="CD17" s="50" t="str">
        <f t="shared" si="26"/>
        <v/>
      </c>
      <c r="CE17" s="50">
        <f>Participantes!BE16</f>
        <v>1</v>
      </c>
      <c r="CF17" s="50">
        <f>Participantes!BF16</f>
        <v>1</v>
      </c>
      <c r="CG17" s="50" t="str">
        <f t="shared" si="27"/>
        <v/>
      </c>
      <c r="CH17" s="50">
        <f>Participantes!BG16</f>
        <v>0</v>
      </c>
      <c r="CI17" s="50">
        <f>Participantes!BH16</f>
        <v>0</v>
      </c>
      <c r="CJ17" s="50" t="str">
        <f t="shared" si="28"/>
        <v/>
      </c>
      <c r="CK17" s="50">
        <f>Participantes!BI16</f>
        <v>0</v>
      </c>
      <c r="CL17" s="50">
        <f>Participantes!BJ16</f>
        <v>0</v>
      </c>
      <c r="CM17" s="50" t="str">
        <f t="shared" si="29"/>
        <v/>
      </c>
      <c r="CN17" s="50">
        <f>Participantes!BK16</f>
        <v>0</v>
      </c>
      <c r="CO17" s="50">
        <f>Participantes!BL16</f>
        <v>0</v>
      </c>
      <c r="CP17" s="50" t="str">
        <f t="shared" si="30"/>
        <v/>
      </c>
      <c r="CQ17" s="50">
        <f>Participantes!BM16</f>
        <v>0</v>
      </c>
      <c r="CR17" s="50">
        <f>Participantes!BN16</f>
        <v>0</v>
      </c>
      <c r="CS17" s="50" t="str">
        <f t="shared" si="31"/>
        <v/>
      </c>
      <c r="CT17" s="50">
        <f>Participantes!BO16</f>
        <v>0</v>
      </c>
      <c r="CU17" s="50">
        <f>Participantes!BP16</f>
        <v>0</v>
      </c>
      <c r="CV17" s="50" t="str">
        <f t="shared" si="32"/>
        <v/>
      </c>
      <c r="CW17" s="50">
        <f>Participantes!BQ16</f>
        <v>0</v>
      </c>
      <c r="CX17" s="50">
        <f>Participantes!BR16</f>
        <v>0</v>
      </c>
      <c r="CY17" s="50" t="str">
        <f t="shared" si="33"/>
        <v/>
      </c>
      <c r="CZ17" s="50">
        <f>Participantes!BS16</f>
        <v>0</v>
      </c>
      <c r="DA17" s="50">
        <f>Participantes!BT16</f>
        <v>0</v>
      </c>
      <c r="DB17" s="50" t="str">
        <f t="shared" si="34"/>
        <v/>
      </c>
      <c r="DC17" s="50">
        <f>Participantes!BU16</f>
        <v>0</v>
      </c>
      <c r="DD17" s="50">
        <f>Participantes!BV16</f>
        <v>0</v>
      </c>
      <c r="DE17" s="50" t="str">
        <f t="shared" si="35"/>
        <v/>
      </c>
      <c r="DF17" s="50">
        <f>Participantes!BW16</f>
        <v>0</v>
      </c>
      <c r="DG17" s="50">
        <f>Participantes!BX16</f>
        <v>0</v>
      </c>
      <c r="DH17" s="50" t="str">
        <f t="shared" si="36"/>
        <v/>
      </c>
      <c r="DI17" s="50">
        <f>Participantes!BY16</f>
        <v>0</v>
      </c>
      <c r="DJ17" s="50">
        <f>Participantes!BZ16</f>
        <v>0</v>
      </c>
      <c r="DK17" s="50" t="str">
        <f t="shared" si="37"/>
        <v/>
      </c>
      <c r="DL17" s="50">
        <f>Participantes!CA16</f>
        <v>0</v>
      </c>
      <c r="DM17" s="50">
        <f>Participantes!CB16</f>
        <v>0</v>
      </c>
      <c r="DN17" s="50" t="str">
        <f t="shared" si="38"/>
        <v/>
      </c>
      <c r="DO17" s="50">
        <f>Participantes!CC16</f>
        <v>0</v>
      </c>
      <c r="DP17" s="50">
        <f>Participantes!CD16</f>
        <v>0</v>
      </c>
      <c r="DQ17" s="50" t="str">
        <f t="shared" si="39"/>
        <v/>
      </c>
      <c r="DR17" s="50">
        <f>Participantes!CE16</f>
        <v>0</v>
      </c>
      <c r="DS17" s="50">
        <f>Participantes!CF16</f>
        <v>0</v>
      </c>
      <c r="DT17" s="50" t="str">
        <f t="shared" si="40"/>
        <v/>
      </c>
      <c r="DU17" s="50">
        <f>Participantes!CG16</f>
        <v>0</v>
      </c>
      <c r="DV17" s="50">
        <f>Participantes!CH16</f>
        <v>0</v>
      </c>
      <c r="DW17" s="50" t="str">
        <f t="shared" si="41"/>
        <v/>
      </c>
      <c r="DX17" s="50">
        <f>Participantes!CI16</f>
        <v>0</v>
      </c>
      <c r="DY17" s="50">
        <f>Participantes!CJ16</f>
        <v>0</v>
      </c>
      <c r="DZ17" s="50" t="str">
        <f t="shared" si="42"/>
        <v/>
      </c>
      <c r="EA17" s="50">
        <f>Participantes!CK16</f>
        <v>0</v>
      </c>
      <c r="EB17" s="50">
        <f>Participantes!CL16</f>
        <v>0</v>
      </c>
      <c r="EC17" s="50" t="str">
        <f t="shared" si="43"/>
        <v/>
      </c>
      <c r="ED17" s="50">
        <f>Participantes!CM16</f>
        <v>0</v>
      </c>
      <c r="EE17" s="50">
        <f>Participantes!CN16</f>
        <v>0</v>
      </c>
      <c r="EF17" s="50" t="str">
        <f t="shared" si="44"/>
        <v/>
      </c>
      <c r="EG17" s="50">
        <f>Participantes!CO16</f>
        <v>0</v>
      </c>
      <c r="EH17" s="50">
        <f>Participantes!CP16</f>
        <v>0</v>
      </c>
      <c r="EI17" s="50" t="str">
        <f t="shared" si="45"/>
        <v/>
      </c>
      <c r="EJ17" s="50">
        <f>Participantes!CQ16</f>
        <v>0</v>
      </c>
      <c r="EK17" s="50">
        <f>Participantes!CR16</f>
        <v>0</v>
      </c>
      <c r="EL17" s="50" t="str">
        <f t="shared" si="46"/>
        <v/>
      </c>
      <c r="EM17" s="50">
        <f>Participantes!CS16</f>
        <v>0</v>
      </c>
      <c r="EN17" s="50">
        <f>Participantes!CT16</f>
        <v>0</v>
      </c>
      <c r="EO17" s="50" t="str">
        <f t="shared" si="47"/>
        <v/>
      </c>
      <c r="EP17" s="50">
        <f>Participantes!CU16</f>
        <v>0</v>
      </c>
      <c r="EQ17" s="50">
        <f>Participantes!CV16</f>
        <v>0</v>
      </c>
      <c r="ER17" s="50" t="str">
        <f t="shared" si="48"/>
        <v/>
      </c>
      <c r="ES17" s="50">
        <f>Participantes!CW16</f>
        <v>0</v>
      </c>
      <c r="ET17" s="50">
        <f>Participantes!CX16</f>
        <v>0</v>
      </c>
      <c r="EU17" s="50" t="str">
        <f t="shared" si="49"/>
        <v/>
      </c>
      <c r="EV17" s="50">
        <f>Participantes!CY16</f>
        <v>0</v>
      </c>
      <c r="EW17" s="50">
        <f>Participantes!CZ16</f>
        <v>0</v>
      </c>
      <c r="EX17" s="50" t="str">
        <f t="shared" si="50"/>
        <v/>
      </c>
      <c r="EY17" s="50">
        <f>Participantes!DA16</f>
        <v>0</v>
      </c>
      <c r="EZ17" s="50">
        <f>Participantes!DB16</f>
        <v>0</v>
      </c>
      <c r="FA17" s="50" t="str">
        <f t="shared" si="51"/>
        <v/>
      </c>
      <c r="FB17" s="50">
        <f>Participantes!DC16</f>
        <v>0</v>
      </c>
      <c r="FC17" s="50">
        <f>Participantes!DD16</f>
        <v>0</v>
      </c>
      <c r="FD17" s="50" t="str">
        <f t="shared" si="52"/>
        <v/>
      </c>
      <c r="FE17" s="50">
        <f>Participantes!DE16</f>
        <v>0</v>
      </c>
      <c r="FF17" s="50">
        <f>Participantes!DF16</f>
        <v>0</v>
      </c>
      <c r="FG17" s="50" t="str">
        <f t="shared" si="53"/>
        <v/>
      </c>
      <c r="FH17" s="50">
        <f>Participantes!DG16</f>
        <v>0</v>
      </c>
      <c r="FI17" s="50">
        <f>Participantes!DH16</f>
        <v>0</v>
      </c>
      <c r="FJ17" s="50" t="str">
        <f t="shared" si="54"/>
        <v/>
      </c>
      <c r="FK17" s="50">
        <f>Participantes!DI16</f>
        <v>0</v>
      </c>
      <c r="FL17" s="50">
        <f>Participantes!DJ16</f>
        <v>0</v>
      </c>
      <c r="FM17" s="50" t="str">
        <f t="shared" si="55"/>
        <v/>
      </c>
      <c r="FN17" s="50">
        <f>Participantes!DK16</f>
        <v>0</v>
      </c>
      <c r="FO17" s="50">
        <f>Participantes!DL16</f>
        <v>0</v>
      </c>
      <c r="FP17" s="50" t="str">
        <f t="shared" si="56"/>
        <v/>
      </c>
      <c r="FQ17" s="50">
        <f>Participantes!DM16</f>
        <v>0</v>
      </c>
      <c r="FR17" s="50">
        <f>Participantes!DN16</f>
        <v>0</v>
      </c>
      <c r="FS17" s="50" t="str">
        <f t="shared" si="57"/>
        <v/>
      </c>
      <c r="FT17" s="50">
        <f>Participantes!DO16</f>
        <v>0</v>
      </c>
      <c r="FU17" s="50">
        <f>Participantes!DP16</f>
        <v>0</v>
      </c>
      <c r="FV17" s="50" t="str">
        <f t="shared" si="58"/>
        <v/>
      </c>
      <c r="FW17" s="50">
        <f>Participantes!DQ16</f>
        <v>0</v>
      </c>
      <c r="FX17" s="50">
        <f>Participantes!DR16</f>
        <v>0</v>
      </c>
      <c r="FY17" s="50" t="str">
        <f t="shared" si="59"/>
        <v/>
      </c>
      <c r="FZ17" s="50">
        <f>Participantes!DS16</f>
        <v>0</v>
      </c>
      <c r="GA17" s="50">
        <f>Participantes!DT16</f>
        <v>0</v>
      </c>
      <c r="GB17" s="50" t="str">
        <f t="shared" si="60"/>
        <v/>
      </c>
      <c r="GC17" s="50">
        <f>Participantes!DU16</f>
        <v>0</v>
      </c>
      <c r="GD17" s="50">
        <f>Participantes!DV16</f>
        <v>0</v>
      </c>
      <c r="GE17" s="50" t="str">
        <f t="shared" si="61"/>
        <v/>
      </c>
      <c r="GF17" s="50">
        <f>Participantes!DW16</f>
        <v>0</v>
      </c>
      <c r="GG17" s="50">
        <f>Participantes!DX16</f>
        <v>0</v>
      </c>
      <c r="GH17" s="50" t="str">
        <f t="shared" si="62"/>
        <v/>
      </c>
      <c r="GI17" s="50">
        <f>Participantes!DY16</f>
        <v>0</v>
      </c>
      <c r="GJ17" s="50">
        <f>Participantes!DZ16</f>
        <v>0</v>
      </c>
      <c r="GK17" s="50" t="str">
        <f t="shared" si="63"/>
        <v/>
      </c>
      <c r="GL17" s="50">
        <f>Participantes!EA16</f>
        <v>0</v>
      </c>
      <c r="GM17" s="50">
        <f>Participantes!EB16</f>
        <v>0</v>
      </c>
      <c r="GN17" s="50" t="str">
        <f t="shared" si="64"/>
        <v/>
      </c>
      <c r="GO17" s="50">
        <f>Participantes!EC16</f>
        <v>0</v>
      </c>
      <c r="GP17" s="50">
        <f>Participantes!ED16</f>
        <v>0</v>
      </c>
      <c r="GQ17" s="50" t="str">
        <f t="shared" si="65"/>
        <v/>
      </c>
      <c r="GR17" s="50">
        <f>Participantes!EE16</f>
        <v>0</v>
      </c>
      <c r="GS17" s="50">
        <f>Participantes!EF16</f>
        <v>0</v>
      </c>
      <c r="GT17" s="50" t="str">
        <f t="shared" si="66"/>
        <v/>
      </c>
      <c r="GU17" s="50">
        <f>Participantes!EG16</f>
        <v>0</v>
      </c>
      <c r="GV17" s="50">
        <f>Participantes!EH16</f>
        <v>0</v>
      </c>
      <c r="GW17" s="50" t="str">
        <f t="shared" si="67"/>
        <v/>
      </c>
      <c r="GX17" s="50">
        <f>Participantes!EI16</f>
        <v>0</v>
      </c>
      <c r="GY17" s="50">
        <f>Participantes!EJ16</f>
        <v>0</v>
      </c>
      <c r="GZ17" s="50" t="str">
        <f t="shared" si="68"/>
        <v/>
      </c>
      <c r="HA17" s="50">
        <f>Participantes!EK16</f>
        <v>0</v>
      </c>
      <c r="HB17" s="50">
        <f>Participantes!EL16</f>
        <v>0</v>
      </c>
      <c r="HC17" s="50" t="str">
        <f t="shared" si="69"/>
        <v/>
      </c>
      <c r="HD17" s="50">
        <f>Participantes!EM16</f>
        <v>0</v>
      </c>
      <c r="HE17" s="50">
        <f>Participantes!EN16</f>
        <v>0</v>
      </c>
      <c r="HF17" s="50" t="str">
        <f t="shared" si="70"/>
        <v/>
      </c>
      <c r="HG17" s="50">
        <f>Participantes!EO16</f>
        <v>0</v>
      </c>
      <c r="HH17" s="50">
        <f>Participantes!EP16</f>
        <v>0</v>
      </c>
      <c r="HI17" s="50" t="str">
        <f t="shared" si="71"/>
        <v/>
      </c>
      <c r="HJ17" s="51">
        <f t="shared" si="72"/>
        <v>2</v>
      </c>
    </row>
    <row r="18" spans="1:218" ht="15" customHeight="1" x14ac:dyDescent="0.25">
      <c r="A18" s="49" t="str">
        <f>Participantes!B17</f>
        <v>Javier</v>
      </c>
      <c r="B18" s="50">
        <f>Participantes!C17</f>
        <v>2</v>
      </c>
      <c r="C18" s="50">
        <f>Participantes!D17</f>
        <v>0</v>
      </c>
      <c r="D18" s="50">
        <f t="shared" si="0"/>
        <v>3</v>
      </c>
      <c r="E18" s="50">
        <f>Participantes!E17</f>
        <v>3</v>
      </c>
      <c r="F18" s="50">
        <f>Participantes!F17</f>
        <v>1</v>
      </c>
      <c r="G18" s="50">
        <f t="shared" si="1"/>
        <v>1</v>
      </c>
      <c r="H18" s="50">
        <f>Participantes!G17</f>
        <v>2</v>
      </c>
      <c r="I18" s="50">
        <f>Participantes!H17</f>
        <v>1</v>
      </c>
      <c r="J18" s="50" t="str">
        <f t="shared" si="2"/>
        <v/>
      </c>
      <c r="K18" s="50">
        <f>Participantes!I17</f>
        <v>2</v>
      </c>
      <c r="L18" s="50">
        <f>Participantes!J17</f>
        <v>1</v>
      </c>
      <c r="M18" s="50" t="str">
        <f t="shared" si="3"/>
        <v/>
      </c>
      <c r="N18" s="50">
        <f>Participantes!K17</f>
        <v>1</v>
      </c>
      <c r="O18" s="50">
        <f>Participantes!L17</f>
        <v>1</v>
      </c>
      <c r="P18" s="50" t="str">
        <f t="shared" si="4"/>
        <v/>
      </c>
      <c r="Q18" s="50">
        <f>Participantes!M17</f>
        <v>1</v>
      </c>
      <c r="R18" s="50">
        <f>Participantes!N17</f>
        <v>2</v>
      </c>
      <c r="S18" s="50" t="str">
        <f t="shared" si="5"/>
        <v/>
      </c>
      <c r="T18" s="50">
        <f>Participantes!O17</f>
        <v>2</v>
      </c>
      <c r="U18" s="50">
        <f>Participantes!P17</f>
        <v>1</v>
      </c>
      <c r="V18" s="50" t="str">
        <f t="shared" si="6"/>
        <v/>
      </c>
      <c r="W18" s="50">
        <f>Participantes!Q17</f>
        <v>1</v>
      </c>
      <c r="X18" s="50">
        <f>Participantes!R17</f>
        <v>1</v>
      </c>
      <c r="Y18" s="50" t="str">
        <f t="shared" si="7"/>
        <v/>
      </c>
      <c r="Z18" s="50">
        <f>Participantes!S17</f>
        <v>1</v>
      </c>
      <c r="AA18" s="50">
        <f>Participantes!T17</f>
        <v>1</v>
      </c>
      <c r="AB18" s="50" t="str">
        <f t="shared" si="8"/>
        <v/>
      </c>
      <c r="AC18" s="50">
        <f>Participantes!U17</f>
        <v>3</v>
      </c>
      <c r="AD18" s="50">
        <f>Participantes!V17</f>
        <v>1</v>
      </c>
      <c r="AE18" s="50" t="str">
        <f t="shared" si="9"/>
        <v/>
      </c>
      <c r="AF18" s="50">
        <f>Participantes!W17</f>
        <v>2</v>
      </c>
      <c r="AG18" s="50">
        <f>Participantes!X17</f>
        <v>1</v>
      </c>
      <c r="AH18" s="50" t="str">
        <f t="shared" si="10"/>
        <v/>
      </c>
      <c r="AI18" s="50">
        <f>Participantes!Y17</f>
        <v>1</v>
      </c>
      <c r="AJ18" s="50">
        <f>Participantes!Z17</f>
        <v>1</v>
      </c>
      <c r="AK18" s="50" t="str">
        <f t="shared" si="11"/>
        <v/>
      </c>
      <c r="AL18" s="50">
        <f>Participantes!AA17</f>
        <v>5</v>
      </c>
      <c r="AM18" s="50">
        <f>Participantes!AB17</f>
        <v>2</v>
      </c>
      <c r="AN18" s="50" t="str">
        <f t="shared" si="12"/>
        <v/>
      </c>
      <c r="AO18" s="50">
        <f>Participantes!AC17</f>
        <v>3</v>
      </c>
      <c r="AP18" s="50">
        <f>Participantes!AD17</f>
        <v>0</v>
      </c>
      <c r="AQ18" s="50" t="str">
        <f t="shared" si="13"/>
        <v/>
      </c>
      <c r="AR18" s="50">
        <f>Participantes!AE17</f>
        <v>1</v>
      </c>
      <c r="AS18" s="50">
        <f>Participantes!AF17</f>
        <v>2</v>
      </c>
      <c r="AT18" s="50" t="str">
        <f t="shared" si="14"/>
        <v/>
      </c>
      <c r="AU18" s="50">
        <f>Participantes!AG17</f>
        <v>2</v>
      </c>
      <c r="AV18" s="50">
        <f>Participantes!AH17</f>
        <v>1</v>
      </c>
      <c r="AW18" s="50" t="str">
        <f t="shared" si="15"/>
        <v/>
      </c>
      <c r="AX18" s="50">
        <f>Participantes!AI17</f>
        <v>2</v>
      </c>
      <c r="AY18" s="50">
        <f>Participantes!AJ17</f>
        <v>1</v>
      </c>
      <c r="AZ18" s="50" t="str">
        <f t="shared" si="16"/>
        <v/>
      </c>
      <c r="BA18" s="50">
        <f>Participantes!AK17</f>
        <v>3</v>
      </c>
      <c r="BB18" s="50">
        <f>Participantes!AL17</f>
        <v>2</v>
      </c>
      <c r="BC18" s="50" t="str">
        <f t="shared" si="17"/>
        <v/>
      </c>
      <c r="BD18" s="50">
        <f>Participantes!AM17</f>
        <v>3</v>
      </c>
      <c r="BE18" s="50">
        <f>Participantes!AN17</f>
        <v>0</v>
      </c>
      <c r="BF18" s="50" t="str">
        <f t="shared" si="18"/>
        <v/>
      </c>
      <c r="BG18" s="50">
        <f>Participantes!AO17</f>
        <v>3</v>
      </c>
      <c r="BH18" s="50">
        <f>Participantes!AP17</f>
        <v>1</v>
      </c>
      <c r="BI18" s="50" t="str">
        <f t="shared" si="19"/>
        <v/>
      </c>
      <c r="BJ18" s="50">
        <f>Participantes!AQ17</f>
        <v>1</v>
      </c>
      <c r="BK18" s="50">
        <f>Participantes!AR17</f>
        <v>2</v>
      </c>
      <c r="BL18" s="50" t="str">
        <f t="shared" si="20"/>
        <v/>
      </c>
      <c r="BM18" s="50">
        <f>Participantes!AS17</f>
        <v>3</v>
      </c>
      <c r="BN18" s="50">
        <f>Participantes!AT17</f>
        <v>2</v>
      </c>
      <c r="BO18" s="50" t="str">
        <f t="shared" si="21"/>
        <v/>
      </c>
      <c r="BP18" s="50">
        <f>Participantes!AU17</f>
        <v>4</v>
      </c>
      <c r="BQ18" s="50">
        <f>Participantes!AV17</f>
        <v>0</v>
      </c>
      <c r="BR18" s="50" t="str">
        <f t="shared" si="22"/>
        <v/>
      </c>
      <c r="BS18" s="50">
        <f>Participantes!AW17</f>
        <v>5</v>
      </c>
      <c r="BT18" s="50">
        <f>Participantes!AX17</f>
        <v>2</v>
      </c>
      <c r="BU18" s="50" t="str">
        <f t="shared" si="23"/>
        <v/>
      </c>
      <c r="BV18" s="50">
        <f>Participantes!AY17</f>
        <v>1</v>
      </c>
      <c r="BW18" s="50">
        <f>Participantes!AZ17</f>
        <v>1</v>
      </c>
      <c r="BX18" s="50" t="str">
        <f t="shared" si="24"/>
        <v/>
      </c>
      <c r="BY18" s="50">
        <f>Participantes!BA17</f>
        <v>4</v>
      </c>
      <c r="BZ18" s="50">
        <f>Participantes!BB17</f>
        <v>1</v>
      </c>
      <c r="CA18" s="50" t="str">
        <f t="shared" si="25"/>
        <v/>
      </c>
      <c r="CB18" s="50">
        <f>Participantes!BC17</f>
        <v>2</v>
      </c>
      <c r="CC18" s="50">
        <f>Participantes!BD17</f>
        <v>1</v>
      </c>
      <c r="CD18" s="50" t="str">
        <f t="shared" si="26"/>
        <v/>
      </c>
      <c r="CE18" s="50">
        <f>Participantes!BE17</f>
        <v>1</v>
      </c>
      <c r="CF18" s="50">
        <f>Participantes!BF17</f>
        <v>2</v>
      </c>
      <c r="CG18" s="50" t="str">
        <f t="shared" si="27"/>
        <v/>
      </c>
      <c r="CH18" s="50">
        <f>Participantes!BG17</f>
        <v>0</v>
      </c>
      <c r="CI18" s="50">
        <f>Participantes!BH17</f>
        <v>0</v>
      </c>
      <c r="CJ18" s="50" t="str">
        <f t="shared" si="28"/>
        <v/>
      </c>
      <c r="CK18" s="50">
        <f>Participantes!BI17</f>
        <v>0</v>
      </c>
      <c r="CL18" s="50">
        <f>Participantes!BJ17</f>
        <v>0</v>
      </c>
      <c r="CM18" s="50" t="str">
        <f t="shared" si="29"/>
        <v/>
      </c>
      <c r="CN18" s="50">
        <f>Participantes!BK17</f>
        <v>0</v>
      </c>
      <c r="CO18" s="50">
        <f>Participantes!BL17</f>
        <v>0</v>
      </c>
      <c r="CP18" s="50" t="str">
        <f t="shared" si="30"/>
        <v/>
      </c>
      <c r="CQ18" s="50">
        <f>Participantes!BM17</f>
        <v>0</v>
      </c>
      <c r="CR18" s="50">
        <f>Participantes!BN17</f>
        <v>0</v>
      </c>
      <c r="CS18" s="50" t="str">
        <f t="shared" si="31"/>
        <v/>
      </c>
      <c r="CT18" s="50">
        <f>Participantes!BO17</f>
        <v>0</v>
      </c>
      <c r="CU18" s="50">
        <f>Participantes!BP17</f>
        <v>0</v>
      </c>
      <c r="CV18" s="50" t="str">
        <f t="shared" si="32"/>
        <v/>
      </c>
      <c r="CW18" s="50">
        <f>Participantes!BQ17</f>
        <v>0</v>
      </c>
      <c r="CX18" s="50">
        <f>Participantes!BR17</f>
        <v>0</v>
      </c>
      <c r="CY18" s="50" t="str">
        <f t="shared" si="33"/>
        <v/>
      </c>
      <c r="CZ18" s="50">
        <f>Participantes!BS17</f>
        <v>0</v>
      </c>
      <c r="DA18" s="50">
        <f>Participantes!BT17</f>
        <v>0</v>
      </c>
      <c r="DB18" s="50" t="str">
        <f t="shared" si="34"/>
        <v/>
      </c>
      <c r="DC18" s="50">
        <f>Participantes!BU17</f>
        <v>0</v>
      </c>
      <c r="DD18" s="50">
        <f>Participantes!BV17</f>
        <v>0</v>
      </c>
      <c r="DE18" s="50" t="str">
        <f t="shared" si="35"/>
        <v/>
      </c>
      <c r="DF18" s="50">
        <f>Participantes!BW17</f>
        <v>0</v>
      </c>
      <c r="DG18" s="50">
        <f>Participantes!BX17</f>
        <v>0</v>
      </c>
      <c r="DH18" s="50" t="str">
        <f t="shared" si="36"/>
        <v/>
      </c>
      <c r="DI18" s="50">
        <f>Participantes!BY17</f>
        <v>0</v>
      </c>
      <c r="DJ18" s="50">
        <f>Participantes!BZ17</f>
        <v>0</v>
      </c>
      <c r="DK18" s="50" t="str">
        <f t="shared" si="37"/>
        <v/>
      </c>
      <c r="DL18" s="50">
        <f>Participantes!CA17</f>
        <v>0</v>
      </c>
      <c r="DM18" s="50">
        <f>Participantes!CB17</f>
        <v>0</v>
      </c>
      <c r="DN18" s="50" t="str">
        <f t="shared" si="38"/>
        <v/>
      </c>
      <c r="DO18" s="50">
        <f>Participantes!CC17</f>
        <v>0</v>
      </c>
      <c r="DP18" s="50">
        <f>Participantes!CD17</f>
        <v>0</v>
      </c>
      <c r="DQ18" s="50" t="str">
        <f t="shared" si="39"/>
        <v/>
      </c>
      <c r="DR18" s="50">
        <f>Participantes!CE17</f>
        <v>0</v>
      </c>
      <c r="DS18" s="50">
        <f>Participantes!CF17</f>
        <v>0</v>
      </c>
      <c r="DT18" s="50" t="str">
        <f t="shared" si="40"/>
        <v/>
      </c>
      <c r="DU18" s="50">
        <f>Participantes!CG17</f>
        <v>0</v>
      </c>
      <c r="DV18" s="50">
        <f>Participantes!CH17</f>
        <v>0</v>
      </c>
      <c r="DW18" s="50" t="str">
        <f t="shared" si="41"/>
        <v/>
      </c>
      <c r="DX18" s="50">
        <f>Participantes!CI17</f>
        <v>0</v>
      </c>
      <c r="DY18" s="50">
        <f>Participantes!CJ17</f>
        <v>0</v>
      </c>
      <c r="DZ18" s="50" t="str">
        <f t="shared" si="42"/>
        <v/>
      </c>
      <c r="EA18" s="50">
        <f>Participantes!CK17</f>
        <v>0</v>
      </c>
      <c r="EB18" s="50">
        <f>Participantes!CL17</f>
        <v>0</v>
      </c>
      <c r="EC18" s="50" t="str">
        <f t="shared" si="43"/>
        <v/>
      </c>
      <c r="ED18" s="50">
        <f>Participantes!CM17</f>
        <v>0</v>
      </c>
      <c r="EE18" s="50">
        <f>Participantes!CN17</f>
        <v>0</v>
      </c>
      <c r="EF18" s="50" t="str">
        <f t="shared" si="44"/>
        <v/>
      </c>
      <c r="EG18" s="50">
        <f>Participantes!CO17</f>
        <v>0</v>
      </c>
      <c r="EH18" s="50">
        <f>Participantes!CP17</f>
        <v>0</v>
      </c>
      <c r="EI18" s="50" t="str">
        <f t="shared" si="45"/>
        <v/>
      </c>
      <c r="EJ18" s="50">
        <f>Participantes!CQ17</f>
        <v>0</v>
      </c>
      <c r="EK18" s="50">
        <f>Participantes!CR17</f>
        <v>0</v>
      </c>
      <c r="EL18" s="50" t="str">
        <f t="shared" si="46"/>
        <v/>
      </c>
      <c r="EM18" s="50">
        <f>Participantes!CS17</f>
        <v>0</v>
      </c>
      <c r="EN18" s="50">
        <f>Participantes!CT17</f>
        <v>0</v>
      </c>
      <c r="EO18" s="50" t="str">
        <f t="shared" si="47"/>
        <v/>
      </c>
      <c r="EP18" s="50">
        <f>Participantes!CU17</f>
        <v>0</v>
      </c>
      <c r="EQ18" s="50">
        <f>Participantes!CV17</f>
        <v>0</v>
      </c>
      <c r="ER18" s="50" t="str">
        <f t="shared" si="48"/>
        <v/>
      </c>
      <c r="ES18" s="50">
        <f>Participantes!CW17</f>
        <v>0</v>
      </c>
      <c r="ET18" s="50">
        <f>Participantes!CX17</f>
        <v>0</v>
      </c>
      <c r="EU18" s="50" t="str">
        <f t="shared" si="49"/>
        <v/>
      </c>
      <c r="EV18" s="50">
        <f>Participantes!CY17</f>
        <v>0</v>
      </c>
      <c r="EW18" s="50">
        <f>Participantes!CZ17</f>
        <v>0</v>
      </c>
      <c r="EX18" s="50" t="str">
        <f t="shared" si="50"/>
        <v/>
      </c>
      <c r="EY18" s="50">
        <f>Participantes!DA17</f>
        <v>0</v>
      </c>
      <c r="EZ18" s="50">
        <f>Participantes!DB17</f>
        <v>0</v>
      </c>
      <c r="FA18" s="50" t="str">
        <f t="shared" si="51"/>
        <v/>
      </c>
      <c r="FB18" s="50">
        <f>Participantes!DC17</f>
        <v>0</v>
      </c>
      <c r="FC18" s="50">
        <f>Participantes!DD17</f>
        <v>0</v>
      </c>
      <c r="FD18" s="50" t="str">
        <f t="shared" si="52"/>
        <v/>
      </c>
      <c r="FE18" s="50">
        <f>Participantes!DE17</f>
        <v>0</v>
      </c>
      <c r="FF18" s="50">
        <f>Participantes!DF17</f>
        <v>0</v>
      </c>
      <c r="FG18" s="50" t="str">
        <f t="shared" si="53"/>
        <v/>
      </c>
      <c r="FH18" s="50">
        <f>Participantes!DG17</f>
        <v>0</v>
      </c>
      <c r="FI18" s="50">
        <f>Participantes!DH17</f>
        <v>0</v>
      </c>
      <c r="FJ18" s="50" t="str">
        <f t="shared" si="54"/>
        <v/>
      </c>
      <c r="FK18" s="50">
        <f>Participantes!DI17</f>
        <v>0</v>
      </c>
      <c r="FL18" s="50">
        <f>Participantes!DJ17</f>
        <v>0</v>
      </c>
      <c r="FM18" s="50" t="str">
        <f t="shared" si="55"/>
        <v/>
      </c>
      <c r="FN18" s="50">
        <f>Participantes!DK17</f>
        <v>0</v>
      </c>
      <c r="FO18" s="50">
        <f>Participantes!DL17</f>
        <v>0</v>
      </c>
      <c r="FP18" s="50" t="str">
        <f t="shared" si="56"/>
        <v/>
      </c>
      <c r="FQ18" s="50">
        <f>Participantes!DM17</f>
        <v>0</v>
      </c>
      <c r="FR18" s="50">
        <f>Participantes!DN17</f>
        <v>0</v>
      </c>
      <c r="FS18" s="50" t="str">
        <f t="shared" si="57"/>
        <v/>
      </c>
      <c r="FT18" s="50">
        <f>Participantes!DO17</f>
        <v>0</v>
      </c>
      <c r="FU18" s="50">
        <f>Participantes!DP17</f>
        <v>0</v>
      </c>
      <c r="FV18" s="50" t="str">
        <f t="shared" si="58"/>
        <v/>
      </c>
      <c r="FW18" s="50">
        <f>Participantes!DQ17</f>
        <v>0</v>
      </c>
      <c r="FX18" s="50">
        <f>Participantes!DR17</f>
        <v>0</v>
      </c>
      <c r="FY18" s="50" t="str">
        <f t="shared" si="59"/>
        <v/>
      </c>
      <c r="FZ18" s="50">
        <f>Participantes!DS17</f>
        <v>0</v>
      </c>
      <c r="GA18" s="50">
        <f>Participantes!DT17</f>
        <v>0</v>
      </c>
      <c r="GB18" s="50" t="str">
        <f t="shared" si="60"/>
        <v/>
      </c>
      <c r="GC18" s="50">
        <f>Participantes!DU17</f>
        <v>0</v>
      </c>
      <c r="GD18" s="50">
        <f>Participantes!DV17</f>
        <v>0</v>
      </c>
      <c r="GE18" s="50" t="str">
        <f t="shared" si="61"/>
        <v/>
      </c>
      <c r="GF18" s="50">
        <f>Participantes!DW17</f>
        <v>0</v>
      </c>
      <c r="GG18" s="50">
        <f>Participantes!DX17</f>
        <v>0</v>
      </c>
      <c r="GH18" s="50" t="str">
        <f t="shared" si="62"/>
        <v/>
      </c>
      <c r="GI18" s="50">
        <f>Participantes!DY17</f>
        <v>0</v>
      </c>
      <c r="GJ18" s="50">
        <f>Participantes!DZ17</f>
        <v>0</v>
      </c>
      <c r="GK18" s="50" t="str">
        <f t="shared" si="63"/>
        <v/>
      </c>
      <c r="GL18" s="50">
        <f>Participantes!EA17</f>
        <v>0</v>
      </c>
      <c r="GM18" s="50">
        <f>Participantes!EB17</f>
        <v>0</v>
      </c>
      <c r="GN18" s="50" t="str">
        <f t="shared" si="64"/>
        <v/>
      </c>
      <c r="GO18" s="50">
        <f>Participantes!EC17</f>
        <v>0</v>
      </c>
      <c r="GP18" s="50">
        <f>Participantes!ED17</f>
        <v>0</v>
      </c>
      <c r="GQ18" s="50" t="str">
        <f t="shared" si="65"/>
        <v/>
      </c>
      <c r="GR18" s="50">
        <f>Participantes!EE17</f>
        <v>0</v>
      </c>
      <c r="GS18" s="50">
        <f>Participantes!EF17</f>
        <v>0</v>
      </c>
      <c r="GT18" s="50" t="str">
        <f t="shared" si="66"/>
        <v/>
      </c>
      <c r="GU18" s="50">
        <f>Participantes!EG17</f>
        <v>0</v>
      </c>
      <c r="GV18" s="50">
        <f>Participantes!EH17</f>
        <v>0</v>
      </c>
      <c r="GW18" s="50" t="str">
        <f t="shared" si="67"/>
        <v/>
      </c>
      <c r="GX18" s="50">
        <f>Participantes!EI17</f>
        <v>0</v>
      </c>
      <c r="GY18" s="50">
        <f>Participantes!EJ17</f>
        <v>0</v>
      </c>
      <c r="GZ18" s="50" t="str">
        <f t="shared" si="68"/>
        <v/>
      </c>
      <c r="HA18" s="50">
        <f>Participantes!EK17</f>
        <v>0</v>
      </c>
      <c r="HB18" s="50">
        <f>Participantes!EL17</f>
        <v>0</v>
      </c>
      <c r="HC18" s="50" t="str">
        <f t="shared" si="69"/>
        <v/>
      </c>
      <c r="HD18" s="50">
        <f>Participantes!EM17</f>
        <v>0</v>
      </c>
      <c r="HE18" s="50">
        <f>Participantes!EN17</f>
        <v>0</v>
      </c>
      <c r="HF18" s="50" t="str">
        <f t="shared" si="70"/>
        <v/>
      </c>
      <c r="HG18" s="50">
        <f>Participantes!EO17</f>
        <v>0</v>
      </c>
      <c r="HH18" s="50">
        <f>Participantes!EP17</f>
        <v>0</v>
      </c>
      <c r="HI18" s="50" t="str">
        <f t="shared" si="71"/>
        <v/>
      </c>
      <c r="HJ18" s="51">
        <f t="shared" si="72"/>
        <v>4</v>
      </c>
    </row>
    <row r="19" spans="1:218" ht="15" customHeight="1" x14ac:dyDescent="0.25">
      <c r="A19" s="49" t="str">
        <f>Participantes!B18</f>
        <v>Jose C 1</v>
      </c>
      <c r="B19" s="50">
        <f>Participantes!C18</f>
        <v>0</v>
      </c>
      <c r="C19" s="50">
        <f>Participantes!D18</f>
        <v>1</v>
      </c>
      <c r="D19" s="50">
        <f t="shared" si="0"/>
        <v>0</v>
      </c>
      <c r="E19" s="50">
        <f>Participantes!E18</f>
        <v>1</v>
      </c>
      <c r="F19" s="50">
        <f>Participantes!F18</f>
        <v>1</v>
      </c>
      <c r="G19" s="50">
        <f t="shared" si="1"/>
        <v>0</v>
      </c>
      <c r="H19" s="50">
        <f>Participantes!G18</f>
        <v>2</v>
      </c>
      <c r="I19" s="50">
        <f>Participantes!H18</f>
        <v>1</v>
      </c>
      <c r="J19" s="50" t="str">
        <f t="shared" si="2"/>
        <v/>
      </c>
      <c r="K19" s="50">
        <f>Participantes!I18</f>
        <v>2</v>
      </c>
      <c r="L19" s="50">
        <f>Participantes!J18</f>
        <v>2</v>
      </c>
      <c r="M19" s="50" t="str">
        <f t="shared" si="3"/>
        <v/>
      </c>
      <c r="N19" s="50">
        <f>Participantes!K18</f>
        <v>1</v>
      </c>
      <c r="O19" s="50">
        <f>Participantes!L18</f>
        <v>0</v>
      </c>
      <c r="P19" s="50" t="str">
        <f t="shared" si="4"/>
        <v/>
      </c>
      <c r="Q19" s="50">
        <f>Participantes!M18</f>
        <v>0</v>
      </c>
      <c r="R19" s="50">
        <f>Participantes!N18</f>
        <v>2</v>
      </c>
      <c r="S19" s="50" t="str">
        <f t="shared" si="5"/>
        <v/>
      </c>
      <c r="T19" s="50">
        <f>Participantes!O18</f>
        <v>3</v>
      </c>
      <c r="U19" s="50">
        <f>Participantes!P18</f>
        <v>2</v>
      </c>
      <c r="V19" s="50" t="str">
        <f t="shared" si="6"/>
        <v/>
      </c>
      <c r="W19" s="50">
        <f>Participantes!Q18</f>
        <v>0</v>
      </c>
      <c r="X19" s="50">
        <f>Participantes!R18</f>
        <v>2</v>
      </c>
      <c r="Y19" s="50" t="str">
        <f t="shared" si="7"/>
        <v/>
      </c>
      <c r="Z19" s="50">
        <f>Participantes!S18</f>
        <v>1</v>
      </c>
      <c r="AA19" s="50">
        <f>Participantes!T18</f>
        <v>1</v>
      </c>
      <c r="AB19" s="50" t="str">
        <f t="shared" si="8"/>
        <v/>
      </c>
      <c r="AC19" s="50">
        <f>Participantes!U18</f>
        <v>3</v>
      </c>
      <c r="AD19" s="50">
        <f>Participantes!V18</f>
        <v>0</v>
      </c>
      <c r="AE19" s="50" t="str">
        <f t="shared" si="9"/>
        <v/>
      </c>
      <c r="AF19" s="50">
        <f>Participantes!W18</f>
        <v>2</v>
      </c>
      <c r="AG19" s="50">
        <f>Participantes!X18</f>
        <v>1</v>
      </c>
      <c r="AH19" s="50" t="str">
        <f t="shared" si="10"/>
        <v/>
      </c>
      <c r="AI19" s="50">
        <f>Participantes!Y18</f>
        <v>2</v>
      </c>
      <c r="AJ19" s="50">
        <f>Participantes!Z18</f>
        <v>0</v>
      </c>
      <c r="AK19" s="50" t="str">
        <f t="shared" si="11"/>
        <v/>
      </c>
      <c r="AL19" s="50">
        <f>Participantes!AA18</f>
        <v>0</v>
      </c>
      <c r="AM19" s="50">
        <f>Participantes!AB18</f>
        <v>2</v>
      </c>
      <c r="AN19" s="50" t="str">
        <f t="shared" si="12"/>
        <v/>
      </c>
      <c r="AO19" s="50">
        <f>Participantes!AC18</f>
        <v>3</v>
      </c>
      <c r="AP19" s="50">
        <f>Participantes!AD18</f>
        <v>0</v>
      </c>
      <c r="AQ19" s="50" t="str">
        <f t="shared" si="13"/>
        <v/>
      </c>
      <c r="AR19" s="50">
        <f>Participantes!AE18</f>
        <v>0</v>
      </c>
      <c r="AS19" s="50">
        <f>Participantes!AF18</f>
        <v>0</v>
      </c>
      <c r="AT19" s="50" t="str">
        <f t="shared" si="14"/>
        <v/>
      </c>
      <c r="AU19" s="50">
        <f>Participantes!AG18</f>
        <v>0</v>
      </c>
      <c r="AV19" s="50">
        <f>Participantes!AH18</f>
        <v>0</v>
      </c>
      <c r="AW19" s="50" t="str">
        <f t="shared" si="15"/>
        <v/>
      </c>
      <c r="AX19" s="50">
        <f>Participantes!AI18</f>
        <v>0</v>
      </c>
      <c r="AY19" s="50">
        <f>Participantes!AJ18</f>
        <v>0</v>
      </c>
      <c r="AZ19" s="50" t="str">
        <f t="shared" si="16"/>
        <v/>
      </c>
      <c r="BA19" s="50">
        <f>Participantes!AK18</f>
        <v>0</v>
      </c>
      <c r="BB19" s="50">
        <f>Participantes!AL18</f>
        <v>0</v>
      </c>
      <c r="BC19" s="50" t="str">
        <f t="shared" si="17"/>
        <v/>
      </c>
      <c r="BD19" s="50">
        <f>Participantes!AM18</f>
        <v>0</v>
      </c>
      <c r="BE19" s="50">
        <f>Participantes!AN18</f>
        <v>0</v>
      </c>
      <c r="BF19" s="50" t="str">
        <f t="shared" si="18"/>
        <v/>
      </c>
      <c r="BG19" s="50">
        <f>Participantes!AO18</f>
        <v>0</v>
      </c>
      <c r="BH19" s="50">
        <f>Participantes!AP18</f>
        <v>0</v>
      </c>
      <c r="BI19" s="50" t="str">
        <f t="shared" si="19"/>
        <v/>
      </c>
      <c r="BJ19" s="50">
        <f>Participantes!AQ18</f>
        <v>0</v>
      </c>
      <c r="BK19" s="50">
        <f>Participantes!AR18</f>
        <v>0</v>
      </c>
      <c r="BL19" s="50" t="str">
        <f t="shared" si="20"/>
        <v/>
      </c>
      <c r="BM19" s="50">
        <f>Participantes!AS18</f>
        <v>0</v>
      </c>
      <c r="BN19" s="50">
        <f>Participantes!AT18</f>
        <v>0</v>
      </c>
      <c r="BO19" s="50" t="str">
        <f t="shared" si="21"/>
        <v/>
      </c>
      <c r="BP19" s="50">
        <f>Participantes!AU18</f>
        <v>0</v>
      </c>
      <c r="BQ19" s="50">
        <f>Participantes!AV18</f>
        <v>0</v>
      </c>
      <c r="BR19" s="50" t="str">
        <f t="shared" si="22"/>
        <v/>
      </c>
      <c r="BS19" s="50">
        <f>Participantes!AW18</f>
        <v>0</v>
      </c>
      <c r="BT19" s="50">
        <f>Participantes!AX18</f>
        <v>0</v>
      </c>
      <c r="BU19" s="50" t="str">
        <f t="shared" si="23"/>
        <v/>
      </c>
      <c r="BV19" s="50">
        <f>Participantes!AY18</f>
        <v>0</v>
      </c>
      <c r="BW19" s="50">
        <f>Participantes!AZ18</f>
        <v>0</v>
      </c>
      <c r="BX19" s="50" t="str">
        <f t="shared" si="24"/>
        <v/>
      </c>
      <c r="BY19" s="50">
        <f>Participantes!BA18</f>
        <v>0</v>
      </c>
      <c r="BZ19" s="50">
        <f>Participantes!BB18</f>
        <v>0</v>
      </c>
      <c r="CA19" s="50" t="str">
        <f t="shared" si="25"/>
        <v/>
      </c>
      <c r="CB19" s="50">
        <f>Participantes!BC18</f>
        <v>0</v>
      </c>
      <c r="CC19" s="50">
        <f>Participantes!BD18</f>
        <v>0</v>
      </c>
      <c r="CD19" s="50" t="str">
        <f t="shared" si="26"/>
        <v/>
      </c>
      <c r="CE19" s="50">
        <f>Participantes!BE18</f>
        <v>0</v>
      </c>
      <c r="CF19" s="50">
        <f>Participantes!BF18</f>
        <v>0</v>
      </c>
      <c r="CG19" s="50" t="str">
        <f t="shared" si="27"/>
        <v/>
      </c>
      <c r="CH19" s="50">
        <f>Participantes!BG18</f>
        <v>0</v>
      </c>
      <c r="CI19" s="50">
        <f>Participantes!BH18</f>
        <v>0</v>
      </c>
      <c r="CJ19" s="50" t="str">
        <f t="shared" si="28"/>
        <v/>
      </c>
      <c r="CK19" s="50">
        <f>Participantes!BI18</f>
        <v>0</v>
      </c>
      <c r="CL19" s="50">
        <f>Participantes!BJ18</f>
        <v>0</v>
      </c>
      <c r="CM19" s="50" t="str">
        <f t="shared" si="29"/>
        <v/>
      </c>
      <c r="CN19" s="50">
        <f>Participantes!BK18</f>
        <v>0</v>
      </c>
      <c r="CO19" s="50">
        <f>Participantes!BL18</f>
        <v>0</v>
      </c>
      <c r="CP19" s="50" t="str">
        <f t="shared" si="30"/>
        <v/>
      </c>
      <c r="CQ19" s="50">
        <f>Participantes!BM18</f>
        <v>0</v>
      </c>
      <c r="CR19" s="50">
        <f>Participantes!BN18</f>
        <v>0</v>
      </c>
      <c r="CS19" s="50" t="str">
        <f t="shared" si="31"/>
        <v/>
      </c>
      <c r="CT19" s="50">
        <f>Participantes!BO18</f>
        <v>0</v>
      </c>
      <c r="CU19" s="50">
        <f>Participantes!BP18</f>
        <v>0</v>
      </c>
      <c r="CV19" s="50" t="str">
        <f t="shared" si="32"/>
        <v/>
      </c>
      <c r="CW19" s="50">
        <f>Participantes!BQ18</f>
        <v>0</v>
      </c>
      <c r="CX19" s="50">
        <f>Participantes!BR18</f>
        <v>0</v>
      </c>
      <c r="CY19" s="50" t="str">
        <f t="shared" si="33"/>
        <v/>
      </c>
      <c r="CZ19" s="50">
        <f>Participantes!BS18</f>
        <v>0</v>
      </c>
      <c r="DA19" s="50">
        <f>Participantes!BT18</f>
        <v>0</v>
      </c>
      <c r="DB19" s="50" t="str">
        <f t="shared" si="34"/>
        <v/>
      </c>
      <c r="DC19" s="50">
        <f>Participantes!BU18</f>
        <v>0</v>
      </c>
      <c r="DD19" s="50">
        <f>Participantes!BV18</f>
        <v>0</v>
      </c>
      <c r="DE19" s="50" t="str">
        <f t="shared" si="35"/>
        <v/>
      </c>
      <c r="DF19" s="50">
        <f>Participantes!BW18</f>
        <v>0</v>
      </c>
      <c r="DG19" s="50">
        <f>Participantes!BX18</f>
        <v>0</v>
      </c>
      <c r="DH19" s="50" t="str">
        <f t="shared" si="36"/>
        <v/>
      </c>
      <c r="DI19" s="50">
        <f>Participantes!BY18</f>
        <v>0</v>
      </c>
      <c r="DJ19" s="50">
        <f>Participantes!BZ18</f>
        <v>0</v>
      </c>
      <c r="DK19" s="50" t="str">
        <f t="shared" si="37"/>
        <v/>
      </c>
      <c r="DL19" s="50">
        <f>Participantes!CA18</f>
        <v>0</v>
      </c>
      <c r="DM19" s="50">
        <f>Participantes!CB18</f>
        <v>0</v>
      </c>
      <c r="DN19" s="50" t="str">
        <f t="shared" si="38"/>
        <v/>
      </c>
      <c r="DO19" s="50">
        <f>Participantes!CC18</f>
        <v>0</v>
      </c>
      <c r="DP19" s="50">
        <f>Participantes!CD18</f>
        <v>0</v>
      </c>
      <c r="DQ19" s="50" t="str">
        <f t="shared" si="39"/>
        <v/>
      </c>
      <c r="DR19" s="50">
        <f>Participantes!CE18</f>
        <v>0</v>
      </c>
      <c r="DS19" s="50">
        <f>Participantes!CF18</f>
        <v>0</v>
      </c>
      <c r="DT19" s="50" t="str">
        <f t="shared" si="40"/>
        <v/>
      </c>
      <c r="DU19" s="50">
        <f>Participantes!CG18</f>
        <v>0</v>
      </c>
      <c r="DV19" s="50">
        <f>Participantes!CH18</f>
        <v>0</v>
      </c>
      <c r="DW19" s="50" t="str">
        <f t="shared" si="41"/>
        <v/>
      </c>
      <c r="DX19" s="50">
        <f>Participantes!CI18</f>
        <v>0</v>
      </c>
      <c r="DY19" s="50">
        <f>Participantes!CJ18</f>
        <v>0</v>
      </c>
      <c r="DZ19" s="50" t="str">
        <f t="shared" si="42"/>
        <v/>
      </c>
      <c r="EA19" s="50">
        <f>Participantes!CK18</f>
        <v>0</v>
      </c>
      <c r="EB19" s="50">
        <f>Participantes!CL18</f>
        <v>0</v>
      </c>
      <c r="EC19" s="50" t="str">
        <f t="shared" si="43"/>
        <v/>
      </c>
      <c r="ED19" s="50">
        <f>Participantes!CM18</f>
        <v>0</v>
      </c>
      <c r="EE19" s="50">
        <f>Participantes!CN18</f>
        <v>0</v>
      </c>
      <c r="EF19" s="50" t="str">
        <f t="shared" si="44"/>
        <v/>
      </c>
      <c r="EG19" s="50">
        <f>Participantes!CO18</f>
        <v>0</v>
      </c>
      <c r="EH19" s="50">
        <f>Participantes!CP18</f>
        <v>0</v>
      </c>
      <c r="EI19" s="50" t="str">
        <f t="shared" si="45"/>
        <v/>
      </c>
      <c r="EJ19" s="50">
        <f>Participantes!CQ18</f>
        <v>0</v>
      </c>
      <c r="EK19" s="50">
        <f>Participantes!CR18</f>
        <v>0</v>
      </c>
      <c r="EL19" s="50" t="str">
        <f t="shared" si="46"/>
        <v/>
      </c>
      <c r="EM19" s="50">
        <f>Participantes!CS18</f>
        <v>0</v>
      </c>
      <c r="EN19" s="50">
        <f>Participantes!CT18</f>
        <v>0</v>
      </c>
      <c r="EO19" s="50" t="str">
        <f t="shared" si="47"/>
        <v/>
      </c>
      <c r="EP19" s="50">
        <f>Participantes!CU18</f>
        <v>0</v>
      </c>
      <c r="EQ19" s="50">
        <f>Participantes!CV18</f>
        <v>0</v>
      </c>
      <c r="ER19" s="50" t="str">
        <f t="shared" si="48"/>
        <v/>
      </c>
      <c r="ES19" s="50">
        <f>Participantes!CW18</f>
        <v>0</v>
      </c>
      <c r="ET19" s="50">
        <f>Participantes!CX18</f>
        <v>0</v>
      </c>
      <c r="EU19" s="50" t="str">
        <f t="shared" si="49"/>
        <v/>
      </c>
      <c r="EV19" s="50">
        <f>Participantes!CY18</f>
        <v>0</v>
      </c>
      <c r="EW19" s="50">
        <f>Participantes!CZ18</f>
        <v>0</v>
      </c>
      <c r="EX19" s="50" t="str">
        <f t="shared" si="50"/>
        <v/>
      </c>
      <c r="EY19" s="50">
        <f>Participantes!DA18</f>
        <v>0</v>
      </c>
      <c r="EZ19" s="50">
        <f>Participantes!DB18</f>
        <v>0</v>
      </c>
      <c r="FA19" s="50" t="str">
        <f t="shared" si="51"/>
        <v/>
      </c>
      <c r="FB19" s="50">
        <f>Participantes!DC18</f>
        <v>0</v>
      </c>
      <c r="FC19" s="50">
        <f>Participantes!DD18</f>
        <v>0</v>
      </c>
      <c r="FD19" s="50" t="str">
        <f t="shared" si="52"/>
        <v/>
      </c>
      <c r="FE19" s="50">
        <f>Participantes!DE18</f>
        <v>0</v>
      </c>
      <c r="FF19" s="50">
        <f>Participantes!DF18</f>
        <v>0</v>
      </c>
      <c r="FG19" s="50" t="str">
        <f t="shared" si="53"/>
        <v/>
      </c>
      <c r="FH19" s="50">
        <f>Participantes!DG18</f>
        <v>0</v>
      </c>
      <c r="FI19" s="50">
        <f>Participantes!DH18</f>
        <v>0</v>
      </c>
      <c r="FJ19" s="50" t="str">
        <f t="shared" si="54"/>
        <v/>
      </c>
      <c r="FK19" s="50">
        <f>Participantes!DI18</f>
        <v>0</v>
      </c>
      <c r="FL19" s="50">
        <f>Participantes!DJ18</f>
        <v>0</v>
      </c>
      <c r="FM19" s="50" t="str">
        <f t="shared" si="55"/>
        <v/>
      </c>
      <c r="FN19" s="50">
        <f>Participantes!DK18</f>
        <v>0</v>
      </c>
      <c r="FO19" s="50">
        <f>Participantes!DL18</f>
        <v>0</v>
      </c>
      <c r="FP19" s="50" t="str">
        <f t="shared" si="56"/>
        <v/>
      </c>
      <c r="FQ19" s="50">
        <f>Participantes!DM18</f>
        <v>0</v>
      </c>
      <c r="FR19" s="50">
        <f>Participantes!DN18</f>
        <v>0</v>
      </c>
      <c r="FS19" s="50" t="str">
        <f t="shared" si="57"/>
        <v/>
      </c>
      <c r="FT19" s="50">
        <f>Participantes!DO18</f>
        <v>0</v>
      </c>
      <c r="FU19" s="50">
        <f>Participantes!DP18</f>
        <v>0</v>
      </c>
      <c r="FV19" s="50" t="str">
        <f t="shared" si="58"/>
        <v/>
      </c>
      <c r="FW19" s="50">
        <f>Participantes!DQ18</f>
        <v>0</v>
      </c>
      <c r="FX19" s="50">
        <f>Participantes!DR18</f>
        <v>0</v>
      </c>
      <c r="FY19" s="50" t="str">
        <f t="shared" si="59"/>
        <v/>
      </c>
      <c r="FZ19" s="50">
        <f>Participantes!DS18</f>
        <v>0</v>
      </c>
      <c r="GA19" s="50">
        <f>Participantes!DT18</f>
        <v>0</v>
      </c>
      <c r="GB19" s="50" t="str">
        <f t="shared" si="60"/>
        <v/>
      </c>
      <c r="GC19" s="50">
        <f>Participantes!DU18</f>
        <v>0</v>
      </c>
      <c r="GD19" s="50">
        <f>Participantes!DV18</f>
        <v>0</v>
      </c>
      <c r="GE19" s="50" t="str">
        <f t="shared" si="61"/>
        <v/>
      </c>
      <c r="GF19" s="50">
        <f>Participantes!DW18</f>
        <v>0</v>
      </c>
      <c r="GG19" s="50">
        <f>Participantes!DX18</f>
        <v>0</v>
      </c>
      <c r="GH19" s="50" t="str">
        <f t="shared" si="62"/>
        <v/>
      </c>
      <c r="GI19" s="50">
        <f>Participantes!DY18</f>
        <v>0</v>
      </c>
      <c r="GJ19" s="50">
        <f>Participantes!DZ18</f>
        <v>0</v>
      </c>
      <c r="GK19" s="50" t="str">
        <f t="shared" si="63"/>
        <v/>
      </c>
      <c r="GL19" s="50">
        <f>Participantes!EA18</f>
        <v>0</v>
      </c>
      <c r="GM19" s="50">
        <f>Participantes!EB18</f>
        <v>0</v>
      </c>
      <c r="GN19" s="50" t="str">
        <f t="shared" si="64"/>
        <v/>
      </c>
      <c r="GO19" s="50">
        <f>Participantes!EC18</f>
        <v>0</v>
      </c>
      <c r="GP19" s="50">
        <f>Participantes!ED18</f>
        <v>0</v>
      </c>
      <c r="GQ19" s="50" t="str">
        <f t="shared" si="65"/>
        <v/>
      </c>
      <c r="GR19" s="50">
        <f>Participantes!EE18</f>
        <v>0</v>
      </c>
      <c r="GS19" s="50">
        <f>Participantes!EF18</f>
        <v>0</v>
      </c>
      <c r="GT19" s="50" t="str">
        <f t="shared" si="66"/>
        <v/>
      </c>
      <c r="GU19" s="50">
        <f>Participantes!EG18</f>
        <v>0</v>
      </c>
      <c r="GV19" s="50">
        <f>Participantes!EH18</f>
        <v>0</v>
      </c>
      <c r="GW19" s="50" t="str">
        <f t="shared" si="67"/>
        <v/>
      </c>
      <c r="GX19" s="50">
        <f>Participantes!EI18</f>
        <v>0</v>
      </c>
      <c r="GY19" s="50">
        <f>Participantes!EJ18</f>
        <v>0</v>
      </c>
      <c r="GZ19" s="50" t="str">
        <f t="shared" si="68"/>
        <v/>
      </c>
      <c r="HA19" s="50">
        <f>Participantes!EK18</f>
        <v>0</v>
      </c>
      <c r="HB19" s="50">
        <f>Participantes!EL18</f>
        <v>0</v>
      </c>
      <c r="HC19" s="50" t="str">
        <f t="shared" si="69"/>
        <v/>
      </c>
      <c r="HD19" s="50">
        <f>Participantes!EM18</f>
        <v>0</v>
      </c>
      <c r="HE19" s="50">
        <f>Participantes!EN18</f>
        <v>0</v>
      </c>
      <c r="HF19" s="50" t="str">
        <f t="shared" si="70"/>
        <v/>
      </c>
      <c r="HG19" s="50">
        <f>Participantes!EO18</f>
        <v>0</v>
      </c>
      <c r="HH19" s="50">
        <f>Participantes!EP18</f>
        <v>0</v>
      </c>
      <c r="HI19" s="50" t="str">
        <f t="shared" si="71"/>
        <v/>
      </c>
      <c r="HJ19" s="51">
        <f t="shared" si="72"/>
        <v>0</v>
      </c>
    </row>
    <row r="20" spans="1:218" ht="15" customHeight="1" x14ac:dyDescent="0.25">
      <c r="A20" s="49" t="str">
        <f>Participantes!B19</f>
        <v>Jose C 2</v>
      </c>
      <c r="B20" s="50">
        <f>Participantes!C19</f>
        <v>1</v>
      </c>
      <c r="C20" s="50">
        <f>Participantes!D19</f>
        <v>0</v>
      </c>
      <c r="D20" s="50">
        <f t="shared" si="0"/>
        <v>1</v>
      </c>
      <c r="E20" s="50">
        <f>Participantes!E19</f>
        <v>2</v>
      </c>
      <c r="F20" s="50">
        <f>Participantes!F19</f>
        <v>1</v>
      </c>
      <c r="G20" s="50">
        <f t="shared" si="1"/>
        <v>3</v>
      </c>
      <c r="H20" s="50">
        <f>Participantes!G19</f>
        <v>1</v>
      </c>
      <c r="I20" s="50">
        <f>Participantes!H19</f>
        <v>1</v>
      </c>
      <c r="J20" s="50" t="str">
        <f t="shared" si="2"/>
        <v/>
      </c>
      <c r="K20" s="50">
        <f>Participantes!I19</f>
        <v>2</v>
      </c>
      <c r="L20" s="50">
        <f>Participantes!J19</f>
        <v>2</v>
      </c>
      <c r="M20" s="50" t="str">
        <f t="shared" si="3"/>
        <v/>
      </c>
      <c r="N20" s="50">
        <f>Participantes!K19</f>
        <v>2</v>
      </c>
      <c r="O20" s="50">
        <f>Participantes!L19</f>
        <v>0</v>
      </c>
      <c r="P20" s="50" t="str">
        <f t="shared" si="4"/>
        <v/>
      </c>
      <c r="Q20" s="50">
        <f>Participantes!M19</f>
        <v>1</v>
      </c>
      <c r="R20" s="50">
        <f>Participantes!N19</f>
        <v>2</v>
      </c>
      <c r="S20" s="50" t="str">
        <f t="shared" si="5"/>
        <v/>
      </c>
      <c r="T20" s="50">
        <f>Participantes!O19</f>
        <v>1</v>
      </c>
      <c r="U20" s="50">
        <f>Participantes!P19</f>
        <v>2</v>
      </c>
      <c r="V20" s="50" t="str">
        <f t="shared" si="6"/>
        <v/>
      </c>
      <c r="W20" s="50">
        <f>Participantes!Q19</f>
        <v>1</v>
      </c>
      <c r="X20" s="50">
        <f>Participantes!R19</f>
        <v>1</v>
      </c>
      <c r="Y20" s="50" t="str">
        <f t="shared" si="7"/>
        <v/>
      </c>
      <c r="Z20" s="50">
        <f>Participantes!S19</f>
        <v>2</v>
      </c>
      <c r="AA20" s="50">
        <f>Participantes!T19</f>
        <v>1</v>
      </c>
      <c r="AB20" s="50" t="str">
        <f t="shared" si="8"/>
        <v/>
      </c>
      <c r="AC20" s="50">
        <f>Participantes!U19</f>
        <v>4</v>
      </c>
      <c r="AD20" s="50">
        <f>Participantes!V19</f>
        <v>1</v>
      </c>
      <c r="AE20" s="50" t="str">
        <f t="shared" si="9"/>
        <v/>
      </c>
      <c r="AF20" s="50">
        <f>Participantes!W19</f>
        <v>0</v>
      </c>
      <c r="AG20" s="50">
        <f>Participantes!X19</f>
        <v>2</v>
      </c>
      <c r="AH20" s="50" t="str">
        <f t="shared" si="10"/>
        <v/>
      </c>
      <c r="AI20" s="50">
        <f>Participantes!Y19</f>
        <v>1</v>
      </c>
      <c r="AJ20" s="50">
        <f>Participantes!Z19</f>
        <v>0</v>
      </c>
      <c r="AK20" s="50" t="str">
        <f t="shared" si="11"/>
        <v/>
      </c>
      <c r="AL20" s="50">
        <f>Participantes!AA19</f>
        <v>0</v>
      </c>
      <c r="AM20" s="50">
        <f>Participantes!AB19</f>
        <v>3</v>
      </c>
      <c r="AN20" s="50" t="str">
        <f t="shared" si="12"/>
        <v/>
      </c>
      <c r="AO20" s="50">
        <f>Participantes!AC19</f>
        <v>5</v>
      </c>
      <c r="AP20" s="50">
        <f>Participantes!AD19</f>
        <v>1</v>
      </c>
      <c r="AQ20" s="50" t="str">
        <f t="shared" si="13"/>
        <v/>
      </c>
      <c r="AR20" s="50">
        <f>Participantes!AE19</f>
        <v>0</v>
      </c>
      <c r="AS20" s="50">
        <f>Participantes!AF19</f>
        <v>0</v>
      </c>
      <c r="AT20" s="50" t="str">
        <f t="shared" si="14"/>
        <v/>
      </c>
      <c r="AU20" s="50">
        <f>Participantes!AG19</f>
        <v>0</v>
      </c>
      <c r="AV20" s="50">
        <f>Participantes!AH19</f>
        <v>0</v>
      </c>
      <c r="AW20" s="50" t="str">
        <f t="shared" si="15"/>
        <v/>
      </c>
      <c r="AX20" s="50">
        <f>Participantes!AI19</f>
        <v>0</v>
      </c>
      <c r="AY20" s="50">
        <f>Participantes!AJ19</f>
        <v>0</v>
      </c>
      <c r="AZ20" s="50" t="str">
        <f t="shared" si="16"/>
        <v/>
      </c>
      <c r="BA20" s="50">
        <f>Participantes!AK19</f>
        <v>0</v>
      </c>
      <c r="BB20" s="50">
        <f>Participantes!AL19</f>
        <v>0</v>
      </c>
      <c r="BC20" s="50" t="str">
        <f t="shared" si="17"/>
        <v/>
      </c>
      <c r="BD20" s="50">
        <f>Participantes!AM19</f>
        <v>0</v>
      </c>
      <c r="BE20" s="50">
        <f>Participantes!AN19</f>
        <v>0</v>
      </c>
      <c r="BF20" s="50" t="str">
        <f t="shared" si="18"/>
        <v/>
      </c>
      <c r="BG20" s="50">
        <f>Participantes!AO19</f>
        <v>0</v>
      </c>
      <c r="BH20" s="50">
        <f>Participantes!AP19</f>
        <v>0</v>
      </c>
      <c r="BI20" s="50" t="str">
        <f t="shared" si="19"/>
        <v/>
      </c>
      <c r="BJ20" s="50">
        <f>Participantes!AQ19</f>
        <v>0</v>
      </c>
      <c r="BK20" s="50">
        <f>Participantes!AR19</f>
        <v>0</v>
      </c>
      <c r="BL20" s="50" t="str">
        <f t="shared" si="20"/>
        <v/>
      </c>
      <c r="BM20" s="50">
        <f>Participantes!AS19</f>
        <v>0</v>
      </c>
      <c r="BN20" s="50">
        <f>Participantes!AT19</f>
        <v>0</v>
      </c>
      <c r="BO20" s="50" t="str">
        <f t="shared" si="21"/>
        <v/>
      </c>
      <c r="BP20" s="50">
        <f>Participantes!AU19</f>
        <v>0</v>
      </c>
      <c r="BQ20" s="50">
        <f>Participantes!AV19</f>
        <v>0</v>
      </c>
      <c r="BR20" s="50" t="str">
        <f t="shared" si="22"/>
        <v/>
      </c>
      <c r="BS20" s="50">
        <f>Participantes!AW19</f>
        <v>0</v>
      </c>
      <c r="BT20" s="50">
        <f>Participantes!AX19</f>
        <v>0</v>
      </c>
      <c r="BU20" s="50" t="str">
        <f t="shared" si="23"/>
        <v/>
      </c>
      <c r="BV20" s="50">
        <f>Participantes!AY19</f>
        <v>0</v>
      </c>
      <c r="BW20" s="50">
        <f>Participantes!AZ19</f>
        <v>0</v>
      </c>
      <c r="BX20" s="50" t="str">
        <f t="shared" si="24"/>
        <v/>
      </c>
      <c r="BY20" s="50">
        <f>Participantes!BA19</f>
        <v>0</v>
      </c>
      <c r="BZ20" s="50">
        <f>Participantes!BB19</f>
        <v>0</v>
      </c>
      <c r="CA20" s="50" t="str">
        <f t="shared" si="25"/>
        <v/>
      </c>
      <c r="CB20" s="50">
        <f>Participantes!BC19</f>
        <v>0</v>
      </c>
      <c r="CC20" s="50">
        <f>Participantes!BD19</f>
        <v>0</v>
      </c>
      <c r="CD20" s="50" t="str">
        <f t="shared" si="26"/>
        <v/>
      </c>
      <c r="CE20" s="50">
        <f>Participantes!BE19</f>
        <v>0</v>
      </c>
      <c r="CF20" s="50">
        <f>Participantes!BF19</f>
        <v>0</v>
      </c>
      <c r="CG20" s="50" t="str">
        <f t="shared" si="27"/>
        <v/>
      </c>
      <c r="CH20" s="50">
        <f>Participantes!BG19</f>
        <v>0</v>
      </c>
      <c r="CI20" s="50">
        <f>Participantes!BH19</f>
        <v>0</v>
      </c>
      <c r="CJ20" s="50" t="str">
        <f t="shared" si="28"/>
        <v/>
      </c>
      <c r="CK20" s="50">
        <f>Participantes!BI19</f>
        <v>0</v>
      </c>
      <c r="CL20" s="50">
        <f>Participantes!BJ19</f>
        <v>0</v>
      </c>
      <c r="CM20" s="50" t="str">
        <f t="shared" si="29"/>
        <v/>
      </c>
      <c r="CN20" s="50">
        <f>Participantes!BK19</f>
        <v>0</v>
      </c>
      <c r="CO20" s="50">
        <f>Participantes!BL19</f>
        <v>0</v>
      </c>
      <c r="CP20" s="50" t="str">
        <f t="shared" si="30"/>
        <v/>
      </c>
      <c r="CQ20" s="50">
        <f>Participantes!BM19</f>
        <v>0</v>
      </c>
      <c r="CR20" s="50">
        <f>Participantes!BN19</f>
        <v>0</v>
      </c>
      <c r="CS20" s="50" t="str">
        <f t="shared" si="31"/>
        <v/>
      </c>
      <c r="CT20" s="50">
        <f>Participantes!BO19</f>
        <v>0</v>
      </c>
      <c r="CU20" s="50">
        <f>Participantes!BP19</f>
        <v>0</v>
      </c>
      <c r="CV20" s="50" t="str">
        <f t="shared" si="32"/>
        <v/>
      </c>
      <c r="CW20" s="50">
        <f>Participantes!BQ19</f>
        <v>0</v>
      </c>
      <c r="CX20" s="50">
        <f>Participantes!BR19</f>
        <v>0</v>
      </c>
      <c r="CY20" s="50" t="str">
        <f t="shared" si="33"/>
        <v/>
      </c>
      <c r="CZ20" s="50">
        <f>Participantes!BS19</f>
        <v>0</v>
      </c>
      <c r="DA20" s="50">
        <f>Participantes!BT19</f>
        <v>0</v>
      </c>
      <c r="DB20" s="50" t="str">
        <f t="shared" si="34"/>
        <v/>
      </c>
      <c r="DC20" s="50">
        <f>Participantes!BU19</f>
        <v>0</v>
      </c>
      <c r="DD20" s="50">
        <f>Participantes!BV19</f>
        <v>0</v>
      </c>
      <c r="DE20" s="50" t="str">
        <f t="shared" si="35"/>
        <v/>
      </c>
      <c r="DF20" s="50">
        <f>Participantes!BW19</f>
        <v>0</v>
      </c>
      <c r="DG20" s="50">
        <f>Participantes!BX19</f>
        <v>0</v>
      </c>
      <c r="DH20" s="50" t="str">
        <f t="shared" si="36"/>
        <v/>
      </c>
      <c r="DI20" s="50">
        <f>Participantes!BY19</f>
        <v>0</v>
      </c>
      <c r="DJ20" s="50">
        <f>Participantes!BZ19</f>
        <v>0</v>
      </c>
      <c r="DK20" s="50" t="str">
        <f t="shared" si="37"/>
        <v/>
      </c>
      <c r="DL20" s="50">
        <f>Participantes!CA19</f>
        <v>0</v>
      </c>
      <c r="DM20" s="50">
        <f>Participantes!CB19</f>
        <v>0</v>
      </c>
      <c r="DN20" s="50" t="str">
        <f t="shared" si="38"/>
        <v/>
      </c>
      <c r="DO20" s="50">
        <f>Participantes!CC19</f>
        <v>0</v>
      </c>
      <c r="DP20" s="50">
        <f>Participantes!CD19</f>
        <v>0</v>
      </c>
      <c r="DQ20" s="50" t="str">
        <f t="shared" si="39"/>
        <v/>
      </c>
      <c r="DR20" s="50">
        <f>Participantes!CE19</f>
        <v>0</v>
      </c>
      <c r="DS20" s="50">
        <f>Participantes!CF19</f>
        <v>0</v>
      </c>
      <c r="DT20" s="50" t="str">
        <f t="shared" si="40"/>
        <v/>
      </c>
      <c r="DU20" s="50">
        <f>Participantes!CG19</f>
        <v>0</v>
      </c>
      <c r="DV20" s="50">
        <f>Participantes!CH19</f>
        <v>0</v>
      </c>
      <c r="DW20" s="50" t="str">
        <f t="shared" si="41"/>
        <v/>
      </c>
      <c r="DX20" s="50">
        <f>Participantes!CI19</f>
        <v>0</v>
      </c>
      <c r="DY20" s="50">
        <f>Participantes!CJ19</f>
        <v>0</v>
      </c>
      <c r="DZ20" s="50" t="str">
        <f t="shared" si="42"/>
        <v/>
      </c>
      <c r="EA20" s="50">
        <f>Participantes!CK19</f>
        <v>0</v>
      </c>
      <c r="EB20" s="50">
        <f>Participantes!CL19</f>
        <v>0</v>
      </c>
      <c r="EC20" s="50" t="str">
        <f t="shared" si="43"/>
        <v/>
      </c>
      <c r="ED20" s="50">
        <f>Participantes!CM19</f>
        <v>0</v>
      </c>
      <c r="EE20" s="50">
        <f>Participantes!CN19</f>
        <v>0</v>
      </c>
      <c r="EF20" s="50" t="str">
        <f t="shared" si="44"/>
        <v/>
      </c>
      <c r="EG20" s="50">
        <f>Participantes!CO19</f>
        <v>0</v>
      </c>
      <c r="EH20" s="50">
        <f>Participantes!CP19</f>
        <v>0</v>
      </c>
      <c r="EI20" s="50" t="str">
        <f t="shared" si="45"/>
        <v/>
      </c>
      <c r="EJ20" s="50">
        <f>Participantes!CQ19</f>
        <v>0</v>
      </c>
      <c r="EK20" s="50">
        <f>Participantes!CR19</f>
        <v>0</v>
      </c>
      <c r="EL20" s="50" t="str">
        <f t="shared" si="46"/>
        <v/>
      </c>
      <c r="EM20" s="50">
        <f>Participantes!CS19</f>
        <v>0</v>
      </c>
      <c r="EN20" s="50">
        <f>Participantes!CT19</f>
        <v>0</v>
      </c>
      <c r="EO20" s="50" t="str">
        <f t="shared" si="47"/>
        <v/>
      </c>
      <c r="EP20" s="50">
        <f>Participantes!CU19</f>
        <v>0</v>
      </c>
      <c r="EQ20" s="50">
        <f>Participantes!CV19</f>
        <v>0</v>
      </c>
      <c r="ER20" s="50" t="str">
        <f t="shared" si="48"/>
        <v/>
      </c>
      <c r="ES20" s="50">
        <f>Participantes!CW19</f>
        <v>0</v>
      </c>
      <c r="ET20" s="50">
        <f>Participantes!CX19</f>
        <v>0</v>
      </c>
      <c r="EU20" s="50" t="str">
        <f t="shared" si="49"/>
        <v/>
      </c>
      <c r="EV20" s="50">
        <f>Participantes!CY19</f>
        <v>0</v>
      </c>
      <c r="EW20" s="50">
        <f>Participantes!CZ19</f>
        <v>0</v>
      </c>
      <c r="EX20" s="50" t="str">
        <f t="shared" si="50"/>
        <v/>
      </c>
      <c r="EY20" s="50">
        <f>Participantes!DA19</f>
        <v>0</v>
      </c>
      <c r="EZ20" s="50">
        <f>Participantes!DB19</f>
        <v>0</v>
      </c>
      <c r="FA20" s="50" t="str">
        <f t="shared" si="51"/>
        <v/>
      </c>
      <c r="FB20" s="50">
        <f>Participantes!DC19</f>
        <v>0</v>
      </c>
      <c r="FC20" s="50">
        <f>Participantes!DD19</f>
        <v>0</v>
      </c>
      <c r="FD20" s="50" t="str">
        <f t="shared" si="52"/>
        <v/>
      </c>
      <c r="FE20" s="50">
        <f>Participantes!DE19</f>
        <v>0</v>
      </c>
      <c r="FF20" s="50">
        <f>Participantes!DF19</f>
        <v>0</v>
      </c>
      <c r="FG20" s="50" t="str">
        <f t="shared" si="53"/>
        <v/>
      </c>
      <c r="FH20" s="50">
        <f>Participantes!DG19</f>
        <v>0</v>
      </c>
      <c r="FI20" s="50">
        <f>Participantes!DH19</f>
        <v>0</v>
      </c>
      <c r="FJ20" s="50" t="str">
        <f t="shared" si="54"/>
        <v/>
      </c>
      <c r="FK20" s="50">
        <f>Participantes!DI19</f>
        <v>0</v>
      </c>
      <c r="FL20" s="50">
        <f>Participantes!DJ19</f>
        <v>0</v>
      </c>
      <c r="FM20" s="50" t="str">
        <f t="shared" si="55"/>
        <v/>
      </c>
      <c r="FN20" s="50">
        <f>Participantes!DK19</f>
        <v>0</v>
      </c>
      <c r="FO20" s="50">
        <f>Participantes!DL19</f>
        <v>0</v>
      </c>
      <c r="FP20" s="50" t="str">
        <f t="shared" si="56"/>
        <v/>
      </c>
      <c r="FQ20" s="50">
        <f>Participantes!DM19</f>
        <v>0</v>
      </c>
      <c r="FR20" s="50">
        <f>Participantes!DN19</f>
        <v>0</v>
      </c>
      <c r="FS20" s="50" t="str">
        <f t="shared" si="57"/>
        <v/>
      </c>
      <c r="FT20" s="50">
        <f>Participantes!DO19</f>
        <v>0</v>
      </c>
      <c r="FU20" s="50">
        <f>Participantes!DP19</f>
        <v>0</v>
      </c>
      <c r="FV20" s="50" t="str">
        <f t="shared" si="58"/>
        <v/>
      </c>
      <c r="FW20" s="50">
        <f>Participantes!DQ19</f>
        <v>0</v>
      </c>
      <c r="FX20" s="50">
        <f>Participantes!DR19</f>
        <v>0</v>
      </c>
      <c r="FY20" s="50" t="str">
        <f t="shared" si="59"/>
        <v/>
      </c>
      <c r="FZ20" s="50">
        <f>Participantes!DS19</f>
        <v>0</v>
      </c>
      <c r="GA20" s="50">
        <f>Participantes!DT19</f>
        <v>0</v>
      </c>
      <c r="GB20" s="50" t="str">
        <f t="shared" si="60"/>
        <v/>
      </c>
      <c r="GC20" s="50">
        <f>Participantes!DU19</f>
        <v>0</v>
      </c>
      <c r="GD20" s="50">
        <f>Participantes!DV19</f>
        <v>0</v>
      </c>
      <c r="GE20" s="50" t="str">
        <f t="shared" si="61"/>
        <v/>
      </c>
      <c r="GF20" s="50">
        <f>Participantes!DW19</f>
        <v>0</v>
      </c>
      <c r="GG20" s="50">
        <f>Participantes!DX19</f>
        <v>0</v>
      </c>
      <c r="GH20" s="50" t="str">
        <f t="shared" si="62"/>
        <v/>
      </c>
      <c r="GI20" s="50">
        <f>Participantes!DY19</f>
        <v>0</v>
      </c>
      <c r="GJ20" s="50">
        <f>Participantes!DZ19</f>
        <v>0</v>
      </c>
      <c r="GK20" s="50" t="str">
        <f t="shared" si="63"/>
        <v/>
      </c>
      <c r="GL20" s="50">
        <f>Participantes!EA19</f>
        <v>0</v>
      </c>
      <c r="GM20" s="50">
        <f>Participantes!EB19</f>
        <v>0</v>
      </c>
      <c r="GN20" s="50" t="str">
        <f t="shared" si="64"/>
        <v/>
      </c>
      <c r="GO20" s="50">
        <f>Participantes!EC19</f>
        <v>0</v>
      </c>
      <c r="GP20" s="50">
        <f>Participantes!ED19</f>
        <v>0</v>
      </c>
      <c r="GQ20" s="50" t="str">
        <f t="shared" si="65"/>
        <v/>
      </c>
      <c r="GR20" s="50">
        <f>Participantes!EE19</f>
        <v>0</v>
      </c>
      <c r="GS20" s="50">
        <f>Participantes!EF19</f>
        <v>0</v>
      </c>
      <c r="GT20" s="50" t="str">
        <f t="shared" si="66"/>
        <v/>
      </c>
      <c r="GU20" s="50">
        <f>Participantes!EG19</f>
        <v>0</v>
      </c>
      <c r="GV20" s="50">
        <f>Participantes!EH19</f>
        <v>0</v>
      </c>
      <c r="GW20" s="50" t="str">
        <f t="shared" si="67"/>
        <v/>
      </c>
      <c r="GX20" s="50">
        <f>Participantes!EI19</f>
        <v>0</v>
      </c>
      <c r="GY20" s="50">
        <f>Participantes!EJ19</f>
        <v>0</v>
      </c>
      <c r="GZ20" s="50" t="str">
        <f t="shared" si="68"/>
        <v/>
      </c>
      <c r="HA20" s="50">
        <f>Participantes!EK19</f>
        <v>0</v>
      </c>
      <c r="HB20" s="50">
        <f>Participantes!EL19</f>
        <v>0</v>
      </c>
      <c r="HC20" s="50" t="str">
        <f t="shared" si="69"/>
        <v/>
      </c>
      <c r="HD20" s="50">
        <f>Participantes!EM19</f>
        <v>0</v>
      </c>
      <c r="HE20" s="50">
        <f>Participantes!EN19</f>
        <v>0</v>
      </c>
      <c r="HF20" s="50" t="str">
        <f t="shared" si="70"/>
        <v/>
      </c>
      <c r="HG20" s="50">
        <f>Participantes!EO19</f>
        <v>0</v>
      </c>
      <c r="HH20" s="50">
        <f>Participantes!EP19</f>
        <v>0</v>
      </c>
      <c r="HI20" s="50" t="str">
        <f t="shared" si="71"/>
        <v/>
      </c>
      <c r="HJ20" s="51">
        <f t="shared" si="72"/>
        <v>4</v>
      </c>
    </row>
    <row r="21" spans="1:218" ht="15" customHeight="1" x14ac:dyDescent="0.25">
      <c r="A21" s="49" t="str">
        <f>Participantes!B20</f>
        <v>Jose C Ahiza</v>
      </c>
      <c r="B21" s="50">
        <f>Participantes!C20</f>
        <v>2</v>
      </c>
      <c r="C21" s="50">
        <f>Participantes!D20</f>
        <v>1</v>
      </c>
      <c r="D21" s="50">
        <f t="shared" si="0"/>
        <v>1</v>
      </c>
      <c r="E21" s="50">
        <f>Participantes!E20</f>
        <v>2</v>
      </c>
      <c r="F21" s="50">
        <f>Participantes!F20</f>
        <v>1</v>
      </c>
      <c r="G21" s="50">
        <f t="shared" si="1"/>
        <v>3</v>
      </c>
      <c r="H21" s="50">
        <f>Participantes!G20</f>
        <v>2</v>
      </c>
      <c r="I21" s="50">
        <f>Participantes!H20</f>
        <v>0</v>
      </c>
      <c r="J21" s="50" t="str">
        <f t="shared" si="2"/>
        <v/>
      </c>
      <c r="K21" s="50">
        <f>Participantes!I20</f>
        <v>3</v>
      </c>
      <c r="L21" s="50">
        <f>Participantes!J20</f>
        <v>1</v>
      </c>
      <c r="M21" s="50" t="str">
        <f t="shared" si="3"/>
        <v/>
      </c>
      <c r="N21" s="50">
        <f>Participantes!K20</f>
        <v>0</v>
      </c>
      <c r="O21" s="50">
        <f>Participantes!L20</f>
        <v>2</v>
      </c>
      <c r="P21" s="50" t="str">
        <f t="shared" si="4"/>
        <v/>
      </c>
      <c r="Q21" s="50">
        <f>Participantes!M20</f>
        <v>1</v>
      </c>
      <c r="R21" s="50">
        <f>Participantes!N20</f>
        <v>2</v>
      </c>
      <c r="S21" s="50" t="str">
        <f t="shared" si="5"/>
        <v/>
      </c>
      <c r="T21" s="50">
        <f>Participantes!O20</f>
        <v>2</v>
      </c>
      <c r="U21" s="50">
        <f>Participantes!P20</f>
        <v>0</v>
      </c>
      <c r="V21" s="50" t="str">
        <f t="shared" si="6"/>
        <v/>
      </c>
      <c r="W21" s="50">
        <f>Participantes!Q20</f>
        <v>1</v>
      </c>
      <c r="X21" s="50">
        <f>Participantes!R20</f>
        <v>2</v>
      </c>
      <c r="Y21" s="50" t="str">
        <f t="shared" si="7"/>
        <v/>
      </c>
      <c r="Z21" s="50">
        <f>Participantes!S20</f>
        <v>1</v>
      </c>
      <c r="AA21" s="50">
        <f>Participantes!T20</f>
        <v>1</v>
      </c>
      <c r="AB21" s="50" t="str">
        <f t="shared" si="8"/>
        <v/>
      </c>
      <c r="AC21" s="50">
        <f>Participantes!U20</f>
        <v>3</v>
      </c>
      <c r="AD21" s="50">
        <f>Participantes!V20</f>
        <v>0</v>
      </c>
      <c r="AE21" s="50" t="str">
        <f t="shared" si="9"/>
        <v/>
      </c>
      <c r="AF21" s="50">
        <f>Participantes!W20</f>
        <v>2</v>
      </c>
      <c r="AG21" s="50">
        <f>Participantes!X20</f>
        <v>0</v>
      </c>
      <c r="AH21" s="50" t="str">
        <f t="shared" si="10"/>
        <v/>
      </c>
      <c r="AI21" s="50">
        <f>Participantes!Y20</f>
        <v>2</v>
      </c>
      <c r="AJ21" s="50">
        <f>Participantes!Z20</f>
        <v>1</v>
      </c>
      <c r="AK21" s="50" t="str">
        <f t="shared" si="11"/>
        <v/>
      </c>
      <c r="AL21" s="50">
        <f>Participantes!AA20</f>
        <v>0</v>
      </c>
      <c r="AM21" s="50">
        <f>Participantes!AB20</f>
        <v>2</v>
      </c>
      <c r="AN21" s="50" t="str">
        <f t="shared" si="12"/>
        <v/>
      </c>
      <c r="AO21" s="50">
        <f>Participantes!AC20</f>
        <v>3</v>
      </c>
      <c r="AP21" s="50">
        <f>Participantes!AD20</f>
        <v>0</v>
      </c>
      <c r="AQ21" s="50" t="str">
        <f t="shared" si="13"/>
        <v/>
      </c>
      <c r="AR21" s="50">
        <f>Participantes!AE20</f>
        <v>0</v>
      </c>
      <c r="AS21" s="50">
        <f>Participantes!AF20</f>
        <v>0</v>
      </c>
      <c r="AT21" s="50" t="str">
        <f t="shared" si="14"/>
        <v/>
      </c>
      <c r="AU21" s="50">
        <f>Participantes!AG20</f>
        <v>0</v>
      </c>
      <c r="AV21" s="50">
        <f>Participantes!AH20</f>
        <v>0</v>
      </c>
      <c r="AW21" s="50" t="str">
        <f t="shared" si="15"/>
        <v/>
      </c>
      <c r="AX21" s="50">
        <f>Participantes!AI20</f>
        <v>0</v>
      </c>
      <c r="AY21" s="50">
        <f>Participantes!AJ20</f>
        <v>0</v>
      </c>
      <c r="AZ21" s="50" t="str">
        <f t="shared" si="16"/>
        <v/>
      </c>
      <c r="BA21" s="50">
        <f>Participantes!AK20</f>
        <v>0</v>
      </c>
      <c r="BB21" s="50">
        <f>Participantes!AL20</f>
        <v>0</v>
      </c>
      <c r="BC21" s="50" t="str">
        <f t="shared" si="17"/>
        <v/>
      </c>
      <c r="BD21" s="50">
        <f>Participantes!AM20</f>
        <v>0</v>
      </c>
      <c r="BE21" s="50">
        <f>Participantes!AN20</f>
        <v>0</v>
      </c>
      <c r="BF21" s="50" t="str">
        <f t="shared" si="18"/>
        <v/>
      </c>
      <c r="BG21" s="50">
        <f>Participantes!AO20</f>
        <v>0</v>
      </c>
      <c r="BH21" s="50">
        <f>Participantes!AP20</f>
        <v>0</v>
      </c>
      <c r="BI21" s="50" t="str">
        <f t="shared" si="19"/>
        <v/>
      </c>
      <c r="BJ21" s="50">
        <f>Participantes!AQ20</f>
        <v>0</v>
      </c>
      <c r="BK21" s="50">
        <f>Participantes!AR20</f>
        <v>0</v>
      </c>
      <c r="BL21" s="50" t="str">
        <f t="shared" si="20"/>
        <v/>
      </c>
      <c r="BM21" s="50">
        <f>Participantes!AS20</f>
        <v>0</v>
      </c>
      <c r="BN21" s="50">
        <f>Participantes!AT20</f>
        <v>0</v>
      </c>
      <c r="BO21" s="50" t="str">
        <f t="shared" si="21"/>
        <v/>
      </c>
      <c r="BP21" s="50">
        <f>Participantes!AU20</f>
        <v>0</v>
      </c>
      <c r="BQ21" s="50">
        <f>Participantes!AV20</f>
        <v>0</v>
      </c>
      <c r="BR21" s="50" t="str">
        <f t="shared" si="22"/>
        <v/>
      </c>
      <c r="BS21" s="50">
        <f>Participantes!AW20</f>
        <v>0</v>
      </c>
      <c r="BT21" s="50">
        <f>Participantes!AX20</f>
        <v>0</v>
      </c>
      <c r="BU21" s="50" t="str">
        <f t="shared" si="23"/>
        <v/>
      </c>
      <c r="BV21" s="50">
        <f>Participantes!AY20</f>
        <v>0</v>
      </c>
      <c r="BW21" s="50">
        <f>Participantes!AZ20</f>
        <v>0</v>
      </c>
      <c r="BX21" s="50" t="str">
        <f t="shared" si="24"/>
        <v/>
      </c>
      <c r="BY21" s="50">
        <f>Participantes!BA20</f>
        <v>0</v>
      </c>
      <c r="BZ21" s="50">
        <f>Participantes!BB20</f>
        <v>0</v>
      </c>
      <c r="CA21" s="50" t="str">
        <f t="shared" si="25"/>
        <v/>
      </c>
      <c r="CB21" s="50">
        <f>Participantes!BC20</f>
        <v>0</v>
      </c>
      <c r="CC21" s="50">
        <f>Participantes!BD20</f>
        <v>0</v>
      </c>
      <c r="CD21" s="50" t="str">
        <f t="shared" si="26"/>
        <v/>
      </c>
      <c r="CE21" s="50">
        <f>Participantes!BE20</f>
        <v>0</v>
      </c>
      <c r="CF21" s="50">
        <f>Participantes!BF20</f>
        <v>0</v>
      </c>
      <c r="CG21" s="50" t="str">
        <f t="shared" si="27"/>
        <v/>
      </c>
      <c r="CH21" s="50">
        <f>Participantes!BG20</f>
        <v>0</v>
      </c>
      <c r="CI21" s="50">
        <f>Participantes!BH20</f>
        <v>0</v>
      </c>
      <c r="CJ21" s="50" t="str">
        <f t="shared" si="28"/>
        <v/>
      </c>
      <c r="CK21" s="50">
        <f>Participantes!BI20</f>
        <v>0</v>
      </c>
      <c r="CL21" s="50">
        <f>Participantes!BJ20</f>
        <v>0</v>
      </c>
      <c r="CM21" s="50" t="str">
        <f t="shared" si="29"/>
        <v/>
      </c>
      <c r="CN21" s="50">
        <f>Participantes!BK20</f>
        <v>0</v>
      </c>
      <c r="CO21" s="50">
        <f>Participantes!BL20</f>
        <v>0</v>
      </c>
      <c r="CP21" s="50" t="str">
        <f t="shared" si="30"/>
        <v/>
      </c>
      <c r="CQ21" s="50">
        <f>Participantes!BM20</f>
        <v>0</v>
      </c>
      <c r="CR21" s="50">
        <f>Participantes!BN20</f>
        <v>0</v>
      </c>
      <c r="CS21" s="50" t="str">
        <f t="shared" si="31"/>
        <v/>
      </c>
      <c r="CT21" s="50">
        <f>Participantes!BO20</f>
        <v>0</v>
      </c>
      <c r="CU21" s="50">
        <f>Participantes!BP20</f>
        <v>0</v>
      </c>
      <c r="CV21" s="50" t="str">
        <f t="shared" si="32"/>
        <v/>
      </c>
      <c r="CW21" s="50">
        <f>Participantes!BQ20</f>
        <v>0</v>
      </c>
      <c r="CX21" s="50">
        <f>Participantes!BR20</f>
        <v>0</v>
      </c>
      <c r="CY21" s="50" t="str">
        <f t="shared" si="33"/>
        <v/>
      </c>
      <c r="CZ21" s="50">
        <f>Participantes!BS20</f>
        <v>0</v>
      </c>
      <c r="DA21" s="50">
        <f>Participantes!BT20</f>
        <v>0</v>
      </c>
      <c r="DB21" s="50" t="str">
        <f t="shared" si="34"/>
        <v/>
      </c>
      <c r="DC21" s="50">
        <f>Participantes!BU20</f>
        <v>0</v>
      </c>
      <c r="DD21" s="50">
        <f>Participantes!BV20</f>
        <v>0</v>
      </c>
      <c r="DE21" s="50" t="str">
        <f t="shared" si="35"/>
        <v/>
      </c>
      <c r="DF21" s="50">
        <f>Participantes!BW20</f>
        <v>0</v>
      </c>
      <c r="DG21" s="50">
        <f>Participantes!BX20</f>
        <v>0</v>
      </c>
      <c r="DH21" s="50" t="str">
        <f t="shared" si="36"/>
        <v/>
      </c>
      <c r="DI21" s="50">
        <f>Participantes!BY20</f>
        <v>0</v>
      </c>
      <c r="DJ21" s="50">
        <f>Participantes!BZ20</f>
        <v>0</v>
      </c>
      <c r="DK21" s="50" t="str">
        <f t="shared" si="37"/>
        <v/>
      </c>
      <c r="DL21" s="50">
        <f>Participantes!CA20</f>
        <v>0</v>
      </c>
      <c r="DM21" s="50">
        <f>Participantes!CB20</f>
        <v>0</v>
      </c>
      <c r="DN21" s="50" t="str">
        <f t="shared" si="38"/>
        <v/>
      </c>
      <c r="DO21" s="50">
        <f>Participantes!CC20</f>
        <v>0</v>
      </c>
      <c r="DP21" s="50">
        <f>Participantes!CD20</f>
        <v>0</v>
      </c>
      <c r="DQ21" s="50" t="str">
        <f t="shared" si="39"/>
        <v/>
      </c>
      <c r="DR21" s="50">
        <f>Participantes!CE20</f>
        <v>0</v>
      </c>
      <c r="DS21" s="50">
        <f>Participantes!CF20</f>
        <v>0</v>
      </c>
      <c r="DT21" s="50" t="str">
        <f t="shared" si="40"/>
        <v/>
      </c>
      <c r="DU21" s="50">
        <f>Participantes!CG20</f>
        <v>0</v>
      </c>
      <c r="DV21" s="50">
        <f>Participantes!CH20</f>
        <v>0</v>
      </c>
      <c r="DW21" s="50" t="str">
        <f t="shared" si="41"/>
        <v/>
      </c>
      <c r="DX21" s="50">
        <f>Participantes!CI20</f>
        <v>0</v>
      </c>
      <c r="DY21" s="50">
        <f>Participantes!CJ20</f>
        <v>0</v>
      </c>
      <c r="DZ21" s="50" t="str">
        <f t="shared" si="42"/>
        <v/>
      </c>
      <c r="EA21" s="50">
        <f>Participantes!CK20</f>
        <v>0</v>
      </c>
      <c r="EB21" s="50">
        <f>Participantes!CL20</f>
        <v>0</v>
      </c>
      <c r="EC21" s="50" t="str">
        <f t="shared" si="43"/>
        <v/>
      </c>
      <c r="ED21" s="50">
        <f>Participantes!CM20</f>
        <v>0</v>
      </c>
      <c r="EE21" s="50">
        <f>Participantes!CN20</f>
        <v>0</v>
      </c>
      <c r="EF21" s="50" t="str">
        <f t="shared" si="44"/>
        <v/>
      </c>
      <c r="EG21" s="50">
        <f>Participantes!CO20</f>
        <v>0</v>
      </c>
      <c r="EH21" s="50">
        <f>Participantes!CP20</f>
        <v>0</v>
      </c>
      <c r="EI21" s="50" t="str">
        <f t="shared" si="45"/>
        <v/>
      </c>
      <c r="EJ21" s="50">
        <f>Participantes!CQ20</f>
        <v>0</v>
      </c>
      <c r="EK21" s="50">
        <f>Participantes!CR20</f>
        <v>0</v>
      </c>
      <c r="EL21" s="50" t="str">
        <f t="shared" si="46"/>
        <v/>
      </c>
      <c r="EM21" s="50">
        <f>Participantes!CS20</f>
        <v>0</v>
      </c>
      <c r="EN21" s="50">
        <f>Participantes!CT20</f>
        <v>0</v>
      </c>
      <c r="EO21" s="50" t="str">
        <f t="shared" si="47"/>
        <v/>
      </c>
      <c r="EP21" s="50">
        <f>Participantes!CU20</f>
        <v>0</v>
      </c>
      <c r="EQ21" s="50">
        <f>Participantes!CV20</f>
        <v>0</v>
      </c>
      <c r="ER21" s="50" t="str">
        <f t="shared" si="48"/>
        <v/>
      </c>
      <c r="ES21" s="50">
        <f>Participantes!CW20</f>
        <v>0</v>
      </c>
      <c r="ET21" s="50">
        <f>Participantes!CX20</f>
        <v>0</v>
      </c>
      <c r="EU21" s="50" t="str">
        <f t="shared" si="49"/>
        <v/>
      </c>
      <c r="EV21" s="50">
        <f>Participantes!CY20</f>
        <v>0</v>
      </c>
      <c r="EW21" s="50">
        <f>Participantes!CZ20</f>
        <v>0</v>
      </c>
      <c r="EX21" s="50" t="str">
        <f t="shared" si="50"/>
        <v/>
      </c>
      <c r="EY21" s="50">
        <f>Participantes!DA20</f>
        <v>0</v>
      </c>
      <c r="EZ21" s="50">
        <f>Participantes!DB20</f>
        <v>0</v>
      </c>
      <c r="FA21" s="50" t="str">
        <f t="shared" si="51"/>
        <v/>
      </c>
      <c r="FB21" s="50">
        <f>Participantes!DC20</f>
        <v>0</v>
      </c>
      <c r="FC21" s="50">
        <f>Participantes!DD20</f>
        <v>0</v>
      </c>
      <c r="FD21" s="50" t="str">
        <f t="shared" si="52"/>
        <v/>
      </c>
      <c r="FE21" s="50">
        <f>Participantes!DE20</f>
        <v>0</v>
      </c>
      <c r="FF21" s="50">
        <f>Participantes!DF20</f>
        <v>0</v>
      </c>
      <c r="FG21" s="50" t="str">
        <f t="shared" si="53"/>
        <v/>
      </c>
      <c r="FH21" s="50">
        <f>Participantes!DG20</f>
        <v>0</v>
      </c>
      <c r="FI21" s="50">
        <f>Participantes!DH20</f>
        <v>0</v>
      </c>
      <c r="FJ21" s="50" t="str">
        <f t="shared" si="54"/>
        <v/>
      </c>
      <c r="FK21" s="50">
        <f>Participantes!DI20</f>
        <v>0</v>
      </c>
      <c r="FL21" s="50">
        <f>Participantes!DJ20</f>
        <v>0</v>
      </c>
      <c r="FM21" s="50" t="str">
        <f t="shared" si="55"/>
        <v/>
      </c>
      <c r="FN21" s="50">
        <f>Participantes!DK20</f>
        <v>0</v>
      </c>
      <c r="FO21" s="50">
        <f>Participantes!DL20</f>
        <v>0</v>
      </c>
      <c r="FP21" s="50" t="str">
        <f t="shared" si="56"/>
        <v/>
      </c>
      <c r="FQ21" s="50">
        <f>Participantes!DM20</f>
        <v>0</v>
      </c>
      <c r="FR21" s="50">
        <f>Participantes!DN20</f>
        <v>0</v>
      </c>
      <c r="FS21" s="50" t="str">
        <f t="shared" si="57"/>
        <v/>
      </c>
      <c r="FT21" s="50">
        <f>Participantes!DO20</f>
        <v>0</v>
      </c>
      <c r="FU21" s="50">
        <f>Participantes!DP20</f>
        <v>0</v>
      </c>
      <c r="FV21" s="50" t="str">
        <f t="shared" si="58"/>
        <v/>
      </c>
      <c r="FW21" s="50">
        <f>Participantes!DQ20</f>
        <v>0</v>
      </c>
      <c r="FX21" s="50">
        <f>Participantes!DR20</f>
        <v>0</v>
      </c>
      <c r="FY21" s="50" t="str">
        <f t="shared" si="59"/>
        <v/>
      </c>
      <c r="FZ21" s="50">
        <f>Participantes!DS20</f>
        <v>0</v>
      </c>
      <c r="GA21" s="50">
        <f>Participantes!DT20</f>
        <v>0</v>
      </c>
      <c r="GB21" s="50" t="str">
        <f t="shared" si="60"/>
        <v/>
      </c>
      <c r="GC21" s="50">
        <f>Participantes!DU20</f>
        <v>0</v>
      </c>
      <c r="GD21" s="50">
        <f>Participantes!DV20</f>
        <v>0</v>
      </c>
      <c r="GE21" s="50" t="str">
        <f t="shared" si="61"/>
        <v/>
      </c>
      <c r="GF21" s="50">
        <f>Participantes!DW20</f>
        <v>0</v>
      </c>
      <c r="GG21" s="50">
        <f>Participantes!DX20</f>
        <v>0</v>
      </c>
      <c r="GH21" s="50" t="str">
        <f t="shared" si="62"/>
        <v/>
      </c>
      <c r="GI21" s="50">
        <f>Participantes!DY20</f>
        <v>0</v>
      </c>
      <c r="GJ21" s="50">
        <f>Participantes!DZ20</f>
        <v>0</v>
      </c>
      <c r="GK21" s="50" t="str">
        <f t="shared" si="63"/>
        <v/>
      </c>
      <c r="GL21" s="50">
        <f>Participantes!EA20</f>
        <v>0</v>
      </c>
      <c r="GM21" s="50">
        <f>Participantes!EB20</f>
        <v>0</v>
      </c>
      <c r="GN21" s="50" t="str">
        <f t="shared" si="64"/>
        <v/>
      </c>
      <c r="GO21" s="50">
        <f>Participantes!EC20</f>
        <v>0</v>
      </c>
      <c r="GP21" s="50">
        <f>Participantes!ED20</f>
        <v>0</v>
      </c>
      <c r="GQ21" s="50" t="str">
        <f t="shared" si="65"/>
        <v/>
      </c>
      <c r="GR21" s="50">
        <f>Participantes!EE20</f>
        <v>0</v>
      </c>
      <c r="GS21" s="50">
        <f>Participantes!EF20</f>
        <v>0</v>
      </c>
      <c r="GT21" s="50" t="str">
        <f t="shared" si="66"/>
        <v/>
      </c>
      <c r="GU21" s="50">
        <f>Participantes!EG20</f>
        <v>0</v>
      </c>
      <c r="GV21" s="50">
        <f>Participantes!EH20</f>
        <v>0</v>
      </c>
      <c r="GW21" s="50" t="str">
        <f t="shared" si="67"/>
        <v/>
      </c>
      <c r="GX21" s="50">
        <f>Participantes!EI20</f>
        <v>0</v>
      </c>
      <c r="GY21" s="50">
        <f>Participantes!EJ20</f>
        <v>0</v>
      </c>
      <c r="GZ21" s="50" t="str">
        <f t="shared" si="68"/>
        <v/>
      </c>
      <c r="HA21" s="50">
        <f>Participantes!EK20</f>
        <v>0</v>
      </c>
      <c r="HB21" s="50">
        <f>Participantes!EL20</f>
        <v>0</v>
      </c>
      <c r="HC21" s="50" t="str">
        <f t="shared" si="69"/>
        <v/>
      </c>
      <c r="HD21" s="50">
        <f>Participantes!EM20</f>
        <v>0</v>
      </c>
      <c r="HE21" s="50">
        <f>Participantes!EN20</f>
        <v>0</v>
      </c>
      <c r="HF21" s="50" t="str">
        <f t="shared" si="70"/>
        <v/>
      </c>
      <c r="HG21" s="50">
        <f>Participantes!EO20</f>
        <v>0</v>
      </c>
      <c r="HH21" s="50">
        <f>Participantes!EP20</f>
        <v>0</v>
      </c>
      <c r="HI21" s="50" t="str">
        <f t="shared" si="71"/>
        <v/>
      </c>
      <c r="HJ21" s="51">
        <f t="shared" si="72"/>
        <v>4</v>
      </c>
    </row>
    <row r="22" spans="1:218" ht="15" customHeight="1" x14ac:dyDescent="0.25">
      <c r="A22" s="49" t="str">
        <f>Participantes!B21</f>
        <v>Jose C Ana</v>
      </c>
      <c r="B22" s="50">
        <f>Participantes!C21</f>
        <v>4</v>
      </c>
      <c r="C22" s="50">
        <f>Participantes!D21</f>
        <v>2</v>
      </c>
      <c r="D22" s="50">
        <f t="shared" si="0"/>
        <v>1</v>
      </c>
      <c r="E22" s="50">
        <f>Participantes!E21</f>
        <v>3</v>
      </c>
      <c r="F22" s="50">
        <f>Participantes!F21</f>
        <v>1</v>
      </c>
      <c r="G22" s="50">
        <f t="shared" si="1"/>
        <v>1</v>
      </c>
      <c r="H22" s="50">
        <f>Participantes!G21</f>
        <v>4</v>
      </c>
      <c r="I22" s="50">
        <f>Participantes!H21</f>
        <v>0</v>
      </c>
      <c r="J22" s="50" t="str">
        <f t="shared" si="2"/>
        <v/>
      </c>
      <c r="K22" s="50">
        <f>Participantes!I21</f>
        <v>1</v>
      </c>
      <c r="L22" s="50">
        <f>Participantes!J21</f>
        <v>2</v>
      </c>
      <c r="M22" s="50" t="str">
        <f t="shared" si="3"/>
        <v/>
      </c>
      <c r="N22" s="50">
        <f>Participantes!K21</f>
        <v>1</v>
      </c>
      <c r="O22" s="50">
        <f>Participantes!L21</f>
        <v>1</v>
      </c>
      <c r="P22" s="50" t="str">
        <f t="shared" si="4"/>
        <v/>
      </c>
      <c r="Q22" s="50">
        <f>Participantes!M21</f>
        <v>2</v>
      </c>
      <c r="R22" s="50">
        <f>Participantes!N21</f>
        <v>1</v>
      </c>
      <c r="S22" s="50" t="str">
        <f t="shared" si="5"/>
        <v/>
      </c>
      <c r="T22" s="50">
        <f>Participantes!O21</f>
        <v>2</v>
      </c>
      <c r="U22" s="50">
        <f>Participantes!P21</f>
        <v>0</v>
      </c>
      <c r="V22" s="50" t="str">
        <f t="shared" si="6"/>
        <v/>
      </c>
      <c r="W22" s="50">
        <f>Participantes!Q21</f>
        <v>0</v>
      </c>
      <c r="X22" s="50">
        <f>Participantes!R21</f>
        <v>2</v>
      </c>
      <c r="Y22" s="50" t="str">
        <f t="shared" si="7"/>
        <v/>
      </c>
      <c r="Z22" s="50">
        <f>Participantes!S21</f>
        <v>2</v>
      </c>
      <c r="AA22" s="50">
        <f>Participantes!T21</f>
        <v>3</v>
      </c>
      <c r="AB22" s="50" t="str">
        <f t="shared" si="8"/>
        <v/>
      </c>
      <c r="AC22" s="50">
        <f>Participantes!U21</f>
        <v>6</v>
      </c>
      <c r="AD22" s="50">
        <f>Participantes!V21</f>
        <v>0</v>
      </c>
      <c r="AE22" s="50" t="str">
        <f t="shared" si="9"/>
        <v/>
      </c>
      <c r="AF22" s="50">
        <f>Participantes!W21</f>
        <v>3</v>
      </c>
      <c r="AG22" s="50">
        <f>Participantes!X21</f>
        <v>1</v>
      </c>
      <c r="AH22" s="50" t="str">
        <f t="shared" si="10"/>
        <v/>
      </c>
      <c r="AI22" s="50">
        <f>Participantes!Y21</f>
        <v>2</v>
      </c>
      <c r="AJ22" s="50">
        <f>Participantes!Z21</f>
        <v>1</v>
      </c>
      <c r="AK22" s="50" t="str">
        <f t="shared" si="11"/>
        <v/>
      </c>
      <c r="AL22" s="50">
        <f>Participantes!AA21</f>
        <v>1</v>
      </c>
      <c r="AM22" s="50">
        <f>Participantes!AB21</f>
        <v>3</v>
      </c>
      <c r="AN22" s="50" t="str">
        <f t="shared" si="12"/>
        <v/>
      </c>
      <c r="AO22" s="50">
        <f>Participantes!AC21</f>
        <v>7</v>
      </c>
      <c r="AP22" s="50">
        <f>Participantes!AD21</f>
        <v>0</v>
      </c>
      <c r="AQ22" s="50" t="str">
        <f t="shared" si="13"/>
        <v/>
      </c>
      <c r="AR22" s="50">
        <f>Participantes!AE21</f>
        <v>0</v>
      </c>
      <c r="AS22" s="50">
        <f>Participantes!AF21</f>
        <v>0</v>
      </c>
      <c r="AT22" s="50" t="str">
        <f t="shared" si="14"/>
        <v/>
      </c>
      <c r="AU22" s="50">
        <f>Participantes!AG21</f>
        <v>0</v>
      </c>
      <c r="AV22" s="50">
        <f>Participantes!AH21</f>
        <v>0</v>
      </c>
      <c r="AW22" s="50" t="str">
        <f t="shared" si="15"/>
        <v/>
      </c>
      <c r="AX22" s="50">
        <f>Participantes!AI21</f>
        <v>0</v>
      </c>
      <c r="AY22" s="50">
        <f>Participantes!AJ21</f>
        <v>0</v>
      </c>
      <c r="AZ22" s="50" t="str">
        <f t="shared" si="16"/>
        <v/>
      </c>
      <c r="BA22" s="50">
        <f>Participantes!AK21</f>
        <v>0</v>
      </c>
      <c r="BB22" s="50">
        <f>Participantes!AL21</f>
        <v>0</v>
      </c>
      <c r="BC22" s="50" t="str">
        <f t="shared" si="17"/>
        <v/>
      </c>
      <c r="BD22" s="50">
        <f>Participantes!AM21</f>
        <v>0</v>
      </c>
      <c r="BE22" s="50">
        <f>Participantes!AN21</f>
        <v>0</v>
      </c>
      <c r="BF22" s="50" t="str">
        <f t="shared" si="18"/>
        <v/>
      </c>
      <c r="BG22" s="50">
        <f>Participantes!AO21</f>
        <v>0</v>
      </c>
      <c r="BH22" s="50">
        <f>Participantes!AP21</f>
        <v>0</v>
      </c>
      <c r="BI22" s="50" t="str">
        <f t="shared" si="19"/>
        <v/>
      </c>
      <c r="BJ22" s="50">
        <f>Participantes!AQ21</f>
        <v>0</v>
      </c>
      <c r="BK22" s="50">
        <f>Participantes!AR21</f>
        <v>0</v>
      </c>
      <c r="BL22" s="50" t="str">
        <f t="shared" si="20"/>
        <v/>
      </c>
      <c r="BM22" s="50">
        <f>Participantes!AS21</f>
        <v>0</v>
      </c>
      <c r="BN22" s="50">
        <f>Participantes!AT21</f>
        <v>0</v>
      </c>
      <c r="BO22" s="50" t="str">
        <f t="shared" si="21"/>
        <v/>
      </c>
      <c r="BP22" s="50">
        <f>Participantes!AU21</f>
        <v>0</v>
      </c>
      <c r="BQ22" s="50">
        <f>Participantes!AV21</f>
        <v>0</v>
      </c>
      <c r="BR22" s="50" t="str">
        <f t="shared" si="22"/>
        <v/>
      </c>
      <c r="BS22" s="50">
        <f>Participantes!AW21</f>
        <v>0</v>
      </c>
      <c r="BT22" s="50">
        <f>Participantes!AX21</f>
        <v>0</v>
      </c>
      <c r="BU22" s="50" t="str">
        <f t="shared" si="23"/>
        <v/>
      </c>
      <c r="BV22" s="50">
        <f>Participantes!AY21</f>
        <v>0</v>
      </c>
      <c r="BW22" s="50">
        <f>Participantes!AZ21</f>
        <v>0</v>
      </c>
      <c r="BX22" s="50" t="str">
        <f t="shared" si="24"/>
        <v/>
      </c>
      <c r="BY22" s="50">
        <f>Participantes!BA21</f>
        <v>0</v>
      </c>
      <c r="BZ22" s="50">
        <f>Participantes!BB21</f>
        <v>0</v>
      </c>
      <c r="CA22" s="50" t="str">
        <f t="shared" si="25"/>
        <v/>
      </c>
      <c r="CB22" s="50">
        <f>Participantes!BC21</f>
        <v>0</v>
      </c>
      <c r="CC22" s="50">
        <f>Participantes!BD21</f>
        <v>0</v>
      </c>
      <c r="CD22" s="50" t="str">
        <f t="shared" si="26"/>
        <v/>
      </c>
      <c r="CE22" s="50">
        <f>Participantes!BE21</f>
        <v>0</v>
      </c>
      <c r="CF22" s="50">
        <f>Participantes!BF21</f>
        <v>0</v>
      </c>
      <c r="CG22" s="50" t="str">
        <f t="shared" si="27"/>
        <v/>
      </c>
      <c r="CH22" s="50">
        <f>Participantes!BG21</f>
        <v>0</v>
      </c>
      <c r="CI22" s="50">
        <f>Participantes!BH21</f>
        <v>0</v>
      </c>
      <c r="CJ22" s="50" t="str">
        <f t="shared" si="28"/>
        <v/>
      </c>
      <c r="CK22" s="50">
        <f>Participantes!BI21</f>
        <v>0</v>
      </c>
      <c r="CL22" s="50">
        <f>Participantes!BJ21</f>
        <v>0</v>
      </c>
      <c r="CM22" s="50" t="str">
        <f t="shared" si="29"/>
        <v/>
      </c>
      <c r="CN22" s="50">
        <f>Participantes!BK21</f>
        <v>0</v>
      </c>
      <c r="CO22" s="50">
        <f>Participantes!BL21</f>
        <v>0</v>
      </c>
      <c r="CP22" s="50" t="str">
        <f t="shared" si="30"/>
        <v/>
      </c>
      <c r="CQ22" s="50">
        <f>Participantes!BM21</f>
        <v>0</v>
      </c>
      <c r="CR22" s="50">
        <f>Participantes!BN21</f>
        <v>0</v>
      </c>
      <c r="CS22" s="50" t="str">
        <f t="shared" si="31"/>
        <v/>
      </c>
      <c r="CT22" s="50">
        <f>Participantes!BO21</f>
        <v>0</v>
      </c>
      <c r="CU22" s="50">
        <f>Participantes!BP21</f>
        <v>0</v>
      </c>
      <c r="CV22" s="50" t="str">
        <f t="shared" si="32"/>
        <v/>
      </c>
      <c r="CW22" s="50">
        <f>Participantes!BQ21</f>
        <v>0</v>
      </c>
      <c r="CX22" s="50">
        <f>Participantes!BR21</f>
        <v>0</v>
      </c>
      <c r="CY22" s="50" t="str">
        <f t="shared" si="33"/>
        <v/>
      </c>
      <c r="CZ22" s="50">
        <f>Participantes!BS21</f>
        <v>0</v>
      </c>
      <c r="DA22" s="50">
        <f>Participantes!BT21</f>
        <v>0</v>
      </c>
      <c r="DB22" s="50" t="str">
        <f t="shared" si="34"/>
        <v/>
      </c>
      <c r="DC22" s="50">
        <f>Participantes!BU21</f>
        <v>0</v>
      </c>
      <c r="DD22" s="50">
        <f>Participantes!BV21</f>
        <v>0</v>
      </c>
      <c r="DE22" s="50" t="str">
        <f t="shared" si="35"/>
        <v/>
      </c>
      <c r="DF22" s="50">
        <f>Participantes!BW21</f>
        <v>0</v>
      </c>
      <c r="DG22" s="50">
        <f>Participantes!BX21</f>
        <v>0</v>
      </c>
      <c r="DH22" s="50" t="str">
        <f t="shared" si="36"/>
        <v/>
      </c>
      <c r="DI22" s="50">
        <f>Participantes!BY21</f>
        <v>0</v>
      </c>
      <c r="DJ22" s="50">
        <f>Participantes!BZ21</f>
        <v>0</v>
      </c>
      <c r="DK22" s="50" t="str">
        <f t="shared" si="37"/>
        <v/>
      </c>
      <c r="DL22" s="50">
        <f>Participantes!CA21</f>
        <v>0</v>
      </c>
      <c r="DM22" s="50">
        <f>Participantes!CB21</f>
        <v>0</v>
      </c>
      <c r="DN22" s="50" t="str">
        <f t="shared" si="38"/>
        <v/>
      </c>
      <c r="DO22" s="50">
        <f>Participantes!CC21</f>
        <v>0</v>
      </c>
      <c r="DP22" s="50">
        <f>Participantes!CD21</f>
        <v>0</v>
      </c>
      <c r="DQ22" s="50" t="str">
        <f t="shared" si="39"/>
        <v/>
      </c>
      <c r="DR22" s="50">
        <f>Participantes!CE21</f>
        <v>0</v>
      </c>
      <c r="DS22" s="50">
        <f>Participantes!CF21</f>
        <v>0</v>
      </c>
      <c r="DT22" s="50" t="str">
        <f t="shared" si="40"/>
        <v/>
      </c>
      <c r="DU22" s="50">
        <f>Participantes!CG21</f>
        <v>0</v>
      </c>
      <c r="DV22" s="50">
        <f>Participantes!CH21</f>
        <v>0</v>
      </c>
      <c r="DW22" s="50" t="str">
        <f t="shared" si="41"/>
        <v/>
      </c>
      <c r="DX22" s="50">
        <f>Participantes!CI21</f>
        <v>0</v>
      </c>
      <c r="DY22" s="50">
        <f>Participantes!CJ21</f>
        <v>0</v>
      </c>
      <c r="DZ22" s="50" t="str">
        <f t="shared" si="42"/>
        <v/>
      </c>
      <c r="EA22" s="50">
        <f>Participantes!CK21</f>
        <v>0</v>
      </c>
      <c r="EB22" s="50">
        <f>Participantes!CL21</f>
        <v>0</v>
      </c>
      <c r="EC22" s="50" t="str">
        <f t="shared" si="43"/>
        <v/>
      </c>
      <c r="ED22" s="50">
        <f>Participantes!CM21</f>
        <v>0</v>
      </c>
      <c r="EE22" s="50">
        <f>Participantes!CN21</f>
        <v>0</v>
      </c>
      <c r="EF22" s="50" t="str">
        <f t="shared" si="44"/>
        <v/>
      </c>
      <c r="EG22" s="50">
        <f>Participantes!CO21</f>
        <v>0</v>
      </c>
      <c r="EH22" s="50">
        <f>Participantes!CP21</f>
        <v>0</v>
      </c>
      <c r="EI22" s="50" t="str">
        <f t="shared" si="45"/>
        <v/>
      </c>
      <c r="EJ22" s="50">
        <f>Participantes!CQ21</f>
        <v>0</v>
      </c>
      <c r="EK22" s="50">
        <f>Participantes!CR21</f>
        <v>0</v>
      </c>
      <c r="EL22" s="50" t="str">
        <f t="shared" si="46"/>
        <v/>
      </c>
      <c r="EM22" s="50">
        <f>Participantes!CS21</f>
        <v>0</v>
      </c>
      <c r="EN22" s="50">
        <f>Participantes!CT21</f>
        <v>0</v>
      </c>
      <c r="EO22" s="50" t="str">
        <f t="shared" si="47"/>
        <v/>
      </c>
      <c r="EP22" s="50">
        <f>Participantes!CU21</f>
        <v>0</v>
      </c>
      <c r="EQ22" s="50">
        <f>Participantes!CV21</f>
        <v>0</v>
      </c>
      <c r="ER22" s="50" t="str">
        <f t="shared" si="48"/>
        <v/>
      </c>
      <c r="ES22" s="50">
        <f>Participantes!CW21</f>
        <v>0</v>
      </c>
      <c r="ET22" s="50">
        <f>Participantes!CX21</f>
        <v>0</v>
      </c>
      <c r="EU22" s="50" t="str">
        <f t="shared" si="49"/>
        <v/>
      </c>
      <c r="EV22" s="50">
        <f>Participantes!CY21</f>
        <v>0</v>
      </c>
      <c r="EW22" s="50">
        <f>Participantes!CZ21</f>
        <v>0</v>
      </c>
      <c r="EX22" s="50" t="str">
        <f t="shared" si="50"/>
        <v/>
      </c>
      <c r="EY22" s="50">
        <f>Participantes!DA21</f>
        <v>0</v>
      </c>
      <c r="EZ22" s="50">
        <f>Participantes!DB21</f>
        <v>0</v>
      </c>
      <c r="FA22" s="50" t="str">
        <f t="shared" si="51"/>
        <v/>
      </c>
      <c r="FB22" s="50">
        <f>Participantes!DC21</f>
        <v>0</v>
      </c>
      <c r="FC22" s="50">
        <f>Participantes!DD21</f>
        <v>0</v>
      </c>
      <c r="FD22" s="50" t="str">
        <f t="shared" si="52"/>
        <v/>
      </c>
      <c r="FE22" s="50">
        <f>Participantes!DE21</f>
        <v>0</v>
      </c>
      <c r="FF22" s="50">
        <f>Participantes!DF21</f>
        <v>0</v>
      </c>
      <c r="FG22" s="50" t="str">
        <f t="shared" si="53"/>
        <v/>
      </c>
      <c r="FH22" s="50">
        <f>Participantes!DG21</f>
        <v>0</v>
      </c>
      <c r="FI22" s="50">
        <f>Participantes!DH21</f>
        <v>0</v>
      </c>
      <c r="FJ22" s="50" t="str">
        <f t="shared" si="54"/>
        <v/>
      </c>
      <c r="FK22" s="50">
        <f>Participantes!DI21</f>
        <v>0</v>
      </c>
      <c r="FL22" s="50">
        <f>Participantes!DJ21</f>
        <v>0</v>
      </c>
      <c r="FM22" s="50" t="str">
        <f t="shared" si="55"/>
        <v/>
      </c>
      <c r="FN22" s="50">
        <f>Participantes!DK21</f>
        <v>0</v>
      </c>
      <c r="FO22" s="50">
        <f>Participantes!DL21</f>
        <v>0</v>
      </c>
      <c r="FP22" s="50" t="str">
        <f t="shared" si="56"/>
        <v/>
      </c>
      <c r="FQ22" s="50">
        <f>Participantes!DM21</f>
        <v>0</v>
      </c>
      <c r="FR22" s="50">
        <f>Participantes!DN21</f>
        <v>0</v>
      </c>
      <c r="FS22" s="50" t="str">
        <f t="shared" si="57"/>
        <v/>
      </c>
      <c r="FT22" s="50">
        <f>Participantes!DO21</f>
        <v>0</v>
      </c>
      <c r="FU22" s="50">
        <f>Participantes!DP21</f>
        <v>0</v>
      </c>
      <c r="FV22" s="50" t="str">
        <f t="shared" si="58"/>
        <v/>
      </c>
      <c r="FW22" s="50">
        <f>Participantes!DQ21</f>
        <v>0</v>
      </c>
      <c r="FX22" s="50">
        <f>Participantes!DR21</f>
        <v>0</v>
      </c>
      <c r="FY22" s="50" t="str">
        <f t="shared" si="59"/>
        <v/>
      </c>
      <c r="FZ22" s="50">
        <f>Participantes!DS21</f>
        <v>0</v>
      </c>
      <c r="GA22" s="50">
        <f>Participantes!DT21</f>
        <v>0</v>
      </c>
      <c r="GB22" s="50" t="str">
        <f t="shared" si="60"/>
        <v/>
      </c>
      <c r="GC22" s="50">
        <f>Participantes!DU21</f>
        <v>0</v>
      </c>
      <c r="GD22" s="50">
        <f>Participantes!DV21</f>
        <v>0</v>
      </c>
      <c r="GE22" s="50" t="str">
        <f t="shared" si="61"/>
        <v/>
      </c>
      <c r="GF22" s="50">
        <f>Participantes!DW21</f>
        <v>0</v>
      </c>
      <c r="GG22" s="50">
        <f>Participantes!DX21</f>
        <v>0</v>
      </c>
      <c r="GH22" s="50" t="str">
        <f t="shared" si="62"/>
        <v/>
      </c>
      <c r="GI22" s="50">
        <f>Participantes!DY21</f>
        <v>0</v>
      </c>
      <c r="GJ22" s="50">
        <f>Participantes!DZ21</f>
        <v>0</v>
      </c>
      <c r="GK22" s="50" t="str">
        <f t="shared" si="63"/>
        <v/>
      </c>
      <c r="GL22" s="50">
        <f>Participantes!EA21</f>
        <v>0</v>
      </c>
      <c r="GM22" s="50">
        <f>Participantes!EB21</f>
        <v>0</v>
      </c>
      <c r="GN22" s="50" t="str">
        <f t="shared" si="64"/>
        <v/>
      </c>
      <c r="GO22" s="50">
        <f>Participantes!EC21</f>
        <v>0</v>
      </c>
      <c r="GP22" s="50">
        <f>Participantes!ED21</f>
        <v>0</v>
      </c>
      <c r="GQ22" s="50" t="str">
        <f t="shared" si="65"/>
        <v/>
      </c>
      <c r="GR22" s="50">
        <f>Participantes!EE21</f>
        <v>0</v>
      </c>
      <c r="GS22" s="50">
        <f>Participantes!EF21</f>
        <v>0</v>
      </c>
      <c r="GT22" s="50" t="str">
        <f t="shared" si="66"/>
        <v/>
      </c>
      <c r="GU22" s="50">
        <f>Participantes!EG21</f>
        <v>0</v>
      </c>
      <c r="GV22" s="50">
        <f>Participantes!EH21</f>
        <v>0</v>
      </c>
      <c r="GW22" s="50" t="str">
        <f t="shared" si="67"/>
        <v/>
      </c>
      <c r="GX22" s="50">
        <f>Participantes!EI21</f>
        <v>0</v>
      </c>
      <c r="GY22" s="50">
        <f>Participantes!EJ21</f>
        <v>0</v>
      </c>
      <c r="GZ22" s="50" t="str">
        <f t="shared" si="68"/>
        <v/>
      </c>
      <c r="HA22" s="50">
        <f>Participantes!EK21</f>
        <v>0</v>
      </c>
      <c r="HB22" s="50">
        <f>Participantes!EL21</f>
        <v>0</v>
      </c>
      <c r="HC22" s="50" t="str">
        <f t="shared" si="69"/>
        <v/>
      </c>
      <c r="HD22" s="50">
        <f>Participantes!EM21</f>
        <v>0</v>
      </c>
      <c r="HE22" s="50">
        <f>Participantes!EN21</f>
        <v>0</v>
      </c>
      <c r="HF22" s="50" t="str">
        <f t="shared" si="70"/>
        <v/>
      </c>
      <c r="HG22" s="50">
        <f>Participantes!EO21</f>
        <v>0</v>
      </c>
      <c r="HH22" s="50">
        <f>Participantes!EP21</f>
        <v>0</v>
      </c>
      <c r="HI22" s="50" t="str">
        <f t="shared" si="71"/>
        <v/>
      </c>
      <c r="HJ22" s="51">
        <f t="shared" si="72"/>
        <v>2</v>
      </c>
    </row>
    <row r="23" spans="1:218" ht="15" customHeight="1" x14ac:dyDescent="0.25">
      <c r="A23" s="49" t="str">
        <f>Participantes!B22</f>
        <v>Jose C Judith</v>
      </c>
      <c r="B23" s="50">
        <f>Participantes!C22</f>
        <v>3</v>
      </c>
      <c r="C23" s="50">
        <f>Participantes!D22</f>
        <v>2</v>
      </c>
      <c r="D23" s="50">
        <f t="shared" si="0"/>
        <v>1</v>
      </c>
      <c r="E23" s="50">
        <f>Participantes!E22</f>
        <v>2</v>
      </c>
      <c r="F23" s="50">
        <f>Participantes!F22</f>
        <v>2</v>
      </c>
      <c r="G23" s="50">
        <f t="shared" si="1"/>
        <v>0</v>
      </c>
      <c r="H23" s="50">
        <f>Participantes!G22</f>
        <v>3</v>
      </c>
      <c r="I23" s="50">
        <f>Participantes!H22</f>
        <v>1</v>
      </c>
      <c r="J23" s="50" t="str">
        <f t="shared" si="2"/>
        <v/>
      </c>
      <c r="K23" s="50">
        <f>Participantes!I22</f>
        <v>3</v>
      </c>
      <c r="L23" s="50">
        <f>Participantes!J22</f>
        <v>2</v>
      </c>
      <c r="M23" s="50" t="str">
        <f t="shared" si="3"/>
        <v/>
      </c>
      <c r="N23" s="50">
        <f>Participantes!K22</f>
        <v>1</v>
      </c>
      <c r="O23" s="50">
        <f>Participantes!L22</f>
        <v>1</v>
      </c>
      <c r="P23" s="50" t="str">
        <f t="shared" si="4"/>
        <v/>
      </c>
      <c r="Q23" s="50">
        <f>Participantes!M22</f>
        <v>2</v>
      </c>
      <c r="R23" s="50">
        <f>Participantes!N22</f>
        <v>1</v>
      </c>
      <c r="S23" s="50" t="str">
        <f t="shared" si="5"/>
        <v/>
      </c>
      <c r="T23" s="50">
        <f>Participantes!O22</f>
        <v>3</v>
      </c>
      <c r="U23" s="50">
        <f>Participantes!P22</f>
        <v>0</v>
      </c>
      <c r="V23" s="50" t="str">
        <f t="shared" si="6"/>
        <v/>
      </c>
      <c r="W23" s="50">
        <f>Participantes!Q22</f>
        <v>1</v>
      </c>
      <c r="X23" s="50">
        <f>Participantes!R22</f>
        <v>2</v>
      </c>
      <c r="Y23" s="50" t="str">
        <f t="shared" si="7"/>
        <v/>
      </c>
      <c r="Z23" s="50">
        <f>Participantes!S22</f>
        <v>2</v>
      </c>
      <c r="AA23" s="50">
        <f>Participantes!T22</f>
        <v>2</v>
      </c>
      <c r="AB23" s="50" t="str">
        <f t="shared" si="8"/>
        <v/>
      </c>
      <c r="AC23" s="50">
        <f>Participantes!U22</f>
        <v>4</v>
      </c>
      <c r="AD23" s="50">
        <f>Participantes!V22</f>
        <v>0</v>
      </c>
      <c r="AE23" s="50" t="str">
        <f t="shared" si="9"/>
        <v/>
      </c>
      <c r="AF23" s="50">
        <f>Participantes!W22</f>
        <v>2</v>
      </c>
      <c r="AG23" s="50">
        <f>Participantes!X22</f>
        <v>0</v>
      </c>
      <c r="AH23" s="50" t="str">
        <f t="shared" si="10"/>
        <v/>
      </c>
      <c r="AI23" s="50">
        <f>Participantes!Y22</f>
        <v>3</v>
      </c>
      <c r="AJ23" s="50">
        <f>Participantes!Z22</f>
        <v>1</v>
      </c>
      <c r="AK23" s="50" t="str">
        <f t="shared" si="11"/>
        <v/>
      </c>
      <c r="AL23" s="50">
        <f>Participantes!AA22</f>
        <v>0</v>
      </c>
      <c r="AM23" s="50">
        <f>Participantes!AB22</f>
        <v>2</v>
      </c>
      <c r="AN23" s="50" t="str">
        <f t="shared" si="12"/>
        <v/>
      </c>
      <c r="AO23" s="50">
        <f>Participantes!AC22</f>
        <v>5</v>
      </c>
      <c r="AP23" s="50">
        <f>Participantes!AD22</f>
        <v>0</v>
      </c>
      <c r="AQ23" s="50" t="str">
        <f t="shared" si="13"/>
        <v/>
      </c>
      <c r="AR23" s="50">
        <f>Participantes!AE22</f>
        <v>0</v>
      </c>
      <c r="AS23" s="50">
        <f>Participantes!AF22</f>
        <v>0</v>
      </c>
      <c r="AT23" s="50" t="str">
        <f t="shared" si="14"/>
        <v/>
      </c>
      <c r="AU23" s="50">
        <f>Participantes!AG22</f>
        <v>0</v>
      </c>
      <c r="AV23" s="50">
        <f>Participantes!AH22</f>
        <v>0</v>
      </c>
      <c r="AW23" s="50" t="str">
        <f t="shared" si="15"/>
        <v/>
      </c>
      <c r="AX23" s="50">
        <f>Participantes!AI22</f>
        <v>0</v>
      </c>
      <c r="AY23" s="50">
        <f>Participantes!AJ22</f>
        <v>0</v>
      </c>
      <c r="AZ23" s="50" t="str">
        <f t="shared" si="16"/>
        <v/>
      </c>
      <c r="BA23" s="50">
        <f>Participantes!AK22</f>
        <v>0</v>
      </c>
      <c r="BB23" s="50">
        <f>Participantes!AL22</f>
        <v>0</v>
      </c>
      <c r="BC23" s="50" t="str">
        <f t="shared" si="17"/>
        <v/>
      </c>
      <c r="BD23" s="50">
        <f>Participantes!AM22</f>
        <v>0</v>
      </c>
      <c r="BE23" s="50">
        <f>Participantes!AN22</f>
        <v>0</v>
      </c>
      <c r="BF23" s="50" t="str">
        <f t="shared" si="18"/>
        <v/>
      </c>
      <c r="BG23" s="50">
        <f>Participantes!AO22</f>
        <v>0</v>
      </c>
      <c r="BH23" s="50">
        <f>Participantes!AP22</f>
        <v>0</v>
      </c>
      <c r="BI23" s="50" t="str">
        <f t="shared" si="19"/>
        <v/>
      </c>
      <c r="BJ23" s="50">
        <f>Participantes!AQ22</f>
        <v>0</v>
      </c>
      <c r="BK23" s="50">
        <f>Participantes!AR22</f>
        <v>0</v>
      </c>
      <c r="BL23" s="50" t="str">
        <f t="shared" si="20"/>
        <v/>
      </c>
      <c r="BM23" s="50">
        <f>Participantes!AS22</f>
        <v>0</v>
      </c>
      <c r="BN23" s="50">
        <f>Participantes!AT22</f>
        <v>0</v>
      </c>
      <c r="BO23" s="50" t="str">
        <f t="shared" si="21"/>
        <v/>
      </c>
      <c r="BP23" s="50">
        <f>Participantes!AU22</f>
        <v>0</v>
      </c>
      <c r="BQ23" s="50">
        <f>Participantes!AV22</f>
        <v>0</v>
      </c>
      <c r="BR23" s="50" t="str">
        <f t="shared" si="22"/>
        <v/>
      </c>
      <c r="BS23" s="50">
        <f>Participantes!AW22</f>
        <v>0</v>
      </c>
      <c r="BT23" s="50">
        <f>Participantes!AX22</f>
        <v>0</v>
      </c>
      <c r="BU23" s="50" t="str">
        <f t="shared" si="23"/>
        <v/>
      </c>
      <c r="BV23" s="50">
        <f>Participantes!AY22</f>
        <v>0</v>
      </c>
      <c r="BW23" s="50">
        <f>Participantes!AZ22</f>
        <v>0</v>
      </c>
      <c r="BX23" s="50" t="str">
        <f t="shared" si="24"/>
        <v/>
      </c>
      <c r="BY23" s="50">
        <f>Participantes!BA22</f>
        <v>0</v>
      </c>
      <c r="BZ23" s="50">
        <f>Participantes!BB22</f>
        <v>0</v>
      </c>
      <c r="CA23" s="50" t="str">
        <f t="shared" si="25"/>
        <v/>
      </c>
      <c r="CB23" s="50">
        <f>Participantes!BC22</f>
        <v>0</v>
      </c>
      <c r="CC23" s="50">
        <f>Participantes!BD22</f>
        <v>0</v>
      </c>
      <c r="CD23" s="50" t="str">
        <f t="shared" si="26"/>
        <v/>
      </c>
      <c r="CE23" s="50">
        <f>Participantes!BE22</f>
        <v>0</v>
      </c>
      <c r="CF23" s="50">
        <f>Participantes!BF22</f>
        <v>0</v>
      </c>
      <c r="CG23" s="50" t="str">
        <f t="shared" si="27"/>
        <v/>
      </c>
      <c r="CH23" s="50">
        <f>Participantes!BG22</f>
        <v>0</v>
      </c>
      <c r="CI23" s="50">
        <f>Participantes!BH22</f>
        <v>0</v>
      </c>
      <c r="CJ23" s="50" t="str">
        <f t="shared" si="28"/>
        <v/>
      </c>
      <c r="CK23" s="50">
        <f>Participantes!BI22</f>
        <v>0</v>
      </c>
      <c r="CL23" s="50">
        <f>Participantes!BJ22</f>
        <v>0</v>
      </c>
      <c r="CM23" s="50" t="str">
        <f t="shared" si="29"/>
        <v/>
      </c>
      <c r="CN23" s="50">
        <f>Participantes!BK22</f>
        <v>0</v>
      </c>
      <c r="CO23" s="50">
        <f>Participantes!BL22</f>
        <v>0</v>
      </c>
      <c r="CP23" s="50" t="str">
        <f t="shared" si="30"/>
        <v/>
      </c>
      <c r="CQ23" s="50">
        <f>Participantes!BM22</f>
        <v>0</v>
      </c>
      <c r="CR23" s="50">
        <f>Participantes!BN22</f>
        <v>0</v>
      </c>
      <c r="CS23" s="50" t="str">
        <f t="shared" si="31"/>
        <v/>
      </c>
      <c r="CT23" s="50">
        <f>Participantes!BO22</f>
        <v>0</v>
      </c>
      <c r="CU23" s="50">
        <f>Participantes!BP22</f>
        <v>0</v>
      </c>
      <c r="CV23" s="50" t="str">
        <f t="shared" si="32"/>
        <v/>
      </c>
      <c r="CW23" s="50">
        <f>Participantes!BQ22</f>
        <v>0</v>
      </c>
      <c r="CX23" s="50">
        <f>Participantes!BR22</f>
        <v>0</v>
      </c>
      <c r="CY23" s="50" t="str">
        <f t="shared" si="33"/>
        <v/>
      </c>
      <c r="CZ23" s="50">
        <f>Participantes!BS22</f>
        <v>0</v>
      </c>
      <c r="DA23" s="50">
        <f>Participantes!BT22</f>
        <v>0</v>
      </c>
      <c r="DB23" s="50" t="str">
        <f t="shared" si="34"/>
        <v/>
      </c>
      <c r="DC23" s="50">
        <f>Participantes!BU22</f>
        <v>0</v>
      </c>
      <c r="DD23" s="50">
        <f>Participantes!BV22</f>
        <v>0</v>
      </c>
      <c r="DE23" s="50" t="str">
        <f t="shared" si="35"/>
        <v/>
      </c>
      <c r="DF23" s="50">
        <f>Participantes!BW22</f>
        <v>0</v>
      </c>
      <c r="DG23" s="50">
        <f>Participantes!BX22</f>
        <v>0</v>
      </c>
      <c r="DH23" s="50" t="str">
        <f t="shared" si="36"/>
        <v/>
      </c>
      <c r="DI23" s="50">
        <f>Participantes!BY22</f>
        <v>0</v>
      </c>
      <c r="DJ23" s="50">
        <f>Participantes!BZ22</f>
        <v>0</v>
      </c>
      <c r="DK23" s="50" t="str">
        <f t="shared" si="37"/>
        <v/>
      </c>
      <c r="DL23" s="50">
        <f>Participantes!CA22</f>
        <v>0</v>
      </c>
      <c r="DM23" s="50">
        <f>Participantes!CB22</f>
        <v>0</v>
      </c>
      <c r="DN23" s="50" t="str">
        <f t="shared" si="38"/>
        <v/>
      </c>
      <c r="DO23" s="50">
        <f>Participantes!CC22</f>
        <v>0</v>
      </c>
      <c r="DP23" s="50">
        <f>Participantes!CD22</f>
        <v>0</v>
      </c>
      <c r="DQ23" s="50" t="str">
        <f t="shared" si="39"/>
        <v/>
      </c>
      <c r="DR23" s="50">
        <f>Participantes!CE22</f>
        <v>0</v>
      </c>
      <c r="DS23" s="50">
        <f>Participantes!CF22</f>
        <v>0</v>
      </c>
      <c r="DT23" s="50" t="str">
        <f t="shared" si="40"/>
        <v/>
      </c>
      <c r="DU23" s="50">
        <f>Participantes!CG22</f>
        <v>0</v>
      </c>
      <c r="DV23" s="50">
        <f>Participantes!CH22</f>
        <v>0</v>
      </c>
      <c r="DW23" s="50" t="str">
        <f t="shared" si="41"/>
        <v/>
      </c>
      <c r="DX23" s="50">
        <f>Participantes!CI22</f>
        <v>0</v>
      </c>
      <c r="DY23" s="50">
        <f>Participantes!CJ22</f>
        <v>0</v>
      </c>
      <c r="DZ23" s="50" t="str">
        <f t="shared" si="42"/>
        <v/>
      </c>
      <c r="EA23" s="50">
        <f>Participantes!CK22</f>
        <v>0</v>
      </c>
      <c r="EB23" s="50">
        <f>Participantes!CL22</f>
        <v>0</v>
      </c>
      <c r="EC23" s="50" t="str">
        <f t="shared" si="43"/>
        <v/>
      </c>
      <c r="ED23" s="50">
        <f>Participantes!CM22</f>
        <v>0</v>
      </c>
      <c r="EE23" s="50">
        <f>Participantes!CN22</f>
        <v>0</v>
      </c>
      <c r="EF23" s="50" t="str">
        <f t="shared" si="44"/>
        <v/>
      </c>
      <c r="EG23" s="50">
        <f>Participantes!CO22</f>
        <v>0</v>
      </c>
      <c r="EH23" s="50">
        <f>Participantes!CP22</f>
        <v>0</v>
      </c>
      <c r="EI23" s="50" t="str">
        <f t="shared" si="45"/>
        <v/>
      </c>
      <c r="EJ23" s="50">
        <f>Participantes!CQ22</f>
        <v>0</v>
      </c>
      <c r="EK23" s="50">
        <f>Participantes!CR22</f>
        <v>0</v>
      </c>
      <c r="EL23" s="50" t="str">
        <f t="shared" si="46"/>
        <v/>
      </c>
      <c r="EM23" s="50">
        <f>Participantes!CS22</f>
        <v>0</v>
      </c>
      <c r="EN23" s="50">
        <f>Participantes!CT22</f>
        <v>0</v>
      </c>
      <c r="EO23" s="50" t="str">
        <f t="shared" si="47"/>
        <v/>
      </c>
      <c r="EP23" s="50">
        <f>Participantes!CU22</f>
        <v>0</v>
      </c>
      <c r="EQ23" s="50">
        <f>Participantes!CV22</f>
        <v>0</v>
      </c>
      <c r="ER23" s="50" t="str">
        <f t="shared" si="48"/>
        <v/>
      </c>
      <c r="ES23" s="50">
        <f>Participantes!CW22</f>
        <v>0</v>
      </c>
      <c r="ET23" s="50">
        <f>Participantes!CX22</f>
        <v>0</v>
      </c>
      <c r="EU23" s="50" t="str">
        <f t="shared" si="49"/>
        <v/>
      </c>
      <c r="EV23" s="50">
        <f>Participantes!CY22</f>
        <v>0</v>
      </c>
      <c r="EW23" s="50">
        <f>Participantes!CZ22</f>
        <v>0</v>
      </c>
      <c r="EX23" s="50" t="str">
        <f t="shared" si="50"/>
        <v/>
      </c>
      <c r="EY23" s="50">
        <f>Participantes!DA22</f>
        <v>0</v>
      </c>
      <c r="EZ23" s="50">
        <f>Participantes!DB22</f>
        <v>0</v>
      </c>
      <c r="FA23" s="50" t="str">
        <f t="shared" si="51"/>
        <v/>
      </c>
      <c r="FB23" s="50">
        <f>Participantes!DC22</f>
        <v>0</v>
      </c>
      <c r="FC23" s="50">
        <f>Participantes!DD22</f>
        <v>0</v>
      </c>
      <c r="FD23" s="50" t="str">
        <f t="shared" si="52"/>
        <v/>
      </c>
      <c r="FE23" s="50">
        <f>Participantes!DE22</f>
        <v>0</v>
      </c>
      <c r="FF23" s="50">
        <f>Participantes!DF22</f>
        <v>0</v>
      </c>
      <c r="FG23" s="50" t="str">
        <f t="shared" si="53"/>
        <v/>
      </c>
      <c r="FH23" s="50">
        <f>Participantes!DG22</f>
        <v>0</v>
      </c>
      <c r="FI23" s="50">
        <f>Participantes!DH22</f>
        <v>0</v>
      </c>
      <c r="FJ23" s="50" t="str">
        <f t="shared" si="54"/>
        <v/>
      </c>
      <c r="FK23" s="50">
        <f>Participantes!DI22</f>
        <v>0</v>
      </c>
      <c r="FL23" s="50">
        <f>Participantes!DJ22</f>
        <v>0</v>
      </c>
      <c r="FM23" s="50" t="str">
        <f t="shared" si="55"/>
        <v/>
      </c>
      <c r="FN23" s="50">
        <f>Participantes!DK22</f>
        <v>0</v>
      </c>
      <c r="FO23" s="50">
        <f>Participantes!DL22</f>
        <v>0</v>
      </c>
      <c r="FP23" s="50" t="str">
        <f t="shared" si="56"/>
        <v/>
      </c>
      <c r="FQ23" s="50">
        <f>Participantes!DM22</f>
        <v>0</v>
      </c>
      <c r="FR23" s="50">
        <f>Participantes!DN22</f>
        <v>0</v>
      </c>
      <c r="FS23" s="50" t="str">
        <f t="shared" si="57"/>
        <v/>
      </c>
      <c r="FT23" s="50">
        <f>Participantes!DO22</f>
        <v>0</v>
      </c>
      <c r="FU23" s="50">
        <f>Participantes!DP22</f>
        <v>0</v>
      </c>
      <c r="FV23" s="50" t="str">
        <f t="shared" si="58"/>
        <v/>
      </c>
      <c r="FW23" s="50">
        <f>Participantes!DQ22</f>
        <v>0</v>
      </c>
      <c r="FX23" s="50">
        <f>Participantes!DR22</f>
        <v>0</v>
      </c>
      <c r="FY23" s="50" t="str">
        <f t="shared" si="59"/>
        <v/>
      </c>
      <c r="FZ23" s="50">
        <f>Participantes!DS22</f>
        <v>0</v>
      </c>
      <c r="GA23" s="50">
        <f>Participantes!DT22</f>
        <v>0</v>
      </c>
      <c r="GB23" s="50" t="str">
        <f t="shared" si="60"/>
        <v/>
      </c>
      <c r="GC23" s="50">
        <f>Participantes!DU22</f>
        <v>0</v>
      </c>
      <c r="GD23" s="50">
        <f>Participantes!DV22</f>
        <v>0</v>
      </c>
      <c r="GE23" s="50" t="str">
        <f t="shared" si="61"/>
        <v/>
      </c>
      <c r="GF23" s="50">
        <f>Participantes!DW22</f>
        <v>0</v>
      </c>
      <c r="GG23" s="50">
        <f>Participantes!DX22</f>
        <v>0</v>
      </c>
      <c r="GH23" s="50" t="str">
        <f t="shared" si="62"/>
        <v/>
      </c>
      <c r="GI23" s="50">
        <f>Participantes!DY22</f>
        <v>0</v>
      </c>
      <c r="GJ23" s="50">
        <f>Participantes!DZ22</f>
        <v>0</v>
      </c>
      <c r="GK23" s="50" t="str">
        <f t="shared" si="63"/>
        <v/>
      </c>
      <c r="GL23" s="50">
        <f>Participantes!EA22</f>
        <v>0</v>
      </c>
      <c r="GM23" s="50">
        <f>Participantes!EB22</f>
        <v>0</v>
      </c>
      <c r="GN23" s="50" t="str">
        <f t="shared" si="64"/>
        <v/>
      </c>
      <c r="GO23" s="50">
        <f>Participantes!EC22</f>
        <v>0</v>
      </c>
      <c r="GP23" s="50">
        <f>Participantes!ED22</f>
        <v>0</v>
      </c>
      <c r="GQ23" s="50" t="str">
        <f t="shared" si="65"/>
        <v/>
      </c>
      <c r="GR23" s="50">
        <f>Participantes!EE22</f>
        <v>0</v>
      </c>
      <c r="GS23" s="50">
        <f>Participantes!EF22</f>
        <v>0</v>
      </c>
      <c r="GT23" s="50" t="str">
        <f t="shared" si="66"/>
        <v/>
      </c>
      <c r="GU23" s="50">
        <f>Participantes!EG22</f>
        <v>0</v>
      </c>
      <c r="GV23" s="50">
        <f>Participantes!EH22</f>
        <v>0</v>
      </c>
      <c r="GW23" s="50" t="str">
        <f t="shared" si="67"/>
        <v/>
      </c>
      <c r="GX23" s="50">
        <f>Participantes!EI22</f>
        <v>0</v>
      </c>
      <c r="GY23" s="50">
        <f>Participantes!EJ22</f>
        <v>0</v>
      </c>
      <c r="GZ23" s="50" t="str">
        <f t="shared" si="68"/>
        <v/>
      </c>
      <c r="HA23" s="50">
        <f>Participantes!EK22</f>
        <v>0</v>
      </c>
      <c r="HB23" s="50">
        <f>Participantes!EL22</f>
        <v>0</v>
      </c>
      <c r="HC23" s="50" t="str">
        <f t="shared" si="69"/>
        <v/>
      </c>
      <c r="HD23" s="50">
        <f>Participantes!EM22</f>
        <v>0</v>
      </c>
      <c r="HE23" s="50">
        <f>Participantes!EN22</f>
        <v>0</v>
      </c>
      <c r="HF23" s="50" t="str">
        <f t="shared" si="70"/>
        <v/>
      </c>
      <c r="HG23" s="50">
        <f>Participantes!EO22</f>
        <v>0</v>
      </c>
      <c r="HH23" s="50">
        <f>Participantes!EP22</f>
        <v>0</v>
      </c>
      <c r="HI23" s="50" t="str">
        <f t="shared" si="71"/>
        <v/>
      </c>
      <c r="HJ23" s="51">
        <f t="shared" si="72"/>
        <v>1</v>
      </c>
    </row>
    <row r="24" spans="1:218" ht="15" customHeight="1" x14ac:dyDescent="0.25">
      <c r="A24" s="49" t="str">
        <f>Participantes!B23</f>
        <v>José de León</v>
      </c>
      <c r="B24" s="50">
        <f>Participantes!C23</f>
        <v>2</v>
      </c>
      <c r="C24" s="50">
        <f>Participantes!D23</f>
        <v>1</v>
      </c>
      <c r="D24" s="50">
        <f t="shared" si="0"/>
        <v>1</v>
      </c>
      <c r="E24" s="50">
        <f>Participantes!E23</f>
        <v>2</v>
      </c>
      <c r="F24" s="50">
        <f>Participantes!F23</f>
        <v>1</v>
      </c>
      <c r="G24" s="50">
        <f t="shared" si="1"/>
        <v>3</v>
      </c>
      <c r="H24" s="50">
        <f>Participantes!G23</f>
        <v>1</v>
      </c>
      <c r="I24" s="50">
        <f>Participantes!H23</f>
        <v>0</v>
      </c>
      <c r="J24" s="50" t="str">
        <f t="shared" si="2"/>
        <v/>
      </c>
      <c r="K24" s="50">
        <f>Participantes!I23</f>
        <v>3</v>
      </c>
      <c r="L24" s="50">
        <f>Participantes!J23</f>
        <v>0</v>
      </c>
      <c r="M24" s="50" t="str">
        <f t="shared" si="3"/>
        <v/>
      </c>
      <c r="N24" s="50">
        <f>Participantes!K23</f>
        <v>0</v>
      </c>
      <c r="O24" s="50">
        <f>Participantes!L23</f>
        <v>3</v>
      </c>
      <c r="P24" s="50" t="str">
        <f t="shared" si="4"/>
        <v/>
      </c>
      <c r="Q24" s="50">
        <f>Participantes!M23</f>
        <v>2</v>
      </c>
      <c r="R24" s="50">
        <f>Participantes!N23</f>
        <v>2</v>
      </c>
      <c r="S24" s="50" t="str">
        <f t="shared" si="5"/>
        <v/>
      </c>
      <c r="T24" s="50">
        <f>Participantes!O23</f>
        <v>0</v>
      </c>
      <c r="U24" s="50">
        <f>Participantes!P23</f>
        <v>2</v>
      </c>
      <c r="V24" s="50" t="str">
        <f t="shared" si="6"/>
        <v/>
      </c>
      <c r="W24" s="50">
        <f>Participantes!Q23</f>
        <v>1</v>
      </c>
      <c r="X24" s="50">
        <f>Participantes!R23</f>
        <v>2</v>
      </c>
      <c r="Y24" s="50" t="str">
        <f t="shared" si="7"/>
        <v/>
      </c>
      <c r="Z24" s="50">
        <f>Participantes!S23</f>
        <v>4</v>
      </c>
      <c r="AA24" s="50">
        <f>Participantes!T23</f>
        <v>0</v>
      </c>
      <c r="AB24" s="50" t="str">
        <f t="shared" si="8"/>
        <v/>
      </c>
      <c r="AC24" s="50">
        <f>Participantes!U23</f>
        <v>1</v>
      </c>
      <c r="AD24" s="50">
        <f>Participantes!V23</f>
        <v>1</v>
      </c>
      <c r="AE24" s="50" t="str">
        <f t="shared" si="9"/>
        <v/>
      </c>
      <c r="AF24" s="50">
        <f>Participantes!W23</f>
        <v>1</v>
      </c>
      <c r="AG24" s="50">
        <f>Participantes!X23</f>
        <v>0</v>
      </c>
      <c r="AH24" s="50" t="str">
        <f t="shared" si="10"/>
        <v/>
      </c>
      <c r="AI24" s="50">
        <f>Participantes!Y23</f>
        <v>0</v>
      </c>
      <c r="AJ24" s="50">
        <f>Participantes!Z23</f>
        <v>1</v>
      </c>
      <c r="AK24" s="50" t="str">
        <f t="shared" si="11"/>
        <v/>
      </c>
      <c r="AL24" s="50">
        <f>Participantes!AA23</f>
        <v>4</v>
      </c>
      <c r="AM24" s="50">
        <f>Participantes!AB23</f>
        <v>0</v>
      </c>
      <c r="AN24" s="50" t="str">
        <f t="shared" si="12"/>
        <v/>
      </c>
      <c r="AO24" s="50">
        <f>Participantes!AC23</f>
        <v>2</v>
      </c>
      <c r="AP24" s="50">
        <f>Participantes!AD23</f>
        <v>1</v>
      </c>
      <c r="AQ24" s="50" t="str">
        <f t="shared" si="13"/>
        <v/>
      </c>
      <c r="AR24" s="50">
        <f>Participantes!AE23</f>
        <v>0</v>
      </c>
      <c r="AS24" s="50">
        <f>Participantes!AF23</f>
        <v>0</v>
      </c>
      <c r="AT24" s="50" t="str">
        <f t="shared" si="14"/>
        <v/>
      </c>
      <c r="AU24" s="50">
        <f>Participantes!AG23</f>
        <v>0</v>
      </c>
      <c r="AV24" s="50">
        <f>Participantes!AH23</f>
        <v>0</v>
      </c>
      <c r="AW24" s="50" t="str">
        <f t="shared" si="15"/>
        <v/>
      </c>
      <c r="AX24" s="50">
        <f>Participantes!AI23</f>
        <v>0</v>
      </c>
      <c r="AY24" s="50">
        <f>Participantes!AJ23</f>
        <v>0</v>
      </c>
      <c r="AZ24" s="50" t="str">
        <f t="shared" si="16"/>
        <v/>
      </c>
      <c r="BA24" s="50">
        <f>Participantes!AK23</f>
        <v>0</v>
      </c>
      <c r="BB24" s="50">
        <f>Participantes!AL23</f>
        <v>0</v>
      </c>
      <c r="BC24" s="50" t="str">
        <f t="shared" si="17"/>
        <v/>
      </c>
      <c r="BD24" s="50">
        <f>Participantes!AM23</f>
        <v>0</v>
      </c>
      <c r="BE24" s="50">
        <f>Participantes!AN23</f>
        <v>0</v>
      </c>
      <c r="BF24" s="50" t="str">
        <f t="shared" si="18"/>
        <v/>
      </c>
      <c r="BG24" s="50">
        <f>Participantes!AO23</f>
        <v>0</v>
      </c>
      <c r="BH24" s="50">
        <f>Participantes!AP23</f>
        <v>0</v>
      </c>
      <c r="BI24" s="50" t="str">
        <f t="shared" si="19"/>
        <v/>
      </c>
      <c r="BJ24" s="50">
        <f>Participantes!AQ23</f>
        <v>0</v>
      </c>
      <c r="BK24" s="50">
        <f>Participantes!AR23</f>
        <v>0</v>
      </c>
      <c r="BL24" s="50" t="str">
        <f t="shared" si="20"/>
        <v/>
      </c>
      <c r="BM24" s="50">
        <f>Participantes!AS23</f>
        <v>0</v>
      </c>
      <c r="BN24" s="50">
        <f>Participantes!AT23</f>
        <v>0</v>
      </c>
      <c r="BO24" s="50" t="str">
        <f t="shared" si="21"/>
        <v/>
      </c>
      <c r="BP24" s="50">
        <f>Participantes!AU23</f>
        <v>0</v>
      </c>
      <c r="BQ24" s="50">
        <f>Participantes!AV23</f>
        <v>0</v>
      </c>
      <c r="BR24" s="50" t="str">
        <f t="shared" si="22"/>
        <v/>
      </c>
      <c r="BS24" s="50">
        <f>Participantes!AW23</f>
        <v>0</v>
      </c>
      <c r="BT24" s="50">
        <f>Participantes!AX23</f>
        <v>0</v>
      </c>
      <c r="BU24" s="50" t="str">
        <f t="shared" si="23"/>
        <v/>
      </c>
      <c r="BV24" s="50">
        <f>Participantes!AY23</f>
        <v>0</v>
      </c>
      <c r="BW24" s="50">
        <f>Participantes!AZ23</f>
        <v>0</v>
      </c>
      <c r="BX24" s="50" t="str">
        <f t="shared" si="24"/>
        <v/>
      </c>
      <c r="BY24" s="50">
        <f>Participantes!BA23</f>
        <v>0</v>
      </c>
      <c r="BZ24" s="50">
        <f>Participantes!BB23</f>
        <v>0</v>
      </c>
      <c r="CA24" s="50" t="str">
        <f t="shared" si="25"/>
        <v/>
      </c>
      <c r="CB24" s="50">
        <f>Participantes!BC23</f>
        <v>0</v>
      </c>
      <c r="CC24" s="50">
        <f>Participantes!BD23</f>
        <v>0</v>
      </c>
      <c r="CD24" s="50" t="str">
        <f t="shared" si="26"/>
        <v/>
      </c>
      <c r="CE24" s="50">
        <f>Participantes!BE23</f>
        <v>0</v>
      </c>
      <c r="CF24" s="50">
        <f>Participantes!BF23</f>
        <v>0</v>
      </c>
      <c r="CG24" s="50" t="str">
        <f t="shared" si="27"/>
        <v/>
      </c>
      <c r="CH24" s="50">
        <f>Participantes!BG23</f>
        <v>0</v>
      </c>
      <c r="CI24" s="50">
        <f>Participantes!BH23</f>
        <v>0</v>
      </c>
      <c r="CJ24" s="50" t="str">
        <f t="shared" si="28"/>
        <v/>
      </c>
      <c r="CK24" s="50">
        <f>Participantes!BI23</f>
        <v>0</v>
      </c>
      <c r="CL24" s="50">
        <f>Participantes!BJ23</f>
        <v>0</v>
      </c>
      <c r="CM24" s="50" t="str">
        <f t="shared" si="29"/>
        <v/>
      </c>
      <c r="CN24" s="50">
        <f>Participantes!BK23</f>
        <v>0</v>
      </c>
      <c r="CO24" s="50">
        <f>Participantes!BL23</f>
        <v>0</v>
      </c>
      <c r="CP24" s="50" t="str">
        <f t="shared" si="30"/>
        <v/>
      </c>
      <c r="CQ24" s="50">
        <f>Participantes!BM23</f>
        <v>0</v>
      </c>
      <c r="CR24" s="50">
        <f>Participantes!BN23</f>
        <v>0</v>
      </c>
      <c r="CS24" s="50" t="str">
        <f t="shared" si="31"/>
        <v/>
      </c>
      <c r="CT24" s="50">
        <f>Participantes!BO23</f>
        <v>0</v>
      </c>
      <c r="CU24" s="50">
        <f>Participantes!BP23</f>
        <v>0</v>
      </c>
      <c r="CV24" s="50" t="str">
        <f t="shared" si="32"/>
        <v/>
      </c>
      <c r="CW24" s="50">
        <f>Participantes!BQ23</f>
        <v>0</v>
      </c>
      <c r="CX24" s="50">
        <f>Participantes!BR23</f>
        <v>0</v>
      </c>
      <c r="CY24" s="50" t="str">
        <f t="shared" si="33"/>
        <v/>
      </c>
      <c r="CZ24" s="50">
        <f>Participantes!BS23</f>
        <v>0</v>
      </c>
      <c r="DA24" s="50">
        <f>Participantes!BT23</f>
        <v>0</v>
      </c>
      <c r="DB24" s="50" t="str">
        <f t="shared" si="34"/>
        <v/>
      </c>
      <c r="DC24" s="50">
        <f>Participantes!BU23</f>
        <v>0</v>
      </c>
      <c r="DD24" s="50">
        <f>Participantes!BV23</f>
        <v>0</v>
      </c>
      <c r="DE24" s="50" t="str">
        <f t="shared" si="35"/>
        <v/>
      </c>
      <c r="DF24" s="50">
        <f>Participantes!BW23</f>
        <v>0</v>
      </c>
      <c r="DG24" s="50">
        <f>Participantes!BX23</f>
        <v>0</v>
      </c>
      <c r="DH24" s="50" t="str">
        <f t="shared" si="36"/>
        <v/>
      </c>
      <c r="DI24" s="50">
        <f>Participantes!BY23</f>
        <v>0</v>
      </c>
      <c r="DJ24" s="50">
        <f>Participantes!BZ23</f>
        <v>0</v>
      </c>
      <c r="DK24" s="50" t="str">
        <f t="shared" si="37"/>
        <v/>
      </c>
      <c r="DL24" s="50">
        <f>Participantes!CA23</f>
        <v>0</v>
      </c>
      <c r="DM24" s="50">
        <f>Participantes!CB23</f>
        <v>0</v>
      </c>
      <c r="DN24" s="50" t="str">
        <f t="shared" si="38"/>
        <v/>
      </c>
      <c r="DO24" s="50">
        <f>Participantes!CC23</f>
        <v>0</v>
      </c>
      <c r="DP24" s="50">
        <f>Participantes!CD23</f>
        <v>0</v>
      </c>
      <c r="DQ24" s="50" t="str">
        <f t="shared" si="39"/>
        <v/>
      </c>
      <c r="DR24" s="50">
        <f>Participantes!CE23</f>
        <v>0</v>
      </c>
      <c r="DS24" s="50">
        <f>Participantes!CF23</f>
        <v>0</v>
      </c>
      <c r="DT24" s="50" t="str">
        <f t="shared" si="40"/>
        <v/>
      </c>
      <c r="DU24" s="50">
        <f>Participantes!CG23</f>
        <v>0</v>
      </c>
      <c r="DV24" s="50">
        <f>Participantes!CH23</f>
        <v>0</v>
      </c>
      <c r="DW24" s="50" t="str">
        <f t="shared" si="41"/>
        <v/>
      </c>
      <c r="DX24" s="50">
        <f>Participantes!CI23</f>
        <v>0</v>
      </c>
      <c r="DY24" s="50">
        <f>Participantes!CJ23</f>
        <v>0</v>
      </c>
      <c r="DZ24" s="50" t="str">
        <f t="shared" si="42"/>
        <v/>
      </c>
      <c r="EA24" s="50">
        <f>Participantes!CK23</f>
        <v>0</v>
      </c>
      <c r="EB24" s="50">
        <f>Participantes!CL23</f>
        <v>0</v>
      </c>
      <c r="EC24" s="50" t="str">
        <f t="shared" si="43"/>
        <v/>
      </c>
      <c r="ED24" s="50">
        <f>Participantes!CM23</f>
        <v>0</v>
      </c>
      <c r="EE24" s="50">
        <f>Participantes!CN23</f>
        <v>0</v>
      </c>
      <c r="EF24" s="50" t="str">
        <f t="shared" si="44"/>
        <v/>
      </c>
      <c r="EG24" s="50">
        <f>Participantes!CO23</f>
        <v>0</v>
      </c>
      <c r="EH24" s="50">
        <f>Participantes!CP23</f>
        <v>0</v>
      </c>
      <c r="EI24" s="50" t="str">
        <f t="shared" si="45"/>
        <v/>
      </c>
      <c r="EJ24" s="50">
        <f>Participantes!CQ23</f>
        <v>0</v>
      </c>
      <c r="EK24" s="50">
        <f>Participantes!CR23</f>
        <v>0</v>
      </c>
      <c r="EL24" s="50" t="str">
        <f t="shared" si="46"/>
        <v/>
      </c>
      <c r="EM24" s="50">
        <f>Participantes!CS23</f>
        <v>0</v>
      </c>
      <c r="EN24" s="50">
        <f>Participantes!CT23</f>
        <v>0</v>
      </c>
      <c r="EO24" s="50" t="str">
        <f t="shared" si="47"/>
        <v/>
      </c>
      <c r="EP24" s="50">
        <f>Participantes!CU23</f>
        <v>0</v>
      </c>
      <c r="EQ24" s="50">
        <f>Participantes!CV23</f>
        <v>0</v>
      </c>
      <c r="ER24" s="50" t="str">
        <f t="shared" si="48"/>
        <v/>
      </c>
      <c r="ES24" s="50">
        <f>Participantes!CW23</f>
        <v>0</v>
      </c>
      <c r="ET24" s="50">
        <f>Participantes!CX23</f>
        <v>0</v>
      </c>
      <c r="EU24" s="50" t="str">
        <f t="shared" si="49"/>
        <v/>
      </c>
      <c r="EV24" s="50">
        <f>Participantes!CY23</f>
        <v>0</v>
      </c>
      <c r="EW24" s="50">
        <f>Participantes!CZ23</f>
        <v>0</v>
      </c>
      <c r="EX24" s="50" t="str">
        <f t="shared" si="50"/>
        <v/>
      </c>
      <c r="EY24" s="50">
        <f>Participantes!DA23</f>
        <v>0</v>
      </c>
      <c r="EZ24" s="50">
        <f>Participantes!DB23</f>
        <v>0</v>
      </c>
      <c r="FA24" s="50" t="str">
        <f t="shared" si="51"/>
        <v/>
      </c>
      <c r="FB24" s="50">
        <f>Participantes!DC23</f>
        <v>0</v>
      </c>
      <c r="FC24" s="50">
        <f>Participantes!DD23</f>
        <v>0</v>
      </c>
      <c r="FD24" s="50" t="str">
        <f t="shared" si="52"/>
        <v/>
      </c>
      <c r="FE24" s="50">
        <f>Participantes!DE23</f>
        <v>0</v>
      </c>
      <c r="FF24" s="50">
        <f>Participantes!DF23</f>
        <v>0</v>
      </c>
      <c r="FG24" s="50" t="str">
        <f t="shared" si="53"/>
        <v/>
      </c>
      <c r="FH24" s="50">
        <f>Participantes!DG23</f>
        <v>0</v>
      </c>
      <c r="FI24" s="50">
        <f>Participantes!DH23</f>
        <v>0</v>
      </c>
      <c r="FJ24" s="50" t="str">
        <f t="shared" si="54"/>
        <v/>
      </c>
      <c r="FK24" s="50">
        <f>Participantes!DI23</f>
        <v>0</v>
      </c>
      <c r="FL24" s="50">
        <f>Participantes!DJ23</f>
        <v>0</v>
      </c>
      <c r="FM24" s="50" t="str">
        <f t="shared" si="55"/>
        <v/>
      </c>
      <c r="FN24" s="50">
        <f>Participantes!DK23</f>
        <v>0</v>
      </c>
      <c r="FO24" s="50">
        <f>Participantes!DL23</f>
        <v>0</v>
      </c>
      <c r="FP24" s="50" t="str">
        <f t="shared" si="56"/>
        <v/>
      </c>
      <c r="FQ24" s="50">
        <f>Participantes!DM23</f>
        <v>0</v>
      </c>
      <c r="FR24" s="50">
        <f>Participantes!DN23</f>
        <v>0</v>
      </c>
      <c r="FS24" s="50" t="str">
        <f t="shared" si="57"/>
        <v/>
      </c>
      <c r="FT24" s="50">
        <f>Participantes!DO23</f>
        <v>0</v>
      </c>
      <c r="FU24" s="50">
        <f>Participantes!DP23</f>
        <v>0</v>
      </c>
      <c r="FV24" s="50" t="str">
        <f t="shared" si="58"/>
        <v/>
      </c>
      <c r="FW24" s="50">
        <f>Participantes!DQ23</f>
        <v>0</v>
      </c>
      <c r="FX24" s="50">
        <f>Participantes!DR23</f>
        <v>0</v>
      </c>
      <c r="FY24" s="50" t="str">
        <f t="shared" si="59"/>
        <v/>
      </c>
      <c r="FZ24" s="50">
        <f>Participantes!DS23</f>
        <v>0</v>
      </c>
      <c r="GA24" s="50">
        <f>Participantes!DT23</f>
        <v>0</v>
      </c>
      <c r="GB24" s="50" t="str">
        <f t="shared" si="60"/>
        <v/>
      </c>
      <c r="GC24" s="50">
        <f>Participantes!DU23</f>
        <v>0</v>
      </c>
      <c r="GD24" s="50">
        <f>Participantes!DV23</f>
        <v>0</v>
      </c>
      <c r="GE24" s="50" t="str">
        <f t="shared" si="61"/>
        <v/>
      </c>
      <c r="GF24" s="50">
        <f>Participantes!DW23</f>
        <v>0</v>
      </c>
      <c r="GG24" s="50">
        <f>Participantes!DX23</f>
        <v>0</v>
      </c>
      <c r="GH24" s="50" t="str">
        <f t="shared" si="62"/>
        <v/>
      </c>
      <c r="GI24" s="50">
        <f>Participantes!DY23</f>
        <v>0</v>
      </c>
      <c r="GJ24" s="50">
        <f>Participantes!DZ23</f>
        <v>0</v>
      </c>
      <c r="GK24" s="50" t="str">
        <f t="shared" si="63"/>
        <v/>
      </c>
      <c r="GL24" s="50">
        <f>Participantes!EA23</f>
        <v>0</v>
      </c>
      <c r="GM24" s="50">
        <f>Participantes!EB23</f>
        <v>0</v>
      </c>
      <c r="GN24" s="50" t="str">
        <f t="shared" si="64"/>
        <v/>
      </c>
      <c r="GO24" s="50">
        <f>Participantes!EC23</f>
        <v>0</v>
      </c>
      <c r="GP24" s="50">
        <f>Participantes!ED23</f>
        <v>0</v>
      </c>
      <c r="GQ24" s="50" t="str">
        <f t="shared" si="65"/>
        <v/>
      </c>
      <c r="GR24" s="50">
        <f>Participantes!EE23</f>
        <v>0</v>
      </c>
      <c r="GS24" s="50">
        <f>Participantes!EF23</f>
        <v>0</v>
      </c>
      <c r="GT24" s="50" t="str">
        <f t="shared" si="66"/>
        <v/>
      </c>
      <c r="GU24" s="50">
        <f>Participantes!EG23</f>
        <v>0</v>
      </c>
      <c r="GV24" s="50">
        <f>Participantes!EH23</f>
        <v>0</v>
      </c>
      <c r="GW24" s="50" t="str">
        <f t="shared" si="67"/>
        <v/>
      </c>
      <c r="GX24" s="50">
        <f>Participantes!EI23</f>
        <v>0</v>
      </c>
      <c r="GY24" s="50">
        <f>Participantes!EJ23</f>
        <v>0</v>
      </c>
      <c r="GZ24" s="50" t="str">
        <f t="shared" si="68"/>
        <v/>
      </c>
      <c r="HA24" s="50">
        <f>Participantes!EK23</f>
        <v>0</v>
      </c>
      <c r="HB24" s="50">
        <f>Participantes!EL23</f>
        <v>0</v>
      </c>
      <c r="HC24" s="50" t="str">
        <f t="shared" si="69"/>
        <v/>
      </c>
      <c r="HD24" s="50">
        <f>Participantes!EM23</f>
        <v>0</v>
      </c>
      <c r="HE24" s="50">
        <f>Participantes!EN23</f>
        <v>0</v>
      </c>
      <c r="HF24" s="50" t="str">
        <f t="shared" si="70"/>
        <v/>
      </c>
      <c r="HG24" s="50">
        <f>Participantes!EO23</f>
        <v>0</v>
      </c>
      <c r="HH24" s="50">
        <f>Participantes!EP23</f>
        <v>0</v>
      </c>
      <c r="HI24" s="50" t="str">
        <f t="shared" si="71"/>
        <v/>
      </c>
      <c r="HJ24" s="51">
        <f t="shared" si="72"/>
        <v>4</v>
      </c>
    </row>
    <row r="25" spans="1:218" ht="15" customHeight="1" x14ac:dyDescent="0.25">
      <c r="A25" s="49" t="str">
        <f>Participantes!B24</f>
        <v>Jovanna</v>
      </c>
      <c r="B25" s="50">
        <f>Participantes!C24</f>
        <v>5</v>
      </c>
      <c r="C25" s="50">
        <f>Participantes!D24</f>
        <v>2</v>
      </c>
      <c r="D25" s="50">
        <f t="shared" si="0"/>
        <v>1</v>
      </c>
      <c r="E25" s="50">
        <f>Participantes!E24</f>
        <v>1</v>
      </c>
      <c r="F25" s="50">
        <f>Participantes!F24</f>
        <v>3</v>
      </c>
      <c r="G25" s="50">
        <f t="shared" si="1"/>
        <v>0</v>
      </c>
      <c r="H25" s="50">
        <f>Participantes!G24</f>
        <v>0</v>
      </c>
      <c r="I25" s="50">
        <f>Participantes!H24</f>
        <v>2</v>
      </c>
      <c r="J25" s="50" t="str">
        <f t="shared" si="2"/>
        <v/>
      </c>
      <c r="K25" s="50">
        <f>Participantes!I24</f>
        <v>1</v>
      </c>
      <c r="L25" s="50">
        <f>Participantes!J24</f>
        <v>1</v>
      </c>
      <c r="M25" s="50" t="str">
        <f t="shared" si="3"/>
        <v/>
      </c>
      <c r="N25" s="50">
        <f>Participantes!K24</f>
        <v>0</v>
      </c>
      <c r="O25" s="50">
        <f>Participantes!L24</f>
        <v>3</v>
      </c>
      <c r="P25" s="50" t="str">
        <f t="shared" si="4"/>
        <v/>
      </c>
      <c r="Q25" s="50">
        <f>Participantes!M24</f>
        <v>0</v>
      </c>
      <c r="R25" s="50">
        <f>Participantes!N24</f>
        <v>1</v>
      </c>
      <c r="S25" s="50" t="str">
        <f t="shared" si="5"/>
        <v/>
      </c>
      <c r="T25" s="50">
        <f>Participantes!O24</f>
        <v>3</v>
      </c>
      <c r="U25" s="50">
        <f>Participantes!P24</f>
        <v>2</v>
      </c>
      <c r="V25" s="50" t="str">
        <f t="shared" si="6"/>
        <v/>
      </c>
      <c r="W25" s="50">
        <f>Participantes!Q24</f>
        <v>0</v>
      </c>
      <c r="X25" s="50">
        <f>Participantes!R24</f>
        <v>4</v>
      </c>
      <c r="Y25" s="50" t="str">
        <f t="shared" si="7"/>
        <v/>
      </c>
      <c r="Z25" s="50">
        <f>Participantes!S24</f>
        <v>2</v>
      </c>
      <c r="AA25" s="50">
        <f>Participantes!T24</f>
        <v>1</v>
      </c>
      <c r="AB25" s="50" t="str">
        <f t="shared" si="8"/>
        <v/>
      </c>
      <c r="AC25" s="50">
        <f>Participantes!U24</f>
        <v>6</v>
      </c>
      <c r="AD25" s="50">
        <f>Participantes!V24</f>
        <v>1</v>
      </c>
      <c r="AE25" s="50" t="str">
        <f t="shared" si="9"/>
        <v/>
      </c>
      <c r="AF25" s="50">
        <f>Participantes!W24</f>
        <v>0</v>
      </c>
      <c r="AG25" s="50">
        <f>Participantes!X24</f>
        <v>2</v>
      </c>
      <c r="AH25" s="50" t="str">
        <f t="shared" si="10"/>
        <v/>
      </c>
      <c r="AI25" s="50">
        <f>Participantes!Y24</f>
        <v>3</v>
      </c>
      <c r="AJ25" s="50">
        <f>Participantes!Z24</f>
        <v>1</v>
      </c>
      <c r="AK25" s="50" t="str">
        <f t="shared" si="11"/>
        <v/>
      </c>
      <c r="AL25" s="50">
        <f>Participantes!AA24</f>
        <v>1</v>
      </c>
      <c r="AM25" s="50">
        <f>Participantes!AB24</f>
        <v>0</v>
      </c>
      <c r="AN25" s="50" t="str">
        <f t="shared" si="12"/>
        <v/>
      </c>
      <c r="AO25" s="50">
        <f>Participantes!AC24</f>
        <v>2</v>
      </c>
      <c r="AP25" s="50">
        <f>Participantes!AD24</f>
        <v>0</v>
      </c>
      <c r="AQ25" s="50" t="str">
        <f t="shared" si="13"/>
        <v/>
      </c>
      <c r="AR25" s="50">
        <f>Participantes!AE24</f>
        <v>0</v>
      </c>
      <c r="AS25" s="50">
        <f>Participantes!AF24</f>
        <v>1</v>
      </c>
      <c r="AT25" s="50" t="str">
        <f t="shared" si="14"/>
        <v/>
      </c>
      <c r="AU25" s="50">
        <f>Participantes!AG24</f>
        <v>3</v>
      </c>
      <c r="AV25" s="50">
        <f>Participantes!AH24</f>
        <v>3</v>
      </c>
      <c r="AW25" s="50" t="str">
        <f t="shared" si="15"/>
        <v/>
      </c>
      <c r="AX25" s="50">
        <f>Participantes!AI24</f>
        <v>1</v>
      </c>
      <c r="AY25" s="50">
        <f>Participantes!AJ24</f>
        <v>1</v>
      </c>
      <c r="AZ25" s="50" t="str">
        <f t="shared" si="16"/>
        <v/>
      </c>
      <c r="BA25" s="50">
        <f>Participantes!AK24</f>
        <v>0</v>
      </c>
      <c r="BB25" s="50">
        <f>Participantes!AL24</f>
        <v>3</v>
      </c>
      <c r="BC25" s="50" t="str">
        <f t="shared" si="17"/>
        <v/>
      </c>
      <c r="BD25" s="50">
        <f>Participantes!AM24</f>
        <v>1</v>
      </c>
      <c r="BE25" s="50">
        <f>Participantes!AN24</f>
        <v>2</v>
      </c>
      <c r="BF25" s="50" t="str">
        <f t="shared" si="18"/>
        <v/>
      </c>
      <c r="BG25" s="50">
        <f>Participantes!AO24</f>
        <v>4</v>
      </c>
      <c r="BH25" s="50">
        <f>Participantes!AP24</f>
        <v>1</v>
      </c>
      <c r="BI25" s="50" t="str">
        <f t="shared" si="19"/>
        <v/>
      </c>
      <c r="BJ25" s="50">
        <f>Participantes!AQ24</f>
        <v>0</v>
      </c>
      <c r="BK25" s="50">
        <f>Participantes!AR24</f>
        <v>1</v>
      </c>
      <c r="BL25" s="50" t="str">
        <f t="shared" si="20"/>
        <v/>
      </c>
      <c r="BM25" s="50">
        <f>Participantes!AS24</f>
        <v>3</v>
      </c>
      <c r="BN25" s="50">
        <f>Participantes!AT24</f>
        <v>5</v>
      </c>
      <c r="BO25" s="50" t="str">
        <f t="shared" si="21"/>
        <v/>
      </c>
      <c r="BP25" s="50">
        <f>Participantes!AU24</f>
        <v>2</v>
      </c>
      <c r="BQ25" s="50">
        <f>Participantes!AV24</f>
        <v>0</v>
      </c>
      <c r="BR25" s="50" t="str">
        <f t="shared" si="22"/>
        <v/>
      </c>
      <c r="BS25" s="50">
        <f>Participantes!AW24</f>
        <v>2</v>
      </c>
      <c r="BT25" s="50">
        <f>Participantes!AX24</f>
        <v>4</v>
      </c>
      <c r="BU25" s="50" t="str">
        <f t="shared" si="23"/>
        <v/>
      </c>
      <c r="BV25" s="50">
        <f>Participantes!AY24</f>
        <v>2</v>
      </c>
      <c r="BW25" s="50">
        <f>Participantes!AZ24</f>
        <v>1</v>
      </c>
      <c r="BX25" s="50" t="str">
        <f t="shared" si="24"/>
        <v/>
      </c>
      <c r="BY25" s="50">
        <f>Participantes!BA24</f>
        <v>2</v>
      </c>
      <c r="BZ25" s="50">
        <f>Participantes!BB24</f>
        <v>0</v>
      </c>
      <c r="CA25" s="50" t="str">
        <f t="shared" si="25"/>
        <v/>
      </c>
      <c r="CB25" s="50">
        <f>Participantes!BC24</f>
        <v>3</v>
      </c>
      <c r="CC25" s="50">
        <f>Participantes!BD24</f>
        <v>0</v>
      </c>
      <c r="CD25" s="50" t="str">
        <f t="shared" si="26"/>
        <v/>
      </c>
      <c r="CE25" s="50">
        <f>Participantes!BE24</f>
        <v>1</v>
      </c>
      <c r="CF25" s="50">
        <f>Participantes!BF24</f>
        <v>1</v>
      </c>
      <c r="CG25" s="50" t="str">
        <f t="shared" si="27"/>
        <v/>
      </c>
      <c r="CH25" s="50">
        <f>Participantes!BG24</f>
        <v>0</v>
      </c>
      <c r="CI25" s="50">
        <f>Participantes!BH24</f>
        <v>0</v>
      </c>
      <c r="CJ25" s="50" t="str">
        <f t="shared" si="28"/>
        <v/>
      </c>
      <c r="CK25" s="50">
        <f>Participantes!BI24</f>
        <v>0</v>
      </c>
      <c r="CL25" s="50">
        <f>Participantes!BJ24</f>
        <v>0</v>
      </c>
      <c r="CM25" s="50" t="str">
        <f t="shared" si="29"/>
        <v/>
      </c>
      <c r="CN25" s="50">
        <f>Participantes!BK24</f>
        <v>0</v>
      </c>
      <c r="CO25" s="50">
        <f>Participantes!BL24</f>
        <v>0</v>
      </c>
      <c r="CP25" s="50" t="str">
        <f t="shared" si="30"/>
        <v/>
      </c>
      <c r="CQ25" s="50">
        <f>Participantes!BM24</f>
        <v>0</v>
      </c>
      <c r="CR25" s="50">
        <f>Participantes!BN24</f>
        <v>0</v>
      </c>
      <c r="CS25" s="50" t="str">
        <f t="shared" si="31"/>
        <v/>
      </c>
      <c r="CT25" s="50">
        <f>Participantes!BO24</f>
        <v>0</v>
      </c>
      <c r="CU25" s="50">
        <f>Participantes!BP24</f>
        <v>0</v>
      </c>
      <c r="CV25" s="50" t="str">
        <f t="shared" si="32"/>
        <v/>
      </c>
      <c r="CW25" s="50">
        <f>Participantes!BQ24</f>
        <v>0</v>
      </c>
      <c r="CX25" s="50">
        <f>Participantes!BR24</f>
        <v>0</v>
      </c>
      <c r="CY25" s="50" t="str">
        <f t="shared" si="33"/>
        <v/>
      </c>
      <c r="CZ25" s="50">
        <f>Participantes!BS24</f>
        <v>0</v>
      </c>
      <c r="DA25" s="50">
        <f>Participantes!BT24</f>
        <v>0</v>
      </c>
      <c r="DB25" s="50" t="str">
        <f t="shared" si="34"/>
        <v/>
      </c>
      <c r="DC25" s="50">
        <f>Participantes!BU24</f>
        <v>0</v>
      </c>
      <c r="DD25" s="50">
        <f>Participantes!BV24</f>
        <v>0</v>
      </c>
      <c r="DE25" s="50" t="str">
        <f t="shared" si="35"/>
        <v/>
      </c>
      <c r="DF25" s="50">
        <f>Participantes!BW24</f>
        <v>0</v>
      </c>
      <c r="DG25" s="50">
        <f>Participantes!BX24</f>
        <v>0</v>
      </c>
      <c r="DH25" s="50" t="str">
        <f t="shared" si="36"/>
        <v/>
      </c>
      <c r="DI25" s="50">
        <f>Participantes!BY24</f>
        <v>0</v>
      </c>
      <c r="DJ25" s="50">
        <f>Participantes!BZ24</f>
        <v>0</v>
      </c>
      <c r="DK25" s="50" t="str">
        <f t="shared" si="37"/>
        <v/>
      </c>
      <c r="DL25" s="50">
        <f>Participantes!CA24</f>
        <v>0</v>
      </c>
      <c r="DM25" s="50">
        <f>Participantes!CB24</f>
        <v>0</v>
      </c>
      <c r="DN25" s="50" t="str">
        <f t="shared" si="38"/>
        <v/>
      </c>
      <c r="DO25" s="50">
        <f>Participantes!CC24</f>
        <v>0</v>
      </c>
      <c r="DP25" s="50">
        <f>Participantes!CD24</f>
        <v>0</v>
      </c>
      <c r="DQ25" s="50" t="str">
        <f t="shared" si="39"/>
        <v/>
      </c>
      <c r="DR25" s="50">
        <f>Participantes!CE24</f>
        <v>0</v>
      </c>
      <c r="DS25" s="50">
        <f>Participantes!CF24</f>
        <v>0</v>
      </c>
      <c r="DT25" s="50" t="str">
        <f t="shared" si="40"/>
        <v/>
      </c>
      <c r="DU25" s="50">
        <f>Participantes!CG24</f>
        <v>0</v>
      </c>
      <c r="DV25" s="50">
        <f>Participantes!CH24</f>
        <v>0</v>
      </c>
      <c r="DW25" s="50" t="str">
        <f t="shared" si="41"/>
        <v/>
      </c>
      <c r="DX25" s="50">
        <f>Participantes!CI24</f>
        <v>0</v>
      </c>
      <c r="DY25" s="50">
        <f>Participantes!CJ24</f>
        <v>0</v>
      </c>
      <c r="DZ25" s="50" t="str">
        <f t="shared" si="42"/>
        <v/>
      </c>
      <c r="EA25" s="50">
        <f>Participantes!CK24</f>
        <v>0</v>
      </c>
      <c r="EB25" s="50">
        <f>Participantes!CL24</f>
        <v>0</v>
      </c>
      <c r="EC25" s="50" t="str">
        <f t="shared" si="43"/>
        <v/>
      </c>
      <c r="ED25" s="50">
        <f>Participantes!CM24</f>
        <v>0</v>
      </c>
      <c r="EE25" s="50">
        <f>Participantes!CN24</f>
        <v>0</v>
      </c>
      <c r="EF25" s="50" t="str">
        <f t="shared" si="44"/>
        <v/>
      </c>
      <c r="EG25" s="50">
        <f>Participantes!CO24</f>
        <v>0</v>
      </c>
      <c r="EH25" s="50">
        <f>Participantes!CP24</f>
        <v>0</v>
      </c>
      <c r="EI25" s="50" t="str">
        <f t="shared" si="45"/>
        <v/>
      </c>
      <c r="EJ25" s="50">
        <f>Participantes!CQ24</f>
        <v>0</v>
      </c>
      <c r="EK25" s="50">
        <f>Participantes!CR24</f>
        <v>0</v>
      </c>
      <c r="EL25" s="50" t="str">
        <f t="shared" si="46"/>
        <v/>
      </c>
      <c r="EM25" s="50">
        <f>Participantes!CS24</f>
        <v>0</v>
      </c>
      <c r="EN25" s="50">
        <f>Participantes!CT24</f>
        <v>0</v>
      </c>
      <c r="EO25" s="50" t="str">
        <f t="shared" si="47"/>
        <v/>
      </c>
      <c r="EP25" s="50">
        <f>Participantes!CU24</f>
        <v>0</v>
      </c>
      <c r="EQ25" s="50">
        <f>Participantes!CV24</f>
        <v>0</v>
      </c>
      <c r="ER25" s="50" t="str">
        <f t="shared" si="48"/>
        <v/>
      </c>
      <c r="ES25" s="50">
        <f>Participantes!CW24</f>
        <v>0</v>
      </c>
      <c r="ET25" s="50">
        <f>Participantes!CX24</f>
        <v>0</v>
      </c>
      <c r="EU25" s="50" t="str">
        <f t="shared" si="49"/>
        <v/>
      </c>
      <c r="EV25" s="50">
        <f>Participantes!CY24</f>
        <v>0</v>
      </c>
      <c r="EW25" s="50">
        <f>Participantes!CZ24</f>
        <v>0</v>
      </c>
      <c r="EX25" s="50" t="str">
        <f t="shared" si="50"/>
        <v/>
      </c>
      <c r="EY25" s="50">
        <f>Participantes!DA24</f>
        <v>0</v>
      </c>
      <c r="EZ25" s="50">
        <f>Participantes!DB24</f>
        <v>0</v>
      </c>
      <c r="FA25" s="50" t="str">
        <f t="shared" si="51"/>
        <v/>
      </c>
      <c r="FB25" s="50">
        <f>Participantes!DC24</f>
        <v>0</v>
      </c>
      <c r="FC25" s="50">
        <f>Participantes!DD24</f>
        <v>0</v>
      </c>
      <c r="FD25" s="50" t="str">
        <f t="shared" si="52"/>
        <v/>
      </c>
      <c r="FE25" s="50">
        <f>Participantes!DE24</f>
        <v>0</v>
      </c>
      <c r="FF25" s="50">
        <f>Participantes!DF24</f>
        <v>0</v>
      </c>
      <c r="FG25" s="50" t="str">
        <f t="shared" si="53"/>
        <v/>
      </c>
      <c r="FH25" s="50">
        <f>Participantes!DG24</f>
        <v>0</v>
      </c>
      <c r="FI25" s="50">
        <f>Participantes!DH24</f>
        <v>0</v>
      </c>
      <c r="FJ25" s="50" t="str">
        <f t="shared" si="54"/>
        <v/>
      </c>
      <c r="FK25" s="50">
        <f>Participantes!DI24</f>
        <v>0</v>
      </c>
      <c r="FL25" s="50">
        <f>Participantes!DJ24</f>
        <v>0</v>
      </c>
      <c r="FM25" s="50" t="str">
        <f t="shared" si="55"/>
        <v/>
      </c>
      <c r="FN25" s="50">
        <f>Participantes!DK24</f>
        <v>0</v>
      </c>
      <c r="FO25" s="50">
        <f>Participantes!DL24</f>
        <v>0</v>
      </c>
      <c r="FP25" s="50" t="str">
        <f t="shared" si="56"/>
        <v/>
      </c>
      <c r="FQ25" s="50">
        <f>Participantes!DM24</f>
        <v>0</v>
      </c>
      <c r="FR25" s="50">
        <f>Participantes!DN24</f>
        <v>0</v>
      </c>
      <c r="FS25" s="50" t="str">
        <f t="shared" si="57"/>
        <v/>
      </c>
      <c r="FT25" s="50">
        <f>Participantes!DO24</f>
        <v>0</v>
      </c>
      <c r="FU25" s="50">
        <f>Participantes!DP24</f>
        <v>0</v>
      </c>
      <c r="FV25" s="50" t="str">
        <f t="shared" si="58"/>
        <v/>
      </c>
      <c r="FW25" s="50">
        <f>Participantes!DQ24</f>
        <v>0</v>
      </c>
      <c r="FX25" s="50">
        <f>Participantes!DR24</f>
        <v>0</v>
      </c>
      <c r="FY25" s="50" t="str">
        <f t="shared" si="59"/>
        <v/>
      </c>
      <c r="FZ25" s="50">
        <f>Participantes!DS24</f>
        <v>0</v>
      </c>
      <c r="GA25" s="50">
        <f>Participantes!DT24</f>
        <v>0</v>
      </c>
      <c r="GB25" s="50" t="str">
        <f t="shared" si="60"/>
        <v/>
      </c>
      <c r="GC25" s="50">
        <f>Participantes!DU24</f>
        <v>0</v>
      </c>
      <c r="GD25" s="50">
        <f>Participantes!DV24</f>
        <v>0</v>
      </c>
      <c r="GE25" s="50" t="str">
        <f t="shared" si="61"/>
        <v/>
      </c>
      <c r="GF25" s="50">
        <f>Participantes!DW24</f>
        <v>0</v>
      </c>
      <c r="GG25" s="50">
        <f>Participantes!DX24</f>
        <v>0</v>
      </c>
      <c r="GH25" s="50" t="str">
        <f t="shared" si="62"/>
        <v/>
      </c>
      <c r="GI25" s="50">
        <f>Participantes!DY24</f>
        <v>0</v>
      </c>
      <c r="GJ25" s="50">
        <f>Participantes!DZ24</f>
        <v>0</v>
      </c>
      <c r="GK25" s="50" t="str">
        <f t="shared" si="63"/>
        <v/>
      </c>
      <c r="GL25" s="50">
        <f>Participantes!EA24</f>
        <v>0</v>
      </c>
      <c r="GM25" s="50">
        <f>Participantes!EB24</f>
        <v>0</v>
      </c>
      <c r="GN25" s="50" t="str">
        <f t="shared" si="64"/>
        <v/>
      </c>
      <c r="GO25" s="50">
        <f>Participantes!EC24</f>
        <v>0</v>
      </c>
      <c r="GP25" s="50">
        <f>Participantes!ED24</f>
        <v>0</v>
      </c>
      <c r="GQ25" s="50" t="str">
        <f t="shared" si="65"/>
        <v/>
      </c>
      <c r="GR25" s="50">
        <f>Participantes!EE24</f>
        <v>0</v>
      </c>
      <c r="GS25" s="50">
        <f>Participantes!EF24</f>
        <v>0</v>
      </c>
      <c r="GT25" s="50" t="str">
        <f t="shared" si="66"/>
        <v/>
      </c>
      <c r="GU25" s="50">
        <f>Participantes!EG24</f>
        <v>0</v>
      </c>
      <c r="GV25" s="50">
        <f>Participantes!EH24</f>
        <v>0</v>
      </c>
      <c r="GW25" s="50" t="str">
        <f t="shared" si="67"/>
        <v/>
      </c>
      <c r="GX25" s="50">
        <f>Participantes!EI24</f>
        <v>0</v>
      </c>
      <c r="GY25" s="50">
        <f>Participantes!EJ24</f>
        <v>0</v>
      </c>
      <c r="GZ25" s="50" t="str">
        <f t="shared" si="68"/>
        <v/>
      </c>
      <c r="HA25" s="50">
        <f>Participantes!EK24</f>
        <v>0</v>
      </c>
      <c r="HB25" s="50">
        <f>Participantes!EL24</f>
        <v>0</v>
      </c>
      <c r="HC25" s="50" t="str">
        <f t="shared" si="69"/>
        <v/>
      </c>
      <c r="HD25" s="50">
        <f>Participantes!EM24</f>
        <v>0</v>
      </c>
      <c r="HE25" s="50">
        <f>Participantes!EN24</f>
        <v>0</v>
      </c>
      <c r="HF25" s="50" t="str">
        <f t="shared" si="70"/>
        <v/>
      </c>
      <c r="HG25" s="50">
        <f>Participantes!EO24</f>
        <v>0</v>
      </c>
      <c r="HH25" s="50">
        <f>Participantes!EP24</f>
        <v>0</v>
      </c>
      <c r="HI25" s="50" t="str">
        <f t="shared" si="71"/>
        <v/>
      </c>
      <c r="HJ25" s="51">
        <f t="shared" si="72"/>
        <v>1</v>
      </c>
    </row>
    <row r="26" spans="1:218" ht="15" customHeight="1" x14ac:dyDescent="0.25">
      <c r="A26" s="49" t="str">
        <f>Participantes!B25</f>
        <v>Karina</v>
      </c>
      <c r="B26" s="50">
        <f>Participantes!C25</f>
        <v>3</v>
      </c>
      <c r="C26" s="50">
        <f>Participantes!D25</f>
        <v>1</v>
      </c>
      <c r="D26" s="50">
        <f t="shared" si="0"/>
        <v>1</v>
      </c>
      <c r="E26" s="50">
        <f>Participantes!E25</f>
        <v>1</v>
      </c>
      <c r="F26" s="50">
        <f>Participantes!F25</f>
        <v>2</v>
      </c>
      <c r="G26" s="50">
        <f t="shared" si="1"/>
        <v>0</v>
      </c>
      <c r="H26" s="50">
        <f>Participantes!G25</f>
        <v>2</v>
      </c>
      <c r="I26" s="50">
        <f>Participantes!H25</f>
        <v>1</v>
      </c>
      <c r="J26" s="50" t="str">
        <f t="shared" si="2"/>
        <v/>
      </c>
      <c r="K26" s="50">
        <f>Participantes!I25</f>
        <v>2</v>
      </c>
      <c r="L26" s="50">
        <f>Participantes!J25</f>
        <v>1</v>
      </c>
      <c r="M26" s="50" t="str">
        <f t="shared" si="3"/>
        <v/>
      </c>
      <c r="N26" s="50">
        <f>Participantes!K25</f>
        <v>1</v>
      </c>
      <c r="O26" s="50">
        <f>Participantes!L25</f>
        <v>3</v>
      </c>
      <c r="P26" s="50" t="str">
        <f t="shared" si="4"/>
        <v/>
      </c>
      <c r="Q26" s="50">
        <f>Participantes!M25</f>
        <v>1</v>
      </c>
      <c r="R26" s="50">
        <f>Participantes!N25</f>
        <v>1</v>
      </c>
      <c r="S26" s="50" t="str">
        <f t="shared" si="5"/>
        <v/>
      </c>
      <c r="T26" s="50">
        <f>Participantes!O25</f>
        <v>3</v>
      </c>
      <c r="U26" s="50">
        <f>Participantes!P25</f>
        <v>2</v>
      </c>
      <c r="V26" s="50" t="str">
        <f t="shared" si="6"/>
        <v/>
      </c>
      <c r="W26" s="50">
        <f>Participantes!Q25</f>
        <v>1</v>
      </c>
      <c r="X26" s="50">
        <f>Participantes!R25</f>
        <v>2</v>
      </c>
      <c r="Y26" s="50" t="str">
        <f t="shared" si="7"/>
        <v/>
      </c>
      <c r="Z26" s="50">
        <f>Participantes!S25</f>
        <v>2</v>
      </c>
      <c r="AA26" s="50">
        <f>Participantes!T25</f>
        <v>2</v>
      </c>
      <c r="AB26" s="50" t="str">
        <f t="shared" si="8"/>
        <v/>
      </c>
      <c r="AC26" s="50">
        <f>Participantes!U25</f>
        <v>3</v>
      </c>
      <c r="AD26" s="50">
        <f>Participantes!V25</f>
        <v>1</v>
      </c>
      <c r="AE26" s="50" t="str">
        <f t="shared" si="9"/>
        <v/>
      </c>
      <c r="AF26" s="50">
        <f>Participantes!W25</f>
        <v>3</v>
      </c>
      <c r="AG26" s="50">
        <f>Participantes!X25</f>
        <v>1</v>
      </c>
      <c r="AH26" s="50" t="str">
        <f t="shared" si="10"/>
        <v/>
      </c>
      <c r="AI26" s="50">
        <f>Participantes!Y25</f>
        <v>2</v>
      </c>
      <c r="AJ26" s="50">
        <f>Participantes!Z25</f>
        <v>1</v>
      </c>
      <c r="AK26" s="50" t="str">
        <f t="shared" si="11"/>
        <v/>
      </c>
      <c r="AL26" s="50">
        <f>Participantes!AA25</f>
        <v>1</v>
      </c>
      <c r="AM26" s="50">
        <f>Participantes!AB25</f>
        <v>3</v>
      </c>
      <c r="AN26" s="50" t="str">
        <f t="shared" si="12"/>
        <v/>
      </c>
      <c r="AO26" s="50">
        <f>Participantes!AC25</f>
        <v>5</v>
      </c>
      <c r="AP26" s="50">
        <f>Participantes!AD25</f>
        <v>1</v>
      </c>
      <c r="AQ26" s="50" t="str">
        <f t="shared" si="13"/>
        <v/>
      </c>
      <c r="AR26" s="50">
        <f>Participantes!AE25</f>
        <v>0</v>
      </c>
      <c r="AS26" s="50">
        <f>Participantes!AF25</f>
        <v>0</v>
      </c>
      <c r="AT26" s="50" t="str">
        <f t="shared" si="14"/>
        <v/>
      </c>
      <c r="AU26" s="50">
        <f>Participantes!AG25</f>
        <v>0</v>
      </c>
      <c r="AV26" s="50">
        <f>Participantes!AH25</f>
        <v>0</v>
      </c>
      <c r="AW26" s="50" t="str">
        <f t="shared" si="15"/>
        <v/>
      </c>
      <c r="AX26" s="50">
        <f>Participantes!AI25</f>
        <v>0</v>
      </c>
      <c r="AY26" s="50">
        <f>Participantes!AJ25</f>
        <v>0</v>
      </c>
      <c r="AZ26" s="50" t="str">
        <f t="shared" si="16"/>
        <v/>
      </c>
      <c r="BA26" s="50">
        <f>Participantes!AK25</f>
        <v>0</v>
      </c>
      <c r="BB26" s="50">
        <f>Participantes!AL25</f>
        <v>0</v>
      </c>
      <c r="BC26" s="50" t="str">
        <f t="shared" si="17"/>
        <v/>
      </c>
      <c r="BD26" s="50">
        <f>Participantes!AM25</f>
        <v>0</v>
      </c>
      <c r="BE26" s="50">
        <f>Participantes!AN25</f>
        <v>0</v>
      </c>
      <c r="BF26" s="50" t="str">
        <f t="shared" si="18"/>
        <v/>
      </c>
      <c r="BG26" s="50">
        <f>Participantes!AO25</f>
        <v>0</v>
      </c>
      <c r="BH26" s="50">
        <f>Participantes!AP25</f>
        <v>0</v>
      </c>
      <c r="BI26" s="50" t="str">
        <f t="shared" si="19"/>
        <v/>
      </c>
      <c r="BJ26" s="50">
        <f>Participantes!AQ25</f>
        <v>0</v>
      </c>
      <c r="BK26" s="50">
        <f>Participantes!AR25</f>
        <v>0</v>
      </c>
      <c r="BL26" s="50" t="str">
        <f t="shared" si="20"/>
        <v/>
      </c>
      <c r="BM26" s="50">
        <f>Participantes!AS25</f>
        <v>0</v>
      </c>
      <c r="BN26" s="50">
        <f>Participantes!AT25</f>
        <v>0</v>
      </c>
      <c r="BO26" s="50" t="str">
        <f t="shared" si="21"/>
        <v/>
      </c>
      <c r="BP26" s="50">
        <f>Participantes!AU25</f>
        <v>0</v>
      </c>
      <c r="BQ26" s="50">
        <f>Participantes!AV25</f>
        <v>0</v>
      </c>
      <c r="BR26" s="50" t="str">
        <f t="shared" si="22"/>
        <v/>
      </c>
      <c r="BS26" s="50">
        <f>Participantes!AW25</f>
        <v>0</v>
      </c>
      <c r="BT26" s="50">
        <f>Participantes!AX25</f>
        <v>0</v>
      </c>
      <c r="BU26" s="50" t="str">
        <f t="shared" si="23"/>
        <v/>
      </c>
      <c r="BV26" s="50">
        <f>Participantes!AY25</f>
        <v>0</v>
      </c>
      <c r="BW26" s="50">
        <f>Participantes!AZ25</f>
        <v>0</v>
      </c>
      <c r="BX26" s="50" t="str">
        <f t="shared" si="24"/>
        <v/>
      </c>
      <c r="BY26" s="50">
        <f>Participantes!BA25</f>
        <v>0</v>
      </c>
      <c r="BZ26" s="50">
        <f>Participantes!BB25</f>
        <v>0</v>
      </c>
      <c r="CA26" s="50" t="str">
        <f t="shared" si="25"/>
        <v/>
      </c>
      <c r="CB26" s="50">
        <f>Participantes!BC25</f>
        <v>0</v>
      </c>
      <c r="CC26" s="50">
        <f>Participantes!BD25</f>
        <v>0</v>
      </c>
      <c r="CD26" s="50" t="str">
        <f t="shared" si="26"/>
        <v/>
      </c>
      <c r="CE26" s="50">
        <f>Participantes!BE25</f>
        <v>0</v>
      </c>
      <c r="CF26" s="50">
        <f>Participantes!BF25</f>
        <v>0</v>
      </c>
      <c r="CG26" s="50" t="str">
        <f t="shared" si="27"/>
        <v/>
      </c>
      <c r="CH26" s="50">
        <f>Participantes!BG25</f>
        <v>0</v>
      </c>
      <c r="CI26" s="50">
        <f>Participantes!BH25</f>
        <v>0</v>
      </c>
      <c r="CJ26" s="50" t="str">
        <f t="shared" si="28"/>
        <v/>
      </c>
      <c r="CK26" s="50">
        <f>Participantes!BI25</f>
        <v>0</v>
      </c>
      <c r="CL26" s="50">
        <f>Participantes!BJ25</f>
        <v>0</v>
      </c>
      <c r="CM26" s="50" t="str">
        <f t="shared" si="29"/>
        <v/>
      </c>
      <c r="CN26" s="50">
        <f>Participantes!BK25</f>
        <v>0</v>
      </c>
      <c r="CO26" s="50">
        <f>Participantes!BL25</f>
        <v>0</v>
      </c>
      <c r="CP26" s="50" t="str">
        <f t="shared" si="30"/>
        <v/>
      </c>
      <c r="CQ26" s="50">
        <f>Participantes!BM25</f>
        <v>0</v>
      </c>
      <c r="CR26" s="50">
        <f>Participantes!BN25</f>
        <v>0</v>
      </c>
      <c r="CS26" s="50" t="str">
        <f t="shared" si="31"/>
        <v/>
      </c>
      <c r="CT26" s="50">
        <f>Participantes!BO25</f>
        <v>0</v>
      </c>
      <c r="CU26" s="50">
        <f>Participantes!BP25</f>
        <v>0</v>
      </c>
      <c r="CV26" s="50" t="str">
        <f t="shared" si="32"/>
        <v/>
      </c>
      <c r="CW26" s="50">
        <f>Participantes!BQ25</f>
        <v>0</v>
      </c>
      <c r="CX26" s="50">
        <f>Participantes!BR25</f>
        <v>0</v>
      </c>
      <c r="CY26" s="50" t="str">
        <f t="shared" si="33"/>
        <v/>
      </c>
      <c r="CZ26" s="50">
        <f>Participantes!BS25</f>
        <v>0</v>
      </c>
      <c r="DA26" s="50">
        <f>Participantes!BT25</f>
        <v>0</v>
      </c>
      <c r="DB26" s="50" t="str">
        <f t="shared" si="34"/>
        <v/>
      </c>
      <c r="DC26" s="50">
        <f>Participantes!BU25</f>
        <v>0</v>
      </c>
      <c r="DD26" s="50">
        <f>Participantes!BV25</f>
        <v>0</v>
      </c>
      <c r="DE26" s="50" t="str">
        <f t="shared" si="35"/>
        <v/>
      </c>
      <c r="DF26" s="50">
        <f>Participantes!BW25</f>
        <v>0</v>
      </c>
      <c r="DG26" s="50">
        <f>Participantes!BX25</f>
        <v>0</v>
      </c>
      <c r="DH26" s="50" t="str">
        <f t="shared" si="36"/>
        <v/>
      </c>
      <c r="DI26" s="50">
        <f>Participantes!BY25</f>
        <v>0</v>
      </c>
      <c r="DJ26" s="50">
        <f>Participantes!BZ25</f>
        <v>0</v>
      </c>
      <c r="DK26" s="50" t="str">
        <f t="shared" si="37"/>
        <v/>
      </c>
      <c r="DL26" s="50">
        <f>Participantes!CA25</f>
        <v>0</v>
      </c>
      <c r="DM26" s="50">
        <f>Participantes!CB25</f>
        <v>0</v>
      </c>
      <c r="DN26" s="50" t="str">
        <f t="shared" si="38"/>
        <v/>
      </c>
      <c r="DO26" s="50">
        <f>Participantes!CC25</f>
        <v>0</v>
      </c>
      <c r="DP26" s="50">
        <f>Participantes!CD25</f>
        <v>0</v>
      </c>
      <c r="DQ26" s="50" t="str">
        <f t="shared" si="39"/>
        <v/>
      </c>
      <c r="DR26" s="50">
        <f>Participantes!CE25</f>
        <v>0</v>
      </c>
      <c r="DS26" s="50">
        <f>Participantes!CF25</f>
        <v>0</v>
      </c>
      <c r="DT26" s="50" t="str">
        <f t="shared" si="40"/>
        <v/>
      </c>
      <c r="DU26" s="50">
        <f>Participantes!CG25</f>
        <v>0</v>
      </c>
      <c r="DV26" s="50">
        <f>Participantes!CH25</f>
        <v>0</v>
      </c>
      <c r="DW26" s="50" t="str">
        <f t="shared" si="41"/>
        <v/>
      </c>
      <c r="DX26" s="50">
        <f>Participantes!CI25</f>
        <v>0</v>
      </c>
      <c r="DY26" s="50">
        <f>Participantes!CJ25</f>
        <v>0</v>
      </c>
      <c r="DZ26" s="50" t="str">
        <f t="shared" si="42"/>
        <v/>
      </c>
      <c r="EA26" s="50">
        <f>Participantes!CK25</f>
        <v>0</v>
      </c>
      <c r="EB26" s="50">
        <f>Participantes!CL25</f>
        <v>0</v>
      </c>
      <c r="EC26" s="50" t="str">
        <f t="shared" si="43"/>
        <v/>
      </c>
      <c r="ED26" s="50">
        <f>Participantes!CM25</f>
        <v>0</v>
      </c>
      <c r="EE26" s="50">
        <f>Participantes!CN25</f>
        <v>0</v>
      </c>
      <c r="EF26" s="50" t="str">
        <f t="shared" si="44"/>
        <v/>
      </c>
      <c r="EG26" s="50">
        <f>Participantes!CO25</f>
        <v>0</v>
      </c>
      <c r="EH26" s="50">
        <f>Participantes!CP25</f>
        <v>0</v>
      </c>
      <c r="EI26" s="50" t="str">
        <f t="shared" si="45"/>
        <v/>
      </c>
      <c r="EJ26" s="50">
        <f>Participantes!CQ25</f>
        <v>0</v>
      </c>
      <c r="EK26" s="50">
        <f>Participantes!CR25</f>
        <v>0</v>
      </c>
      <c r="EL26" s="50" t="str">
        <f t="shared" si="46"/>
        <v/>
      </c>
      <c r="EM26" s="50">
        <f>Participantes!CS25</f>
        <v>0</v>
      </c>
      <c r="EN26" s="50">
        <f>Participantes!CT25</f>
        <v>0</v>
      </c>
      <c r="EO26" s="50" t="str">
        <f t="shared" si="47"/>
        <v/>
      </c>
      <c r="EP26" s="50">
        <f>Participantes!CU25</f>
        <v>0</v>
      </c>
      <c r="EQ26" s="50">
        <f>Participantes!CV25</f>
        <v>0</v>
      </c>
      <c r="ER26" s="50" t="str">
        <f t="shared" si="48"/>
        <v/>
      </c>
      <c r="ES26" s="50">
        <f>Participantes!CW25</f>
        <v>0</v>
      </c>
      <c r="ET26" s="50">
        <f>Participantes!CX25</f>
        <v>0</v>
      </c>
      <c r="EU26" s="50" t="str">
        <f t="shared" si="49"/>
        <v/>
      </c>
      <c r="EV26" s="50">
        <f>Participantes!CY25</f>
        <v>0</v>
      </c>
      <c r="EW26" s="50">
        <f>Participantes!CZ25</f>
        <v>0</v>
      </c>
      <c r="EX26" s="50" t="str">
        <f t="shared" si="50"/>
        <v/>
      </c>
      <c r="EY26" s="50">
        <f>Participantes!DA25</f>
        <v>0</v>
      </c>
      <c r="EZ26" s="50">
        <f>Participantes!DB25</f>
        <v>0</v>
      </c>
      <c r="FA26" s="50" t="str">
        <f t="shared" si="51"/>
        <v/>
      </c>
      <c r="FB26" s="50">
        <f>Participantes!DC25</f>
        <v>0</v>
      </c>
      <c r="FC26" s="50">
        <f>Participantes!DD25</f>
        <v>0</v>
      </c>
      <c r="FD26" s="50" t="str">
        <f t="shared" si="52"/>
        <v/>
      </c>
      <c r="FE26" s="50">
        <f>Participantes!DE25</f>
        <v>0</v>
      </c>
      <c r="FF26" s="50">
        <f>Participantes!DF25</f>
        <v>0</v>
      </c>
      <c r="FG26" s="50" t="str">
        <f t="shared" si="53"/>
        <v/>
      </c>
      <c r="FH26" s="50">
        <f>Participantes!DG25</f>
        <v>0</v>
      </c>
      <c r="FI26" s="50">
        <f>Participantes!DH25</f>
        <v>0</v>
      </c>
      <c r="FJ26" s="50" t="str">
        <f t="shared" si="54"/>
        <v/>
      </c>
      <c r="FK26" s="50">
        <f>Participantes!DI25</f>
        <v>0</v>
      </c>
      <c r="FL26" s="50">
        <f>Participantes!DJ25</f>
        <v>0</v>
      </c>
      <c r="FM26" s="50" t="str">
        <f t="shared" si="55"/>
        <v/>
      </c>
      <c r="FN26" s="50">
        <f>Participantes!DK25</f>
        <v>0</v>
      </c>
      <c r="FO26" s="50">
        <f>Participantes!DL25</f>
        <v>0</v>
      </c>
      <c r="FP26" s="50" t="str">
        <f t="shared" si="56"/>
        <v/>
      </c>
      <c r="FQ26" s="50">
        <f>Participantes!DM25</f>
        <v>0</v>
      </c>
      <c r="FR26" s="50">
        <f>Participantes!DN25</f>
        <v>0</v>
      </c>
      <c r="FS26" s="50" t="str">
        <f t="shared" si="57"/>
        <v/>
      </c>
      <c r="FT26" s="50">
        <f>Participantes!DO25</f>
        <v>0</v>
      </c>
      <c r="FU26" s="50">
        <f>Participantes!DP25</f>
        <v>0</v>
      </c>
      <c r="FV26" s="50" t="str">
        <f t="shared" si="58"/>
        <v/>
      </c>
      <c r="FW26" s="50">
        <f>Participantes!DQ25</f>
        <v>0</v>
      </c>
      <c r="FX26" s="50">
        <f>Participantes!DR25</f>
        <v>0</v>
      </c>
      <c r="FY26" s="50" t="str">
        <f t="shared" si="59"/>
        <v/>
      </c>
      <c r="FZ26" s="50">
        <f>Participantes!DS25</f>
        <v>0</v>
      </c>
      <c r="GA26" s="50">
        <f>Participantes!DT25</f>
        <v>0</v>
      </c>
      <c r="GB26" s="50" t="str">
        <f t="shared" si="60"/>
        <v/>
      </c>
      <c r="GC26" s="50">
        <f>Participantes!DU25</f>
        <v>0</v>
      </c>
      <c r="GD26" s="50">
        <f>Participantes!DV25</f>
        <v>0</v>
      </c>
      <c r="GE26" s="50" t="str">
        <f t="shared" si="61"/>
        <v/>
      </c>
      <c r="GF26" s="50">
        <f>Participantes!DW25</f>
        <v>0</v>
      </c>
      <c r="GG26" s="50">
        <f>Participantes!DX25</f>
        <v>0</v>
      </c>
      <c r="GH26" s="50" t="str">
        <f t="shared" si="62"/>
        <v/>
      </c>
      <c r="GI26" s="50">
        <f>Participantes!DY25</f>
        <v>0</v>
      </c>
      <c r="GJ26" s="50">
        <f>Participantes!DZ25</f>
        <v>0</v>
      </c>
      <c r="GK26" s="50" t="str">
        <f t="shared" si="63"/>
        <v/>
      </c>
      <c r="GL26" s="50">
        <f>Participantes!EA25</f>
        <v>0</v>
      </c>
      <c r="GM26" s="50">
        <f>Participantes!EB25</f>
        <v>0</v>
      </c>
      <c r="GN26" s="50" t="str">
        <f t="shared" si="64"/>
        <v/>
      </c>
      <c r="GO26" s="50">
        <f>Participantes!EC25</f>
        <v>0</v>
      </c>
      <c r="GP26" s="50">
        <f>Participantes!ED25</f>
        <v>0</v>
      </c>
      <c r="GQ26" s="50" t="str">
        <f t="shared" si="65"/>
        <v/>
      </c>
      <c r="GR26" s="50">
        <f>Participantes!EE25</f>
        <v>0</v>
      </c>
      <c r="GS26" s="50">
        <f>Participantes!EF25</f>
        <v>0</v>
      </c>
      <c r="GT26" s="50" t="str">
        <f t="shared" si="66"/>
        <v/>
      </c>
      <c r="GU26" s="50">
        <f>Participantes!EG25</f>
        <v>0</v>
      </c>
      <c r="GV26" s="50">
        <f>Participantes!EH25</f>
        <v>0</v>
      </c>
      <c r="GW26" s="50" t="str">
        <f t="shared" si="67"/>
        <v/>
      </c>
      <c r="GX26" s="50">
        <f>Participantes!EI25</f>
        <v>0</v>
      </c>
      <c r="GY26" s="50">
        <f>Participantes!EJ25</f>
        <v>0</v>
      </c>
      <c r="GZ26" s="50" t="str">
        <f t="shared" si="68"/>
        <v/>
      </c>
      <c r="HA26" s="50">
        <f>Participantes!EK25</f>
        <v>0</v>
      </c>
      <c r="HB26" s="50">
        <f>Participantes!EL25</f>
        <v>0</v>
      </c>
      <c r="HC26" s="50" t="str">
        <f t="shared" si="69"/>
        <v/>
      </c>
      <c r="HD26" s="50">
        <f>Participantes!EM25</f>
        <v>0</v>
      </c>
      <c r="HE26" s="50">
        <f>Participantes!EN25</f>
        <v>0</v>
      </c>
      <c r="HF26" s="50" t="str">
        <f t="shared" si="70"/>
        <v/>
      </c>
      <c r="HG26" s="50">
        <f>Participantes!EO25</f>
        <v>0</v>
      </c>
      <c r="HH26" s="50">
        <f>Participantes!EP25</f>
        <v>0</v>
      </c>
      <c r="HI26" s="50" t="str">
        <f t="shared" si="71"/>
        <v/>
      </c>
      <c r="HJ26" s="51">
        <f t="shared" si="72"/>
        <v>1</v>
      </c>
    </row>
    <row r="27" spans="1:218" ht="15" customHeight="1" x14ac:dyDescent="0.25">
      <c r="A27" s="49" t="str">
        <f>Participantes!B26</f>
        <v>Kattia 1</v>
      </c>
      <c r="B27" s="50">
        <f>Participantes!C26</f>
        <v>2</v>
      </c>
      <c r="C27" s="50">
        <f>Participantes!D26</f>
        <v>1</v>
      </c>
      <c r="D27" s="50">
        <f t="shared" si="0"/>
        <v>1</v>
      </c>
      <c r="E27" s="50">
        <f>Participantes!E26</f>
        <v>2</v>
      </c>
      <c r="F27" s="50">
        <f>Participantes!F26</f>
        <v>0</v>
      </c>
      <c r="G27" s="50">
        <f t="shared" si="1"/>
        <v>1</v>
      </c>
      <c r="H27" s="50">
        <f>Participantes!G26</f>
        <v>3</v>
      </c>
      <c r="I27" s="50">
        <f>Participantes!H26</f>
        <v>0</v>
      </c>
      <c r="J27" s="50" t="str">
        <f t="shared" si="2"/>
        <v/>
      </c>
      <c r="K27" s="50">
        <f>Participantes!I26</f>
        <v>2</v>
      </c>
      <c r="L27" s="50">
        <f>Participantes!J26</f>
        <v>1</v>
      </c>
      <c r="M27" s="50" t="str">
        <f t="shared" si="3"/>
        <v/>
      </c>
      <c r="N27" s="50">
        <f>Participantes!K26</f>
        <v>0</v>
      </c>
      <c r="O27" s="50">
        <f>Participantes!L26</f>
        <v>2</v>
      </c>
      <c r="P27" s="50" t="str">
        <f t="shared" si="4"/>
        <v/>
      </c>
      <c r="Q27" s="50">
        <f>Participantes!M26</f>
        <v>2</v>
      </c>
      <c r="R27" s="50">
        <f>Participantes!N26</f>
        <v>0</v>
      </c>
      <c r="S27" s="50" t="str">
        <f t="shared" si="5"/>
        <v/>
      </c>
      <c r="T27" s="50">
        <f>Participantes!O26</f>
        <v>2</v>
      </c>
      <c r="U27" s="50">
        <f>Participantes!P26</f>
        <v>2</v>
      </c>
      <c r="V27" s="50" t="str">
        <f t="shared" si="6"/>
        <v/>
      </c>
      <c r="W27" s="50">
        <f>Participantes!Q26</f>
        <v>0</v>
      </c>
      <c r="X27" s="50">
        <f>Participantes!R26</f>
        <v>2</v>
      </c>
      <c r="Y27" s="50" t="str">
        <f t="shared" si="7"/>
        <v/>
      </c>
      <c r="Z27" s="50">
        <f>Participantes!S26</f>
        <v>2</v>
      </c>
      <c r="AA27" s="50">
        <f>Participantes!T26</f>
        <v>1</v>
      </c>
      <c r="AB27" s="50" t="str">
        <f t="shared" si="8"/>
        <v/>
      </c>
      <c r="AC27" s="50">
        <f>Participantes!U26</f>
        <v>3</v>
      </c>
      <c r="AD27" s="50">
        <f>Participantes!V26</f>
        <v>1</v>
      </c>
      <c r="AE27" s="50" t="str">
        <f t="shared" si="9"/>
        <v/>
      </c>
      <c r="AF27" s="50">
        <f>Participantes!W26</f>
        <v>4</v>
      </c>
      <c r="AG27" s="50">
        <f>Participantes!X26</f>
        <v>0</v>
      </c>
      <c r="AH27" s="50" t="str">
        <f t="shared" si="10"/>
        <v/>
      </c>
      <c r="AI27" s="50">
        <f>Participantes!Y26</f>
        <v>2</v>
      </c>
      <c r="AJ27" s="50">
        <f>Participantes!Z26</f>
        <v>0</v>
      </c>
      <c r="AK27" s="50" t="str">
        <f t="shared" si="11"/>
        <v/>
      </c>
      <c r="AL27" s="50">
        <f>Participantes!AA26</f>
        <v>1</v>
      </c>
      <c r="AM27" s="50">
        <f>Participantes!AB26</f>
        <v>3</v>
      </c>
      <c r="AN27" s="50" t="str">
        <f t="shared" si="12"/>
        <v/>
      </c>
      <c r="AO27" s="50">
        <f>Participantes!AC26</f>
        <v>3</v>
      </c>
      <c r="AP27" s="50">
        <f>Participantes!AD26</f>
        <v>1</v>
      </c>
      <c r="AQ27" s="50" t="str">
        <f t="shared" si="13"/>
        <v/>
      </c>
      <c r="AR27" s="50">
        <f>Participantes!AE26</f>
        <v>0</v>
      </c>
      <c r="AS27" s="50">
        <f>Participantes!AF26</f>
        <v>0</v>
      </c>
      <c r="AT27" s="50" t="str">
        <f t="shared" si="14"/>
        <v/>
      </c>
      <c r="AU27" s="50">
        <f>Participantes!AG26</f>
        <v>0</v>
      </c>
      <c r="AV27" s="50">
        <f>Participantes!AH26</f>
        <v>0</v>
      </c>
      <c r="AW27" s="50" t="str">
        <f t="shared" si="15"/>
        <v/>
      </c>
      <c r="AX27" s="50">
        <f>Participantes!AI26</f>
        <v>0</v>
      </c>
      <c r="AY27" s="50">
        <f>Participantes!AJ26</f>
        <v>0</v>
      </c>
      <c r="AZ27" s="50" t="str">
        <f t="shared" si="16"/>
        <v/>
      </c>
      <c r="BA27" s="50">
        <f>Participantes!AK26</f>
        <v>0</v>
      </c>
      <c r="BB27" s="50">
        <f>Participantes!AL26</f>
        <v>0</v>
      </c>
      <c r="BC27" s="50" t="str">
        <f t="shared" si="17"/>
        <v/>
      </c>
      <c r="BD27" s="50">
        <f>Participantes!AM26</f>
        <v>0</v>
      </c>
      <c r="BE27" s="50">
        <f>Participantes!AN26</f>
        <v>0</v>
      </c>
      <c r="BF27" s="50" t="str">
        <f t="shared" si="18"/>
        <v/>
      </c>
      <c r="BG27" s="50">
        <f>Participantes!AO26</f>
        <v>0</v>
      </c>
      <c r="BH27" s="50">
        <f>Participantes!AP26</f>
        <v>0</v>
      </c>
      <c r="BI27" s="50" t="str">
        <f t="shared" si="19"/>
        <v/>
      </c>
      <c r="BJ27" s="50">
        <f>Participantes!AQ26</f>
        <v>0</v>
      </c>
      <c r="BK27" s="50">
        <f>Participantes!AR26</f>
        <v>0</v>
      </c>
      <c r="BL27" s="50" t="str">
        <f t="shared" si="20"/>
        <v/>
      </c>
      <c r="BM27" s="50">
        <f>Participantes!AS26</f>
        <v>0</v>
      </c>
      <c r="BN27" s="50">
        <f>Participantes!AT26</f>
        <v>0</v>
      </c>
      <c r="BO27" s="50" t="str">
        <f t="shared" si="21"/>
        <v/>
      </c>
      <c r="BP27" s="50">
        <f>Participantes!AU26</f>
        <v>0</v>
      </c>
      <c r="BQ27" s="50">
        <f>Participantes!AV26</f>
        <v>0</v>
      </c>
      <c r="BR27" s="50" t="str">
        <f t="shared" si="22"/>
        <v/>
      </c>
      <c r="BS27" s="50">
        <f>Participantes!AW26</f>
        <v>0</v>
      </c>
      <c r="BT27" s="50">
        <f>Participantes!AX26</f>
        <v>0</v>
      </c>
      <c r="BU27" s="50" t="str">
        <f t="shared" si="23"/>
        <v/>
      </c>
      <c r="BV27" s="50">
        <f>Participantes!AY26</f>
        <v>0</v>
      </c>
      <c r="BW27" s="50">
        <f>Participantes!AZ26</f>
        <v>0</v>
      </c>
      <c r="BX27" s="50" t="str">
        <f t="shared" si="24"/>
        <v/>
      </c>
      <c r="BY27" s="50">
        <f>Participantes!BA26</f>
        <v>0</v>
      </c>
      <c r="BZ27" s="50">
        <f>Participantes!BB26</f>
        <v>0</v>
      </c>
      <c r="CA27" s="50" t="str">
        <f t="shared" si="25"/>
        <v/>
      </c>
      <c r="CB27" s="50">
        <f>Participantes!BC26</f>
        <v>0</v>
      </c>
      <c r="CC27" s="50">
        <f>Participantes!BD26</f>
        <v>0</v>
      </c>
      <c r="CD27" s="50" t="str">
        <f t="shared" si="26"/>
        <v/>
      </c>
      <c r="CE27" s="50">
        <f>Participantes!BE26</f>
        <v>0</v>
      </c>
      <c r="CF27" s="50">
        <f>Participantes!BF26</f>
        <v>0</v>
      </c>
      <c r="CG27" s="50" t="str">
        <f t="shared" si="27"/>
        <v/>
      </c>
      <c r="CH27" s="50">
        <f>Participantes!BG26</f>
        <v>0</v>
      </c>
      <c r="CI27" s="50">
        <f>Participantes!BH26</f>
        <v>0</v>
      </c>
      <c r="CJ27" s="50" t="str">
        <f t="shared" si="28"/>
        <v/>
      </c>
      <c r="CK27" s="50">
        <f>Participantes!BI26</f>
        <v>0</v>
      </c>
      <c r="CL27" s="50">
        <f>Participantes!BJ26</f>
        <v>0</v>
      </c>
      <c r="CM27" s="50" t="str">
        <f t="shared" si="29"/>
        <v/>
      </c>
      <c r="CN27" s="50">
        <f>Participantes!BK26</f>
        <v>0</v>
      </c>
      <c r="CO27" s="50">
        <f>Participantes!BL26</f>
        <v>0</v>
      </c>
      <c r="CP27" s="50" t="str">
        <f t="shared" si="30"/>
        <v/>
      </c>
      <c r="CQ27" s="50">
        <f>Participantes!BM26</f>
        <v>0</v>
      </c>
      <c r="CR27" s="50">
        <f>Participantes!BN26</f>
        <v>0</v>
      </c>
      <c r="CS27" s="50" t="str">
        <f t="shared" si="31"/>
        <v/>
      </c>
      <c r="CT27" s="50">
        <f>Participantes!BO26</f>
        <v>0</v>
      </c>
      <c r="CU27" s="50">
        <f>Participantes!BP26</f>
        <v>0</v>
      </c>
      <c r="CV27" s="50" t="str">
        <f t="shared" si="32"/>
        <v/>
      </c>
      <c r="CW27" s="50">
        <f>Participantes!BQ26</f>
        <v>0</v>
      </c>
      <c r="CX27" s="50">
        <f>Participantes!BR26</f>
        <v>0</v>
      </c>
      <c r="CY27" s="50" t="str">
        <f t="shared" si="33"/>
        <v/>
      </c>
      <c r="CZ27" s="50">
        <f>Participantes!BS26</f>
        <v>0</v>
      </c>
      <c r="DA27" s="50">
        <f>Participantes!BT26</f>
        <v>0</v>
      </c>
      <c r="DB27" s="50" t="str">
        <f t="shared" si="34"/>
        <v/>
      </c>
      <c r="DC27" s="50">
        <f>Participantes!BU26</f>
        <v>0</v>
      </c>
      <c r="DD27" s="50">
        <f>Participantes!BV26</f>
        <v>0</v>
      </c>
      <c r="DE27" s="50" t="str">
        <f t="shared" si="35"/>
        <v/>
      </c>
      <c r="DF27" s="50">
        <f>Participantes!BW26</f>
        <v>0</v>
      </c>
      <c r="DG27" s="50">
        <f>Participantes!BX26</f>
        <v>0</v>
      </c>
      <c r="DH27" s="50" t="str">
        <f t="shared" si="36"/>
        <v/>
      </c>
      <c r="DI27" s="50">
        <f>Participantes!BY26</f>
        <v>0</v>
      </c>
      <c r="DJ27" s="50">
        <f>Participantes!BZ26</f>
        <v>0</v>
      </c>
      <c r="DK27" s="50" t="str">
        <f t="shared" si="37"/>
        <v/>
      </c>
      <c r="DL27" s="50">
        <f>Participantes!CA26</f>
        <v>0</v>
      </c>
      <c r="DM27" s="50">
        <f>Participantes!CB26</f>
        <v>0</v>
      </c>
      <c r="DN27" s="50" t="str">
        <f t="shared" si="38"/>
        <v/>
      </c>
      <c r="DO27" s="50">
        <f>Participantes!CC26</f>
        <v>0</v>
      </c>
      <c r="DP27" s="50">
        <f>Participantes!CD26</f>
        <v>0</v>
      </c>
      <c r="DQ27" s="50" t="str">
        <f t="shared" si="39"/>
        <v/>
      </c>
      <c r="DR27" s="50">
        <f>Participantes!CE26</f>
        <v>0</v>
      </c>
      <c r="DS27" s="50">
        <f>Participantes!CF26</f>
        <v>0</v>
      </c>
      <c r="DT27" s="50" t="str">
        <f t="shared" si="40"/>
        <v/>
      </c>
      <c r="DU27" s="50">
        <f>Participantes!CG26</f>
        <v>0</v>
      </c>
      <c r="DV27" s="50">
        <f>Participantes!CH26</f>
        <v>0</v>
      </c>
      <c r="DW27" s="50" t="str">
        <f t="shared" si="41"/>
        <v/>
      </c>
      <c r="DX27" s="50">
        <f>Participantes!CI26</f>
        <v>0</v>
      </c>
      <c r="DY27" s="50">
        <f>Participantes!CJ26</f>
        <v>0</v>
      </c>
      <c r="DZ27" s="50" t="str">
        <f t="shared" si="42"/>
        <v/>
      </c>
      <c r="EA27" s="50">
        <f>Participantes!CK26</f>
        <v>0</v>
      </c>
      <c r="EB27" s="50">
        <f>Participantes!CL26</f>
        <v>0</v>
      </c>
      <c r="EC27" s="50" t="str">
        <f t="shared" si="43"/>
        <v/>
      </c>
      <c r="ED27" s="50">
        <f>Participantes!CM26</f>
        <v>0</v>
      </c>
      <c r="EE27" s="50">
        <f>Participantes!CN26</f>
        <v>0</v>
      </c>
      <c r="EF27" s="50" t="str">
        <f t="shared" si="44"/>
        <v/>
      </c>
      <c r="EG27" s="50">
        <f>Participantes!CO26</f>
        <v>0</v>
      </c>
      <c r="EH27" s="50">
        <f>Participantes!CP26</f>
        <v>0</v>
      </c>
      <c r="EI27" s="50" t="str">
        <f t="shared" si="45"/>
        <v/>
      </c>
      <c r="EJ27" s="50">
        <f>Participantes!CQ26</f>
        <v>0</v>
      </c>
      <c r="EK27" s="50">
        <f>Participantes!CR26</f>
        <v>0</v>
      </c>
      <c r="EL27" s="50" t="str">
        <f t="shared" si="46"/>
        <v/>
      </c>
      <c r="EM27" s="50">
        <f>Participantes!CS26</f>
        <v>0</v>
      </c>
      <c r="EN27" s="50">
        <f>Participantes!CT26</f>
        <v>0</v>
      </c>
      <c r="EO27" s="50" t="str">
        <f t="shared" si="47"/>
        <v/>
      </c>
      <c r="EP27" s="50">
        <f>Participantes!CU26</f>
        <v>0</v>
      </c>
      <c r="EQ27" s="50">
        <f>Participantes!CV26</f>
        <v>0</v>
      </c>
      <c r="ER27" s="50" t="str">
        <f t="shared" si="48"/>
        <v/>
      </c>
      <c r="ES27" s="50">
        <f>Participantes!CW26</f>
        <v>0</v>
      </c>
      <c r="ET27" s="50">
        <f>Participantes!CX26</f>
        <v>0</v>
      </c>
      <c r="EU27" s="50" t="str">
        <f t="shared" si="49"/>
        <v/>
      </c>
      <c r="EV27" s="50">
        <f>Participantes!CY26</f>
        <v>0</v>
      </c>
      <c r="EW27" s="50">
        <f>Participantes!CZ26</f>
        <v>0</v>
      </c>
      <c r="EX27" s="50" t="str">
        <f t="shared" si="50"/>
        <v/>
      </c>
      <c r="EY27" s="50">
        <f>Participantes!DA26</f>
        <v>0</v>
      </c>
      <c r="EZ27" s="50">
        <f>Participantes!DB26</f>
        <v>0</v>
      </c>
      <c r="FA27" s="50" t="str">
        <f t="shared" si="51"/>
        <v/>
      </c>
      <c r="FB27" s="50">
        <f>Participantes!DC26</f>
        <v>0</v>
      </c>
      <c r="FC27" s="50">
        <f>Participantes!DD26</f>
        <v>0</v>
      </c>
      <c r="FD27" s="50" t="str">
        <f t="shared" si="52"/>
        <v/>
      </c>
      <c r="FE27" s="50">
        <f>Participantes!DE26</f>
        <v>0</v>
      </c>
      <c r="FF27" s="50">
        <f>Participantes!DF26</f>
        <v>0</v>
      </c>
      <c r="FG27" s="50" t="str">
        <f t="shared" si="53"/>
        <v/>
      </c>
      <c r="FH27" s="50">
        <f>Participantes!DG26</f>
        <v>0</v>
      </c>
      <c r="FI27" s="50">
        <f>Participantes!DH26</f>
        <v>0</v>
      </c>
      <c r="FJ27" s="50" t="str">
        <f t="shared" si="54"/>
        <v/>
      </c>
      <c r="FK27" s="50">
        <f>Participantes!DI26</f>
        <v>0</v>
      </c>
      <c r="FL27" s="50">
        <f>Participantes!DJ26</f>
        <v>0</v>
      </c>
      <c r="FM27" s="50" t="str">
        <f t="shared" si="55"/>
        <v/>
      </c>
      <c r="FN27" s="50">
        <f>Participantes!DK26</f>
        <v>0</v>
      </c>
      <c r="FO27" s="50">
        <f>Participantes!DL26</f>
        <v>0</v>
      </c>
      <c r="FP27" s="50" t="str">
        <f t="shared" si="56"/>
        <v/>
      </c>
      <c r="FQ27" s="50">
        <f>Participantes!DM26</f>
        <v>0</v>
      </c>
      <c r="FR27" s="50">
        <f>Participantes!DN26</f>
        <v>0</v>
      </c>
      <c r="FS27" s="50" t="str">
        <f t="shared" si="57"/>
        <v/>
      </c>
      <c r="FT27" s="50">
        <f>Participantes!DO26</f>
        <v>0</v>
      </c>
      <c r="FU27" s="50">
        <f>Participantes!DP26</f>
        <v>0</v>
      </c>
      <c r="FV27" s="50" t="str">
        <f t="shared" si="58"/>
        <v/>
      </c>
      <c r="FW27" s="50">
        <f>Participantes!DQ26</f>
        <v>0</v>
      </c>
      <c r="FX27" s="50">
        <f>Participantes!DR26</f>
        <v>0</v>
      </c>
      <c r="FY27" s="50" t="str">
        <f t="shared" si="59"/>
        <v/>
      </c>
      <c r="FZ27" s="50">
        <f>Participantes!DS26</f>
        <v>0</v>
      </c>
      <c r="GA27" s="50">
        <f>Participantes!DT26</f>
        <v>0</v>
      </c>
      <c r="GB27" s="50" t="str">
        <f t="shared" si="60"/>
        <v/>
      </c>
      <c r="GC27" s="50">
        <f>Participantes!DU26</f>
        <v>0</v>
      </c>
      <c r="GD27" s="50">
        <f>Participantes!DV26</f>
        <v>0</v>
      </c>
      <c r="GE27" s="50" t="str">
        <f t="shared" si="61"/>
        <v/>
      </c>
      <c r="GF27" s="50">
        <f>Participantes!DW26</f>
        <v>0</v>
      </c>
      <c r="GG27" s="50">
        <f>Participantes!DX26</f>
        <v>0</v>
      </c>
      <c r="GH27" s="50" t="str">
        <f t="shared" si="62"/>
        <v/>
      </c>
      <c r="GI27" s="50">
        <f>Participantes!DY26</f>
        <v>0</v>
      </c>
      <c r="GJ27" s="50">
        <f>Participantes!DZ26</f>
        <v>0</v>
      </c>
      <c r="GK27" s="50" t="str">
        <f t="shared" si="63"/>
        <v/>
      </c>
      <c r="GL27" s="50">
        <f>Participantes!EA26</f>
        <v>0</v>
      </c>
      <c r="GM27" s="50">
        <f>Participantes!EB26</f>
        <v>0</v>
      </c>
      <c r="GN27" s="50" t="str">
        <f t="shared" si="64"/>
        <v/>
      </c>
      <c r="GO27" s="50">
        <f>Participantes!EC26</f>
        <v>0</v>
      </c>
      <c r="GP27" s="50">
        <f>Participantes!ED26</f>
        <v>0</v>
      </c>
      <c r="GQ27" s="50" t="str">
        <f t="shared" si="65"/>
        <v/>
      </c>
      <c r="GR27" s="50">
        <f>Participantes!EE26</f>
        <v>0</v>
      </c>
      <c r="GS27" s="50">
        <f>Participantes!EF26</f>
        <v>0</v>
      </c>
      <c r="GT27" s="50" t="str">
        <f t="shared" si="66"/>
        <v/>
      </c>
      <c r="GU27" s="50">
        <f>Participantes!EG26</f>
        <v>0</v>
      </c>
      <c r="GV27" s="50">
        <f>Participantes!EH26</f>
        <v>0</v>
      </c>
      <c r="GW27" s="50" t="str">
        <f t="shared" si="67"/>
        <v/>
      </c>
      <c r="GX27" s="50">
        <f>Participantes!EI26</f>
        <v>0</v>
      </c>
      <c r="GY27" s="50">
        <f>Participantes!EJ26</f>
        <v>0</v>
      </c>
      <c r="GZ27" s="50" t="str">
        <f t="shared" si="68"/>
        <v/>
      </c>
      <c r="HA27" s="50">
        <f>Participantes!EK26</f>
        <v>0</v>
      </c>
      <c r="HB27" s="50">
        <f>Participantes!EL26</f>
        <v>0</v>
      </c>
      <c r="HC27" s="50" t="str">
        <f t="shared" si="69"/>
        <v/>
      </c>
      <c r="HD27" s="50">
        <f>Participantes!EM26</f>
        <v>0</v>
      </c>
      <c r="HE27" s="50">
        <f>Participantes!EN26</f>
        <v>0</v>
      </c>
      <c r="HF27" s="50" t="str">
        <f t="shared" si="70"/>
        <v/>
      </c>
      <c r="HG27" s="50">
        <f>Participantes!EO26</f>
        <v>0</v>
      </c>
      <c r="HH27" s="50">
        <f>Participantes!EP26</f>
        <v>0</v>
      </c>
      <c r="HI27" s="50" t="str">
        <f t="shared" si="71"/>
        <v/>
      </c>
      <c r="HJ27" s="51">
        <f t="shared" si="72"/>
        <v>2</v>
      </c>
    </row>
    <row r="28" spans="1:218" ht="15" customHeight="1" x14ac:dyDescent="0.25">
      <c r="A28" s="49" t="str">
        <f>Participantes!B27</f>
        <v>Kattia 2</v>
      </c>
      <c r="B28" s="50">
        <f>Participantes!C27</f>
        <v>2</v>
      </c>
      <c r="C28" s="50">
        <f>Participantes!D27</f>
        <v>0</v>
      </c>
      <c r="D28" s="50">
        <f t="shared" si="0"/>
        <v>3</v>
      </c>
      <c r="E28" s="50">
        <f>Participantes!E27</f>
        <v>1</v>
      </c>
      <c r="F28" s="50">
        <f>Participantes!F27</f>
        <v>1</v>
      </c>
      <c r="G28" s="50">
        <f t="shared" si="1"/>
        <v>0</v>
      </c>
      <c r="H28" s="50">
        <f>Participantes!G27</f>
        <v>2</v>
      </c>
      <c r="I28" s="50">
        <f>Participantes!H27</f>
        <v>1</v>
      </c>
      <c r="J28" s="50" t="str">
        <f t="shared" si="2"/>
        <v/>
      </c>
      <c r="K28" s="50">
        <f>Participantes!I27</f>
        <v>2</v>
      </c>
      <c r="L28" s="50">
        <f>Participantes!J27</f>
        <v>1</v>
      </c>
      <c r="M28" s="50" t="str">
        <f t="shared" si="3"/>
        <v/>
      </c>
      <c r="N28" s="50">
        <f>Participantes!K27</f>
        <v>0</v>
      </c>
      <c r="O28" s="50">
        <f>Participantes!L27</f>
        <v>3</v>
      </c>
      <c r="P28" s="50" t="str">
        <f t="shared" si="4"/>
        <v/>
      </c>
      <c r="Q28" s="50">
        <f>Participantes!M27</f>
        <v>1</v>
      </c>
      <c r="R28" s="50">
        <f>Participantes!N27</f>
        <v>1</v>
      </c>
      <c r="S28" s="50" t="str">
        <f t="shared" si="5"/>
        <v/>
      </c>
      <c r="T28" s="50">
        <f>Participantes!O27</f>
        <v>3</v>
      </c>
      <c r="U28" s="50">
        <f>Participantes!P27</f>
        <v>2</v>
      </c>
      <c r="V28" s="50" t="str">
        <f t="shared" si="6"/>
        <v/>
      </c>
      <c r="W28" s="50">
        <f>Participantes!Q27</f>
        <v>0</v>
      </c>
      <c r="X28" s="50">
        <f>Participantes!R27</f>
        <v>2</v>
      </c>
      <c r="Y28" s="50" t="str">
        <f t="shared" si="7"/>
        <v/>
      </c>
      <c r="Z28" s="50">
        <f>Participantes!S27</f>
        <v>2</v>
      </c>
      <c r="AA28" s="50">
        <f>Participantes!T27</f>
        <v>2</v>
      </c>
      <c r="AB28" s="50" t="str">
        <f t="shared" si="8"/>
        <v/>
      </c>
      <c r="AC28" s="50">
        <f>Participantes!U27</f>
        <v>4</v>
      </c>
      <c r="AD28" s="50">
        <f>Participantes!V27</f>
        <v>0</v>
      </c>
      <c r="AE28" s="50" t="str">
        <f t="shared" si="9"/>
        <v/>
      </c>
      <c r="AF28" s="50">
        <f>Participantes!W27</f>
        <v>2</v>
      </c>
      <c r="AG28" s="50">
        <f>Participantes!X27</f>
        <v>2</v>
      </c>
      <c r="AH28" s="50" t="str">
        <f t="shared" si="10"/>
        <v/>
      </c>
      <c r="AI28" s="50">
        <f>Participantes!Y27</f>
        <v>2</v>
      </c>
      <c r="AJ28" s="50">
        <f>Participantes!Z27</f>
        <v>0</v>
      </c>
      <c r="AK28" s="50" t="str">
        <f t="shared" si="11"/>
        <v/>
      </c>
      <c r="AL28" s="50">
        <f>Participantes!AA27</f>
        <v>0</v>
      </c>
      <c r="AM28" s="50">
        <f>Participantes!AB27</f>
        <v>2</v>
      </c>
      <c r="AN28" s="50" t="str">
        <f t="shared" si="12"/>
        <v/>
      </c>
      <c r="AO28" s="50">
        <f>Participantes!AC27</f>
        <v>3</v>
      </c>
      <c r="AP28" s="50">
        <f>Participantes!AD27</f>
        <v>0</v>
      </c>
      <c r="AQ28" s="50" t="str">
        <f t="shared" si="13"/>
        <v/>
      </c>
      <c r="AR28" s="50">
        <f>Participantes!AE27</f>
        <v>0</v>
      </c>
      <c r="AS28" s="50">
        <f>Participantes!AF27</f>
        <v>0</v>
      </c>
      <c r="AT28" s="50" t="str">
        <f t="shared" si="14"/>
        <v/>
      </c>
      <c r="AU28" s="50">
        <f>Participantes!AG27</f>
        <v>0</v>
      </c>
      <c r="AV28" s="50">
        <f>Participantes!AH27</f>
        <v>0</v>
      </c>
      <c r="AW28" s="50" t="str">
        <f t="shared" si="15"/>
        <v/>
      </c>
      <c r="AX28" s="50">
        <f>Participantes!AI27</f>
        <v>0</v>
      </c>
      <c r="AY28" s="50">
        <f>Participantes!AJ27</f>
        <v>0</v>
      </c>
      <c r="AZ28" s="50" t="str">
        <f t="shared" si="16"/>
        <v/>
      </c>
      <c r="BA28" s="50">
        <f>Participantes!AK27</f>
        <v>0</v>
      </c>
      <c r="BB28" s="50">
        <f>Participantes!AL27</f>
        <v>0</v>
      </c>
      <c r="BC28" s="50" t="str">
        <f t="shared" si="17"/>
        <v/>
      </c>
      <c r="BD28" s="50">
        <f>Participantes!AM27</f>
        <v>0</v>
      </c>
      <c r="BE28" s="50">
        <f>Participantes!AN27</f>
        <v>0</v>
      </c>
      <c r="BF28" s="50" t="str">
        <f t="shared" si="18"/>
        <v/>
      </c>
      <c r="BG28" s="50">
        <f>Participantes!AO27</f>
        <v>0</v>
      </c>
      <c r="BH28" s="50">
        <f>Participantes!AP27</f>
        <v>0</v>
      </c>
      <c r="BI28" s="50" t="str">
        <f t="shared" si="19"/>
        <v/>
      </c>
      <c r="BJ28" s="50">
        <f>Participantes!AQ27</f>
        <v>0</v>
      </c>
      <c r="BK28" s="50">
        <f>Participantes!AR27</f>
        <v>0</v>
      </c>
      <c r="BL28" s="50" t="str">
        <f t="shared" si="20"/>
        <v/>
      </c>
      <c r="BM28" s="50">
        <f>Participantes!AS27</f>
        <v>0</v>
      </c>
      <c r="BN28" s="50">
        <f>Participantes!AT27</f>
        <v>0</v>
      </c>
      <c r="BO28" s="50" t="str">
        <f t="shared" si="21"/>
        <v/>
      </c>
      <c r="BP28" s="50">
        <f>Participantes!AU27</f>
        <v>0</v>
      </c>
      <c r="BQ28" s="50">
        <f>Participantes!AV27</f>
        <v>0</v>
      </c>
      <c r="BR28" s="50" t="str">
        <f t="shared" si="22"/>
        <v/>
      </c>
      <c r="BS28" s="50">
        <f>Participantes!AW27</f>
        <v>0</v>
      </c>
      <c r="BT28" s="50">
        <f>Participantes!AX27</f>
        <v>0</v>
      </c>
      <c r="BU28" s="50" t="str">
        <f t="shared" si="23"/>
        <v/>
      </c>
      <c r="BV28" s="50">
        <f>Participantes!AY27</f>
        <v>0</v>
      </c>
      <c r="BW28" s="50">
        <f>Participantes!AZ27</f>
        <v>0</v>
      </c>
      <c r="BX28" s="50" t="str">
        <f t="shared" si="24"/>
        <v/>
      </c>
      <c r="BY28" s="50">
        <f>Participantes!BA27</f>
        <v>0</v>
      </c>
      <c r="BZ28" s="50">
        <f>Participantes!BB27</f>
        <v>0</v>
      </c>
      <c r="CA28" s="50" t="str">
        <f t="shared" si="25"/>
        <v/>
      </c>
      <c r="CB28" s="50">
        <f>Participantes!BC27</f>
        <v>0</v>
      </c>
      <c r="CC28" s="50">
        <f>Participantes!BD27</f>
        <v>0</v>
      </c>
      <c r="CD28" s="50" t="str">
        <f t="shared" si="26"/>
        <v/>
      </c>
      <c r="CE28" s="50">
        <f>Participantes!BE27</f>
        <v>0</v>
      </c>
      <c r="CF28" s="50">
        <f>Participantes!BF27</f>
        <v>0</v>
      </c>
      <c r="CG28" s="50" t="str">
        <f t="shared" si="27"/>
        <v/>
      </c>
      <c r="CH28" s="50">
        <f>Participantes!BG27</f>
        <v>0</v>
      </c>
      <c r="CI28" s="50">
        <f>Participantes!BH27</f>
        <v>0</v>
      </c>
      <c r="CJ28" s="50" t="str">
        <f t="shared" si="28"/>
        <v/>
      </c>
      <c r="CK28" s="50">
        <f>Participantes!BI27</f>
        <v>0</v>
      </c>
      <c r="CL28" s="50">
        <f>Participantes!BJ27</f>
        <v>0</v>
      </c>
      <c r="CM28" s="50" t="str">
        <f t="shared" si="29"/>
        <v/>
      </c>
      <c r="CN28" s="50">
        <f>Participantes!BK27</f>
        <v>0</v>
      </c>
      <c r="CO28" s="50">
        <f>Participantes!BL27</f>
        <v>0</v>
      </c>
      <c r="CP28" s="50" t="str">
        <f t="shared" si="30"/>
        <v/>
      </c>
      <c r="CQ28" s="50">
        <f>Participantes!BM27</f>
        <v>0</v>
      </c>
      <c r="CR28" s="50">
        <f>Participantes!BN27</f>
        <v>0</v>
      </c>
      <c r="CS28" s="50" t="str">
        <f t="shared" si="31"/>
        <v/>
      </c>
      <c r="CT28" s="50">
        <f>Participantes!BO27</f>
        <v>0</v>
      </c>
      <c r="CU28" s="50">
        <f>Participantes!BP27</f>
        <v>0</v>
      </c>
      <c r="CV28" s="50" t="str">
        <f t="shared" si="32"/>
        <v/>
      </c>
      <c r="CW28" s="50">
        <f>Participantes!BQ27</f>
        <v>0</v>
      </c>
      <c r="CX28" s="50">
        <f>Participantes!BR27</f>
        <v>0</v>
      </c>
      <c r="CY28" s="50" t="str">
        <f t="shared" si="33"/>
        <v/>
      </c>
      <c r="CZ28" s="50">
        <f>Participantes!BS27</f>
        <v>0</v>
      </c>
      <c r="DA28" s="50">
        <f>Participantes!BT27</f>
        <v>0</v>
      </c>
      <c r="DB28" s="50" t="str">
        <f t="shared" si="34"/>
        <v/>
      </c>
      <c r="DC28" s="50">
        <f>Participantes!BU27</f>
        <v>0</v>
      </c>
      <c r="DD28" s="50">
        <f>Participantes!BV27</f>
        <v>0</v>
      </c>
      <c r="DE28" s="50" t="str">
        <f t="shared" si="35"/>
        <v/>
      </c>
      <c r="DF28" s="50">
        <f>Participantes!BW27</f>
        <v>0</v>
      </c>
      <c r="DG28" s="50">
        <f>Participantes!BX27</f>
        <v>0</v>
      </c>
      <c r="DH28" s="50" t="str">
        <f t="shared" si="36"/>
        <v/>
      </c>
      <c r="DI28" s="50">
        <f>Participantes!BY27</f>
        <v>0</v>
      </c>
      <c r="DJ28" s="50">
        <f>Participantes!BZ27</f>
        <v>0</v>
      </c>
      <c r="DK28" s="50" t="str">
        <f t="shared" si="37"/>
        <v/>
      </c>
      <c r="DL28" s="50">
        <f>Participantes!CA27</f>
        <v>0</v>
      </c>
      <c r="DM28" s="50">
        <f>Participantes!CB27</f>
        <v>0</v>
      </c>
      <c r="DN28" s="50" t="str">
        <f t="shared" si="38"/>
        <v/>
      </c>
      <c r="DO28" s="50">
        <f>Participantes!CC27</f>
        <v>0</v>
      </c>
      <c r="DP28" s="50">
        <f>Participantes!CD27</f>
        <v>0</v>
      </c>
      <c r="DQ28" s="50" t="str">
        <f t="shared" si="39"/>
        <v/>
      </c>
      <c r="DR28" s="50">
        <f>Participantes!CE27</f>
        <v>0</v>
      </c>
      <c r="DS28" s="50">
        <f>Participantes!CF27</f>
        <v>0</v>
      </c>
      <c r="DT28" s="50" t="str">
        <f t="shared" si="40"/>
        <v/>
      </c>
      <c r="DU28" s="50">
        <f>Participantes!CG27</f>
        <v>0</v>
      </c>
      <c r="DV28" s="50">
        <f>Participantes!CH27</f>
        <v>0</v>
      </c>
      <c r="DW28" s="50" t="str">
        <f t="shared" si="41"/>
        <v/>
      </c>
      <c r="DX28" s="50">
        <f>Participantes!CI27</f>
        <v>0</v>
      </c>
      <c r="DY28" s="50">
        <f>Participantes!CJ27</f>
        <v>0</v>
      </c>
      <c r="DZ28" s="50" t="str">
        <f t="shared" si="42"/>
        <v/>
      </c>
      <c r="EA28" s="50">
        <f>Participantes!CK27</f>
        <v>0</v>
      </c>
      <c r="EB28" s="50">
        <f>Participantes!CL27</f>
        <v>0</v>
      </c>
      <c r="EC28" s="50" t="str">
        <f t="shared" si="43"/>
        <v/>
      </c>
      <c r="ED28" s="50">
        <f>Participantes!CM27</f>
        <v>0</v>
      </c>
      <c r="EE28" s="50">
        <f>Participantes!CN27</f>
        <v>0</v>
      </c>
      <c r="EF28" s="50" t="str">
        <f t="shared" si="44"/>
        <v/>
      </c>
      <c r="EG28" s="50">
        <f>Participantes!CO27</f>
        <v>0</v>
      </c>
      <c r="EH28" s="50">
        <f>Participantes!CP27</f>
        <v>0</v>
      </c>
      <c r="EI28" s="50" t="str">
        <f t="shared" si="45"/>
        <v/>
      </c>
      <c r="EJ28" s="50">
        <f>Participantes!CQ27</f>
        <v>0</v>
      </c>
      <c r="EK28" s="50">
        <f>Participantes!CR27</f>
        <v>0</v>
      </c>
      <c r="EL28" s="50" t="str">
        <f t="shared" si="46"/>
        <v/>
      </c>
      <c r="EM28" s="50">
        <f>Participantes!CS27</f>
        <v>0</v>
      </c>
      <c r="EN28" s="50">
        <f>Participantes!CT27</f>
        <v>0</v>
      </c>
      <c r="EO28" s="50" t="str">
        <f t="shared" si="47"/>
        <v/>
      </c>
      <c r="EP28" s="50">
        <f>Participantes!CU27</f>
        <v>0</v>
      </c>
      <c r="EQ28" s="50">
        <f>Participantes!CV27</f>
        <v>0</v>
      </c>
      <c r="ER28" s="50" t="str">
        <f t="shared" si="48"/>
        <v/>
      </c>
      <c r="ES28" s="50">
        <f>Participantes!CW27</f>
        <v>0</v>
      </c>
      <c r="ET28" s="50">
        <f>Participantes!CX27</f>
        <v>0</v>
      </c>
      <c r="EU28" s="50" t="str">
        <f t="shared" si="49"/>
        <v/>
      </c>
      <c r="EV28" s="50">
        <f>Participantes!CY27</f>
        <v>0</v>
      </c>
      <c r="EW28" s="50">
        <f>Participantes!CZ27</f>
        <v>0</v>
      </c>
      <c r="EX28" s="50" t="str">
        <f t="shared" si="50"/>
        <v/>
      </c>
      <c r="EY28" s="50">
        <f>Participantes!DA27</f>
        <v>0</v>
      </c>
      <c r="EZ28" s="50">
        <f>Participantes!DB27</f>
        <v>0</v>
      </c>
      <c r="FA28" s="50" t="str">
        <f t="shared" si="51"/>
        <v/>
      </c>
      <c r="FB28" s="50">
        <f>Participantes!DC27</f>
        <v>0</v>
      </c>
      <c r="FC28" s="50">
        <f>Participantes!DD27</f>
        <v>0</v>
      </c>
      <c r="FD28" s="50" t="str">
        <f t="shared" si="52"/>
        <v/>
      </c>
      <c r="FE28" s="50">
        <f>Participantes!DE27</f>
        <v>0</v>
      </c>
      <c r="FF28" s="50">
        <f>Participantes!DF27</f>
        <v>0</v>
      </c>
      <c r="FG28" s="50" t="str">
        <f t="shared" si="53"/>
        <v/>
      </c>
      <c r="FH28" s="50">
        <f>Participantes!DG27</f>
        <v>0</v>
      </c>
      <c r="FI28" s="50">
        <f>Participantes!DH27</f>
        <v>0</v>
      </c>
      <c r="FJ28" s="50" t="str">
        <f t="shared" si="54"/>
        <v/>
      </c>
      <c r="FK28" s="50">
        <f>Participantes!DI27</f>
        <v>0</v>
      </c>
      <c r="FL28" s="50">
        <f>Participantes!DJ27</f>
        <v>0</v>
      </c>
      <c r="FM28" s="50" t="str">
        <f t="shared" si="55"/>
        <v/>
      </c>
      <c r="FN28" s="50">
        <f>Participantes!DK27</f>
        <v>0</v>
      </c>
      <c r="FO28" s="50">
        <f>Participantes!DL27</f>
        <v>0</v>
      </c>
      <c r="FP28" s="50" t="str">
        <f t="shared" si="56"/>
        <v/>
      </c>
      <c r="FQ28" s="50">
        <f>Participantes!DM27</f>
        <v>0</v>
      </c>
      <c r="FR28" s="50">
        <f>Participantes!DN27</f>
        <v>0</v>
      </c>
      <c r="FS28" s="50" t="str">
        <f t="shared" si="57"/>
        <v/>
      </c>
      <c r="FT28" s="50">
        <f>Participantes!DO27</f>
        <v>0</v>
      </c>
      <c r="FU28" s="50">
        <f>Participantes!DP27</f>
        <v>0</v>
      </c>
      <c r="FV28" s="50" t="str">
        <f t="shared" si="58"/>
        <v/>
      </c>
      <c r="FW28" s="50">
        <f>Participantes!DQ27</f>
        <v>0</v>
      </c>
      <c r="FX28" s="50">
        <f>Participantes!DR27</f>
        <v>0</v>
      </c>
      <c r="FY28" s="50" t="str">
        <f t="shared" si="59"/>
        <v/>
      </c>
      <c r="FZ28" s="50">
        <f>Participantes!DS27</f>
        <v>0</v>
      </c>
      <c r="GA28" s="50">
        <f>Participantes!DT27</f>
        <v>0</v>
      </c>
      <c r="GB28" s="50" t="str">
        <f t="shared" si="60"/>
        <v/>
      </c>
      <c r="GC28" s="50">
        <f>Participantes!DU27</f>
        <v>0</v>
      </c>
      <c r="GD28" s="50">
        <f>Participantes!DV27</f>
        <v>0</v>
      </c>
      <c r="GE28" s="50" t="str">
        <f t="shared" si="61"/>
        <v/>
      </c>
      <c r="GF28" s="50">
        <f>Participantes!DW27</f>
        <v>0</v>
      </c>
      <c r="GG28" s="50">
        <f>Participantes!DX27</f>
        <v>0</v>
      </c>
      <c r="GH28" s="50" t="str">
        <f t="shared" si="62"/>
        <v/>
      </c>
      <c r="GI28" s="50">
        <f>Participantes!DY27</f>
        <v>0</v>
      </c>
      <c r="GJ28" s="50">
        <f>Participantes!DZ27</f>
        <v>0</v>
      </c>
      <c r="GK28" s="50" t="str">
        <f t="shared" si="63"/>
        <v/>
      </c>
      <c r="GL28" s="50">
        <f>Participantes!EA27</f>
        <v>0</v>
      </c>
      <c r="GM28" s="50">
        <f>Participantes!EB27</f>
        <v>0</v>
      </c>
      <c r="GN28" s="50" t="str">
        <f t="shared" si="64"/>
        <v/>
      </c>
      <c r="GO28" s="50">
        <f>Participantes!EC27</f>
        <v>0</v>
      </c>
      <c r="GP28" s="50">
        <f>Participantes!ED27</f>
        <v>0</v>
      </c>
      <c r="GQ28" s="50" t="str">
        <f t="shared" si="65"/>
        <v/>
      </c>
      <c r="GR28" s="50">
        <f>Participantes!EE27</f>
        <v>0</v>
      </c>
      <c r="GS28" s="50">
        <f>Participantes!EF27</f>
        <v>0</v>
      </c>
      <c r="GT28" s="50" t="str">
        <f t="shared" si="66"/>
        <v/>
      </c>
      <c r="GU28" s="50">
        <f>Participantes!EG27</f>
        <v>0</v>
      </c>
      <c r="GV28" s="50">
        <f>Participantes!EH27</f>
        <v>0</v>
      </c>
      <c r="GW28" s="50" t="str">
        <f t="shared" si="67"/>
        <v/>
      </c>
      <c r="GX28" s="50">
        <f>Participantes!EI27</f>
        <v>0</v>
      </c>
      <c r="GY28" s="50">
        <f>Participantes!EJ27</f>
        <v>0</v>
      </c>
      <c r="GZ28" s="50" t="str">
        <f t="shared" si="68"/>
        <v/>
      </c>
      <c r="HA28" s="50">
        <f>Participantes!EK27</f>
        <v>0</v>
      </c>
      <c r="HB28" s="50">
        <f>Participantes!EL27</f>
        <v>0</v>
      </c>
      <c r="HC28" s="50" t="str">
        <f t="shared" si="69"/>
        <v/>
      </c>
      <c r="HD28" s="50">
        <f>Participantes!EM27</f>
        <v>0</v>
      </c>
      <c r="HE28" s="50">
        <f>Participantes!EN27</f>
        <v>0</v>
      </c>
      <c r="HF28" s="50" t="str">
        <f t="shared" si="70"/>
        <v/>
      </c>
      <c r="HG28" s="50">
        <f>Participantes!EO27</f>
        <v>0</v>
      </c>
      <c r="HH28" s="50">
        <f>Participantes!EP27</f>
        <v>0</v>
      </c>
      <c r="HI28" s="50" t="str">
        <f t="shared" si="71"/>
        <v/>
      </c>
      <c r="HJ28" s="51">
        <f t="shared" si="72"/>
        <v>3</v>
      </c>
    </row>
    <row r="29" spans="1:218" ht="15" customHeight="1" x14ac:dyDescent="0.25">
      <c r="A29" s="49" t="str">
        <f>Participantes!B28</f>
        <v>Kevin</v>
      </c>
      <c r="B29" s="50">
        <f>Participantes!C28</f>
        <v>2</v>
      </c>
      <c r="C29" s="50">
        <f>Participantes!D28</f>
        <v>0</v>
      </c>
      <c r="D29" s="50">
        <f t="shared" si="0"/>
        <v>3</v>
      </c>
      <c r="E29" s="50">
        <f>Participantes!E28</f>
        <v>1</v>
      </c>
      <c r="F29" s="50">
        <f>Participantes!F28</f>
        <v>1</v>
      </c>
      <c r="G29" s="50">
        <f t="shared" si="1"/>
        <v>0</v>
      </c>
      <c r="H29" s="50">
        <f>Participantes!G28</f>
        <v>1</v>
      </c>
      <c r="I29" s="50">
        <f>Participantes!H28</f>
        <v>2</v>
      </c>
      <c r="J29" s="50" t="str">
        <f t="shared" si="2"/>
        <v/>
      </c>
      <c r="K29" s="50">
        <f>Participantes!I28</f>
        <v>2</v>
      </c>
      <c r="L29" s="50">
        <f>Participantes!J28</f>
        <v>1</v>
      </c>
      <c r="M29" s="50" t="str">
        <f t="shared" si="3"/>
        <v/>
      </c>
      <c r="N29" s="50">
        <f>Participantes!K28</f>
        <v>0</v>
      </c>
      <c r="O29" s="50">
        <f>Participantes!L28</f>
        <v>2</v>
      </c>
      <c r="P29" s="50" t="str">
        <f t="shared" si="4"/>
        <v/>
      </c>
      <c r="Q29" s="50">
        <f>Participantes!M28</f>
        <v>1</v>
      </c>
      <c r="R29" s="50">
        <f>Participantes!N28</f>
        <v>1</v>
      </c>
      <c r="S29" s="50" t="str">
        <f t="shared" si="5"/>
        <v/>
      </c>
      <c r="T29" s="50">
        <f>Participantes!O28</f>
        <v>3</v>
      </c>
      <c r="U29" s="50">
        <f>Participantes!P28</f>
        <v>1</v>
      </c>
      <c r="V29" s="50" t="str">
        <f t="shared" si="6"/>
        <v/>
      </c>
      <c r="W29" s="50">
        <f>Participantes!Q28</f>
        <v>0</v>
      </c>
      <c r="X29" s="50">
        <f>Participantes!R28</f>
        <v>2</v>
      </c>
      <c r="Y29" s="50" t="str">
        <f t="shared" si="7"/>
        <v/>
      </c>
      <c r="Z29" s="50">
        <f>Participantes!S28</f>
        <v>2</v>
      </c>
      <c r="AA29" s="50">
        <f>Participantes!T28</f>
        <v>2</v>
      </c>
      <c r="AB29" s="50" t="str">
        <f t="shared" si="8"/>
        <v/>
      </c>
      <c r="AC29" s="50">
        <f>Participantes!U28</f>
        <v>4</v>
      </c>
      <c r="AD29" s="50">
        <f>Participantes!V28</f>
        <v>0</v>
      </c>
      <c r="AE29" s="50" t="str">
        <f t="shared" si="9"/>
        <v/>
      </c>
      <c r="AF29" s="50">
        <f>Participantes!W28</f>
        <v>2</v>
      </c>
      <c r="AG29" s="50">
        <f>Participantes!X28</f>
        <v>1</v>
      </c>
      <c r="AH29" s="50" t="str">
        <f t="shared" si="10"/>
        <v/>
      </c>
      <c r="AI29" s="50">
        <f>Participantes!Y28</f>
        <v>1</v>
      </c>
      <c r="AJ29" s="50">
        <f>Participantes!Z28</f>
        <v>0</v>
      </c>
      <c r="AK29" s="50" t="str">
        <f t="shared" si="11"/>
        <v/>
      </c>
      <c r="AL29" s="50">
        <f>Participantes!AA28</f>
        <v>0</v>
      </c>
      <c r="AM29" s="50">
        <f>Participantes!AB28</f>
        <v>2</v>
      </c>
      <c r="AN29" s="50" t="str">
        <f t="shared" si="12"/>
        <v/>
      </c>
      <c r="AO29" s="50">
        <f>Participantes!AC28</f>
        <v>3</v>
      </c>
      <c r="AP29" s="50">
        <f>Participantes!AD28</f>
        <v>0</v>
      </c>
      <c r="AQ29" s="50" t="str">
        <f t="shared" si="13"/>
        <v/>
      </c>
      <c r="AR29" s="50">
        <f>Participantes!AE28</f>
        <v>0</v>
      </c>
      <c r="AS29" s="50">
        <f>Participantes!AF28</f>
        <v>0</v>
      </c>
      <c r="AT29" s="50" t="str">
        <f t="shared" si="14"/>
        <v/>
      </c>
      <c r="AU29" s="50">
        <f>Participantes!AG28</f>
        <v>0</v>
      </c>
      <c r="AV29" s="50">
        <f>Participantes!AH28</f>
        <v>0</v>
      </c>
      <c r="AW29" s="50" t="str">
        <f t="shared" si="15"/>
        <v/>
      </c>
      <c r="AX29" s="50">
        <f>Participantes!AI28</f>
        <v>0</v>
      </c>
      <c r="AY29" s="50">
        <f>Participantes!AJ28</f>
        <v>0</v>
      </c>
      <c r="AZ29" s="50" t="str">
        <f t="shared" si="16"/>
        <v/>
      </c>
      <c r="BA29" s="50">
        <f>Participantes!AK28</f>
        <v>0</v>
      </c>
      <c r="BB29" s="50">
        <f>Participantes!AL28</f>
        <v>0</v>
      </c>
      <c r="BC29" s="50" t="str">
        <f t="shared" si="17"/>
        <v/>
      </c>
      <c r="BD29" s="50">
        <f>Participantes!AM28</f>
        <v>0</v>
      </c>
      <c r="BE29" s="50">
        <f>Participantes!AN28</f>
        <v>0</v>
      </c>
      <c r="BF29" s="50" t="str">
        <f t="shared" si="18"/>
        <v/>
      </c>
      <c r="BG29" s="50">
        <f>Participantes!AO28</f>
        <v>0</v>
      </c>
      <c r="BH29" s="50">
        <f>Participantes!AP28</f>
        <v>0</v>
      </c>
      <c r="BI29" s="50" t="str">
        <f t="shared" si="19"/>
        <v/>
      </c>
      <c r="BJ29" s="50">
        <f>Participantes!AQ28</f>
        <v>0</v>
      </c>
      <c r="BK29" s="50">
        <f>Participantes!AR28</f>
        <v>0</v>
      </c>
      <c r="BL29" s="50" t="str">
        <f t="shared" si="20"/>
        <v/>
      </c>
      <c r="BM29" s="50">
        <f>Participantes!AS28</f>
        <v>0</v>
      </c>
      <c r="BN29" s="50">
        <f>Participantes!AT28</f>
        <v>0</v>
      </c>
      <c r="BO29" s="50" t="str">
        <f t="shared" si="21"/>
        <v/>
      </c>
      <c r="BP29" s="50">
        <f>Participantes!AU28</f>
        <v>0</v>
      </c>
      <c r="BQ29" s="50">
        <f>Participantes!AV28</f>
        <v>0</v>
      </c>
      <c r="BR29" s="50" t="str">
        <f t="shared" si="22"/>
        <v/>
      </c>
      <c r="BS29" s="50">
        <f>Participantes!AW28</f>
        <v>0</v>
      </c>
      <c r="BT29" s="50">
        <f>Participantes!AX28</f>
        <v>0</v>
      </c>
      <c r="BU29" s="50" t="str">
        <f t="shared" si="23"/>
        <v/>
      </c>
      <c r="BV29" s="50">
        <f>Participantes!AY28</f>
        <v>0</v>
      </c>
      <c r="BW29" s="50">
        <f>Participantes!AZ28</f>
        <v>0</v>
      </c>
      <c r="BX29" s="50" t="str">
        <f t="shared" si="24"/>
        <v/>
      </c>
      <c r="BY29" s="50">
        <f>Participantes!BA28</f>
        <v>0</v>
      </c>
      <c r="BZ29" s="50">
        <f>Participantes!BB28</f>
        <v>0</v>
      </c>
      <c r="CA29" s="50" t="str">
        <f t="shared" si="25"/>
        <v/>
      </c>
      <c r="CB29" s="50">
        <f>Participantes!BC28</f>
        <v>0</v>
      </c>
      <c r="CC29" s="50">
        <f>Participantes!BD28</f>
        <v>0</v>
      </c>
      <c r="CD29" s="50" t="str">
        <f t="shared" si="26"/>
        <v/>
      </c>
      <c r="CE29" s="50">
        <f>Participantes!BE28</f>
        <v>0</v>
      </c>
      <c r="CF29" s="50">
        <f>Participantes!BF28</f>
        <v>0</v>
      </c>
      <c r="CG29" s="50" t="str">
        <f t="shared" si="27"/>
        <v/>
      </c>
      <c r="CH29" s="50">
        <f>Participantes!BG28</f>
        <v>0</v>
      </c>
      <c r="CI29" s="50">
        <f>Participantes!BH28</f>
        <v>0</v>
      </c>
      <c r="CJ29" s="50" t="str">
        <f t="shared" si="28"/>
        <v/>
      </c>
      <c r="CK29" s="50">
        <f>Participantes!BI28</f>
        <v>0</v>
      </c>
      <c r="CL29" s="50">
        <f>Participantes!BJ28</f>
        <v>0</v>
      </c>
      <c r="CM29" s="50" t="str">
        <f t="shared" si="29"/>
        <v/>
      </c>
      <c r="CN29" s="50">
        <f>Participantes!BK28</f>
        <v>0</v>
      </c>
      <c r="CO29" s="50">
        <f>Participantes!BL28</f>
        <v>0</v>
      </c>
      <c r="CP29" s="50" t="str">
        <f t="shared" si="30"/>
        <v/>
      </c>
      <c r="CQ29" s="50">
        <f>Participantes!BM28</f>
        <v>0</v>
      </c>
      <c r="CR29" s="50">
        <f>Participantes!BN28</f>
        <v>0</v>
      </c>
      <c r="CS29" s="50" t="str">
        <f t="shared" si="31"/>
        <v/>
      </c>
      <c r="CT29" s="50">
        <f>Participantes!BO28</f>
        <v>0</v>
      </c>
      <c r="CU29" s="50">
        <f>Participantes!BP28</f>
        <v>0</v>
      </c>
      <c r="CV29" s="50" t="str">
        <f t="shared" si="32"/>
        <v/>
      </c>
      <c r="CW29" s="50">
        <f>Participantes!BQ28</f>
        <v>0</v>
      </c>
      <c r="CX29" s="50">
        <f>Participantes!BR28</f>
        <v>0</v>
      </c>
      <c r="CY29" s="50" t="str">
        <f t="shared" si="33"/>
        <v/>
      </c>
      <c r="CZ29" s="50">
        <f>Participantes!BS28</f>
        <v>0</v>
      </c>
      <c r="DA29" s="50">
        <f>Participantes!BT28</f>
        <v>0</v>
      </c>
      <c r="DB29" s="50" t="str">
        <f t="shared" si="34"/>
        <v/>
      </c>
      <c r="DC29" s="50">
        <f>Participantes!BU28</f>
        <v>0</v>
      </c>
      <c r="DD29" s="50">
        <f>Participantes!BV28</f>
        <v>0</v>
      </c>
      <c r="DE29" s="50" t="str">
        <f t="shared" si="35"/>
        <v/>
      </c>
      <c r="DF29" s="50">
        <f>Participantes!BW28</f>
        <v>0</v>
      </c>
      <c r="DG29" s="50">
        <f>Participantes!BX28</f>
        <v>0</v>
      </c>
      <c r="DH29" s="50" t="str">
        <f t="shared" si="36"/>
        <v/>
      </c>
      <c r="DI29" s="50">
        <f>Participantes!BY28</f>
        <v>0</v>
      </c>
      <c r="DJ29" s="50">
        <f>Participantes!BZ28</f>
        <v>0</v>
      </c>
      <c r="DK29" s="50" t="str">
        <f t="shared" si="37"/>
        <v/>
      </c>
      <c r="DL29" s="50">
        <f>Participantes!CA28</f>
        <v>0</v>
      </c>
      <c r="DM29" s="50">
        <f>Participantes!CB28</f>
        <v>0</v>
      </c>
      <c r="DN29" s="50" t="str">
        <f t="shared" si="38"/>
        <v/>
      </c>
      <c r="DO29" s="50">
        <f>Participantes!CC28</f>
        <v>0</v>
      </c>
      <c r="DP29" s="50">
        <f>Participantes!CD28</f>
        <v>0</v>
      </c>
      <c r="DQ29" s="50" t="str">
        <f t="shared" si="39"/>
        <v/>
      </c>
      <c r="DR29" s="50">
        <f>Participantes!CE28</f>
        <v>0</v>
      </c>
      <c r="DS29" s="50">
        <f>Participantes!CF28</f>
        <v>0</v>
      </c>
      <c r="DT29" s="50" t="str">
        <f t="shared" si="40"/>
        <v/>
      </c>
      <c r="DU29" s="50">
        <f>Participantes!CG28</f>
        <v>0</v>
      </c>
      <c r="DV29" s="50">
        <f>Participantes!CH28</f>
        <v>0</v>
      </c>
      <c r="DW29" s="50" t="str">
        <f t="shared" si="41"/>
        <v/>
      </c>
      <c r="DX29" s="50">
        <f>Participantes!CI28</f>
        <v>0</v>
      </c>
      <c r="DY29" s="50">
        <f>Participantes!CJ28</f>
        <v>0</v>
      </c>
      <c r="DZ29" s="50" t="str">
        <f t="shared" si="42"/>
        <v/>
      </c>
      <c r="EA29" s="50">
        <f>Participantes!CK28</f>
        <v>0</v>
      </c>
      <c r="EB29" s="50">
        <f>Participantes!CL28</f>
        <v>0</v>
      </c>
      <c r="EC29" s="50" t="str">
        <f t="shared" si="43"/>
        <v/>
      </c>
      <c r="ED29" s="50">
        <f>Participantes!CM28</f>
        <v>0</v>
      </c>
      <c r="EE29" s="50">
        <f>Participantes!CN28</f>
        <v>0</v>
      </c>
      <c r="EF29" s="50" t="str">
        <f t="shared" si="44"/>
        <v/>
      </c>
      <c r="EG29" s="50">
        <f>Participantes!CO28</f>
        <v>0</v>
      </c>
      <c r="EH29" s="50">
        <f>Participantes!CP28</f>
        <v>0</v>
      </c>
      <c r="EI29" s="50" t="str">
        <f t="shared" si="45"/>
        <v/>
      </c>
      <c r="EJ29" s="50">
        <f>Participantes!CQ28</f>
        <v>0</v>
      </c>
      <c r="EK29" s="50">
        <f>Participantes!CR28</f>
        <v>0</v>
      </c>
      <c r="EL29" s="50" t="str">
        <f t="shared" si="46"/>
        <v/>
      </c>
      <c r="EM29" s="50">
        <f>Participantes!CS28</f>
        <v>0</v>
      </c>
      <c r="EN29" s="50">
        <f>Participantes!CT28</f>
        <v>0</v>
      </c>
      <c r="EO29" s="50" t="str">
        <f t="shared" si="47"/>
        <v/>
      </c>
      <c r="EP29" s="50">
        <f>Participantes!CU28</f>
        <v>0</v>
      </c>
      <c r="EQ29" s="50">
        <f>Participantes!CV28</f>
        <v>0</v>
      </c>
      <c r="ER29" s="50" t="str">
        <f t="shared" si="48"/>
        <v/>
      </c>
      <c r="ES29" s="50">
        <f>Participantes!CW28</f>
        <v>0</v>
      </c>
      <c r="ET29" s="50">
        <f>Participantes!CX28</f>
        <v>0</v>
      </c>
      <c r="EU29" s="50" t="str">
        <f t="shared" si="49"/>
        <v/>
      </c>
      <c r="EV29" s="50">
        <f>Participantes!CY28</f>
        <v>0</v>
      </c>
      <c r="EW29" s="50">
        <f>Participantes!CZ28</f>
        <v>0</v>
      </c>
      <c r="EX29" s="50" t="str">
        <f t="shared" si="50"/>
        <v/>
      </c>
      <c r="EY29" s="50">
        <f>Participantes!DA28</f>
        <v>0</v>
      </c>
      <c r="EZ29" s="50">
        <f>Participantes!DB28</f>
        <v>0</v>
      </c>
      <c r="FA29" s="50" t="str">
        <f t="shared" si="51"/>
        <v/>
      </c>
      <c r="FB29" s="50">
        <f>Participantes!DC28</f>
        <v>0</v>
      </c>
      <c r="FC29" s="50">
        <f>Participantes!DD28</f>
        <v>0</v>
      </c>
      <c r="FD29" s="50" t="str">
        <f t="shared" si="52"/>
        <v/>
      </c>
      <c r="FE29" s="50">
        <f>Participantes!DE28</f>
        <v>0</v>
      </c>
      <c r="FF29" s="50">
        <f>Participantes!DF28</f>
        <v>0</v>
      </c>
      <c r="FG29" s="50" t="str">
        <f t="shared" si="53"/>
        <v/>
      </c>
      <c r="FH29" s="50">
        <f>Participantes!DG28</f>
        <v>0</v>
      </c>
      <c r="FI29" s="50">
        <f>Participantes!DH28</f>
        <v>0</v>
      </c>
      <c r="FJ29" s="50" t="str">
        <f t="shared" si="54"/>
        <v/>
      </c>
      <c r="FK29" s="50">
        <f>Participantes!DI28</f>
        <v>0</v>
      </c>
      <c r="FL29" s="50">
        <f>Participantes!DJ28</f>
        <v>0</v>
      </c>
      <c r="FM29" s="50" t="str">
        <f t="shared" si="55"/>
        <v/>
      </c>
      <c r="FN29" s="50">
        <f>Participantes!DK28</f>
        <v>0</v>
      </c>
      <c r="FO29" s="50">
        <f>Participantes!DL28</f>
        <v>0</v>
      </c>
      <c r="FP29" s="50" t="str">
        <f t="shared" si="56"/>
        <v/>
      </c>
      <c r="FQ29" s="50">
        <f>Participantes!DM28</f>
        <v>0</v>
      </c>
      <c r="FR29" s="50">
        <f>Participantes!DN28</f>
        <v>0</v>
      </c>
      <c r="FS29" s="50" t="str">
        <f t="shared" si="57"/>
        <v/>
      </c>
      <c r="FT29" s="50">
        <f>Participantes!DO28</f>
        <v>0</v>
      </c>
      <c r="FU29" s="50">
        <f>Participantes!DP28</f>
        <v>0</v>
      </c>
      <c r="FV29" s="50" t="str">
        <f t="shared" si="58"/>
        <v/>
      </c>
      <c r="FW29" s="50">
        <f>Participantes!DQ28</f>
        <v>0</v>
      </c>
      <c r="FX29" s="50">
        <f>Participantes!DR28</f>
        <v>0</v>
      </c>
      <c r="FY29" s="50" t="str">
        <f t="shared" si="59"/>
        <v/>
      </c>
      <c r="FZ29" s="50">
        <f>Participantes!DS28</f>
        <v>0</v>
      </c>
      <c r="GA29" s="50">
        <f>Participantes!DT28</f>
        <v>0</v>
      </c>
      <c r="GB29" s="50" t="str">
        <f t="shared" si="60"/>
        <v/>
      </c>
      <c r="GC29" s="50">
        <f>Participantes!DU28</f>
        <v>0</v>
      </c>
      <c r="GD29" s="50">
        <f>Participantes!DV28</f>
        <v>0</v>
      </c>
      <c r="GE29" s="50" t="str">
        <f t="shared" si="61"/>
        <v/>
      </c>
      <c r="GF29" s="50">
        <f>Participantes!DW28</f>
        <v>0</v>
      </c>
      <c r="GG29" s="50">
        <f>Participantes!DX28</f>
        <v>0</v>
      </c>
      <c r="GH29" s="50" t="str">
        <f t="shared" si="62"/>
        <v/>
      </c>
      <c r="GI29" s="50">
        <f>Participantes!DY28</f>
        <v>0</v>
      </c>
      <c r="GJ29" s="50">
        <f>Participantes!DZ28</f>
        <v>0</v>
      </c>
      <c r="GK29" s="50" t="str">
        <f t="shared" si="63"/>
        <v/>
      </c>
      <c r="GL29" s="50">
        <f>Participantes!EA28</f>
        <v>0</v>
      </c>
      <c r="GM29" s="50">
        <f>Participantes!EB28</f>
        <v>0</v>
      </c>
      <c r="GN29" s="50" t="str">
        <f t="shared" si="64"/>
        <v/>
      </c>
      <c r="GO29" s="50">
        <f>Participantes!EC28</f>
        <v>0</v>
      </c>
      <c r="GP29" s="50">
        <f>Participantes!ED28</f>
        <v>0</v>
      </c>
      <c r="GQ29" s="50" t="str">
        <f t="shared" si="65"/>
        <v/>
      </c>
      <c r="GR29" s="50">
        <f>Participantes!EE28</f>
        <v>0</v>
      </c>
      <c r="GS29" s="50">
        <f>Participantes!EF28</f>
        <v>0</v>
      </c>
      <c r="GT29" s="50" t="str">
        <f t="shared" si="66"/>
        <v/>
      </c>
      <c r="GU29" s="50">
        <f>Participantes!EG28</f>
        <v>0</v>
      </c>
      <c r="GV29" s="50">
        <f>Participantes!EH28</f>
        <v>0</v>
      </c>
      <c r="GW29" s="50" t="str">
        <f t="shared" si="67"/>
        <v/>
      </c>
      <c r="GX29" s="50">
        <f>Participantes!EI28</f>
        <v>0</v>
      </c>
      <c r="GY29" s="50">
        <f>Participantes!EJ28</f>
        <v>0</v>
      </c>
      <c r="GZ29" s="50" t="str">
        <f t="shared" si="68"/>
        <v/>
      </c>
      <c r="HA29" s="50">
        <f>Participantes!EK28</f>
        <v>0</v>
      </c>
      <c r="HB29" s="50">
        <f>Participantes!EL28</f>
        <v>0</v>
      </c>
      <c r="HC29" s="50" t="str">
        <f t="shared" si="69"/>
        <v/>
      </c>
      <c r="HD29" s="50">
        <f>Participantes!EM28</f>
        <v>0</v>
      </c>
      <c r="HE29" s="50">
        <f>Participantes!EN28</f>
        <v>0</v>
      </c>
      <c r="HF29" s="50" t="str">
        <f t="shared" si="70"/>
        <v/>
      </c>
      <c r="HG29" s="50">
        <f>Participantes!EO28</f>
        <v>0</v>
      </c>
      <c r="HH29" s="50">
        <f>Participantes!EP28</f>
        <v>0</v>
      </c>
      <c r="HI29" s="50" t="str">
        <f t="shared" si="71"/>
        <v/>
      </c>
      <c r="HJ29" s="51">
        <f t="shared" si="72"/>
        <v>3</v>
      </c>
    </row>
    <row r="30" spans="1:218" ht="15" customHeight="1" x14ac:dyDescent="0.25">
      <c r="A30" s="49" t="str">
        <f>Participantes!B29</f>
        <v>Lizka</v>
      </c>
      <c r="B30" s="50">
        <f>Participantes!C29</f>
        <v>2</v>
      </c>
      <c r="C30" s="50">
        <f>Participantes!D29</f>
        <v>0</v>
      </c>
      <c r="D30" s="50">
        <f t="shared" si="0"/>
        <v>3</v>
      </c>
      <c r="E30" s="50">
        <f>Participantes!E29</f>
        <v>1</v>
      </c>
      <c r="F30" s="50">
        <f>Participantes!F29</f>
        <v>1</v>
      </c>
      <c r="G30" s="50">
        <f t="shared" si="1"/>
        <v>0</v>
      </c>
      <c r="H30" s="50">
        <f>Participantes!G29</f>
        <v>2</v>
      </c>
      <c r="I30" s="50">
        <f>Participantes!H29</f>
        <v>1</v>
      </c>
      <c r="J30" s="50" t="str">
        <f t="shared" si="2"/>
        <v/>
      </c>
      <c r="K30" s="50">
        <f>Participantes!I29</f>
        <v>2</v>
      </c>
      <c r="L30" s="50">
        <f>Participantes!J29</f>
        <v>1</v>
      </c>
      <c r="M30" s="50" t="str">
        <f t="shared" si="3"/>
        <v/>
      </c>
      <c r="N30" s="50">
        <f>Participantes!K29</f>
        <v>1</v>
      </c>
      <c r="O30" s="50">
        <f>Participantes!L29</f>
        <v>2</v>
      </c>
      <c r="P30" s="50" t="str">
        <f t="shared" si="4"/>
        <v/>
      </c>
      <c r="Q30" s="50">
        <f>Participantes!M29</f>
        <v>1</v>
      </c>
      <c r="R30" s="50">
        <f>Participantes!N29</f>
        <v>2</v>
      </c>
      <c r="S30" s="50" t="str">
        <f t="shared" si="5"/>
        <v/>
      </c>
      <c r="T30" s="50">
        <f>Participantes!O29</f>
        <v>2</v>
      </c>
      <c r="U30" s="50">
        <f>Participantes!P29</f>
        <v>1</v>
      </c>
      <c r="V30" s="50" t="str">
        <f t="shared" si="6"/>
        <v/>
      </c>
      <c r="W30" s="50">
        <f>Participantes!Q29</f>
        <v>0</v>
      </c>
      <c r="X30" s="50">
        <f>Participantes!R29</f>
        <v>2</v>
      </c>
      <c r="Y30" s="50" t="str">
        <f t="shared" si="7"/>
        <v/>
      </c>
      <c r="Z30" s="50">
        <f>Participantes!S29</f>
        <v>1</v>
      </c>
      <c r="AA30" s="50">
        <f>Participantes!T29</f>
        <v>1</v>
      </c>
      <c r="AB30" s="50" t="str">
        <f t="shared" si="8"/>
        <v/>
      </c>
      <c r="AC30" s="50">
        <f>Participantes!U29</f>
        <v>3</v>
      </c>
      <c r="AD30" s="50">
        <f>Participantes!V29</f>
        <v>1</v>
      </c>
      <c r="AE30" s="50" t="str">
        <f t="shared" si="9"/>
        <v/>
      </c>
      <c r="AF30" s="50">
        <f>Participantes!W29</f>
        <v>2</v>
      </c>
      <c r="AG30" s="50">
        <f>Participantes!X29</f>
        <v>1</v>
      </c>
      <c r="AH30" s="50" t="str">
        <f t="shared" si="10"/>
        <v/>
      </c>
      <c r="AI30" s="50">
        <f>Participantes!Y29</f>
        <v>2</v>
      </c>
      <c r="AJ30" s="50">
        <f>Participantes!Z29</f>
        <v>1</v>
      </c>
      <c r="AK30" s="50" t="str">
        <f t="shared" si="11"/>
        <v/>
      </c>
      <c r="AL30" s="50">
        <f>Participantes!AA29</f>
        <v>0</v>
      </c>
      <c r="AM30" s="50">
        <f>Participantes!AB29</f>
        <v>3</v>
      </c>
      <c r="AN30" s="50" t="str">
        <f t="shared" si="12"/>
        <v/>
      </c>
      <c r="AO30" s="50">
        <f>Participantes!AC29</f>
        <v>4</v>
      </c>
      <c r="AP30" s="50">
        <f>Participantes!AD29</f>
        <v>0</v>
      </c>
      <c r="AQ30" s="50" t="str">
        <f t="shared" si="13"/>
        <v/>
      </c>
      <c r="AR30" s="50">
        <f>Participantes!AE29</f>
        <v>0</v>
      </c>
      <c r="AS30" s="50">
        <f>Participantes!AF29</f>
        <v>0</v>
      </c>
      <c r="AT30" s="50" t="str">
        <f t="shared" si="14"/>
        <v/>
      </c>
      <c r="AU30" s="50">
        <f>Participantes!AG29</f>
        <v>0</v>
      </c>
      <c r="AV30" s="50">
        <f>Participantes!AH29</f>
        <v>0</v>
      </c>
      <c r="AW30" s="50" t="str">
        <f t="shared" si="15"/>
        <v/>
      </c>
      <c r="AX30" s="50">
        <f>Participantes!AI29</f>
        <v>0</v>
      </c>
      <c r="AY30" s="50">
        <f>Participantes!AJ29</f>
        <v>0</v>
      </c>
      <c r="AZ30" s="50" t="str">
        <f t="shared" si="16"/>
        <v/>
      </c>
      <c r="BA30" s="50">
        <f>Participantes!AK29</f>
        <v>0</v>
      </c>
      <c r="BB30" s="50">
        <f>Participantes!AL29</f>
        <v>0</v>
      </c>
      <c r="BC30" s="50" t="str">
        <f t="shared" si="17"/>
        <v/>
      </c>
      <c r="BD30" s="50">
        <f>Participantes!AM29</f>
        <v>0</v>
      </c>
      <c r="BE30" s="50">
        <f>Participantes!AN29</f>
        <v>0</v>
      </c>
      <c r="BF30" s="50" t="str">
        <f t="shared" si="18"/>
        <v/>
      </c>
      <c r="BG30" s="50">
        <f>Participantes!AO29</f>
        <v>0</v>
      </c>
      <c r="BH30" s="50">
        <f>Participantes!AP29</f>
        <v>0</v>
      </c>
      <c r="BI30" s="50" t="str">
        <f t="shared" si="19"/>
        <v/>
      </c>
      <c r="BJ30" s="50">
        <f>Participantes!AQ29</f>
        <v>0</v>
      </c>
      <c r="BK30" s="50">
        <f>Participantes!AR29</f>
        <v>0</v>
      </c>
      <c r="BL30" s="50" t="str">
        <f t="shared" si="20"/>
        <v/>
      </c>
      <c r="BM30" s="50">
        <f>Participantes!AS29</f>
        <v>0</v>
      </c>
      <c r="BN30" s="50">
        <f>Participantes!AT29</f>
        <v>0</v>
      </c>
      <c r="BO30" s="50" t="str">
        <f t="shared" si="21"/>
        <v/>
      </c>
      <c r="BP30" s="50">
        <f>Participantes!AU29</f>
        <v>0</v>
      </c>
      <c r="BQ30" s="50">
        <f>Participantes!AV29</f>
        <v>0</v>
      </c>
      <c r="BR30" s="50" t="str">
        <f t="shared" si="22"/>
        <v/>
      </c>
      <c r="BS30" s="50">
        <f>Participantes!AW29</f>
        <v>0</v>
      </c>
      <c r="BT30" s="50">
        <f>Participantes!AX29</f>
        <v>0</v>
      </c>
      <c r="BU30" s="50" t="str">
        <f t="shared" si="23"/>
        <v/>
      </c>
      <c r="BV30" s="50">
        <f>Participantes!AY29</f>
        <v>0</v>
      </c>
      <c r="BW30" s="50">
        <f>Participantes!AZ29</f>
        <v>0</v>
      </c>
      <c r="BX30" s="50" t="str">
        <f t="shared" si="24"/>
        <v/>
      </c>
      <c r="BY30" s="50">
        <f>Participantes!BA29</f>
        <v>0</v>
      </c>
      <c r="BZ30" s="50">
        <f>Participantes!BB29</f>
        <v>0</v>
      </c>
      <c r="CA30" s="50" t="str">
        <f t="shared" si="25"/>
        <v/>
      </c>
      <c r="CB30" s="50">
        <f>Participantes!BC29</f>
        <v>0</v>
      </c>
      <c r="CC30" s="50">
        <f>Participantes!BD29</f>
        <v>0</v>
      </c>
      <c r="CD30" s="50" t="str">
        <f t="shared" si="26"/>
        <v/>
      </c>
      <c r="CE30" s="50">
        <f>Participantes!BE29</f>
        <v>0</v>
      </c>
      <c r="CF30" s="50">
        <f>Participantes!BF29</f>
        <v>0</v>
      </c>
      <c r="CG30" s="50" t="str">
        <f t="shared" si="27"/>
        <v/>
      </c>
      <c r="CH30" s="50">
        <f>Participantes!BG29</f>
        <v>0</v>
      </c>
      <c r="CI30" s="50">
        <f>Participantes!BH29</f>
        <v>0</v>
      </c>
      <c r="CJ30" s="50" t="str">
        <f t="shared" si="28"/>
        <v/>
      </c>
      <c r="CK30" s="50">
        <f>Participantes!BI29</f>
        <v>0</v>
      </c>
      <c r="CL30" s="50">
        <f>Participantes!BJ29</f>
        <v>0</v>
      </c>
      <c r="CM30" s="50" t="str">
        <f t="shared" si="29"/>
        <v/>
      </c>
      <c r="CN30" s="50">
        <f>Participantes!BK29</f>
        <v>0</v>
      </c>
      <c r="CO30" s="50">
        <f>Participantes!BL29</f>
        <v>0</v>
      </c>
      <c r="CP30" s="50" t="str">
        <f t="shared" si="30"/>
        <v/>
      </c>
      <c r="CQ30" s="50">
        <f>Participantes!BM29</f>
        <v>0</v>
      </c>
      <c r="CR30" s="50">
        <f>Participantes!BN29</f>
        <v>0</v>
      </c>
      <c r="CS30" s="50" t="str">
        <f t="shared" si="31"/>
        <v/>
      </c>
      <c r="CT30" s="50">
        <f>Participantes!BO29</f>
        <v>0</v>
      </c>
      <c r="CU30" s="50">
        <f>Participantes!BP29</f>
        <v>0</v>
      </c>
      <c r="CV30" s="50" t="str">
        <f t="shared" si="32"/>
        <v/>
      </c>
      <c r="CW30" s="50">
        <f>Participantes!BQ29</f>
        <v>0</v>
      </c>
      <c r="CX30" s="50">
        <f>Participantes!BR29</f>
        <v>0</v>
      </c>
      <c r="CY30" s="50" t="str">
        <f t="shared" si="33"/>
        <v/>
      </c>
      <c r="CZ30" s="50">
        <f>Participantes!BS29</f>
        <v>0</v>
      </c>
      <c r="DA30" s="50">
        <f>Participantes!BT29</f>
        <v>0</v>
      </c>
      <c r="DB30" s="50" t="str">
        <f t="shared" si="34"/>
        <v/>
      </c>
      <c r="DC30" s="50">
        <f>Participantes!BU29</f>
        <v>0</v>
      </c>
      <c r="DD30" s="50">
        <f>Participantes!BV29</f>
        <v>0</v>
      </c>
      <c r="DE30" s="50" t="str">
        <f t="shared" si="35"/>
        <v/>
      </c>
      <c r="DF30" s="50">
        <f>Participantes!BW29</f>
        <v>0</v>
      </c>
      <c r="DG30" s="50">
        <f>Participantes!BX29</f>
        <v>0</v>
      </c>
      <c r="DH30" s="50" t="str">
        <f t="shared" si="36"/>
        <v/>
      </c>
      <c r="DI30" s="50">
        <f>Participantes!BY29</f>
        <v>0</v>
      </c>
      <c r="DJ30" s="50">
        <f>Participantes!BZ29</f>
        <v>0</v>
      </c>
      <c r="DK30" s="50" t="str">
        <f t="shared" si="37"/>
        <v/>
      </c>
      <c r="DL30" s="50">
        <f>Participantes!CA29</f>
        <v>0</v>
      </c>
      <c r="DM30" s="50">
        <f>Participantes!CB29</f>
        <v>0</v>
      </c>
      <c r="DN30" s="50" t="str">
        <f t="shared" si="38"/>
        <v/>
      </c>
      <c r="DO30" s="50">
        <f>Participantes!CC29</f>
        <v>0</v>
      </c>
      <c r="DP30" s="50">
        <f>Participantes!CD29</f>
        <v>0</v>
      </c>
      <c r="DQ30" s="50" t="str">
        <f t="shared" si="39"/>
        <v/>
      </c>
      <c r="DR30" s="50">
        <f>Participantes!CE29</f>
        <v>0</v>
      </c>
      <c r="DS30" s="50">
        <f>Participantes!CF29</f>
        <v>0</v>
      </c>
      <c r="DT30" s="50" t="str">
        <f t="shared" si="40"/>
        <v/>
      </c>
      <c r="DU30" s="50">
        <f>Participantes!CG29</f>
        <v>0</v>
      </c>
      <c r="DV30" s="50">
        <f>Participantes!CH29</f>
        <v>0</v>
      </c>
      <c r="DW30" s="50" t="str">
        <f t="shared" si="41"/>
        <v/>
      </c>
      <c r="DX30" s="50">
        <f>Participantes!CI29</f>
        <v>0</v>
      </c>
      <c r="DY30" s="50">
        <f>Participantes!CJ29</f>
        <v>0</v>
      </c>
      <c r="DZ30" s="50" t="str">
        <f t="shared" si="42"/>
        <v/>
      </c>
      <c r="EA30" s="50">
        <f>Participantes!CK29</f>
        <v>0</v>
      </c>
      <c r="EB30" s="50">
        <f>Participantes!CL29</f>
        <v>0</v>
      </c>
      <c r="EC30" s="50" t="str">
        <f t="shared" si="43"/>
        <v/>
      </c>
      <c r="ED30" s="50">
        <f>Participantes!CM29</f>
        <v>0</v>
      </c>
      <c r="EE30" s="50">
        <f>Participantes!CN29</f>
        <v>0</v>
      </c>
      <c r="EF30" s="50" t="str">
        <f t="shared" si="44"/>
        <v/>
      </c>
      <c r="EG30" s="50">
        <f>Participantes!CO29</f>
        <v>0</v>
      </c>
      <c r="EH30" s="50">
        <f>Participantes!CP29</f>
        <v>0</v>
      </c>
      <c r="EI30" s="50" t="str">
        <f t="shared" si="45"/>
        <v/>
      </c>
      <c r="EJ30" s="50">
        <f>Participantes!CQ29</f>
        <v>0</v>
      </c>
      <c r="EK30" s="50">
        <f>Participantes!CR29</f>
        <v>0</v>
      </c>
      <c r="EL30" s="50" t="str">
        <f t="shared" si="46"/>
        <v/>
      </c>
      <c r="EM30" s="50">
        <f>Participantes!CS29</f>
        <v>0</v>
      </c>
      <c r="EN30" s="50">
        <f>Participantes!CT29</f>
        <v>0</v>
      </c>
      <c r="EO30" s="50" t="str">
        <f t="shared" si="47"/>
        <v/>
      </c>
      <c r="EP30" s="50">
        <f>Participantes!CU29</f>
        <v>0</v>
      </c>
      <c r="EQ30" s="50">
        <f>Participantes!CV29</f>
        <v>0</v>
      </c>
      <c r="ER30" s="50" t="str">
        <f t="shared" si="48"/>
        <v/>
      </c>
      <c r="ES30" s="50">
        <f>Participantes!CW29</f>
        <v>0</v>
      </c>
      <c r="ET30" s="50">
        <f>Participantes!CX29</f>
        <v>0</v>
      </c>
      <c r="EU30" s="50" t="str">
        <f t="shared" si="49"/>
        <v/>
      </c>
      <c r="EV30" s="50">
        <f>Participantes!CY29</f>
        <v>0</v>
      </c>
      <c r="EW30" s="50">
        <f>Participantes!CZ29</f>
        <v>0</v>
      </c>
      <c r="EX30" s="50" t="str">
        <f t="shared" si="50"/>
        <v/>
      </c>
      <c r="EY30" s="50">
        <f>Participantes!DA29</f>
        <v>0</v>
      </c>
      <c r="EZ30" s="50">
        <f>Participantes!DB29</f>
        <v>0</v>
      </c>
      <c r="FA30" s="50" t="str">
        <f t="shared" si="51"/>
        <v/>
      </c>
      <c r="FB30" s="50">
        <f>Participantes!DC29</f>
        <v>0</v>
      </c>
      <c r="FC30" s="50">
        <f>Participantes!DD29</f>
        <v>0</v>
      </c>
      <c r="FD30" s="50" t="str">
        <f t="shared" si="52"/>
        <v/>
      </c>
      <c r="FE30" s="50">
        <f>Participantes!DE29</f>
        <v>0</v>
      </c>
      <c r="FF30" s="50">
        <f>Participantes!DF29</f>
        <v>0</v>
      </c>
      <c r="FG30" s="50" t="str">
        <f t="shared" si="53"/>
        <v/>
      </c>
      <c r="FH30" s="50">
        <f>Participantes!DG29</f>
        <v>0</v>
      </c>
      <c r="FI30" s="50">
        <f>Participantes!DH29</f>
        <v>0</v>
      </c>
      <c r="FJ30" s="50" t="str">
        <f t="shared" si="54"/>
        <v/>
      </c>
      <c r="FK30" s="50">
        <f>Participantes!DI29</f>
        <v>0</v>
      </c>
      <c r="FL30" s="50">
        <f>Participantes!DJ29</f>
        <v>0</v>
      </c>
      <c r="FM30" s="50" t="str">
        <f t="shared" si="55"/>
        <v/>
      </c>
      <c r="FN30" s="50">
        <f>Participantes!DK29</f>
        <v>0</v>
      </c>
      <c r="FO30" s="50">
        <f>Participantes!DL29</f>
        <v>0</v>
      </c>
      <c r="FP30" s="50" t="str">
        <f t="shared" si="56"/>
        <v/>
      </c>
      <c r="FQ30" s="50">
        <f>Participantes!DM29</f>
        <v>0</v>
      </c>
      <c r="FR30" s="50">
        <f>Participantes!DN29</f>
        <v>0</v>
      </c>
      <c r="FS30" s="50" t="str">
        <f t="shared" si="57"/>
        <v/>
      </c>
      <c r="FT30" s="50">
        <f>Participantes!DO29</f>
        <v>0</v>
      </c>
      <c r="FU30" s="50">
        <f>Participantes!DP29</f>
        <v>0</v>
      </c>
      <c r="FV30" s="50" t="str">
        <f t="shared" si="58"/>
        <v/>
      </c>
      <c r="FW30" s="50">
        <f>Participantes!DQ29</f>
        <v>0</v>
      </c>
      <c r="FX30" s="50">
        <f>Participantes!DR29</f>
        <v>0</v>
      </c>
      <c r="FY30" s="50" t="str">
        <f t="shared" si="59"/>
        <v/>
      </c>
      <c r="FZ30" s="50">
        <f>Participantes!DS29</f>
        <v>0</v>
      </c>
      <c r="GA30" s="50">
        <f>Participantes!DT29</f>
        <v>0</v>
      </c>
      <c r="GB30" s="50" t="str">
        <f t="shared" si="60"/>
        <v/>
      </c>
      <c r="GC30" s="50">
        <f>Participantes!DU29</f>
        <v>0</v>
      </c>
      <c r="GD30" s="50">
        <f>Participantes!DV29</f>
        <v>0</v>
      </c>
      <c r="GE30" s="50" t="str">
        <f t="shared" si="61"/>
        <v/>
      </c>
      <c r="GF30" s="50">
        <f>Participantes!DW29</f>
        <v>0</v>
      </c>
      <c r="GG30" s="50">
        <f>Participantes!DX29</f>
        <v>0</v>
      </c>
      <c r="GH30" s="50" t="str">
        <f t="shared" si="62"/>
        <v/>
      </c>
      <c r="GI30" s="50">
        <f>Participantes!DY29</f>
        <v>0</v>
      </c>
      <c r="GJ30" s="50">
        <f>Participantes!DZ29</f>
        <v>0</v>
      </c>
      <c r="GK30" s="50" t="str">
        <f t="shared" si="63"/>
        <v/>
      </c>
      <c r="GL30" s="50">
        <f>Participantes!EA29</f>
        <v>0</v>
      </c>
      <c r="GM30" s="50">
        <f>Participantes!EB29</f>
        <v>0</v>
      </c>
      <c r="GN30" s="50" t="str">
        <f t="shared" si="64"/>
        <v/>
      </c>
      <c r="GO30" s="50">
        <f>Participantes!EC29</f>
        <v>0</v>
      </c>
      <c r="GP30" s="50">
        <f>Participantes!ED29</f>
        <v>0</v>
      </c>
      <c r="GQ30" s="50" t="str">
        <f t="shared" si="65"/>
        <v/>
      </c>
      <c r="GR30" s="50">
        <f>Participantes!EE29</f>
        <v>0</v>
      </c>
      <c r="GS30" s="50">
        <f>Participantes!EF29</f>
        <v>0</v>
      </c>
      <c r="GT30" s="50" t="str">
        <f t="shared" si="66"/>
        <v/>
      </c>
      <c r="GU30" s="50">
        <f>Participantes!EG29</f>
        <v>0</v>
      </c>
      <c r="GV30" s="50">
        <f>Participantes!EH29</f>
        <v>0</v>
      </c>
      <c r="GW30" s="50" t="str">
        <f t="shared" si="67"/>
        <v/>
      </c>
      <c r="GX30" s="50">
        <f>Participantes!EI29</f>
        <v>0</v>
      </c>
      <c r="GY30" s="50">
        <f>Participantes!EJ29</f>
        <v>0</v>
      </c>
      <c r="GZ30" s="50" t="str">
        <f t="shared" si="68"/>
        <v/>
      </c>
      <c r="HA30" s="50">
        <f>Participantes!EK29</f>
        <v>0</v>
      </c>
      <c r="HB30" s="50">
        <f>Participantes!EL29</f>
        <v>0</v>
      </c>
      <c r="HC30" s="50" t="str">
        <f t="shared" si="69"/>
        <v/>
      </c>
      <c r="HD30" s="50">
        <f>Participantes!EM29</f>
        <v>0</v>
      </c>
      <c r="HE30" s="50">
        <f>Participantes!EN29</f>
        <v>0</v>
      </c>
      <c r="HF30" s="50" t="str">
        <f t="shared" si="70"/>
        <v/>
      </c>
      <c r="HG30" s="50">
        <f>Participantes!EO29</f>
        <v>0</v>
      </c>
      <c r="HH30" s="50">
        <f>Participantes!EP29</f>
        <v>0</v>
      </c>
      <c r="HI30" s="50" t="str">
        <f t="shared" si="71"/>
        <v/>
      </c>
      <c r="HJ30" s="51">
        <f t="shared" si="72"/>
        <v>3</v>
      </c>
    </row>
    <row r="31" spans="1:218" ht="15" customHeight="1" x14ac:dyDescent="0.25">
      <c r="A31" s="49" t="str">
        <f>Participantes!B30</f>
        <v>Luis Peña</v>
      </c>
      <c r="B31" s="50">
        <f>Participantes!C30</f>
        <v>2</v>
      </c>
      <c r="C31" s="50">
        <f>Participantes!D30</f>
        <v>0</v>
      </c>
      <c r="D31" s="50">
        <f t="shared" si="0"/>
        <v>3</v>
      </c>
      <c r="E31" s="50">
        <f>Participantes!E30</f>
        <v>2</v>
      </c>
      <c r="F31" s="50">
        <f>Participantes!F30</f>
        <v>1</v>
      </c>
      <c r="G31" s="50">
        <f t="shared" si="1"/>
        <v>3</v>
      </c>
      <c r="H31" s="50">
        <f>Participantes!G30</f>
        <v>1</v>
      </c>
      <c r="I31" s="50">
        <f>Participantes!H30</f>
        <v>0</v>
      </c>
      <c r="J31" s="50" t="str">
        <f t="shared" si="2"/>
        <v/>
      </c>
      <c r="K31" s="50">
        <f>Participantes!I30</f>
        <v>2</v>
      </c>
      <c r="L31" s="50">
        <f>Participantes!J30</f>
        <v>1</v>
      </c>
      <c r="M31" s="50" t="str">
        <f t="shared" si="3"/>
        <v/>
      </c>
      <c r="N31" s="50">
        <f>Participantes!K30</f>
        <v>1</v>
      </c>
      <c r="O31" s="50">
        <f>Participantes!L30</f>
        <v>3</v>
      </c>
      <c r="P31" s="50" t="str">
        <f t="shared" si="4"/>
        <v/>
      </c>
      <c r="Q31" s="50">
        <f>Participantes!M30</f>
        <v>0</v>
      </c>
      <c r="R31" s="50">
        <f>Participantes!N30</f>
        <v>2</v>
      </c>
      <c r="S31" s="50" t="str">
        <f t="shared" si="5"/>
        <v/>
      </c>
      <c r="T31" s="50">
        <f>Participantes!O30</f>
        <v>2</v>
      </c>
      <c r="U31" s="50">
        <f>Participantes!P30</f>
        <v>1</v>
      </c>
      <c r="V31" s="50" t="str">
        <f t="shared" si="6"/>
        <v/>
      </c>
      <c r="W31" s="50">
        <f>Participantes!Q30</f>
        <v>0</v>
      </c>
      <c r="X31" s="50">
        <f>Participantes!R30</f>
        <v>4</v>
      </c>
      <c r="Y31" s="50" t="str">
        <f t="shared" si="7"/>
        <v/>
      </c>
      <c r="Z31" s="50">
        <f>Participantes!S30</f>
        <v>0</v>
      </c>
      <c r="AA31" s="50">
        <f>Participantes!T30</f>
        <v>2</v>
      </c>
      <c r="AB31" s="50" t="str">
        <f t="shared" si="8"/>
        <v/>
      </c>
      <c r="AC31" s="50">
        <f>Participantes!U30</f>
        <v>4</v>
      </c>
      <c r="AD31" s="50">
        <f>Participantes!V30</f>
        <v>0</v>
      </c>
      <c r="AE31" s="50" t="str">
        <f t="shared" si="9"/>
        <v/>
      </c>
      <c r="AF31" s="50">
        <f>Participantes!W30</f>
        <v>2</v>
      </c>
      <c r="AG31" s="50">
        <f>Participantes!X30</f>
        <v>2</v>
      </c>
      <c r="AH31" s="50" t="str">
        <f t="shared" si="10"/>
        <v/>
      </c>
      <c r="AI31" s="50">
        <f>Participantes!Y30</f>
        <v>2</v>
      </c>
      <c r="AJ31" s="50">
        <f>Participantes!Z30</f>
        <v>0</v>
      </c>
      <c r="AK31" s="50" t="str">
        <f t="shared" si="11"/>
        <v/>
      </c>
      <c r="AL31" s="50">
        <f>Participantes!AA30</f>
        <v>0</v>
      </c>
      <c r="AM31" s="50">
        <f>Participantes!AB30</f>
        <v>2</v>
      </c>
      <c r="AN31" s="50" t="str">
        <f t="shared" si="12"/>
        <v/>
      </c>
      <c r="AO31" s="50">
        <f>Participantes!AC30</f>
        <v>7</v>
      </c>
      <c r="AP31" s="50">
        <f>Participantes!AD30</f>
        <v>0</v>
      </c>
      <c r="AQ31" s="50" t="str">
        <f t="shared" si="13"/>
        <v/>
      </c>
      <c r="AR31" s="50">
        <f>Participantes!AE30</f>
        <v>0</v>
      </c>
      <c r="AS31" s="50">
        <f>Participantes!AF30</f>
        <v>0</v>
      </c>
      <c r="AT31" s="50" t="str">
        <f t="shared" si="14"/>
        <v/>
      </c>
      <c r="AU31" s="50">
        <f>Participantes!AG30</f>
        <v>0</v>
      </c>
      <c r="AV31" s="50">
        <f>Participantes!AH30</f>
        <v>0</v>
      </c>
      <c r="AW31" s="50" t="str">
        <f t="shared" si="15"/>
        <v/>
      </c>
      <c r="AX31" s="50">
        <f>Participantes!AI30</f>
        <v>0</v>
      </c>
      <c r="AY31" s="50">
        <f>Participantes!AJ30</f>
        <v>0</v>
      </c>
      <c r="AZ31" s="50" t="str">
        <f t="shared" si="16"/>
        <v/>
      </c>
      <c r="BA31" s="50">
        <f>Participantes!AK30</f>
        <v>0</v>
      </c>
      <c r="BB31" s="50">
        <f>Participantes!AL30</f>
        <v>0</v>
      </c>
      <c r="BC31" s="50" t="str">
        <f t="shared" si="17"/>
        <v/>
      </c>
      <c r="BD31" s="50">
        <f>Participantes!AM30</f>
        <v>0</v>
      </c>
      <c r="BE31" s="50">
        <f>Participantes!AN30</f>
        <v>0</v>
      </c>
      <c r="BF31" s="50" t="str">
        <f t="shared" si="18"/>
        <v/>
      </c>
      <c r="BG31" s="50">
        <f>Participantes!AO30</f>
        <v>0</v>
      </c>
      <c r="BH31" s="50">
        <f>Participantes!AP30</f>
        <v>0</v>
      </c>
      <c r="BI31" s="50" t="str">
        <f t="shared" si="19"/>
        <v/>
      </c>
      <c r="BJ31" s="50">
        <f>Participantes!AQ30</f>
        <v>0</v>
      </c>
      <c r="BK31" s="50">
        <f>Participantes!AR30</f>
        <v>0</v>
      </c>
      <c r="BL31" s="50" t="str">
        <f t="shared" si="20"/>
        <v/>
      </c>
      <c r="BM31" s="50">
        <f>Participantes!AS30</f>
        <v>0</v>
      </c>
      <c r="BN31" s="50">
        <f>Participantes!AT30</f>
        <v>0</v>
      </c>
      <c r="BO31" s="50" t="str">
        <f t="shared" si="21"/>
        <v/>
      </c>
      <c r="BP31" s="50">
        <f>Participantes!AU30</f>
        <v>0</v>
      </c>
      <c r="BQ31" s="50">
        <f>Participantes!AV30</f>
        <v>0</v>
      </c>
      <c r="BR31" s="50" t="str">
        <f t="shared" si="22"/>
        <v/>
      </c>
      <c r="BS31" s="50">
        <f>Participantes!AW30</f>
        <v>0</v>
      </c>
      <c r="BT31" s="50">
        <f>Participantes!AX30</f>
        <v>0</v>
      </c>
      <c r="BU31" s="50" t="str">
        <f t="shared" si="23"/>
        <v/>
      </c>
      <c r="BV31" s="50">
        <f>Participantes!AY30</f>
        <v>0</v>
      </c>
      <c r="BW31" s="50">
        <f>Participantes!AZ30</f>
        <v>0</v>
      </c>
      <c r="BX31" s="50" t="str">
        <f t="shared" si="24"/>
        <v/>
      </c>
      <c r="BY31" s="50">
        <f>Participantes!BA30</f>
        <v>0</v>
      </c>
      <c r="BZ31" s="50">
        <f>Participantes!BB30</f>
        <v>0</v>
      </c>
      <c r="CA31" s="50" t="str">
        <f t="shared" si="25"/>
        <v/>
      </c>
      <c r="CB31" s="50">
        <f>Participantes!BC30</f>
        <v>0</v>
      </c>
      <c r="CC31" s="50">
        <f>Participantes!BD30</f>
        <v>0</v>
      </c>
      <c r="CD31" s="50" t="str">
        <f t="shared" si="26"/>
        <v/>
      </c>
      <c r="CE31" s="50">
        <f>Participantes!BE30</f>
        <v>0</v>
      </c>
      <c r="CF31" s="50">
        <f>Participantes!BF30</f>
        <v>0</v>
      </c>
      <c r="CG31" s="50" t="str">
        <f t="shared" si="27"/>
        <v/>
      </c>
      <c r="CH31" s="50">
        <f>Participantes!BG30</f>
        <v>0</v>
      </c>
      <c r="CI31" s="50">
        <f>Participantes!BH30</f>
        <v>0</v>
      </c>
      <c r="CJ31" s="50" t="str">
        <f t="shared" si="28"/>
        <v/>
      </c>
      <c r="CK31" s="50">
        <f>Participantes!BI30</f>
        <v>0</v>
      </c>
      <c r="CL31" s="50">
        <f>Participantes!BJ30</f>
        <v>0</v>
      </c>
      <c r="CM31" s="50" t="str">
        <f t="shared" si="29"/>
        <v/>
      </c>
      <c r="CN31" s="50">
        <f>Participantes!BK30</f>
        <v>0</v>
      </c>
      <c r="CO31" s="50">
        <f>Participantes!BL30</f>
        <v>0</v>
      </c>
      <c r="CP31" s="50" t="str">
        <f t="shared" si="30"/>
        <v/>
      </c>
      <c r="CQ31" s="50">
        <f>Participantes!BM30</f>
        <v>0</v>
      </c>
      <c r="CR31" s="50">
        <f>Participantes!BN30</f>
        <v>0</v>
      </c>
      <c r="CS31" s="50" t="str">
        <f t="shared" si="31"/>
        <v/>
      </c>
      <c r="CT31" s="50">
        <f>Participantes!BO30</f>
        <v>0</v>
      </c>
      <c r="CU31" s="50">
        <f>Participantes!BP30</f>
        <v>0</v>
      </c>
      <c r="CV31" s="50" t="str">
        <f t="shared" si="32"/>
        <v/>
      </c>
      <c r="CW31" s="50">
        <f>Participantes!BQ30</f>
        <v>0</v>
      </c>
      <c r="CX31" s="50">
        <f>Participantes!BR30</f>
        <v>0</v>
      </c>
      <c r="CY31" s="50" t="str">
        <f t="shared" si="33"/>
        <v/>
      </c>
      <c r="CZ31" s="50">
        <f>Participantes!BS30</f>
        <v>0</v>
      </c>
      <c r="DA31" s="50">
        <f>Participantes!BT30</f>
        <v>0</v>
      </c>
      <c r="DB31" s="50" t="str">
        <f t="shared" si="34"/>
        <v/>
      </c>
      <c r="DC31" s="50">
        <f>Participantes!BU30</f>
        <v>0</v>
      </c>
      <c r="DD31" s="50">
        <f>Participantes!BV30</f>
        <v>0</v>
      </c>
      <c r="DE31" s="50" t="str">
        <f t="shared" si="35"/>
        <v/>
      </c>
      <c r="DF31" s="50">
        <f>Participantes!BW30</f>
        <v>0</v>
      </c>
      <c r="DG31" s="50">
        <f>Participantes!BX30</f>
        <v>0</v>
      </c>
      <c r="DH31" s="50" t="str">
        <f t="shared" si="36"/>
        <v/>
      </c>
      <c r="DI31" s="50">
        <f>Participantes!BY30</f>
        <v>0</v>
      </c>
      <c r="DJ31" s="50">
        <f>Participantes!BZ30</f>
        <v>0</v>
      </c>
      <c r="DK31" s="50" t="str">
        <f t="shared" si="37"/>
        <v/>
      </c>
      <c r="DL31" s="50">
        <f>Participantes!CA30</f>
        <v>0</v>
      </c>
      <c r="DM31" s="50">
        <f>Participantes!CB30</f>
        <v>0</v>
      </c>
      <c r="DN31" s="50" t="str">
        <f t="shared" si="38"/>
        <v/>
      </c>
      <c r="DO31" s="50">
        <f>Participantes!CC30</f>
        <v>0</v>
      </c>
      <c r="DP31" s="50">
        <f>Participantes!CD30</f>
        <v>0</v>
      </c>
      <c r="DQ31" s="50" t="str">
        <f t="shared" si="39"/>
        <v/>
      </c>
      <c r="DR31" s="50">
        <f>Participantes!CE30</f>
        <v>0</v>
      </c>
      <c r="DS31" s="50">
        <f>Participantes!CF30</f>
        <v>0</v>
      </c>
      <c r="DT31" s="50" t="str">
        <f t="shared" si="40"/>
        <v/>
      </c>
      <c r="DU31" s="50">
        <f>Participantes!CG30</f>
        <v>0</v>
      </c>
      <c r="DV31" s="50">
        <f>Participantes!CH30</f>
        <v>0</v>
      </c>
      <c r="DW31" s="50" t="str">
        <f t="shared" si="41"/>
        <v/>
      </c>
      <c r="DX31" s="50">
        <f>Participantes!CI30</f>
        <v>0</v>
      </c>
      <c r="DY31" s="50">
        <f>Participantes!CJ30</f>
        <v>0</v>
      </c>
      <c r="DZ31" s="50" t="str">
        <f t="shared" si="42"/>
        <v/>
      </c>
      <c r="EA31" s="50">
        <f>Participantes!CK30</f>
        <v>0</v>
      </c>
      <c r="EB31" s="50">
        <f>Participantes!CL30</f>
        <v>0</v>
      </c>
      <c r="EC31" s="50" t="str">
        <f t="shared" si="43"/>
        <v/>
      </c>
      <c r="ED31" s="50">
        <f>Participantes!CM30</f>
        <v>0</v>
      </c>
      <c r="EE31" s="50">
        <f>Participantes!CN30</f>
        <v>0</v>
      </c>
      <c r="EF31" s="50" t="str">
        <f t="shared" si="44"/>
        <v/>
      </c>
      <c r="EG31" s="50">
        <f>Participantes!CO30</f>
        <v>0</v>
      </c>
      <c r="EH31" s="50">
        <f>Participantes!CP30</f>
        <v>0</v>
      </c>
      <c r="EI31" s="50" t="str">
        <f t="shared" si="45"/>
        <v/>
      </c>
      <c r="EJ31" s="50">
        <f>Participantes!CQ30</f>
        <v>0</v>
      </c>
      <c r="EK31" s="50">
        <f>Participantes!CR30</f>
        <v>0</v>
      </c>
      <c r="EL31" s="50" t="str">
        <f t="shared" si="46"/>
        <v/>
      </c>
      <c r="EM31" s="50">
        <f>Participantes!CS30</f>
        <v>0</v>
      </c>
      <c r="EN31" s="50">
        <f>Participantes!CT30</f>
        <v>0</v>
      </c>
      <c r="EO31" s="50" t="str">
        <f t="shared" si="47"/>
        <v/>
      </c>
      <c r="EP31" s="50">
        <f>Participantes!CU30</f>
        <v>0</v>
      </c>
      <c r="EQ31" s="50">
        <f>Participantes!CV30</f>
        <v>0</v>
      </c>
      <c r="ER31" s="50" t="str">
        <f t="shared" si="48"/>
        <v/>
      </c>
      <c r="ES31" s="50">
        <f>Participantes!CW30</f>
        <v>0</v>
      </c>
      <c r="ET31" s="50">
        <f>Participantes!CX30</f>
        <v>0</v>
      </c>
      <c r="EU31" s="50" t="str">
        <f t="shared" si="49"/>
        <v/>
      </c>
      <c r="EV31" s="50">
        <f>Participantes!CY30</f>
        <v>0</v>
      </c>
      <c r="EW31" s="50">
        <f>Participantes!CZ30</f>
        <v>0</v>
      </c>
      <c r="EX31" s="50" t="str">
        <f t="shared" si="50"/>
        <v/>
      </c>
      <c r="EY31" s="50">
        <f>Participantes!DA30</f>
        <v>0</v>
      </c>
      <c r="EZ31" s="50">
        <f>Participantes!DB30</f>
        <v>0</v>
      </c>
      <c r="FA31" s="50" t="str">
        <f t="shared" si="51"/>
        <v/>
      </c>
      <c r="FB31" s="50">
        <f>Participantes!DC30</f>
        <v>0</v>
      </c>
      <c r="FC31" s="50">
        <f>Participantes!DD30</f>
        <v>0</v>
      </c>
      <c r="FD31" s="50" t="str">
        <f t="shared" si="52"/>
        <v/>
      </c>
      <c r="FE31" s="50">
        <f>Participantes!DE30</f>
        <v>0</v>
      </c>
      <c r="FF31" s="50">
        <f>Participantes!DF30</f>
        <v>0</v>
      </c>
      <c r="FG31" s="50" t="str">
        <f t="shared" si="53"/>
        <v/>
      </c>
      <c r="FH31" s="50">
        <f>Participantes!DG30</f>
        <v>0</v>
      </c>
      <c r="FI31" s="50">
        <f>Participantes!DH30</f>
        <v>0</v>
      </c>
      <c r="FJ31" s="50" t="str">
        <f t="shared" si="54"/>
        <v/>
      </c>
      <c r="FK31" s="50">
        <f>Participantes!DI30</f>
        <v>0</v>
      </c>
      <c r="FL31" s="50">
        <f>Participantes!DJ30</f>
        <v>0</v>
      </c>
      <c r="FM31" s="50" t="str">
        <f t="shared" si="55"/>
        <v/>
      </c>
      <c r="FN31" s="50">
        <f>Participantes!DK30</f>
        <v>0</v>
      </c>
      <c r="FO31" s="50">
        <f>Participantes!DL30</f>
        <v>0</v>
      </c>
      <c r="FP31" s="50" t="str">
        <f t="shared" si="56"/>
        <v/>
      </c>
      <c r="FQ31" s="50">
        <f>Participantes!DM30</f>
        <v>0</v>
      </c>
      <c r="FR31" s="50">
        <f>Participantes!DN30</f>
        <v>0</v>
      </c>
      <c r="FS31" s="50" t="str">
        <f t="shared" si="57"/>
        <v/>
      </c>
      <c r="FT31" s="50">
        <f>Participantes!DO30</f>
        <v>0</v>
      </c>
      <c r="FU31" s="50">
        <f>Participantes!DP30</f>
        <v>0</v>
      </c>
      <c r="FV31" s="50" t="str">
        <f t="shared" si="58"/>
        <v/>
      </c>
      <c r="FW31" s="50">
        <f>Participantes!DQ30</f>
        <v>0</v>
      </c>
      <c r="FX31" s="50">
        <f>Participantes!DR30</f>
        <v>0</v>
      </c>
      <c r="FY31" s="50" t="str">
        <f t="shared" si="59"/>
        <v/>
      </c>
      <c r="FZ31" s="50">
        <f>Participantes!DS30</f>
        <v>0</v>
      </c>
      <c r="GA31" s="50">
        <f>Participantes!DT30</f>
        <v>0</v>
      </c>
      <c r="GB31" s="50" t="str">
        <f t="shared" si="60"/>
        <v/>
      </c>
      <c r="GC31" s="50">
        <f>Participantes!DU30</f>
        <v>0</v>
      </c>
      <c r="GD31" s="50">
        <f>Participantes!DV30</f>
        <v>0</v>
      </c>
      <c r="GE31" s="50" t="str">
        <f t="shared" si="61"/>
        <v/>
      </c>
      <c r="GF31" s="50">
        <f>Participantes!DW30</f>
        <v>0</v>
      </c>
      <c r="GG31" s="50">
        <f>Participantes!DX30</f>
        <v>0</v>
      </c>
      <c r="GH31" s="50" t="str">
        <f t="shared" si="62"/>
        <v/>
      </c>
      <c r="GI31" s="50">
        <f>Participantes!DY30</f>
        <v>0</v>
      </c>
      <c r="GJ31" s="50">
        <f>Participantes!DZ30</f>
        <v>0</v>
      </c>
      <c r="GK31" s="50" t="str">
        <f t="shared" si="63"/>
        <v/>
      </c>
      <c r="GL31" s="50">
        <f>Participantes!EA30</f>
        <v>0</v>
      </c>
      <c r="GM31" s="50">
        <f>Participantes!EB30</f>
        <v>0</v>
      </c>
      <c r="GN31" s="50" t="str">
        <f t="shared" si="64"/>
        <v/>
      </c>
      <c r="GO31" s="50">
        <f>Participantes!EC30</f>
        <v>0</v>
      </c>
      <c r="GP31" s="50">
        <f>Participantes!ED30</f>
        <v>0</v>
      </c>
      <c r="GQ31" s="50" t="str">
        <f t="shared" si="65"/>
        <v/>
      </c>
      <c r="GR31" s="50">
        <f>Participantes!EE30</f>
        <v>0</v>
      </c>
      <c r="GS31" s="50">
        <f>Participantes!EF30</f>
        <v>0</v>
      </c>
      <c r="GT31" s="50" t="str">
        <f t="shared" si="66"/>
        <v/>
      </c>
      <c r="GU31" s="50">
        <f>Participantes!EG30</f>
        <v>0</v>
      </c>
      <c r="GV31" s="50">
        <f>Participantes!EH30</f>
        <v>0</v>
      </c>
      <c r="GW31" s="50" t="str">
        <f t="shared" si="67"/>
        <v/>
      </c>
      <c r="GX31" s="50">
        <f>Participantes!EI30</f>
        <v>0</v>
      </c>
      <c r="GY31" s="50">
        <f>Participantes!EJ30</f>
        <v>0</v>
      </c>
      <c r="GZ31" s="50" t="str">
        <f t="shared" si="68"/>
        <v/>
      </c>
      <c r="HA31" s="50">
        <f>Participantes!EK30</f>
        <v>0</v>
      </c>
      <c r="HB31" s="50">
        <f>Participantes!EL30</f>
        <v>0</v>
      </c>
      <c r="HC31" s="50" t="str">
        <f t="shared" si="69"/>
        <v/>
      </c>
      <c r="HD31" s="50">
        <f>Participantes!EM30</f>
        <v>0</v>
      </c>
      <c r="HE31" s="50">
        <f>Participantes!EN30</f>
        <v>0</v>
      </c>
      <c r="HF31" s="50" t="str">
        <f t="shared" si="70"/>
        <v/>
      </c>
      <c r="HG31" s="50">
        <f>Participantes!EO30</f>
        <v>0</v>
      </c>
      <c r="HH31" s="50">
        <f>Participantes!EP30</f>
        <v>0</v>
      </c>
      <c r="HI31" s="50" t="str">
        <f t="shared" si="71"/>
        <v/>
      </c>
      <c r="HJ31" s="51">
        <f t="shared" si="72"/>
        <v>6</v>
      </c>
    </row>
    <row r="32" spans="1:218" ht="15" customHeight="1" x14ac:dyDescent="0.25">
      <c r="A32" s="49" t="str">
        <f>Participantes!B31</f>
        <v>Marco R.</v>
      </c>
      <c r="B32" s="50">
        <f>Participantes!C31</f>
        <v>2</v>
      </c>
      <c r="C32" s="50">
        <f>Participantes!D31</f>
        <v>1</v>
      </c>
      <c r="D32" s="50">
        <f t="shared" si="0"/>
        <v>1</v>
      </c>
      <c r="E32" s="50">
        <f>Participantes!E31</f>
        <v>1</v>
      </c>
      <c r="F32" s="50">
        <f>Participantes!F31</f>
        <v>1</v>
      </c>
      <c r="G32" s="50">
        <f t="shared" si="1"/>
        <v>0</v>
      </c>
      <c r="H32" s="50">
        <f>Participantes!G31</f>
        <v>1</v>
      </c>
      <c r="I32" s="50">
        <f>Participantes!H31</f>
        <v>1</v>
      </c>
      <c r="J32" s="50" t="str">
        <f t="shared" si="2"/>
        <v/>
      </c>
      <c r="K32" s="50">
        <f>Participantes!I31</f>
        <v>2</v>
      </c>
      <c r="L32" s="50">
        <f>Participantes!J31</f>
        <v>1</v>
      </c>
      <c r="M32" s="50" t="str">
        <f t="shared" si="3"/>
        <v/>
      </c>
      <c r="N32" s="50">
        <f>Participantes!K31</f>
        <v>1</v>
      </c>
      <c r="O32" s="50">
        <f>Participantes!L31</f>
        <v>2</v>
      </c>
      <c r="P32" s="50" t="str">
        <f t="shared" si="4"/>
        <v/>
      </c>
      <c r="Q32" s="50">
        <f>Participantes!M31</f>
        <v>0</v>
      </c>
      <c r="R32" s="50">
        <f>Participantes!N31</f>
        <v>1</v>
      </c>
      <c r="S32" s="50" t="str">
        <f t="shared" si="5"/>
        <v/>
      </c>
      <c r="T32" s="50">
        <f>Participantes!O31</f>
        <v>2</v>
      </c>
      <c r="U32" s="50">
        <f>Participantes!P31</f>
        <v>1</v>
      </c>
      <c r="V32" s="50" t="str">
        <f t="shared" si="6"/>
        <v/>
      </c>
      <c r="W32" s="50">
        <f>Participantes!Q31</f>
        <v>0</v>
      </c>
      <c r="X32" s="50">
        <f>Participantes!R31</f>
        <v>2</v>
      </c>
      <c r="Y32" s="50" t="str">
        <f t="shared" si="7"/>
        <v/>
      </c>
      <c r="Z32" s="50">
        <f>Participantes!S31</f>
        <v>1</v>
      </c>
      <c r="AA32" s="50">
        <f>Participantes!T31</f>
        <v>1</v>
      </c>
      <c r="AB32" s="50" t="str">
        <f t="shared" si="8"/>
        <v/>
      </c>
      <c r="AC32" s="50">
        <f>Participantes!U31</f>
        <v>4</v>
      </c>
      <c r="AD32" s="50">
        <f>Participantes!V31</f>
        <v>0</v>
      </c>
      <c r="AE32" s="50" t="str">
        <f t="shared" si="9"/>
        <v/>
      </c>
      <c r="AF32" s="50">
        <f>Participantes!W31</f>
        <v>1</v>
      </c>
      <c r="AG32" s="50">
        <f>Participantes!X31</f>
        <v>1</v>
      </c>
      <c r="AH32" s="50" t="str">
        <f t="shared" si="10"/>
        <v/>
      </c>
      <c r="AI32" s="50">
        <f>Participantes!Y31</f>
        <v>1</v>
      </c>
      <c r="AJ32" s="50">
        <f>Participantes!Z31</f>
        <v>1</v>
      </c>
      <c r="AK32" s="50" t="str">
        <f t="shared" si="11"/>
        <v/>
      </c>
      <c r="AL32" s="50">
        <f>Participantes!AA31</f>
        <v>0</v>
      </c>
      <c r="AM32" s="50">
        <f>Participantes!AB31</f>
        <v>2</v>
      </c>
      <c r="AN32" s="50" t="str">
        <f t="shared" si="12"/>
        <v/>
      </c>
      <c r="AO32" s="50">
        <f>Participantes!AC31</f>
        <v>4</v>
      </c>
      <c r="AP32" s="50">
        <f>Participantes!AD31</f>
        <v>0</v>
      </c>
      <c r="AQ32" s="50" t="str">
        <f t="shared" si="13"/>
        <v/>
      </c>
      <c r="AR32" s="50">
        <f>Participantes!AE31</f>
        <v>0</v>
      </c>
      <c r="AS32" s="50">
        <f>Participantes!AF31</f>
        <v>0</v>
      </c>
      <c r="AT32" s="50" t="str">
        <f t="shared" si="14"/>
        <v/>
      </c>
      <c r="AU32" s="50">
        <f>Participantes!AG31</f>
        <v>0</v>
      </c>
      <c r="AV32" s="50">
        <f>Participantes!AH31</f>
        <v>0</v>
      </c>
      <c r="AW32" s="50" t="str">
        <f t="shared" si="15"/>
        <v/>
      </c>
      <c r="AX32" s="50">
        <f>Participantes!AI31</f>
        <v>0</v>
      </c>
      <c r="AY32" s="50">
        <f>Participantes!AJ31</f>
        <v>0</v>
      </c>
      <c r="AZ32" s="50" t="str">
        <f t="shared" si="16"/>
        <v/>
      </c>
      <c r="BA32" s="50">
        <f>Participantes!AK31</f>
        <v>0</v>
      </c>
      <c r="BB32" s="50">
        <f>Participantes!AL31</f>
        <v>0</v>
      </c>
      <c r="BC32" s="50" t="str">
        <f t="shared" si="17"/>
        <v/>
      </c>
      <c r="BD32" s="50">
        <f>Participantes!AM31</f>
        <v>0</v>
      </c>
      <c r="BE32" s="50">
        <f>Participantes!AN31</f>
        <v>0</v>
      </c>
      <c r="BF32" s="50" t="str">
        <f t="shared" si="18"/>
        <v/>
      </c>
      <c r="BG32" s="50">
        <f>Participantes!AO31</f>
        <v>0</v>
      </c>
      <c r="BH32" s="50">
        <f>Participantes!AP31</f>
        <v>0</v>
      </c>
      <c r="BI32" s="50" t="str">
        <f t="shared" si="19"/>
        <v/>
      </c>
      <c r="BJ32" s="50">
        <f>Participantes!AQ31</f>
        <v>0</v>
      </c>
      <c r="BK32" s="50">
        <f>Participantes!AR31</f>
        <v>0</v>
      </c>
      <c r="BL32" s="50" t="str">
        <f t="shared" si="20"/>
        <v/>
      </c>
      <c r="BM32" s="50">
        <f>Participantes!AS31</f>
        <v>0</v>
      </c>
      <c r="BN32" s="50">
        <f>Participantes!AT31</f>
        <v>0</v>
      </c>
      <c r="BO32" s="50" t="str">
        <f t="shared" si="21"/>
        <v/>
      </c>
      <c r="BP32" s="50">
        <f>Participantes!AU31</f>
        <v>0</v>
      </c>
      <c r="BQ32" s="50">
        <f>Participantes!AV31</f>
        <v>0</v>
      </c>
      <c r="BR32" s="50" t="str">
        <f t="shared" si="22"/>
        <v/>
      </c>
      <c r="BS32" s="50">
        <f>Participantes!AW31</f>
        <v>0</v>
      </c>
      <c r="BT32" s="50">
        <f>Participantes!AX31</f>
        <v>0</v>
      </c>
      <c r="BU32" s="50" t="str">
        <f t="shared" si="23"/>
        <v/>
      </c>
      <c r="BV32" s="50">
        <f>Participantes!AY31</f>
        <v>0</v>
      </c>
      <c r="BW32" s="50">
        <f>Participantes!AZ31</f>
        <v>0</v>
      </c>
      <c r="BX32" s="50" t="str">
        <f t="shared" si="24"/>
        <v/>
      </c>
      <c r="BY32" s="50">
        <f>Participantes!BA31</f>
        <v>0</v>
      </c>
      <c r="BZ32" s="50">
        <f>Participantes!BB31</f>
        <v>0</v>
      </c>
      <c r="CA32" s="50" t="str">
        <f t="shared" si="25"/>
        <v/>
      </c>
      <c r="CB32" s="50">
        <f>Participantes!BC31</f>
        <v>0</v>
      </c>
      <c r="CC32" s="50">
        <f>Participantes!BD31</f>
        <v>0</v>
      </c>
      <c r="CD32" s="50" t="str">
        <f t="shared" si="26"/>
        <v/>
      </c>
      <c r="CE32" s="50">
        <f>Participantes!BE31</f>
        <v>0</v>
      </c>
      <c r="CF32" s="50">
        <f>Participantes!BF31</f>
        <v>0</v>
      </c>
      <c r="CG32" s="50" t="str">
        <f t="shared" si="27"/>
        <v/>
      </c>
      <c r="CH32" s="50">
        <f>Participantes!BG31</f>
        <v>0</v>
      </c>
      <c r="CI32" s="50">
        <f>Participantes!BH31</f>
        <v>0</v>
      </c>
      <c r="CJ32" s="50" t="str">
        <f t="shared" si="28"/>
        <v/>
      </c>
      <c r="CK32" s="50">
        <f>Participantes!BI31</f>
        <v>0</v>
      </c>
      <c r="CL32" s="50">
        <f>Participantes!BJ31</f>
        <v>0</v>
      </c>
      <c r="CM32" s="50" t="str">
        <f t="shared" si="29"/>
        <v/>
      </c>
      <c r="CN32" s="50">
        <f>Participantes!BK31</f>
        <v>0</v>
      </c>
      <c r="CO32" s="50">
        <f>Participantes!BL31</f>
        <v>0</v>
      </c>
      <c r="CP32" s="50" t="str">
        <f t="shared" si="30"/>
        <v/>
      </c>
      <c r="CQ32" s="50">
        <f>Participantes!BM31</f>
        <v>0</v>
      </c>
      <c r="CR32" s="50">
        <f>Participantes!BN31</f>
        <v>0</v>
      </c>
      <c r="CS32" s="50" t="str">
        <f t="shared" si="31"/>
        <v/>
      </c>
      <c r="CT32" s="50">
        <f>Participantes!BO31</f>
        <v>0</v>
      </c>
      <c r="CU32" s="50">
        <f>Participantes!BP31</f>
        <v>0</v>
      </c>
      <c r="CV32" s="50" t="str">
        <f t="shared" si="32"/>
        <v/>
      </c>
      <c r="CW32" s="50">
        <f>Participantes!BQ31</f>
        <v>0</v>
      </c>
      <c r="CX32" s="50">
        <f>Participantes!BR31</f>
        <v>0</v>
      </c>
      <c r="CY32" s="50" t="str">
        <f t="shared" si="33"/>
        <v/>
      </c>
      <c r="CZ32" s="50">
        <f>Participantes!BS31</f>
        <v>0</v>
      </c>
      <c r="DA32" s="50">
        <f>Participantes!BT31</f>
        <v>0</v>
      </c>
      <c r="DB32" s="50" t="str">
        <f t="shared" si="34"/>
        <v/>
      </c>
      <c r="DC32" s="50">
        <f>Participantes!BU31</f>
        <v>0</v>
      </c>
      <c r="DD32" s="50">
        <f>Participantes!BV31</f>
        <v>0</v>
      </c>
      <c r="DE32" s="50" t="str">
        <f t="shared" si="35"/>
        <v/>
      </c>
      <c r="DF32" s="50">
        <f>Participantes!BW31</f>
        <v>0</v>
      </c>
      <c r="DG32" s="50">
        <f>Participantes!BX31</f>
        <v>0</v>
      </c>
      <c r="DH32" s="50" t="str">
        <f t="shared" si="36"/>
        <v/>
      </c>
      <c r="DI32" s="50">
        <f>Participantes!BY31</f>
        <v>0</v>
      </c>
      <c r="DJ32" s="50">
        <f>Participantes!BZ31</f>
        <v>0</v>
      </c>
      <c r="DK32" s="50" t="str">
        <f t="shared" si="37"/>
        <v/>
      </c>
      <c r="DL32" s="50">
        <f>Participantes!CA31</f>
        <v>0</v>
      </c>
      <c r="DM32" s="50">
        <f>Participantes!CB31</f>
        <v>0</v>
      </c>
      <c r="DN32" s="50" t="str">
        <f t="shared" si="38"/>
        <v/>
      </c>
      <c r="DO32" s="50">
        <f>Participantes!CC31</f>
        <v>0</v>
      </c>
      <c r="DP32" s="50">
        <f>Participantes!CD31</f>
        <v>0</v>
      </c>
      <c r="DQ32" s="50" t="str">
        <f t="shared" si="39"/>
        <v/>
      </c>
      <c r="DR32" s="50">
        <f>Participantes!CE31</f>
        <v>0</v>
      </c>
      <c r="DS32" s="50">
        <f>Participantes!CF31</f>
        <v>0</v>
      </c>
      <c r="DT32" s="50" t="str">
        <f t="shared" si="40"/>
        <v/>
      </c>
      <c r="DU32" s="50">
        <f>Participantes!CG31</f>
        <v>0</v>
      </c>
      <c r="DV32" s="50">
        <f>Participantes!CH31</f>
        <v>0</v>
      </c>
      <c r="DW32" s="50" t="str">
        <f t="shared" si="41"/>
        <v/>
      </c>
      <c r="DX32" s="50">
        <f>Participantes!CI31</f>
        <v>0</v>
      </c>
      <c r="DY32" s="50">
        <f>Participantes!CJ31</f>
        <v>0</v>
      </c>
      <c r="DZ32" s="50" t="str">
        <f t="shared" si="42"/>
        <v/>
      </c>
      <c r="EA32" s="50">
        <f>Participantes!CK31</f>
        <v>0</v>
      </c>
      <c r="EB32" s="50">
        <f>Participantes!CL31</f>
        <v>0</v>
      </c>
      <c r="EC32" s="50" t="str">
        <f t="shared" si="43"/>
        <v/>
      </c>
      <c r="ED32" s="50">
        <f>Participantes!CM31</f>
        <v>0</v>
      </c>
      <c r="EE32" s="50">
        <f>Participantes!CN31</f>
        <v>0</v>
      </c>
      <c r="EF32" s="50" t="str">
        <f t="shared" si="44"/>
        <v/>
      </c>
      <c r="EG32" s="50">
        <f>Participantes!CO31</f>
        <v>0</v>
      </c>
      <c r="EH32" s="50">
        <f>Participantes!CP31</f>
        <v>0</v>
      </c>
      <c r="EI32" s="50" t="str">
        <f t="shared" si="45"/>
        <v/>
      </c>
      <c r="EJ32" s="50">
        <f>Participantes!CQ31</f>
        <v>0</v>
      </c>
      <c r="EK32" s="50">
        <f>Participantes!CR31</f>
        <v>0</v>
      </c>
      <c r="EL32" s="50" t="str">
        <f t="shared" si="46"/>
        <v/>
      </c>
      <c r="EM32" s="50">
        <f>Participantes!CS31</f>
        <v>0</v>
      </c>
      <c r="EN32" s="50">
        <f>Participantes!CT31</f>
        <v>0</v>
      </c>
      <c r="EO32" s="50" t="str">
        <f t="shared" si="47"/>
        <v/>
      </c>
      <c r="EP32" s="50">
        <f>Participantes!CU31</f>
        <v>0</v>
      </c>
      <c r="EQ32" s="50">
        <f>Participantes!CV31</f>
        <v>0</v>
      </c>
      <c r="ER32" s="50" t="str">
        <f t="shared" si="48"/>
        <v/>
      </c>
      <c r="ES32" s="50">
        <f>Participantes!CW31</f>
        <v>0</v>
      </c>
      <c r="ET32" s="50">
        <f>Participantes!CX31</f>
        <v>0</v>
      </c>
      <c r="EU32" s="50" t="str">
        <f t="shared" si="49"/>
        <v/>
      </c>
      <c r="EV32" s="50">
        <f>Participantes!CY31</f>
        <v>0</v>
      </c>
      <c r="EW32" s="50">
        <f>Participantes!CZ31</f>
        <v>0</v>
      </c>
      <c r="EX32" s="50" t="str">
        <f t="shared" si="50"/>
        <v/>
      </c>
      <c r="EY32" s="50">
        <f>Participantes!DA31</f>
        <v>0</v>
      </c>
      <c r="EZ32" s="50">
        <f>Participantes!DB31</f>
        <v>0</v>
      </c>
      <c r="FA32" s="50" t="str">
        <f t="shared" si="51"/>
        <v/>
      </c>
      <c r="FB32" s="50">
        <f>Participantes!DC31</f>
        <v>0</v>
      </c>
      <c r="FC32" s="50">
        <f>Participantes!DD31</f>
        <v>0</v>
      </c>
      <c r="FD32" s="50" t="str">
        <f t="shared" si="52"/>
        <v/>
      </c>
      <c r="FE32" s="50">
        <f>Participantes!DE31</f>
        <v>0</v>
      </c>
      <c r="FF32" s="50">
        <f>Participantes!DF31</f>
        <v>0</v>
      </c>
      <c r="FG32" s="50" t="str">
        <f t="shared" si="53"/>
        <v/>
      </c>
      <c r="FH32" s="50">
        <f>Participantes!DG31</f>
        <v>0</v>
      </c>
      <c r="FI32" s="50">
        <f>Participantes!DH31</f>
        <v>0</v>
      </c>
      <c r="FJ32" s="50" t="str">
        <f t="shared" si="54"/>
        <v/>
      </c>
      <c r="FK32" s="50">
        <f>Participantes!DI31</f>
        <v>0</v>
      </c>
      <c r="FL32" s="50">
        <f>Participantes!DJ31</f>
        <v>0</v>
      </c>
      <c r="FM32" s="50" t="str">
        <f t="shared" si="55"/>
        <v/>
      </c>
      <c r="FN32" s="50">
        <f>Participantes!DK31</f>
        <v>0</v>
      </c>
      <c r="FO32" s="50">
        <f>Participantes!DL31</f>
        <v>0</v>
      </c>
      <c r="FP32" s="50" t="str">
        <f t="shared" si="56"/>
        <v/>
      </c>
      <c r="FQ32" s="50">
        <f>Participantes!DM31</f>
        <v>0</v>
      </c>
      <c r="FR32" s="50">
        <f>Participantes!DN31</f>
        <v>0</v>
      </c>
      <c r="FS32" s="50" t="str">
        <f t="shared" si="57"/>
        <v/>
      </c>
      <c r="FT32" s="50">
        <f>Participantes!DO31</f>
        <v>0</v>
      </c>
      <c r="FU32" s="50">
        <f>Participantes!DP31</f>
        <v>0</v>
      </c>
      <c r="FV32" s="50" t="str">
        <f t="shared" si="58"/>
        <v/>
      </c>
      <c r="FW32" s="50">
        <f>Participantes!DQ31</f>
        <v>0</v>
      </c>
      <c r="FX32" s="50">
        <f>Participantes!DR31</f>
        <v>0</v>
      </c>
      <c r="FY32" s="50" t="str">
        <f t="shared" si="59"/>
        <v/>
      </c>
      <c r="FZ32" s="50">
        <f>Participantes!DS31</f>
        <v>0</v>
      </c>
      <c r="GA32" s="50">
        <f>Participantes!DT31</f>
        <v>0</v>
      </c>
      <c r="GB32" s="50" t="str">
        <f t="shared" si="60"/>
        <v/>
      </c>
      <c r="GC32" s="50">
        <f>Participantes!DU31</f>
        <v>0</v>
      </c>
      <c r="GD32" s="50">
        <f>Participantes!DV31</f>
        <v>0</v>
      </c>
      <c r="GE32" s="50" t="str">
        <f t="shared" si="61"/>
        <v/>
      </c>
      <c r="GF32" s="50">
        <f>Participantes!DW31</f>
        <v>0</v>
      </c>
      <c r="GG32" s="50">
        <f>Participantes!DX31</f>
        <v>0</v>
      </c>
      <c r="GH32" s="50" t="str">
        <f t="shared" si="62"/>
        <v/>
      </c>
      <c r="GI32" s="50">
        <f>Participantes!DY31</f>
        <v>0</v>
      </c>
      <c r="GJ32" s="50">
        <f>Participantes!DZ31</f>
        <v>0</v>
      </c>
      <c r="GK32" s="50" t="str">
        <f t="shared" si="63"/>
        <v/>
      </c>
      <c r="GL32" s="50">
        <f>Participantes!EA31</f>
        <v>0</v>
      </c>
      <c r="GM32" s="50">
        <f>Participantes!EB31</f>
        <v>0</v>
      </c>
      <c r="GN32" s="50" t="str">
        <f t="shared" si="64"/>
        <v/>
      </c>
      <c r="GO32" s="50">
        <f>Participantes!EC31</f>
        <v>0</v>
      </c>
      <c r="GP32" s="50">
        <f>Participantes!ED31</f>
        <v>0</v>
      </c>
      <c r="GQ32" s="50" t="str">
        <f t="shared" si="65"/>
        <v/>
      </c>
      <c r="GR32" s="50">
        <f>Participantes!EE31</f>
        <v>0</v>
      </c>
      <c r="GS32" s="50">
        <f>Participantes!EF31</f>
        <v>0</v>
      </c>
      <c r="GT32" s="50" t="str">
        <f t="shared" si="66"/>
        <v/>
      </c>
      <c r="GU32" s="50">
        <f>Participantes!EG31</f>
        <v>0</v>
      </c>
      <c r="GV32" s="50">
        <f>Participantes!EH31</f>
        <v>0</v>
      </c>
      <c r="GW32" s="50" t="str">
        <f t="shared" si="67"/>
        <v/>
      </c>
      <c r="GX32" s="50">
        <f>Participantes!EI31</f>
        <v>0</v>
      </c>
      <c r="GY32" s="50">
        <f>Participantes!EJ31</f>
        <v>0</v>
      </c>
      <c r="GZ32" s="50" t="str">
        <f t="shared" si="68"/>
        <v/>
      </c>
      <c r="HA32" s="50">
        <f>Participantes!EK31</f>
        <v>0</v>
      </c>
      <c r="HB32" s="50">
        <f>Participantes!EL31</f>
        <v>0</v>
      </c>
      <c r="HC32" s="50" t="str">
        <f t="shared" si="69"/>
        <v/>
      </c>
      <c r="HD32" s="50">
        <f>Participantes!EM31</f>
        <v>0</v>
      </c>
      <c r="HE32" s="50">
        <f>Participantes!EN31</f>
        <v>0</v>
      </c>
      <c r="HF32" s="50" t="str">
        <f t="shared" si="70"/>
        <v/>
      </c>
      <c r="HG32" s="50">
        <f>Participantes!EO31</f>
        <v>0</v>
      </c>
      <c r="HH32" s="50">
        <f>Participantes!EP31</f>
        <v>0</v>
      </c>
      <c r="HI32" s="50" t="str">
        <f t="shared" si="71"/>
        <v/>
      </c>
      <c r="HJ32" s="51">
        <f t="shared" si="72"/>
        <v>1</v>
      </c>
    </row>
    <row r="33" spans="1:218" ht="15" customHeight="1" x14ac:dyDescent="0.25">
      <c r="A33" s="49" t="str">
        <f>Participantes!B32</f>
        <v>Maricela</v>
      </c>
      <c r="B33" s="50">
        <f>Participantes!C32</f>
        <v>3</v>
      </c>
      <c r="C33" s="50">
        <f>Participantes!D32</f>
        <v>1</v>
      </c>
      <c r="D33" s="50">
        <f t="shared" si="0"/>
        <v>1</v>
      </c>
      <c r="E33" s="50">
        <f>Participantes!E32</f>
        <v>2</v>
      </c>
      <c r="F33" s="50">
        <f>Participantes!F32</f>
        <v>2</v>
      </c>
      <c r="G33" s="50">
        <f t="shared" si="1"/>
        <v>0</v>
      </c>
      <c r="H33" s="50">
        <f>Participantes!G32</f>
        <v>3</v>
      </c>
      <c r="I33" s="50">
        <f>Participantes!H32</f>
        <v>1</v>
      </c>
      <c r="J33" s="50" t="str">
        <f t="shared" si="2"/>
        <v/>
      </c>
      <c r="K33" s="50">
        <f>Participantes!I32</f>
        <v>2</v>
      </c>
      <c r="L33" s="50">
        <f>Participantes!J32</f>
        <v>1</v>
      </c>
      <c r="M33" s="50" t="str">
        <f t="shared" si="3"/>
        <v/>
      </c>
      <c r="N33" s="50">
        <f>Participantes!K32</f>
        <v>0</v>
      </c>
      <c r="O33" s="50">
        <f>Participantes!L32</f>
        <v>3</v>
      </c>
      <c r="P33" s="50" t="str">
        <f t="shared" si="4"/>
        <v/>
      </c>
      <c r="Q33" s="50">
        <f>Participantes!M32</f>
        <v>1</v>
      </c>
      <c r="R33" s="50">
        <f>Participantes!N32</f>
        <v>3</v>
      </c>
      <c r="S33" s="50" t="str">
        <f t="shared" si="5"/>
        <v/>
      </c>
      <c r="T33" s="50">
        <f>Participantes!O32</f>
        <v>4</v>
      </c>
      <c r="U33" s="50">
        <f>Participantes!P32</f>
        <v>2</v>
      </c>
      <c r="V33" s="50" t="str">
        <f t="shared" si="6"/>
        <v/>
      </c>
      <c r="W33" s="50">
        <f>Participantes!Q32</f>
        <v>1</v>
      </c>
      <c r="X33" s="50">
        <f>Participantes!R32</f>
        <v>2</v>
      </c>
      <c r="Y33" s="50" t="str">
        <f t="shared" si="7"/>
        <v/>
      </c>
      <c r="Z33" s="50">
        <f>Participantes!S32</f>
        <v>1</v>
      </c>
      <c r="AA33" s="50">
        <f>Participantes!T32</f>
        <v>3</v>
      </c>
      <c r="AB33" s="50" t="str">
        <f t="shared" si="8"/>
        <v/>
      </c>
      <c r="AC33" s="50">
        <f>Participantes!U32</f>
        <v>5</v>
      </c>
      <c r="AD33" s="50">
        <f>Participantes!V32</f>
        <v>0</v>
      </c>
      <c r="AE33" s="50" t="str">
        <f t="shared" si="9"/>
        <v/>
      </c>
      <c r="AF33" s="50">
        <f>Participantes!W32</f>
        <v>4</v>
      </c>
      <c r="AG33" s="50">
        <f>Participantes!X32</f>
        <v>1</v>
      </c>
      <c r="AH33" s="50" t="str">
        <f t="shared" si="10"/>
        <v/>
      </c>
      <c r="AI33" s="50">
        <f>Participantes!Y32</f>
        <v>2</v>
      </c>
      <c r="AJ33" s="50">
        <f>Participantes!Z32</f>
        <v>2</v>
      </c>
      <c r="AK33" s="50" t="str">
        <f t="shared" si="11"/>
        <v/>
      </c>
      <c r="AL33" s="50">
        <f>Participantes!AA32</f>
        <v>1</v>
      </c>
      <c r="AM33" s="50">
        <f>Participantes!AB32</f>
        <v>3</v>
      </c>
      <c r="AN33" s="50" t="str">
        <f t="shared" si="12"/>
        <v/>
      </c>
      <c r="AO33" s="50">
        <f>Participantes!AC32</f>
        <v>5</v>
      </c>
      <c r="AP33" s="50">
        <f>Participantes!AD32</f>
        <v>0</v>
      </c>
      <c r="AQ33" s="50" t="str">
        <f t="shared" si="13"/>
        <v/>
      </c>
      <c r="AR33" s="50">
        <f>Participantes!AE32</f>
        <v>0</v>
      </c>
      <c r="AS33" s="50">
        <f>Participantes!AF32</f>
        <v>0</v>
      </c>
      <c r="AT33" s="50" t="str">
        <f t="shared" si="14"/>
        <v/>
      </c>
      <c r="AU33" s="50">
        <f>Participantes!AG32</f>
        <v>0</v>
      </c>
      <c r="AV33" s="50">
        <f>Participantes!AH32</f>
        <v>0</v>
      </c>
      <c r="AW33" s="50" t="str">
        <f t="shared" si="15"/>
        <v/>
      </c>
      <c r="AX33" s="50">
        <f>Participantes!AI32</f>
        <v>0</v>
      </c>
      <c r="AY33" s="50">
        <f>Participantes!AJ32</f>
        <v>0</v>
      </c>
      <c r="AZ33" s="50" t="str">
        <f t="shared" si="16"/>
        <v/>
      </c>
      <c r="BA33" s="50">
        <f>Participantes!AK32</f>
        <v>0</v>
      </c>
      <c r="BB33" s="50">
        <f>Participantes!AL32</f>
        <v>0</v>
      </c>
      <c r="BC33" s="50" t="str">
        <f t="shared" si="17"/>
        <v/>
      </c>
      <c r="BD33" s="50">
        <f>Participantes!AM32</f>
        <v>0</v>
      </c>
      <c r="BE33" s="50">
        <f>Participantes!AN32</f>
        <v>0</v>
      </c>
      <c r="BF33" s="50" t="str">
        <f t="shared" si="18"/>
        <v/>
      </c>
      <c r="BG33" s="50">
        <f>Participantes!AO32</f>
        <v>0</v>
      </c>
      <c r="BH33" s="50">
        <f>Participantes!AP32</f>
        <v>0</v>
      </c>
      <c r="BI33" s="50" t="str">
        <f t="shared" si="19"/>
        <v/>
      </c>
      <c r="BJ33" s="50">
        <f>Participantes!AQ32</f>
        <v>0</v>
      </c>
      <c r="BK33" s="50">
        <f>Participantes!AR32</f>
        <v>0</v>
      </c>
      <c r="BL33" s="50" t="str">
        <f t="shared" si="20"/>
        <v/>
      </c>
      <c r="BM33" s="50">
        <f>Participantes!AS32</f>
        <v>0</v>
      </c>
      <c r="BN33" s="50">
        <f>Participantes!AT32</f>
        <v>0</v>
      </c>
      <c r="BO33" s="50" t="str">
        <f t="shared" si="21"/>
        <v/>
      </c>
      <c r="BP33" s="50">
        <f>Participantes!AU32</f>
        <v>0</v>
      </c>
      <c r="BQ33" s="50">
        <f>Participantes!AV32</f>
        <v>0</v>
      </c>
      <c r="BR33" s="50" t="str">
        <f t="shared" si="22"/>
        <v/>
      </c>
      <c r="BS33" s="50">
        <f>Participantes!AW32</f>
        <v>0</v>
      </c>
      <c r="BT33" s="50">
        <f>Participantes!AX32</f>
        <v>0</v>
      </c>
      <c r="BU33" s="50" t="str">
        <f t="shared" si="23"/>
        <v/>
      </c>
      <c r="BV33" s="50">
        <f>Participantes!AY32</f>
        <v>0</v>
      </c>
      <c r="BW33" s="50">
        <f>Participantes!AZ32</f>
        <v>0</v>
      </c>
      <c r="BX33" s="50" t="str">
        <f t="shared" si="24"/>
        <v/>
      </c>
      <c r="BY33" s="50">
        <f>Participantes!BA32</f>
        <v>0</v>
      </c>
      <c r="BZ33" s="50">
        <f>Participantes!BB32</f>
        <v>0</v>
      </c>
      <c r="CA33" s="50" t="str">
        <f t="shared" si="25"/>
        <v/>
      </c>
      <c r="CB33" s="50">
        <f>Participantes!BC32</f>
        <v>0</v>
      </c>
      <c r="CC33" s="50">
        <f>Participantes!BD32</f>
        <v>0</v>
      </c>
      <c r="CD33" s="50" t="str">
        <f t="shared" si="26"/>
        <v/>
      </c>
      <c r="CE33" s="50">
        <f>Participantes!BE32</f>
        <v>0</v>
      </c>
      <c r="CF33" s="50">
        <f>Participantes!BF32</f>
        <v>0</v>
      </c>
      <c r="CG33" s="50" t="str">
        <f t="shared" si="27"/>
        <v/>
      </c>
      <c r="CH33" s="50">
        <f>Participantes!BG32</f>
        <v>0</v>
      </c>
      <c r="CI33" s="50">
        <f>Participantes!BH32</f>
        <v>0</v>
      </c>
      <c r="CJ33" s="50" t="str">
        <f t="shared" si="28"/>
        <v/>
      </c>
      <c r="CK33" s="50">
        <f>Participantes!BI32</f>
        <v>0</v>
      </c>
      <c r="CL33" s="50">
        <f>Participantes!BJ32</f>
        <v>0</v>
      </c>
      <c r="CM33" s="50" t="str">
        <f t="shared" si="29"/>
        <v/>
      </c>
      <c r="CN33" s="50">
        <f>Participantes!BK32</f>
        <v>0</v>
      </c>
      <c r="CO33" s="50">
        <f>Participantes!BL32</f>
        <v>0</v>
      </c>
      <c r="CP33" s="50" t="str">
        <f t="shared" si="30"/>
        <v/>
      </c>
      <c r="CQ33" s="50">
        <f>Participantes!BM32</f>
        <v>0</v>
      </c>
      <c r="CR33" s="50">
        <f>Participantes!BN32</f>
        <v>0</v>
      </c>
      <c r="CS33" s="50" t="str">
        <f t="shared" si="31"/>
        <v/>
      </c>
      <c r="CT33" s="50">
        <f>Participantes!BO32</f>
        <v>0</v>
      </c>
      <c r="CU33" s="50">
        <f>Participantes!BP32</f>
        <v>0</v>
      </c>
      <c r="CV33" s="50" t="str">
        <f t="shared" si="32"/>
        <v/>
      </c>
      <c r="CW33" s="50">
        <f>Participantes!BQ32</f>
        <v>0</v>
      </c>
      <c r="CX33" s="50">
        <f>Participantes!BR32</f>
        <v>0</v>
      </c>
      <c r="CY33" s="50" t="str">
        <f t="shared" si="33"/>
        <v/>
      </c>
      <c r="CZ33" s="50">
        <f>Participantes!BS32</f>
        <v>0</v>
      </c>
      <c r="DA33" s="50">
        <f>Participantes!BT32</f>
        <v>0</v>
      </c>
      <c r="DB33" s="50" t="str">
        <f t="shared" si="34"/>
        <v/>
      </c>
      <c r="DC33" s="50">
        <f>Participantes!BU32</f>
        <v>0</v>
      </c>
      <c r="DD33" s="50">
        <f>Participantes!BV32</f>
        <v>0</v>
      </c>
      <c r="DE33" s="50" t="str">
        <f t="shared" si="35"/>
        <v/>
      </c>
      <c r="DF33" s="50">
        <f>Participantes!BW32</f>
        <v>0</v>
      </c>
      <c r="DG33" s="50">
        <f>Participantes!BX32</f>
        <v>0</v>
      </c>
      <c r="DH33" s="50" t="str">
        <f t="shared" si="36"/>
        <v/>
      </c>
      <c r="DI33" s="50">
        <f>Participantes!BY32</f>
        <v>0</v>
      </c>
      <c r="DJ33" s="50">
        <f>Participantes!BZ32</f>
        <v>0</v>
      </c>
      <c r="DK33" s="50" t="str">
        <f t="shared" si="37"/>
        <v/>
      </c>
      <c r="DL33" s="50">
        <f>Participantes!CA32</f>
        <v>0</v>
      </c>
      <c r="DM33" s="50">
        <f>Participantes!CB32</f>
        <v>0</v>
      </c>
      <c r="DN33" s="50" t="str">
        <f t="shared" si="38"/>
        <v/>
      </c>
      <c r="DO33" s="50">
        <f>Participantes!CC32</f>
        <v>0</v>
      </c>
      <c r="DP33" s="50">
        <f>Participantes!CD32</f>
        <v>0</v>
      </c>
      <c r="DQ33" s="50" t="str">
        <f t="shared" si="39"/>
        <v/>
      </c>
      <c r="DR33" s="50">
        <f>Participantes!CE32</f>
        <v>0</v>
      </c>
      <c r="DS33" s="50">
        <f>Participantes!CF32</f>
        <v>0</v>
      </c>
      <c r="DT33" s="50" t="str">
        <f t="shared" si="40"/>
        <v/>
      </c>
      <c r="DU33" s="50">
        <f>Participantes!CG32</f>
        <v>0</v>
      </c>
      <c r="DV33" s="50">
        <f>Participantes!CH32</f>
        <v>0</v>
      </c>
      <c r="DW33" s="50" t="str">
        <f t="shared" si="41"/>
        <v/>
      </c>
      <c r="DX33" s="50">
        <f>Participantes!CI32</f>
        <v>0</v>
      </c>
      <c r="DY33" s="50">
        <f>Participantes!CJ32</f>
        <v>0</v>
      </c>
      <c r="DZ33" s="50" t="str">
        <f t="shared" si="42"/>
        <v/>
      </c>
      <c r="EA33" s="50">
        <f>Participantes!CK32</f>
        <v>0</v>
      </c>
      <c r="EB33" s="50">
        <f>Participantes!CL32</f>
        <v>0</v>
      </c>
      <c r="EC33" s="50" t="str">
        <f t="shared" si="43"/>
        <v/>
      </c>
      <c r="ED33" s="50">
        <f>Participantes!CM32</f>
        <v>0</v>
      </c>
      <c r="EE33" s="50">
        <f>Participantes!CN32</f>
        <v>0</v>
      </c>
      <c r="EF33" s="50" t="str">
        <f t="shared" si="44"/>
        <v/>
      </c>
      <c r="EG33" s="50">
        <f>Participantes!CO32</f>
        <v>0</v>
      </c>
      <c r="EH33" s="50">
        <f>Participantes!CP32</f>
        <v>0</v>
      </c>
      <c r="EI33" s="50" t="str">
        <f t="shared" si="45"/>
        <v/>
      </c>
      <c r="EJ33" s="50">
        <f>Participantes!CQ32</f>
        <v>0</v>
      </c>
      <c r="EK33" s="50">
        <f>Participantes!CR32</f>
        <v>0</v>
      </c>
      <c r="EL33" s="50" t="str">
        <f t="shared" si="46"/>
        <v/>
      </c>
      <c r="EM33" s="50">
        <f>Participantes!CS32</f>
        <v>0</v>
      </c>
      <c r="EN33" s="50">
        <f>Participantes!CT32</f>
        <v>0</v>
      </c>
      <c r="EO33" s="50" t="str">
        <f t="shared" si="47"/>
        <v/>
      </c>
      <c r="EP33" s="50">
        <f>Participantes!CU32</f>
        <v>0</v>
      </c>
      <c r="EQ33" s="50">
        <f>Participantes!CV32</f>
        <v>0</v>
      </c>
      <c r="ER33" s="50" t="str">
        <f t="shared" si="48"/>
        <v/>
      </c>
      <c r="ES33" s="50">
        <f>Participantes!CW32</f>
        <v>0</v>
      </c>
      <c r="ET33" s="50">
        <f>Participantes!CX32</f>
        <v>0</v>
      </c>
      <c r="EU33" s="50" t="str">
        <f t="shared" si="49"/>
        <v/>
      </c>
      <c r="EV33" s="50">
        <f>Participantes!CY32</f>
        <v>0</v>
      </c>
      <c r="EW33" s="50">
        <f>Participantes!CZ32</f>
        <v>0</v>
      </c>
      <c r="EX33" s="50" t="str">
        <f t="shared" si="50"/>
        <v/>
      </c>
      <c r="EY33" s="50">
        <f>Participantes!DA32</f>
        <v>0</v>
      </c>
      <c r="EZ33" s="50">
        <f>Participantes!DB32</f>
        <v>0</v>
      </c>
      <c r="FA33" s="50" t="str">
        <f t="shared" si="51"/>
        <v/>
      </c>
      <c r="FB33" s="50">
        <f>Participantes!DC32</f>
        <v>0</v>
      </c>
      <c r="FC33" s="50">
        <f>Participantes!DD32</f>
        <v>0</v>
      </c>
      <c r="FD33" s="50" t="str">
        <f t="shared" si="52"/>
        <v/>
      </c>
      <c r="FE33" s="50">
        <f>Participantes!DE32</f>
        <v>0</v>
      </c>
      <c r="FF33" s="50">
        <f>Participantes!DF32</f>
        <v>0</v>
      </c>
      <c r="FG33" s="50" t="str">
        <f t="shared" si="53"/>
        <v/>
      </c>
      <c r="FH33" s="50">
        <f>Participantes!DG32</f>
        <v>0</v>
      </c>
      <c r="FI33" s="50">
        <f>Participantes!DH32</f>
        <v>0</v>
      </c>
      <c r="FJ33" s="50" t="str">
        <f t="shared" si="54"/>
        <v/>
      </c>
      <c r="FK33" s="50">
        <f>Participantes!DI32</f>
        <v>0</v>
      </c>
      <c r="FL33" s="50">
        <f>Participantes!DJ32</f>
        <v>0</v>
      </c>
      <c r="FM33" s="50" t="str">
        <f t="shared" si="55"/>
        <v/>
      </c>
      <c r="FN33" s="50">
        <f>Participantes!DK32</f>
        <v>0</v>
      </c>
      <c r="FO33" s="50">
        <f>Participantes!DL32</f>
        <v>0</v>
      </c>
      <c r="FP33" s="50" t="str">
        <f t="shared" si="56"/>
        <v/>
      </c>
      <c r="FQ33" s="50">
        <f>Participantes!DM32</f>
        <v>0</v>
      </c>
      <c r="FR33" s="50">
        <f>Participantes!DN32</f>
        <v>0</v>
      </c>
      <c r="FS33" s="50" t="str">
        <f t="shared" si="57"/>
        <v/>
      </c>
      <c r="FT33" s="50">
        <f>Participantes!DO32</f>
        <v>0</v>
      </c>
      <c r="FU33" s="50">
        <f>Participantes!DP32</f>
        <v>0</v>
      </c>
      <c r="FV33" s="50" t="str">
        <f t="shared" si="58"/>
        <v/>
      </c>
      <c r="FW33" s="50">
        <f>Participantes!DQ32</f>
        <v>0</v>
      </c>
      <c r="FX33" s="50">
        <f>Participantes!DR32</f>
        <v>0</v>
      </c>
      <c r="FY33" s="50" t="str">
        <f t="shared" si="59"/>
        <v/>
      </c>
      <c r="FZ33" s="50">
        <f>Participantes!DS32</f>
        <v>0</v>
      </c>
      <c r="GA33" s="50">
        <f>Participantes!DT32</f>
        <v>0</v>
      </c>
      <c r="GB33" s="50" t="str">
        <f t="shared" si="60"/>
        <v/>
      </c>
      <c r="GC33" s="50">
        <f>Participantes!DU32</f>
        <v>0</v>
      </c>
      <c r="GD33" s="50">
        <f>Participantes!DV32</f>
        <v>0</v>
      </c>
      <c r="GE33" s="50" t="str">
        <f t="shared" si="61"/>
        <v/>
      </c>
      <c r="GF33" s="50">
        <f>Participantes!DW32</f>
        <v>0</v>
      </c>
      <c r="GG33" s="50">
        <f>Participantes!DX32</f>
        <v>0</v>
      </c>
      <c r="GH33" s="50" t="str">
        <f t="shared" si="62"/>
        <v/>
      </c>
      <c r="GI33" s="50">
        <f>Participantes!DY32</f>
        <v>0</v>
      </c>
      <c r="GJ33" s="50">
        <f>Participantes!DZ32</f>
        <v>0</v>
      </c>
      <c r="GK33" s="50" t="str">
        <f t="shared" si="63"/>
        <v/>
      </c>
      <c r="GL33" s="50">
        <f>Participantes!EA32</f>
        <v>0</v>
      </c>
      <c r="GM33" s="50">
        <f>Participantes!EB32</f>
        <v>0</v>
      </c>
      <c r="GN33" s="50" t="str">
        <f t="shared" si="64"/>
        <v/>
      </c>
      <c r="GO33" s="50">
        <f>Participantes!EC32</f>
        <v>0</v>
      </c>
      <c r="GP33" s="50">
        <f>Participantes!ED32</f>
        <v>0</v>
      </c>
      <c r="GQ33" s="50" t="str">
        <f t="shared" si="65"/>
        <v/>
      </c>
      <c r="GR33" s="50">
        <f>Participantes!EE32</f>
        <v>0</v>
      </c>
      <c r="GS33" s="50">
        <f>Participantes!EF32</f>
        <v>0</v>
      </c>
      <c r="GT33" s="50" t="str">
        <f t="shared" si="66"/>
        <v/>
      </c>
      <c r="GU33" s="50">
        <f>Participantes!EG32</f>
        <v>0</v>
      </c>
      <c r="GV33" s="50">
        <f>Participantes!EH32</f>
        <v>0</v>
      </c>
      <c r="GW33" s="50" t="str">
        <f t="shared" si="67"/>
        <v/>
      </c>
      <c r="GX33" s="50">
        <f>Participantes!EI32</f>
        <v>0</v>
      </c>
      <c r="GY33" s="50">
        <f>Participantes!EJ32</f>
        <v>0</v>
      </c>
      <c r="GZ33" s="50" t="str">
        <f t="shared" si="68"/>
        <v/>
      </c>
      <c r="HA33" s="50">
        <f>Participantes!EK32</f>
        <v>0</v>
      </c>
      <c r="HB33" s="50">
        <f>Participantes!EL32</f>
        <v>0</v>
      </c>
      <c r="HC33" s="50" t="str">
        <f t="shared" si="69"/>
        <v/>
      </c>
      <c r="HD33" s="50">
        <f>Participantes!EM32</f>
        <v>0</v>
      </c>
      <c r="HE33" s="50">
        <f>Participantes!EN32</f>
        <v>0</v>
      </c>
      <c r="HF33" s="50" t="str">
        <f t="shared" si="70"/>
        <v/>
      </c>
      <c r="HG33" s="50">
        <f>Participantes!EO32</f>
        <v>0</v>
      </c>
      <c r="HH33" s="50">
        <f>Participantes!EP32</f>
        <v>0</v>
      </c>
      <c r="HI33" s="50" t="str">
        <f t="shared" si="71"/>
        <v/>
      </c>
      <c r="HJ33" s="51">
        <f t="shared" si="72"/>
        <v>1</v>
      </c>
    </row>
    <row r="34" spans="1:218" ht="15" customHeight="1" x14ac:dyDescent="0.25">
      <c r="A34" s="49" t="str">
        <f>Participantes!B33</f>
        <v>Marilyn</v>
      </c>
      <c r="B34" s="50">
        <f>Participantes!C33</f>
        <v>2</v>
      </c>
      <c r="C34" s="50">
        <f>Participantes!D33</f>
        <v>0</v>
      </c>
      <c r="D34" s="50">
        <f t="shared" si="0"/>
        <v>3</v>
      </c>
      <c r="E34" s="50">
        <f>Participantes!E33</f>
        <v>2</v>
      </c>
      <c r="F34" s="50">
        <f>Participantes!F33</f>
        <v>1</v>
      </c>
      <c r="G34" s="50">
        <f t="shared" si="1"/>
        <v>3</v>
      </c>
      <c r="H34" s="50">
        <f>Participantes!G33</f>
        <v>3</v>
      </c>
      <c r="I34" s="50">
        <f>Participantes!H33</f>
        <v>0</v>
      </c>
      <c r="J34" s="50" t="str">
        <f t="shared" si="2"/>
        <v/>
      </c>
      <c r="K34" s="50">
        <f>Participantes!I33</f>
        <v>2</v>
      </c>
      <c r="L34" s="50">
        <f>Participantes!J33</f>
        <v>0</v>
      </c>
      <c r="M34" s="50" t="str">
        <f t="shared" si="3"/>
        <v/>
      </c>
      <c r="N34" s="50">
        <f>Participantes!K33</f>
        <v>0</v>
      </c>
      <c r="O34" s="50">
        <f>Participantes!L33</f>
        <v>2</v>
      </c>
      <c r="P34" s="50" t="str">
        <f t="shared" si="4"/>
        <v/>
      </c>
      <c r="Q34" s="50">
        <f>Participantes!M33</f>
        <v>1</v>
      </c>
      <c r="R34" s="50">
        <f>Participantes!N33</f>
        <v>1</v>
      </c>
      <c r="S34" s="50" t="str">
        <f t="shared" si="5"/>
        <v/>
      </c>
      <c r="T34" s="50">
        <f>Participantes!O33</f>
        <v>1</v>
      </c>
      <c r="U34" s="50">
        <f>Participantes!P33</f>
        <v>1</v>
      </c>
      <c r="V34" s="50" t="str">
        <f t="shared" si="6"/>
        <v/>
      </c>
      <c r="W34" s="50">
        <f>Participantes!Q33</f>
        <v>1</v>
      </c>
      <c r="X34" s="50">
        <f>Participantes!R33</f>
        <v>2</v>
      </c>
      <c r="Y34" s="50" t="str">
        <f t="shared" si="7"/>
        <v/>
      </c>
      <c r="Z34" s="50">
        <f>Participantes!S33</f>
        <v>3</v>
      </c>
      <c r="AA34" s="50">
        <f>Participantes!T33</f>
        <v>0</v>
      </c>
      <c r="AB34" s="50" t="str">
        <f t="shared" si="8"/>
        <v/>
      </c>
      <c r="AC34" s="50">
        <f>Participantes!U33</f>
        <v>2</v>
      </c>
      <c r="AD34" s="50">
        <f>Participantes!V33</f>
        <v>1</v>
      </c>
      <c r="AE34" s="50" t="str">
        <f t="shared" si="9"/>
        <v/>
      </c>
      <c r="AF34" s="50">
        <f>Participantes!W33</f>
        <v>2</v>
      </c>
      <c r="AG34" s="50">
        <f>Participantes!X33</f>
        <v>2</v>
      </c>
      <c r="AH34" s="50" t="str">
        <f t="shared" si="10"/>
        <v/>
      </c>
      <c r="AI34" s="50">
        <f>Participantes!Y33</f>
        <v>3</v>
      </c>
      <c r="AJ34" s="50">
        <f>Participantes!Z33</f>
        <v>1</v>
      </c>
      <c r="AK34" s="50" t="str">
        <f t="shared" si="11"/>
        <v/>
      </c>
      <c r="AL34" s="50">
        <f>Participantes!AA33</f>
        <v>1</v>
      </c>
      <c r="AM34" s="50">
        <f>Participantes!AB33</f>
        <v>2</v>
      </c>
      <c r="AN34" s="50" t="str">
        <f t="shared" si="12"/>
        <v/>
      </c>
      <c r="AO34" s="50">
        <f>Participantes!AC33</f>
        <v>3</v>
      </c>
      <c r="AP34" s="50">
        <f>Participantes!AD33</f>
        <v>0</v>
      </c>
      <c r="AQ34" s="50" t="str">
        <f t="shared" si="13"/>
        <v/>
      </c>
      <c r="AR34" s="50">
        <f>Participantes!AE33</f>
        <v>0</v>
      </c>
      <c r="AS34" s="50">
        <f>Participantes!AF33</f>
        <v>0</v>
      </c>
      <c r="AT34" s="50" t="str">
        <f t="shared" si="14"/>
        <v/>
      </c>
      <c r="AU34" s="50">
        <f>Participantes!AG33</f>
        <v>0</v>
      </c>
      <c r="AV34" s="50">
        <f>Participantes!AH33</f>
        <v>0</v>
      </c>
      <c r="AW34" s="50" t="str">
        <f t="shared" si="15"/>
        <v/>
      </c>
      <c r="AX34" s="50">
        <f>Participantes!AI33</f>
        <v>0</v>
      </c>
      <c r="AY34" s="50">
        <f>Participantes!AJ33</f>
        <v>0</v>
      </c>
      <c r="AZ34" s="50" t="str">
        <f t="shared" si="16"/>
        <v/>
      </c>
      <c r="BA34" s="50">
        <f>Participantes!AK33</f>
        <v>0</v>
      </c>
      <c r="BB34" s="50">
        <f>Participantes!AL33</f>
        <v>0</v>
      </c>
      <c r="BC34" s="50" t="str">
        <f t="shared" si="17"/>
        <v/>
      </c>
      <c r="BD34" s="50">
        <f>Participantes!AM33</f>
        <v>0</v>
      </c>
      <c r="BE34" s="50">
        <f>Participantes!AN33</f>
        <v>0</v>
      </c>
      <c r="BF34" s="50" t="str">
        <f t="shared" si="18"/>
        <v/>
      </c>
      <c r="BG34" s="50">
        <f>Participantes!AO33</f>
        <v>0</v>
      </c>
      <c r="BH34" s="50">
        <f>Participantes!AP33</f>
        <v>0</v>
      </c>
      <c r="BI34" s="50" t="str">
        <f t="shared" si="19"/>
        <v/>
      </c>
      <c r="BJ34" s="50">
        <f>Participantes!AQ33</f>
        <v>0</v>
      </c>
      <c r="BK34" s="50">
        <f>Participantes!AR33</f>
        <v>0</v>
      </c>
      <c r="BL34" s="50" t="str">
        <f t="shared" si="20"/>
        <v/>
      </c>
      <c r="BM34" s="50">
        <f>Participantes!AS33</f>
        <v>0</v>
      </c>
      <c r="BN34" s="50">
        <f>Participantes!AT33</f>
        <v>0</v>
      </c>
      <c r="BO34" s="50" t="str">
        <f t="shared" si="21"/>
        <v/>
      </c>
      <c r="BP34" s="50">
        <f>Participantes!AU33</f>
        <v>0</v>
      </c>
      <c r="BQ34" s="50">
        <f>Participantes!AV33</f>
        <v>0</v>
      </c>
      <c r="BR34" s="50" t="str">
        <f t="shared" si="22"/>
        <v/>
      </c>
      <c r="BS34" s="50">
        <f>Participantes!AW33</f>
        <v>0</v>
      </c>
      <c r="BT34" s="50">
        <f>Participantes!AX33</f>
        <v>0</v>
      </c>
      <c r="BU34" s="50" t="str">
        <f t="shared" si="23"/>
        <v/>
      </c>
      <c r="BV34" s="50">
        <f>Participantes!AY33</f>
        <v>0</v>
      </c>
      <c r="BW34" s="50">
        <f>Participantes!AZ33</f>
        <v>0</v>
      </c>
      <c r="BX34" s="50" t="str">
        <f t="shared" si="24"/>
        <v/>
      </c>
      <c r="BY34" s="50">
        <f>Participantes!BA33</f>
        <v>0</v>
      </c>
      <c r="BZ34" s="50">
        <f>Participantes!BB33</f>
        <v>0</v>
      </c>
      <c r="CA34" s="50" t="str">
        <f t="shared" si="25"/>
        <v/>
      </c>
      <c r="CB34" s="50">
        <f>Participantes!BC33</f>
        <v>0</v>
      </c>
      <c r="CC34" s="50">
        <f>Participantes!BD33</f>
        <v>0</v>
      </c>
      <c r="CD34" s="50" t="str">
        <f t="shared" si="26"/>
        <v/>
      </c>
      <c r="CE34" s="50">
        <f>Participantes!BE33</f>
        <v>0</v>
      </c>
      <c r="CF34" s="50">
        <f>Participantes!BF33</f>
        <v>0</v>
      </c>
      <c r="CG34" s="50" t="str">
        <f t="shared" si="27"/>
        <v/>
      </c>
      <c r="CH34" s="50">
        <f>Participantes!BG33</f>
        <v>0</v>
      </c>
      <c r="CI34" s="50">
        <f>Participantes!BH33</f>
        <v>0</v>
      </c>
      <c r="CJ34" s="50" t="str">
        <f t="shared" si="28"/>
        <v/>
      </c>
      <c r="CK34" s="50">
        <f>Participantes!BI33</f>
        <v>0</v>
      </c>
      <c r="CL34" s="50">
        <f>Participantes!BJ33</f>
        <v>0</v>
      </c>
      <c r="CM34" s="50" t="str">
        <f t="shared" si="29"/>
        <v/>
      </c>
      <c r="CN34" s="50">
        <f>Participantes!BK33</f>
        <v>0</v>
      </c>
      <c r="CO34" s="50">
        <f>Participantes!BL33</f>
        <v>0</v>
      </c>
      <c r="CP34" s="50" t="str">
        <f t="shared" si="30"/>
        <v/>
      </c>
      <c r="CQ34" s="50">
        <f>Participantes!BM33</f>
        <v>0</v>
      </c>
      <c r="CR34" s="50">
        <f>Participantes!BN33</f>
        <v>0</v>
      </c>
      <c r="CS34" s="50" t="str">
        <f t="shared" si="31"/>
        <v/>
      </c>
      <c r="CT34" s="50">
        <f>Participantes!BO33</f>
        <v>0</v>
      </c>
      <c r="CU34" s="50">
        <f>Participantes!BP33</f>
        <v>0</v>
      </c>
      <c r="CV34" s="50" t="str">
        <f t="shared" si="32"/>
        <v/>
      </c>
      <c r="CW34" s="50">
        <f>Participantes!BQ33</f>
        <v>0</v>
      </c>
      <c r="CX34" s="50">
        <f>Participantes!BR33</f>
        <v>0</v>
      </c>
      <c r="CY34" s="50" t="str">
        <f t="shared" si="33"/>
        <v/>
      </c>
      <c r="CZ34" s="50">
        <f>Participantes!BS33</f>
        <v>0</v>
      </c>
      <c r="DA34" s="50">
        <f>Participantes!BT33</f>
        <v>0</v>
      </c>
      <c r="DB34" s="50" t="str">
        <f t="shared" si="34"/>
        <v/>
      </c>
      <c r="DC34" s="50">
        <f>Participantes!BU33</f>
        <v>0</v>
      </c>
      <c r="DD34" s="50">
        <f>Participantes!BV33</f>
        <v>0</v>
      </c>
      <c r="DE34" s="50" t="str">
        <f t="shared" si="35"/>
        <v/>
      </c>
      <c r="DF34" s="50">
        <f>Participantes!BW33</f>
        <v>0</v>
      </c>
      <c r="DG34" s="50">
        <f>Participantes!BX33</f>
        <v>0</v>
      </c>
      <c r="DH34" s="50" t="str">
        <f t="shared" si="36"/>
        <v/>
      </c>
      <c r="DI34" s="50">
        <f>Participantes!BY33</f>
        <v>0</v>
      </c>
      <c r="DJ34" s="50">
        <f>Participantes!BZ33</f>
        <v>0</v>
      </c>
      <c r="DK34" s="50" t="str">
        <f t="shared" si="37"/>
        <v/>
      </c>
      <c r="DL34" s="50">
        <f>Participantes!CA33</f>
        <v>0</v>
      </c>
      <c r="DM34" s="50">
        <f>Participantes!CB33</f>
        <v>0</v>
      </c>
      <c r="DN34" s="50" t="str">
        <f t="shared" si="38"/>
        <v/>
      </c>
      <c r="DO34" s="50">
        <f>Participantes!CC33</f>
        <v>0</v>
      </c>
      <c r="DP34" s="50">
        <f>Participantes!CD33</f>
        <v>0</v>
      </c>
      <c r="DQ34" s="50" t="str">
        <f t="shared" si="39"/>
        <v/>
      </c>
      <c r="DR34" s="50">
        <f>Participantes!CE33</f>
        <v>0</v>
      </c>
      <c r="DS34" s="50">
        <f>Participantes!CF33</f>
        <v>0</v>
      </c>
      <c r="DT34" s="50" t="str">
        <f t="shared" si="40"/>
        <v/>
      </c>
      <c r="DU34" s="50">
        <f>Participantes!CG33</f>
        <v>0</v>
      </c>
      <c r="DV34" s="50">
        <f>Participantes!CH33</f>
        <v>0</v>
      </c>
      <c r="DW34" s="50" t="str">
        <f t="shared" si="41"/>
        <v/>
      </c>
      <c r="DX34" s="50">
        <f>Participantes!CI33</f>
        <v>0</v>
      </c>
      <c r="DY34" s="50">
        <f>Participantes!CJ33</f>
        <v>0</v>
      </c>
      <c r="DZ34" s="50" t="str">
        <f t="shared" si="42"/>
        <v/>
      </c>
      <c r="EA34" s="50">
        <f>Participantes!CK33</f>
        <v>0</v>
      </c>
      <c r="EB34" s="50">
        <f>Participantes!CL33</f>
        <v>0</v>
      </c>
      <c r="EC34" s="50" t="str">
        <f t="shared" si="43"/>
        <v/>
      </c>
      <c r="ED34" s="50">
        <f>Participantes!CM33</f>
        <v>0</v>
      </c>
      <c r="EE34" s="50">
        <f>Participantes!CN33</f>
        <v>0</v>
      </c>
      <c r="EF34" s="50" t="str">
        <f t="shared" si="44"/>
        <v/>
      </c>
      <c r="EG34" s="50">
        <f>Participantes!CO33</f>
        <v>0</v>
      </c>
      <c r="EH34" s="50">
        <f>Participantes!CP33</f>
        <v>0</v>
      </c>
      <c r="EI34" s="50" t="str">
        <f t="shared" si="45"/>
        <v/>
      </c>
      <c r="EJ34" s="50">
        <f>Participantes!CQ33</f>
        <v>0</v>
      </c>
      <c r="EK34" s="50">
        <f>Participantes!CR33</f>
        <v>0</v>
      </c>
      <c r="EL34" s="50" t="str">
        <f t="shared" si="46"/>
        <v/>
      </c>
      <c r="EM34" s="50">
        <f>Participantes!CS33</f>
        <v>0</v>
      </c>
      <c r="EN34" s="50">
        <f>Participantes!CT33</f>
        <v>0</v>
      </c>
      <c r="EO34" s="50" t="str">
        <f t="shared" si="47"/>
        <v/>
      </c>
      <c r="EP34" s="50">
        <f>Participantes!CU33</f>
        <v>0</v>
      </c>
      <c r="EQ34" s="50">
        <f>Participantes!CV33</f>
        <v>0</v>
      </c>
      <c r="ER34" s="50" t="str">
        <f t="shared" si="48"/>
        <v/>
      </c>
      <c r="ES34" s="50">
        <f>Participantes!CW33</f>
        <v>0</v>
      </c>
      <c r="ET34" s="50">
        <f>Participantes!CX33</f>
        <v>0</v>
      </c>
      <c r="EU34" s="50" t="str">
        <f t="shared" si="49"/>
        <v/>
      </c>
      <c r="EV34" s="50">
        <f>Participantes!CY33</f>
        <v>0</v>
      </c>
      <c r="EW34" s="50">
        <f>Participantes!CZ33</f>
        <v>0</v>
      </c>
      <c r="EX34" s="50" t="str">
        <f t="shared" si="50"/>
        <v/>
      </c>
      <c r="EY34" s="50">
        <f>Participantes!DA33</f>
        <v>0</v>
      </c>
      <c r="EZ34" s="50">
        <f>Participantes!DB33</f>
        <v>0</v>
      </c>
      <c r="FA34" s="50" t="str">
        <f t="shared" si="51"/>
        <v/>
      </c>
      <c r="FB34" s="50">
        <f>Participantes!DC33</f>
        <v>0</v>
      </c>
      <c r="FC34" s="50">
        <f>Participantes!DD33</f>
        <v>0</v>
      </c>
      <c r="FD34" s="50" t="str">
        <f t="shared" si="52"/>
        <v/>
      </c>
      <c r="FE34" s="50">
        <f>Participantes!DE33</f>
        <v>0</v>
      </c>
      <c r="FF34" s="50">
        <f>Participantes!DF33</f>
        <v>0</v>
      </c>
      <c r="FG34" s="50" t="str">
        <f t="shared" si="53"/>
        <v/>
      </c>
      <c r="FH34" s="50">
        <f>Participantes!DG33</f>
        <v>0</v>
      </c>
      <c r="FI34" s="50">
        <f>Participantes!DH33</f>
        <v>0</v>
      </c>
      <c r="FJ34" s="50" t="str">
        <f t="shared" si="54"/>
        <v/>
      </c>
      <c r="FK34" s="50">
        <f>Participantes!DI33</f>
        <v>0</v>
      </c>
      <c r="FL34" s="50">
        <f>Participantes!DJ33</f>
        <v>0</v>
      </c>
      <c r="FM34" s="50" t="str">
        <f t="shared" si="55"/>
        <v/>
      </c>
      <c r="FN34" s="50">
        <f>Participantes!DK33</f>
        <v>0</v>
      </c>
      <c r="FO34" s="50">
        <f>Participantes!DL33</f>
        <v>0</v>
      </c>
      <c r="FP34" s="50" t="str">
        <f t="shared" si="56"/>
        <v/>
      </c>
      <c r="FQ34" s="50">
        <f>Participantes!DM33</f>
        <v>0</v>
      </c>
      <c r="FR34" s="50">
        <f>Participantes!DN33</f>
        <v>0</v>
      </c>
      <c r="FS34" s="50" t="str">
        <f t="shared" si="57"/>
        <v/>
      </c>
      <c r="FT34" s="50">
        <f>Participantes!DO33</f>
        <v>0</v>
      </c>
      <c r="FU34" s="50">
        <f>Participantes!DP33</f>
        <v>0</v>
      </c>
      <c r="FV34" s="50" t="str">
        <f t="shared" si="58"/>
        <v/>
      </c>
      <c r="FW34" s="50">
        <f>Participantes!DQ33</f>
        <v>0</v>
      </c>
      <c r="FX34" s="50">
        <f>Participantes!DR33</f>
        <v>0</v>
      </c>
      <c r="FY34" s="50" t="str">
        <f t="shared" si="59"/>
        <v/>
      </c>
      <c r="FZ34" s="50">
        <f>Participantes!DS33</f>
        <v>0</v>
      </c>
      <c r="GA34" s="50">
        <f>Participantes!DT33</f>
        <v>0</v>
      </c>
      <c r="GB34" s="50" t="str">
        <f t="shared" si="60"/>
        <v/>
      </c>
      <c r="GC34" s="50">
        <f>Participantes!DU33</f>
        <v>0</v>
      </c>
      <c r="GD34" s="50">
        <f>Participantes!DV33</f>
        <v>0</v>
      </c>
      <c r="GE34" s="50" t="str">
        <f t="shared" si="61"/>
        <v/>
      </c>
      <c r="GF34" s="50">
        <f>Participantes!DW33</f>
        <v>0</v>
      </c>
      <c r="GG34" s="50">
        <f>Participantes!DX33</f>
        <v>0</v>
      </c>
      <c r="GH34" s="50" t="str">
        <f t="shared" si="62"/>
        <v/>
      </c>
      <c r="GI34" s="50">
        <f>Participantes!DY33</f>
        <v>0</v>
      </c>
      <c r="GJ34" s="50">
        <f>Participantes!DZ33</f>
        <v>0</v>
      </c>
      <c r="GK34" s="50" t="str">
        <f t="shared" si="63"/>
        <v/>
      </c>
      <c r="GL34" s="50">
        <f>Participantes!EA33</f>
        <v>0</v>
      </c>
      <c r="GM34" s="50">
        <f>Participantes!EB33</f>
        <v>0</v>
      </c>
      <c r="GN34" s="50" t="str">
        <f t="shared" si="64"/>
        <v/>
      </c>
      <c r="GO34" s="50">
        <f>Participantes!EC33</f>
        <v>0</v>
      </c>
      <c r="GP34" s="50">
        <f>Participantes!ED33</f>
        <v>0</v>
      </c>
      <c r="GQ34" s="50" t="str">
        <f t="shared" si="65"/>
        <v/>
      </c>
      <c r="GR34" s="50">
        <f>Participantes!EE33</f>
        <v>0</v>
      </c>
      <c r="GS34" s="50">
        <f>Participantes!EF33</f>
        <v>0</v>
      </c>
      <c r="GT34" s="50" t="str">
        <f t="shared" si="66"/>
        <v/>
      </c>
      <c r="GU34" s="50">
        <f>Participantes!EG33</f>
        <v>0</v>
      </c>
      <c r="GV34" s="50">
        <f>Participantes!EH33</f>
        <v>0</v>
      </c>
      <c r="GW34" s="50" t="str">
        <f t="shared" si="67"/>
        <v/>
      </c>
      <c r="GX34" s="50">
        <f>Participantes!EI33</f>
        <v>0</v>
      </c>
      <c r="GY34" s="50">
        <f>Participantes!EJ33</f>
        <v>0</v>
      </c>
      <c r="GZ34" s="50" t="str">
        <f t="shared" si="68"/>
        <v/>
      </c>
      <c r="HA34" s="50">
        <f>Participantes!EK33</f>
        <v>0</v>
      </c>
      <c r="HB34" s="50">
        <f>Participantes!EL33</f>
        <v>0</v>
      </c>
      <c r="HC34" s="50" t="str">
        <f t="shared" si="69"/>
        <v/>
      </c>
      <c r="HD34" s="50">
        <f>Participantes!EM33</f>
        <v>0</v>
      </c>
      <c r="HE34" s="50">
        <f>Participantes!EN33</f>
        <v>0</v>
      </c>
      <c r="HF34" s="50" t="str">
        <f t="shared" si="70"/>
        <v/>
      </c>
      <c r="HG34" s="50">
        <f>Participantes!EO33</f>
        <v>0</v>
      </c>
      <c r="HH34" s="50">
        <f>Participantes!EP33</f>
        <v>0</v>
      </c>
      <c r="HI34" s="50" t="str">
        <f t="shared" si="71"/>
        <v/>
      </c>
      <c r="HJ34" s="51">
        <f t="shared" si="72"/>
        <v>6</v>
      </c>
    </row>
    <row r="35" spans="1:218" ht="15" customHeight="1" x14ac:dyDescent="0.25">
      <c r="A35" s="49" t="str">
        <f>Participantes!B34</f>
        <v>Medica</v>
      </c>
      <c r="B35" s="50">
        <f>Participantes!C34</f>
        <v>2</v>
      </c>
      <c r="C35" s="50">
        <f>Participantes!D34</f>
        <v>1</v>
      </c>
      <c r="D35" s="50">
        <f t="shared" ref="D35:D51" si="73">IF(B$2="","",IF(AND(B35=B$2,C35=C$2),3,IF(AND(B$2&gt;C$2,B35&gt;C35),1,IF(AND(C$2&gt;B$2,C35&gt;B35),1,IF(AND(B$2=C$2,B35=C35),1,0)))))</f>
        <v>1</v>
      </c>
      <c r="E35" s="50">
        <f>Participantes!E34</f>
        <v>1</v>
      </c>
      <c r="F35" s="50">
        <f>Participantes!F34</f>
        <v>1</v>
      </c>
      <c r="G35" s="50">
        <f t="shared" ref="G35:G51" si="74">IF(E$2="","",IF(AND(E35=E$2,F35=F$2),3,IF(AND(E$2&gt;F$2,E35&gt;F35),1,IF(AND(F$2&gt;E$2,F35&gt;E35),1,IF(AND(E$2=F$2,E35=F35),1,0)))))</f>
        <v>0</v>
      </c>
      <c r="H35" s="50">
        <f>Participantes!G34</f>
        <v>1</v>
      </c>
      <c r="I35" s="50">
        <f>Participantes!H34</f>
        <v>1</v>
      </c>
      <c r="J35" s="50" t="str">
        <f t="shared" ref="J35:J51" si="75">IF(H$2="","",IF(AND(H35=H$2,I35=I$2),3,IF(AND(H$2&gt;I$2,H35&gt;I35),1,IF(AND(I$2&gt;H$2,I35&gt;H35),1,IF(AND(H$2=I$2,H35=I35),1,0)))))</f>
        <v/>
      </c>
      <c r="K35" s="50">
        <f>Participantes!I34</f>
        <v>1</v>
      </c>
      <c r="L35" s="50">
        <f>Participantes!J34</f>
        <v>0</v>
      </c>
      <c r="M35" s="50" t="str">
        <f t="shared" ref="M35:M51" si="76">IF(K$2="","",IF(AND(K35=K$2,L35=L$2),3,IF(AND(K$2&gt;L$2,K35&gt;L35),1,IF(AND(L$2&gt;K$2,L35&gt;K35),1,IF(AND(K$2=L$2,K35=L35),1,0)))))</f>
        <v/>
      </c>
      <c r="N35" s="50">
        <f>Participantes!K34</f>
        <v>0</v>
      </c>
      <c r="O35" s="50">
        <f>Participantes!L34</f>
        <v>3</v>
      </c>
      <c r="P35" s="50" t="str">
        <f t="shared" ref="P35:P51" si="77">IF(N$2="","",IF(AND(N35=N$2,O35=O$2),3,IF(AND(N$2&gt;O$2,N35&gt;O35),1,IF(AND(O$2&gt;N$2,O35&gt;N35),1,IF(AND(N$2=O$2,N35=O35),1,0)))))</f>
        <v/>
      </c>
      <c r="Q35" s="50">
        <f>Participantes!M34</f>
        <v>0</v>
      </c>
      <c r="R35" s="50">
        <f>Participantes!N34</f>
        <v>1</v>
      </c>
      <c r="S35" s="50" t="str">
        <f t="shared" ref="S35:S51" si="78">IF(Q$2="","",IF(AND(Q35=Q$2,R35=R$2),3,IF(AND(Q$2&gt;R$2,Q35&gt;R35),1,IF(AND(R$2&gt;Q$2,R35&gt;Q35),1,IF(AND(Q$2=R$2,Q35=R35),1,0)))))</f>
        <v/>
      </c>
      <c r="T35" s="50">
        <f>Participantes!O34</f>
        <v>2</v>
      </c>
      <c r="U35" s="50">
        <f>Participantes!P34</f>
        <v>2</v>
      </c>
      <c r="V35" s="50" t="str">
        <f t="shared" ref="V35:V51" si="79">IF(T$2="","",IF(AND(T35=T$2,U35=U$2),3,IF(AND(T$2&gt;U$2,T35&gt;U35),1,IF(AND(U$2&gt;T$2,U35&gt;T35),1,IF(AND(T$2=U$2,T35=U35),1,0)))))</f>
        <v/>
      </c>
      <c r="W35" s="50">
        <f>Participantes!Q34</f>
        <v>0</v>
      </c>
      <c r="X35" s="50">
        <f>Participantes!R34</f>
        <v>2</v>
      </c>
      <c r="Y35" s="50" t="str">
        <f t="shared" ref="Y35:Y51" si="80">IF(W$2="","",IF(AND(W35=W$2,X35=X$2),3,IF(AND(W$2&gt;X$2,W35&gt;X35),1,IF(AND(X$2&gt;W$2,X35&gt;W35),1,IF(AND(W$2=X$2,W35=X35),1,0)))))</f>
        <v/>
      </c>
      <c r="Z35" s="50">
        <f>Participantes!S34</f>
        <v>1</v>
      </c>
      <c r="AA35" s="50">
        <f>Participantes!T34</f>
        <v>1</v>
      </c>
      <c r="AB35" s="50" t="str">
        <f t="shared" ref="AB35:AB51" si="81">IF(Z$2="","",IF(AND(Z35=Z$2,AA35=AA$2),3,IF(AND(Z$2&gt;AA$2,Z35&gt;AA35),1,IF(AND(AA$2&gt;Z$2,AA35&gt;Z35),1,IF(AND(Z$2=AA$2,Z35=AA35),1,0)))))</f>
        <v/>
      </c>
      <c r="AC35" s="50">
        <f>Participantes!U34</f>
        <v>3</v>
      </c>
      <c r="AD35" s="50">
        <f>Participantes!V34</f>
        <v>1</v>
      </c>
      <c r="AE35" s="50" t="str">
        <f t="shared" ref="AE35:AE51" si="82">IF(AC$2="","",IF(AND(AC35=AC$2,AD35=AD$2),3,IF(AND(AC$2&gt;AD$2,AC35&gt;AD35),1,IF(AND(AD$2&gt;AC$2,AD35&gt;AC35),1,IF(AND(AC$2=AD$2,AC35=AD35),1,0)))))</f>
        <v/>
      </c>
      <c r="AF35" s="50">
        <f>Participantes!W34</f>
        <v>2</v>
      </c>
      <c r="AG35" s="50">
        <f>Participantes!X34</f>
        <v>2</v>
      </c>
      <c r="AH35" s="50" t="str">
        <f t="shared" ref="AH35:AH51" si="83">IF(AF$2="","",IF(AND(AF35=AF$2,AG35=AG$2),3,IF(AND(AF$2&gt;AG$2,AF35&gt;AG35),1,IF(AND(AG$2&gt;AF$2,AG35&gt;AF35),1,IF(AND(AF$2=AG$2,AF35=AG35),1,0)))))</f>
        <v/>
      </c>
      <c r="AI35" s="50">
        <f>Participantes!Y34</f>
        <v>2</v>
      </c>
      <c r="AJ35" s="50">
        <f>Participantes!Z34</f>
        <v>0</v>
      </c>
      <c r="AK35" s="50" t="str">
        <f t="shared" ref="AK35:AK51" si="84">IF(AI$2="","",IF(AND(AI35=AI$2,AJ35=AJ$2),3,IF(AND(AI$2&gt;AJ$2,AI35&gt;AJ35),1,IF(AND(AJ$2&gt;AI$2,AJ35&gt;AI35),1,IF(AND(AI$2=AJ$2,AI35=AJ35),1,0)))))</f>
        <v/>
      </c>
      <c r="AL35" s="50">
        <f>Participantes!AA34</f>
        <v>0</v>
      </c>
      <c r="AM35" s="50">
        <f>Participantes!AB34</f>
        <v>1</v>
      </c>
      <c r="AN35" s="50" t="str">
        <f t="shared" ref="AN35:AN51" si="85">IF(AL$2="","",IF(AND(AL35=AL$2,AM35=AM$2),3,IF(AND(AL$2&gt;AM$2,AL35&gt;AM35),1,IF(AND(AM$2&gt;AL$2,AM35&gt;AL35),1,IF(AND(AL$2=AM$2,AL35=AM35),1,0)))))</f>
        <v/>
      </c>
      <c r="AO35" s="50">
        <f>Participantes!AC34</f>
        <v>4</v>
      </c>
      <c r="AP35" s="50">
        <f>Participantes!AD34</f>
        <v>0</v>
      </c>
      <c r="AQ35" s="50" t="str">
        <f t="shared" ref="AQ35:AQ51" si="86">IF(AO$2="","",IF(AND(AO35=AO$2,AP35=AP$2),3,IF(AND(AO$2&gt;AP$2,AO35&gt;AP35),1,IF(AND(AP$2&gt;AO$2,AP35&gt;AO35),1,IF(AND(AO$2=AP$2,AO35=AP35),1,0)))))</f>
        <v/>
      </c>
      <c r="AR35" s="50">
        <f>Participantes!AE34</f>
        <v>0</v>
      </c>
      <c r="AS35" s="50">
        <f>Participantes!AF34</f>
        <v>0</v>
      </c>
      <c r="AT35" s="50" t="str">
        <f t="shared" ref="AT35:AT51" si="87">IF(AR$2="","",IF(AND(AR35=AR$2,AS35=AS$2),3,IF(AND(AR$2&gt;AS$2,AR35&gt;AS35),1,IF(AND(AS$2&gt;AR$2,AS35&gt;AR35),1,IF(AND(AR$2=AS$2,AR35=AS35),1,0)))))</f>
        <v/>
      </c>
      <c r="AU35" s="50">
        <f>Participantes!AG34</f>
        <v>0</v>
      </c>
      <c r="AV35" s="50">
        <f>Participantes!AH34</f>
        <v>0</v>
      </c>
      <c r="AW35" s="50" t="str">
        <f t="shared" ref="AW35:AW51" si="88">IF(AU$2="","",IF(AND(AU35=AU$2,AV35=AV$2),3,IF(AND(AU$2&gt;AV$2,AU35&gt;AV35),1,IF(AND(AV$2&gt;AU$2,AV35&gt;AU35),1,IF(AND(AU$2=AV$2,AU35=AV35),1,0)))))</f>
        <v/>
      </c>
      <c r="AX35" s="50">
        <f>Participantes!AI34</f>
        <v>0</v>
      </c>
      <c r="AY35" s="50">
        <f>Participantes!AJ34</f>
        <v>0</v>
      </c>
      <c r="AZ35" s="50" t="str">
        <f t="shared" ref="AZ35:AZ51" si="89">IF(AX$2="","",IF(AND(AX35=AX$2,AY35=AY$2),3,IF(AND(AX$2&gt;AY$2,AX35&gt;AY35),1,IF(AND(AY$2&gt;AX$2,AY35&gt;AX35),1,IF(AND(AX$2=AY$2,AX35=AY35),1,0)))))</f>
        <v/>
      </c>
      <c r="BA35" s="50">
        <f>Participantes!AK34</f>
        <v>0</v>
      </c>
      <c r="BB35" s="50">
        <f>Participantes!AL34</f>
        <v>0</v>
      </c>
      <c r="BC35" s="50" t="str">
        <f t="shared" ref="BC35:BC51" si="90">IF(BA$2="","",IF(AND(BA35=BA$2,BB35=BB$2),3,IF(AND(BA$2&gt;BB$2,BA35&gt;BB35),1,IF(AND(BB$2&gt;BA$2,BB35&gt;BA35),1,IF(AND(BA$2=BB$2,BA35=BB35),1,0)))))</f>
        <v/>
      </c>
      <c r="BD35" s="50">
        <f>Participantes!AM34</f>
        <v>0</v>
      </c>
      <c r="BE35" s="50">
        <f>Participantes!AN34</f>
        <v>0</v>
      </c>
      <c r="BF35" s="50" t="str">
        <f t="shared" ref="BF35:BF51" si="91">IF(BD$2="","",IF(AND(BD35=BD$2,BE35=BE$2),3,IF(AND(BD$2&gt;BE$2,BD35&gt;BE35),1,IF(AND(BE$2&gt;BD$2,BE35&gt;BD35),1,IF(AND(BD$2=BE$2,BD35=BE35),1,0)))))</f>
        <v/>
      </c>
      <c r="BG35" s="50">
        <f>Participantes!AO34</f>
        <v>0</v>
      </c>
      <c r="BH35" s="50">
        <f>Participantes!AP34</f>
        <v>0</v>
      </c>
      <c r="BI35" s="50" t="str">
        <f t="shared" ref="BI35:BI51" si="92">IF(BG$2="","",IF(AND(BG35=BG$2,BH35=BH$2),3,IF(AND(BG$2&gt;BH$2,BG35&gt;BH35),1,IF(AND(BH$2&gt;BG$2,BH35&gt;BG35),1,IF(AND(BG$2=BH$2,BG35=BH35),1,0)))))</f>
        <v/>
      </c>
      <c r="BJ35" s="50">
        <f>Participantes!AQ34</f>
        <v>0</v>
      </c>
      <c r="BK35" s="50">
        <f>Participantes!AR34</f>
        <v>0</v>
      </c>
      <c r="BL35" s="50" t="str">
        <f t="shared" ref="BL35:BL51" si="93">IF(BJ$2="","",IF(AND(BJ35=BJ$2,BK35=BK$2),3,IF(AND(BJ$2&gt;BK$2,BJ35&gt;BK35),1,IF(AND(BK$2&gt;BJ$2,BK35&gt;BJ35),1,IF(AND(BJ$2=BK$2,BJ35=BK35),1,0)))))</f>
        <v/>
      </c>
      <c r="BM35" s="50">
        <f>Participantes!AS34</f>
        <v>0</v>
      </c>
      <c r="BN35" s="50">
        <f>Participantes!AT34</f>
        <v>0</v>
      </c>
      <c r="BO35" s="50" t="str">
        <f t="shared" ref="BO35:BO51" si="94">IF(BM$2="","",IF(AND(BM35=BM$2,BN35=BN$2),3,IF(AND(BM$2&gt;BN$2,BM35&gt;BN35),1,IF(AND(BN$2&gt;BM$2,BN35&gt;BM35),1,IF(AND(BM$2=BN$2,BM35=BN35),1,0)))))</f>
        <v/>
      </c>
      <c r="BP35" s="50">
        <f>Participantes!AU34</f>
        <v>0</v>
      </c>
      <c r="BQ35" s="50">
        <f>Participantes!AV34</f>
        <v>0</v>
      </c>
      <c r="BR35" s="50" t="str">
        <f t="shared" ref="BR35:BR51" si="95">IF(BP$2="","",IF(AND(BP35=BP$2,BQ35=BQ$2),3,IF(AND(BP$2&gt;BQ$2,BP35&gt;BQ35),1,IF(AND(BQ$2&gt;BP$2,BQ35&gt;BP35),1,IF(AND(BP$2=BQ$2,BP35=BQ35),1,0)))))</f>
        <v/>
      </c>
      <c r="BS35" s="50">
        <f>Participantes!AW34</f>
        <v>0</v>
      </c>
      <c r="BT35" s="50">
        <f>Participantes!AX34</f>
        <v>0</v>
      </c>
      <c r="BU35" s="50" t="str">
        <f t="shared" ref="BU35:BU51" si="96">IF(BS$2="","",IF(AND(BS35=BS$2,BT35=BT$2),3,IF(AND(BS$2&gt;BT$2,BS35&gt;BT35),1,IF(AND(BT$2&gt;BS$2,BT35&gt;BS35),1,IF(AND(BS$2=BT$2,BS35=BT35),1,0)))))</f>
        <v/>
      </c>
      <c r="BV35" s="50">
        <f>Participantes!AY34</f>
        <v>0</v>
      </c>
      <c r="BW35" s="50">
        <f>Participantes!AZ34</f>
        <v>0</v>
      </c>
      <c r="BX35" s="50" t="str">
        <f t="shared" ref="BX35:BX51" si="97">IF(BV$2="","",IF(AND(BV35=BV$2,BW35=BW$2),3,IF(AND(BV$2&gt;BW$2,BV35&gt;BW35),1,IF(AND(BW$2&gt;BV$2,BW35&gt;BV35),1,IF(AND(BV$2=BW$2,BV35=BW35),1,0)))))</f>
        <v/>
      </c>
      <c r="BY35" s="50">
        <f>Participantes!BA34</f>
        <v>0</v>
      </c>
      <c r="BZ35" s="50">
        <f>Participantes!BB34</f>
        <v>0</v>
      </c>
      <c r="CA35" s="50" t="str">
        <f t="shared" ref="CA35:CA51" si="98">IF(BY$2="","",IF(AND(BY35=BY$2,BZ35=BZ$2),3,IF(AND(BY$2&gt;BZ$2,BY35&gt;BZ35),1,IF(AND(BZ$2&gt;BY$2,BZ35&gt;BY35),1,IF(AND(BY$2=BZ$2,BY35=BZ35),1,0)))))</f>
        <v/>
      </c>
      <c r="CB35" s="50">
        <f>Participantes!BC34</f>
        <v>0</v>
      </c>
      <c r="CC35" s="50">
        <f>Participantes!BD34</f>
        <v>0</v>
      </c>
      <c r="CD35" s="50" t="str">
        <f t="shared" ref="CD35:CD51" si="99">IF(CB$2="","",IF(AND(CB35=CB$2,CC35=CC$2),3,IF(AND(CB$2&gt;CC$2,CB35&gt;CC35),1,IF(AND(CC$2&gt;CB$2,CC35&gt;CB35),1,IF(AND(CB$2=CC$2,CB35=CC35),1,0)))))</f>
        <v/>
      </c>
      <c r="CE35" s="50">
        <f>Participantes!BE34</f>
        <v>0</v>
      </c>
      <c r="CF35" s="50">
        <f>Participantes!BF34</f>
        <v>0</v>
      </c>
      <c r="CG35" s="50" t="str">
        <f t="shared" ref="CG35:CG51" si="100">IF(CE$2="","",IF(AND(CE35=CE$2,CF35=CF$2),3,IF(AND(CE$2&gt;CF$2,CE35&gt;CF35),1,IF(AND(CF$2&gt;CE$2,CF35&gt;CE35),1,IF(AND(CE$2=CF$2,CE35=CF35),1,0)))))</f>
        <v/>
      </c>
      <c r="CH35" s="50">
        <f>Participantes!BG34</f>
        <v>0</v>
      </c>
      <c r="CI35" s="50">
        <f>Participantes!BH34</f>
        <v>0</v>
      </c>
      <c r="CJ35" s="50" t="str">
        <f t="shared" ref="CJ35:CJ51" si="101">IF(CH$2="","",IF(AND(CH35=CH$2,CI35=CI$2),3,IF(AND(CH$2&gt;CI$2,CH35&gt;CI35),1,IF(AND(CI$2&gt;CH$2,CI35&gt;CH35),1,IF(AND(CH$2=CI$2,CH35=CI35),1,0)))))</f>
        <v/>
      </c>
      <c r="CK35" s="50">
        <f>Participantes!BI34</f>
        <v>0</v>
      </c>
      <c r="CL35" s="50">
        <f>Participantes!BJ34</f>
        <v>0</v>
      </c>
      <c r="CM35" s="50" t="str">
        <f t="shared" ref="CM35:CM51" si="102">IF(CK$2="","",IF(AND(CK35=CK$2,CL35=CL$2),3,IF(AND(CK$2&gt;CL$2,CK35&gt;CL35),1,IF(AND(CL$2&gt;CK$2,CL35&gt;CK35),1,IF(AND(CK$2=CL$2,CK35=CL35),1,0)))))</f>
        <v/>
      </c>
      <c r="CN35" s="50">
        <f>Participantes!BK34</f>
        <v>0</v>
      </c>
      <c r="CO35" s="50">
        <f>Participantes!BL34</f>
        <v>0</v>
      </c>
      <c r="CP35" s="50" t="str">
        <f t="shared" ref="CP35:CP51" si="103">IF(CN$2="","",IF(AND(CN35=CN$2,CO35=CO$2),3,IF(AND(CN$2&gt;CO$2,CN35&gt;CO35),1,IF(AND(CO$2&gt;CN$2,CO35&gt;CN35),1,IF(AND(CN$2=CO$2,CN35=CO35),1,0)))))</f>
        <v/>
      </c>
      <c r="CQ35" s="50">
        <f>Participantes!BM34</f>
        <v>0</v>
      </c>
      <c r="CR35" s="50">
        <f>Participantes!BN34</f>
        <v>0</v>
      </c>
      <c r="CS35" s="50" t="str">
        <f t="shared" ref="CS35:CS51" si="104">IF(CQ$2="","",IF(AND(CQ35=CQ$2,CR35=CR$2),3,IF(AND(CQ$2&gt;CR$2,CQ35&gt;CR35),1,IF(AND(CR$2&gt;CQ$2,CR35&gt;CQ35),1,IF(AND(CQ$2=CR$2,CQ35=CR35),1,0)))))</f>
        <v/>
      </c>
      <c r="CT35" s="50">
        <f>Participantes!BO34</f>
        <v>0</v>
      </c>
      <c r="CU35" s="50">
        <f>Participantes!BP34</f>
        <v>0</v>
      </c>
      <c r="CV35" s="50" t="str">
        <f t="shared" ref="CV35:CV51" si="105">IF(CT$2="","",IF(AND(CT35=CT$2,CU35=CU$2),3,IF(AND(CT$2&gt;CU$2,CT35&gt;CU35),1,IF(AND(CU$2&gt;CT$2,CU35&gt;CT35),1,IF(AND(CT$2=CU$2,CT35=CU35),1,0)))))</f>
        <v/>
      </c>
      <c r="CW35" s="50">
        <f>Participantes!BQ34</f>
        <v>0</v>
      </c>
      <c r="CX35" s="50">
        <f>Participantes!BR34</f>
        <v>0</v>
      </c>
      <c r="CY35" s="50" t="str">
        <f t="shared" ref="CY35:CY51" si="106">IF(CW$2="","",IF(AND(CW35=CW$2,CX35=CX$2),3,IF(AND(CW$2&gt;CX$2,CW35&gt;CX35),1,IF(AND(CX$2&gt;CW$2,CX35&gt;CW35),1,IF(AND(CW$2=CX$2,CW35=CX35),1,0)))))</f>
        <v/>
      </c>
      <c r="CZ35" s="50">
        <f>Participantes!BS34</f>
        <v>0</v>
      </c>
      <c r="DA35" s="50">
        <f>Participantes!BT34</f>
        <v>0</v>
      </c>
      <c r="DB35" s="50" t="str">
        <f t="shared" ref="DB35:DB51" si="107">IF(CZ$2="","",IF(AND(CZ35=CZ$2,DA35=DA$2),3,IF(AND(CZ$2&gt;DA$2,CZ35&gt;DA35),1,IF(AND(DA$2&gt;CZ$2,DA35&gt;CZ35),1,IF(AND(CZ$2=DA$2,CZ35=DA35),1,0)))))</f>
        <v/>
      </c>
      <c r="DC35" s="50">
        <f>Participantes!BU34</f>
        <v>0</v>
      </c>
      <c r="DD35" s="50">
        <f>Participantes!BV34</f>
        <v>0</v>
      </c>
      <c r="DE35" s="50" t="str">
        <f t="shared" ref="DE35:DE51" si="108">IF(DC$2="","",IF(AND(DC35=DC$2,DD35=DD$2),3,IF(AND(DC$2&gt;DD$2,DC35&gt;DD35),1,IF(AND(DD$2&gt;DC$2,DD35&gt;DC35),1,IF(AND(DC$2=DD$2,DC35=DD35),1,0)))))</f>
        <v/>
      </c>
      <c r="DF35" s="50">
        <f>Participantes!BW34</f>
        <v>0</v>
      </c>
      <c r="DG35" s="50">
        <f>Participantes!BX34</f>
        <v>0</v>
      </c>
      <c r="DH35" s="50" t="str">
        <f t="shared" ref="DH35:DH51" si="109">IF(DF$2="","",IF(AND(DF35=DF$2,DG35=DG$2),3,IF(AND(DF$2&gt;DG$2,DF35&gt;DG35),1,IF(AND(DG$2&gt;DF$2,DG35&gt;DF35),1,IF(AND(DF$2=DG$2,DF35=DG35),1,0)))))</f>
        <v/>
      </c>
      <c r="DI35" s="50">
        <f>Participantes!BY34</f>
        <v>0</v>
      </c>
      <c r="DJ35" s="50">
        <f>Participantes!BZ34</f>
        <v>0</v>
      </c>
      <c r="DK35" s="50" t="str">
        <f t="shared" ref="DK35:DK51" si="110">IF(DI$2="","",IF(AND(DI35=DI$2,DJ35=DJ$2),3,IF(AND(DI$2&gt;DJ$2,DI35&gt;DJ35),1,IF(AND(DJ$2&gt;DI$2,DJ35&gt;DI35),1,IF(AND(DI$2=DJ$2,DI35=DJ35),1,0)))))</f>
        <v/>
      </c>
      <c r="DL35" s="50">
        <f>Participantes!CA34</f>
        <v>0</v>
      </c>
      <c r="DM35" s="50">
        <f>Participantes!CB34</f>
        <v>0</v>
      </c>
      <c r="DN35" s="50" t="str">
        <f t="shared" ref="DN35:DN51" si="111">IF(DL$2="","",IF(AND(DL35=DL$2,DM35=DM$2),3,IF(AND(DL$2&gt;DM$2,DL35&gt;DM35),1,IF(AND(DM$2&gt;DL$2,DM35&gt;DL35),1,IF(AND(DL$2=DM$2,DL35=DM35),1,0)))))</f>
        <v/>
      </c>
      <c r="DO35" s="50">
        <f>Participantes!CC34</f>
        <v>0</v>
      </c>
      <c r="DP35" s="50">
        <f>Participantes!CD34</f>
        <v>0</v>
      </c>
      <c r="DQ35" s="50" t="str">
        <f t="shared" ref="DQ35:DQ51" si="112">IF(DO$2="","",IF(AND(DO35=DO$2,DP35=DP$2),3,IF(AND(DO$2&gt;DP$2,DO35&gt;DP35),1,IF(AND(DP$2&gt;DO$2,DP35&gt;DO35),1,IF(AND(DO$2=DP$2,DO35=DP35),1,0)))))</f>
        <v/>
      </c>
      <c r="DR35" s="50">
        <f>Participantes!CE34</f>
        <v>0</v>
      </c>
      <c r="DS35" s="50">
        <f>Participantes!CF34</f>
        <v>0</v>
      </c>
      <c r="DT35" s="50" t="str">
        <f t="shared" ref="DT35:DT51" si="113">IF(DR$2="","",IF(AND(DR35=DR$2,DS35=DS$2),3,IF(AND(DR$2&gt;DS$2,DR35&gt;DS35),1,IF(AND(DS$2&gt;DR$2,DS35&gt;DR35),1,IF(AND(DR$2=DS$2,DR35=DS35),1,0)))))</f>
        <v/>
      </c>
      <c r="DU35" s="50">
        <f>Participantes!CG34</f>
        <v>0</v>
      </c>
      <c r="DV35" s="50">
        <f>Participantes!CH34</f>
        <v>0</v>
      </c>
      <c r="DW35" s="50" t="str">
        <f t="shared" ref="DW35:DW51" si="114">IF(DU$2="","",IF(AND(DU35=DU$2,DV35=DV$2),3,IF(AND(DU$2&gt;DV$2,DU35&gt;DV35),1,IF(AND(DV$2&gt;DU$2,DV35&gt;DU35),1,IF(AND(DU$2=DV$2,DU35=DV35),1,0)))))</f>
        <v/>
      </c>
      <c r="DX35" s="50">
        <f>Participantes!CI34</f>
        <v>0</v>
      </c>
      <c r="DY35" s="50">
        <f>Participantes!CJ34</f>
        <v>0</v>
      </c>
      <c r="DZ35" s="50" t="str">
        <f t="shared" ref="DZ35:DZ51" si="115">IF(DX$2="","",IF(AND(DX35=DX$2,DY35=DY$2),3,IF(AND(DX$2&gt;DY$2,DX35&gt;DY35),1,IF(AND(DY$2&gt;DX$2,DY35&gt;DX35),1,IF(AND(DX$2=DY$2,DX35=DY35),1,0)))))</f>
        <v/>
      </c>
      <c r="EA35" s="50">
        <f>Participantes!CK34</f>
        <v>0</v>
      </c>
      <c r="EB35" s="50">
        <f>Participantes!CL34</f>
        <v>0</v>
      </c>
      <c r="EC35" s="50" t="str">
        <f t="shared" ref="EC35:EC51" si="116">IF(EA$2="","",IF(AND(EA35=EA$2,EB35=EB$2),3,IF(AND(EA$2&gt;EB$2,EA35&gt;EB35),1,IF(AND(EB$2&gt;EA$2,EB35&gt;EA35),1,IF(AND(EA$2=EB$2,EA35=EB35),1,0)))))</f>
        <v/>
      </c>
      <c r="ED35" s="50">
        <f>Participantes!CM34</f>
        <v>0</v>
      </c>
      <c r="EE35" s="50">
        <f>Participantes!CN34</f>
        <v>0</v>
      </c>
      <c r="EF35" s="50" t="str">
        <f t="shared" ref="EF35:EF51" si="117">IF(ED$2="","",IF(AND(ED35=ED$2,EE35=EE$2),3,IF(AND(ED$2&gt;EE$2,ED35&gt;EE35),1,IF(AND(EE$2&gt;ED$2,EE35&gt;ED35),1,IF(AND(ED$2=EE$2,ED35=EE35),1,0)))))</f>
        <v/>
      </c>
      <c r="EG35" s="50">
        <f>Participantes!CO34</f>
        <v>0</v>
      </c>
      <c r="EH35" s="50">
        <f>Participantes!CP34</f>
        <v>0</v>
      </c>
      <c r="EI35" s="50" t="str">
        <f t="shared" ref="EI35:EI51" si="118">IF(EG$2="","",IF(AND(EG35=EG$2,EH35=EH$2),3,IF(AND(EG$2&gt;EH$2,EG35&gt;EH35),1,IF(AND(EH$2&gt;EG$2,EH35&gt;EG35),1,IF(AND(EG$2=EH$2,EG35=EH35),1,0)))))</f>
        <v/>
      </c>
      <c r="EJ35" s="50">
        <f>Participantes!CQ34</f>
        <v>0</v>
      </c>
      <c r="EK35" s="50">
        <f>Participantes!CR34</f>
        <v>0</v>
      </c>
      <c r="EL35" s="50" t="str">
        <f t="shared" ref="EL35:EL51" si="119">IF(EJ$2="","",IF(AND(EJ35=EJ$2,EK35=EK$2),3,IF(AND(EJ$2&gt;EK$2,EJ35&gt;EK35),1,IF(AND(EK$2&gt;EJ$2,EK35&gt;EJ35),1,IF(AND(EJ$2=EK$2,EJ35=EK35),1,0)))))</f>
        <v/>
      </c>
      <c r="EM35" s="50">
        <f>Participantes!CS34</f>
        <v>0</v>
      </c>
      <c r="EN35" s="50">
        <f>Participantes!CT34</f>
        <v>0</v>
      </c>
      <c r="EO35" s="50" t="str">
        <f t="shared" ref="EO35:EO51" si="120">IF(EM$2="","",IF(AND(EM35=EM$2,EN35=EN$2),3,IF(AND(EM$2&gt;EN$2,EM35&gt;EN35),1,IF(AND(EN$2&gt;EM$2,EN35&gt;EM35),1,IF(AND(EM$2=EN$2,EM35=EN35),1,0)))))</f>
        <v/>
      </c>
      <c r="EP35" s="50">
        <f>Participantes!CU34</f>
        <v>0</v>
      </c>
      <c r="EQ35" s="50">
        <f>Participantes!CV34</f>
        <v>0</v>
      </c>
      <c r="ER35" s="50" t="str">
        <f t="shared" ref="ER35:ER51" si="121">IF(EP$2="","",IF(AND(EP35=EP$2,EQ35=EQ$2),3,IF(AND(EP$2&gt;EQ$2,EP35&gt;EQ35),1,IF(AND(EQ$2&gt;EP$2,EQ35&gt;EP35),1,IF(AND(EP$2=EQ$2,EP35=EQ35),1,0)))))</f>
        <v/>
      </c>
      <c r="ES35" s="50">
        <f>Participantes!CW34</f>
        <v>0</v>
      </c>
      <c r="ET35" s="50">
        <f>Participantes!CX34</f>
        <v>0</v>
      </c>
      <c r="EU35" s="50" t="str">
        <f t="shared" ref="EU35:EU51" si="122">IF(ES$2="","",IF(AND(ES35=ES$2,ET35=ET$2),3,IF(AND(ES$2&gt;ET$2,ES35&gt;ET35),1,IF(AND(ET$2&gt;ES$2,ET35&gt;ES35),1,IF(AND(ES$2=ET$2,ES35=ET35),1,0)))))</f>
        <v/>
      </c>
      <c r="EV35" s="50">
        <f>Participantes!CY34</f>
        <v>0</v>
      </c>
      <c r="EW35" s="50">
        <f>Participantes!CZ34</f>
        <v>0</v>
      </c>
      <c r="EX35" s="50" t="str">
        <f t="shared" ref="EX35:EX51" si="123">IF(EV$2="","",IF(AND(EV35=EV$2,EW35=EW$2),3,IF(AND(EV$2&gt;EW$2,EV35&gt;EW35),1,IF(AND(EW$2&gt;EV$2,EW35&gt;EV35),1,IF(AND(EV$2=EW$2,EV35=EW35),1,0)))))</f>
        <v/>
      </c>
      <c r="EY35" s="50">
        <f>Participantes!DA34</f>
        <v>0</v>
      </c>
      <c r="EZ35" s="50">
        <f>Participantes!DB34</f>
        <v>0</v>
      </c>
      <c r="FA35" s="50" t="str">
        <f t="shared" ref="FA35:FA51" si="124">IF(EY$2="","",IF(AND(EY35=EY$2,EZ35=EZ$2),3,IF(AND(EY$2&gt;EZ$2,EY35&gt;EZ35),1,IF(AND(EZ$2&gt;EY$2,EZ35&gt;EY35),1,IF(AND(EY$2=EZ$2,EY35=EZ35),1,0)))))</f>
        <v/>
      </c>
      <c r="FB35" s="50">
        <f>Participantes!DC34</f>
        <v>0</v>
      </c>
      <c r="FC35" s="50">
        <f>Participantes!DD34</f>
        <v>0</v>
      </c>
      <c r="FD35" s="50" t="str">
        <f t="shared" ref="FD35:FD51" si="125">IF(FB$2="","",IF(AND(FB35=FB$2,FC35=FC$2),3,IF(AND(FB$2&gt;FC$2,FB35&gt;FC35),1,IF(AND(FC$2&gt;FB$2,FC35&gt;FB35),1,IF(AND(FB$2=FC$2,FB35=FC35),1,0)))))</f>
        <v/>
      </c>
      <c r="FE35" s="50">
        <f>Participantes!DE34</f>
        <v>0</v>
      </c>
      <c r="FF35" s="50">
        <f>Participantes!DF34</f>
        <v>0</v>
      </c>
      <c r="FG35" s="50" t="str">
        <f t="shared" ref="FG35:FG51" si="126">IF(FE$2="","",IF(AND(FE35=FE$2,FF35=FF$2),3,IF(AND(FE$2&gt;FF$2,FE35&gt;FF35),1,IF(AND(FF$2&gt;FE$2,FF35&gt;FE35),1,IF(AND(FE$2=FF$2,FE35=FF35),1,0)))))</f>
        <v/>
      </c>
      <c r="FH35" s="50">
        <f>Participantes!DG34</f>
        <v>0</v>
      </c>
      <c r="FI35" s="50">
        <f>Participantes!DH34</f>
        <v>0</v>
      </c>
      <c r="FJ35" s="50" t="str">
        <f t="shared" ref="FJ35:FJ51" si="127">IF(FH$2="","",IF(AND(FH35=FH$2,FI35=FI$2),3,IF(AND(FH$2&gt;FI$2,FH35&gt;FI35),1,IF(AND(FI$2&gt;FH$2,FI35&gt;FH35),1,IF(AND(FH$2=FI$2,FH35=FI35),1,0)))))</f>
        <v/>
      </c>
      <c r="FK35" s="50">
        <f>Participantes!DI34</f>
        <v>0</v>
      </c>
      <c r="FL35" s="50">
        <f>Participantes!DJ34</f>
        <v>0</v>
      </c>
      <c r="FM35" s="50" t="str">
        <f t="shared" ref="FM35:FM51" si="128">IF(FK$2="","",IF(AND(FK35=FK$2,FL35=FL$2),3,IF(AND(FK$2&gt;FL$2,FK35&gt;FL35),1,IF(AND(FL$2&gt;FK$2,FL35&gt;FK35),1,IF(AND(FK$2=FL$2,FK35=FL35),1,0)))))</f>
        <v/>
      </c>
      <c r="FN35" s="50">
        <f>Participantes!DK34</f>
        <v>0</v>
      </c>
      <c r="FO35" s="50">
        <f>Participantes!DL34</f>
        <v>0</v>
      </c>
      <c r="FP35" s="50" t="str">
        <f t="shared" ref="FP35:FP51" si="129">IF(FN$2="","",IF(AND(FN35=FN$2,FO35=FO$2),3,IF(AND(FN$2&gt;FO$2,FN35&gt;FO35),1,IF(AND(FO$2&gt;FN$2,FO35&gt;FN35),1,IF(AND(FN$2=FO$2,FN35=FO35),1,0)))))</f>
        <v/>
      </c>
      <c r="FQ35" s="50">
        <f>Participantes!DM34</f>
        <v>0</v>
      </c>
      <c r="FR35" s="50">
        <f>Participantes!DN34</f>
        <v>0</v>
      </c>
      <c r="FS35" s="50" t="str">
        <f t="shared" ref="FS35:FS51" si="130">IF(FQ$2="","",IF(AND(FQ35=FQ$2,FR35=FR$2),3,IF(AND(FQ$2&gt;FR$2,FQ35&gt;FR35),1,IF(AND(FR$2&gt;FQ$2,FR35&gt;FQ35),1,IF(AND(FQ$2=FR$2,FQ35=FR35),1,0)))))</f>
        <v/>
      </c>
      <c r="FT35" s="50">
        <f>Participantes!DO34</f>
        <v>0</v>
      </c>
      <c r="FU35" s="50">
        <f>Participantes!DP34</f>
        <v>0</v>
      </c>
      <c r="FV35" s="50" t="str">
        <f t="shared" ref="FV35:FV51" si="131">IF(FT$2="","",IF(AND(FT35=FT$2,FU35=FU$2),3,IF(AND(FT$2&gt;FU$2,FT35&gt;FU35),1,IF(AND(FU$2&gt;FT$2,FU35&gt;FT35),1,IF(AND(FT$2=FU$2,FT35=FU35),1,0)))))</f>
        <v/>
      </c>
      <c r="FW35" s="50">
        <f>Participantes!DQ34</f>
        <v>0</v>
      </c>
      <c r="FX35" s="50">
        <f>Participantes!DR34</f>
        <v>0</v>
      </c>
      <c r="FY35" s="50" t="str">
        <f t="shared" ref="FY35:FY51" si="132">IF(FW$2="","",IF(AND(FW35=FW$2,FX35=FX$2),3,IF(AND(FW$2&gt;FX$2,FW35&gt;FX35),1,IF(AND(FX$2&gt;FW$2,FX35&gt;FW35),1,IF(AND(FW$2=FX$2,FW35=FX35),1,0)))))</f>
        <v/>
      </c>
      <c r="FZ35" s="50">
        <f>Participantes!DS34</f>
        <v>0</v>
      </c>
      <c r="GA35" s="50">
        <f>Participantes!DT34</f>
        <v>0</v>
      </c>
      <c r="GB35" s="50" t="str">
        <f t="shared" ref="GB35:GB51" si="133">IF(FZ$2="","",IF(AND(FZ35=FZ$2,GA35=GA$2),3,IF(AND(FZ$2&gt;GA$2,FZ35&gt;GA35),1,IF(AND(GA$2&gt;FZ$2,GA35&gt;FZ35),1,IF(AND(FZ$2=GA$2,FZ35=GA35),1,0)))))</f>
        <v/>
      </c>
      <c r="GC35" s="50">
        <f>Participantes!DU34</f>
        <v>0</v>
      </c>
      <c r="GD35" s="50">
        <f>Participantes!DV34</f>
        <v>0</v>
      </c>
      <c r="GE35" s="50" t="str">
        <f t="shared" ref="GE35:GE51" si="134">IF(GC$2="","",IF(AND(GC35=GC$2,GD35=GD$2),3,IF(AND(GC$2&gt;GD$2,GC35&gt;GD35),1,IF(AND(GD$2&gt;GC$2,GD35&gt;GC35),1,IF(AND(GC$2=GD$2,GC35=GD35),1,0)))))</f>
        <v/>
      </c>
      <c r="GF35" s="50">
        <f>Participantes!DW34</f>
        <v>0</v>
      </c>
      <c r="GG35" s="50">
        <f>Participantes!DX34</f>
        <v>0</v>
      </c>
      <c r="GH35" s="50" t="str">
        <f t="shared" ref="GH35:GH51" si="135">IF(GF$2="","",IF(AND(GF35=GF$2,GG35=GG$2),3,IF(AND(GF$2&gt;GG$2,GF35&gt;GG35),1,IF(AND(GG$2&gt;GF$2,GG35&gt;GF35),1,IF(AND(GF$2=GG$2,GF35=GG35),1,0)))))</f>
        <v/>
      </c>
      <c r="GI35" s="50">
        <f>Participantes!DY34</f>
        <v>0</v>
      </c>
      <c r="GJ35" s="50">
        <f>Participantes!DZ34</f>
        <v>0</v>
      </c>
      <c r="GK35" s="50" t="str">
        <f t="shared" ref="GK35:GK51" si="136">IF(GI$2="","",IF(AND(GI35=GI$2,GJ35=GJ$2),3,IF(AND(GI$2&gt;GJ$2,GI35&gt;GJ35),1,IF(AND(GJ$2&gt;GI$2,GJ35&gt;GI35),1,IF(AND(GI$2=GJ$2,GI35=GJ35),1,0)))))</f>
        <v/>
      </c>
      <c r="GL35" s="50">
        <f>Participantes!EA34</f>
        <v>0</v>
      </c>
      <c r="GM35" s="50">
        <f>Participantes!EB34</f>
        <v>0</v>
      </c>
      <c r="GN35" s="50" t="str">
        <f t="shared" ref="GN35:GN51" si="137">IF(GL$2="","",IF(AND(GL35=GL$2,GM35=GM$2),3,IF(AND(GL$2&gt;GM$2,GL35&gt;GM35),1,IF(AND(GM$2&gt;GL$2,GM35&gt;GL35),1,IF(AND(GL$2=GM$2,GL35=GM35),1,0)))))</f>
        <v/>
      </c>
      <c r="GO35" s="50">
        <f>Participantes!EC34</f>
        <v>0</v>
      </c>
      <c r="GP35" s="50">
        <f>Participantes!ED34</f>
        <v>0</v>
      </c>
      <c r="GQ35" s="50" t="str">
        <f t="shared" ref="GQ35:GQ51" si="138">IF(GO$2="","",IF(AND(GO35=GO$2,GP35=GP$2),3,IF(AND(GO$2&gt;GP$2,GO35&gt;GP35),1,IF(AND(GP$2&gt;GO$2,GP35&gt;GO35),1,IF(AND(GO$2=GP$2,GO35=GP35),1,0)))))</f>
        <v/>
      </c>
      <c r="GR35" s="50">
        <f>Participantes!EE34</f>
        <v>0</v>
      </c>
      <c r="GS35" s="50">
        <f>Participantes!EF34</f>
        <v>0</v>
      </c>
      <c r="GT35" s="50" t="str">
        <f t="shared" ref="GT35:GT51" si="139">IF(GR$2="","",IF(AND(GR35=GR$2,GS35=GS$2),3,IF(AND(GR$2&gt;GS$2,GR35&gt;GS35),1,IF(AND(GS$2&gt;GR$2,GS35&gt;GR35),1,IF(AND(GR$2=GS$2,GR35=GS35),1,0)))))</f>
        <v/>
      </c>
      <c r="GU35" s="50">
        <f>Participantes!EG34</f>
        <v>0</v>
      </c>
      <c r="GV35" s="50">
        <f>Participantes!EH34</f>
        <v>0</v>
      </c>
      <c r="GW35" s="50" t="str">
        <f t="shared" ref="GW35:GW51" si="140">IF(GU$2="","",IF(AND(GU35=GU$2,GV35=GV$2),3,IF(AND(GU$2&gt;GV$2,GU35&gt;GV35),1,IF(AND(GV$2&gt;GU$2,GV35&gt;GU35),1,IF(AND(GU$2=GV$2,GU35=GV35),1,0)))))</f>
        <v/>
      </c>
      <c r="GX35" s="50">
        <f>Participantes!EI34</f>
        <v>0</v>
      </c>
      <c r="GY35" s="50">
        <f>Participantes!EJ34</f>
        <v>0</v>
      </c>
      <c r="GZ35" s="50" t="str">
        <f t="shared" ref="GZ35:GZ51" si="141">IF(GX$2="","",IF(AND(GX35=GX$2,GY35=GY$2),3,IF(AND(GX$2&gt;GY$2,GX35&gt;GY35),1,IF(AND(GY$2&gt;GX$2,GY35&gt;GX35),1,IF(AND(GX$2=GY$2,GX35=GY35),1,0)))))</f>
        <v/>
      </c>
      <c r="HA35" s="50">
        <f>Participantes!EK34</f>
        <v>0</v>
      </c>
      <c r="HB35" s="50">
        <f>Participantes!EL34</f>
        <v>0</v>
      </c>
      <c r="HC35" s="50" t="str">
        <f t="shared" ref="HC35:HC51" si="142">IF(HA$2="","",IF(AND(HA35=HA$2,HB35=HB$2),3,IF(AND(HA$2&gt;HB$2,HA35&gt;HB35),1,IF(AND(HB$2&gt;HA$2,HB35&gt;HA35),1,IF(AND(HA$2=HB$2,HA35=HB35),1,0)))))</f>
        <v/>
      </c>
      <c r="HD35" s="50">
        <f>Participantes!EM34</f>
        <v>0</v>
      </c>
      <c r="HE35" s="50">
        <f>Participantes!EN34</f>
        <v>0</v>
      </c>
      <c r="HF35" s="50" t="str">
        <f t="shared" ref="HF35:HF51" si="143">IF(HD$2="","",IF(AND(HD35=HD$2,HE35=HE$2),3,IF(AND(HD$2&gt;HE$2,HD35&gt;HE35),1,IF(AND(HE$2&gt;HD$2,HE35&gt;HD35),1,IF(AND(HD$2=HE$2,HD35=HE35),1,0)))))</f>
        <v/>
      </c>
      <c r="HG35" s="50">
        <f>Participantes!EO34</f>
        <v>0</v>
      </c>
      <c r="HH35" s="50">
        <f>Participantes!EP34</f>
        <v>0</v>
      </c>
      <c r="HI35" s="50" t="str">
        <f t="shared" ref="HI35:HI51" si="144">IF(HG$2="","",IF(AND(HG35=HG$2,HH35=HH$2),3,IF(AND(HG$2&gt;HH$2,HG35&gt;HH35),1,IF(AND(HH$2&gt;HG$2,HH35&gt;HG35),1,IF(AND(HG$2=HH$2,HG35=HH35),1,0)))))</f>
        <v/>
      </c>
      <c r="HJ35" s="51">
        <f t="shared" ref="HJ35:HJ51" si="145">SUM(D35,G35,J35,M35,P35,S35,V35,Y35,AB35,AE35,AH35,AK35,AN35,AQ35,AT35,AW35,AZ35,BC35,BF35,BI35,BL35,BO35,BR35,BU35,BX35,CA35,CD35,CG35,CJ35,CM35,CP35,CS35,CV35,CY35,DB35,DE35,DH35,DK35,DN35,DQ35,DT35,DW35,DZ35,EC35,EF35,EI35,EL35,EO35,ER35,EU35,EX35,FA35,FD35,FG35,FJ35,FM35,FP35,FS35,FV35,FY35,GB35,GE35,GH35,GK35,GN35,GQ35,GT35,GW35,GZ35,HC35,HF35,HI35)</f>
        <v>1</v>
      </c>
    </row>
    <row r="36" spans="1:218" ht="15" customHeight="1" x14ac:dyDescent="0.25">
      <c r="A36" s="49" t="str">
        <f>Participantes!B35</f>
        <v>Milagros</v>
      </c>
      <c r="B36" s="50">
        <f>Participantes!C35</f>
        <v>2</v>
      </c>
      <c r="C36" s="50">
        <f>Participantes!D35</f>
        <v>0</v>
      </c>
      <c r="D36" s="50">
        <f t="shared" si="73"/>
        <v>3</v>
      </c>
      <c r="E36" s="50">
        <f>Participantes!E35</f>
        <v>3</v>
      </c>
      <c r="F36" s="50">
        <f>Participantes!F35</f>
        <v>1</v>
      </c>
      <c r="G36" s="50">
        <f t="shared" si="74"/>
        <v>1</v>
      </c>
      <c r="H36" s="50">
        <f>Participantes!G35</f>
        <v>2</v>
      </c>
      <c r="I36" s="50">
        <f>Participantes!H35</f>
        <v>1</v>
      </c>
      <c r="J36" s="50" t="str">
        <f t="shared" si="75"/>
        <v/>
      </c>
      <c r="K36" s="50">
        <f>Participantes!I35</f>
        <v>2</v>
      </c>
      <c r="L36" s="50">
        <f>Participantes!J35</f>
        <v>1</v>
      </c>
      <c r="M36" s="50" t="str">
        <f t="shared" si="76"/>
        <v/>
      </c>
      <c r="N36" s="50">
        <f>Participantes!K35</f>
        <v>1</v>
      </c>
      <c r="O36" s="50">
        <f>Participantes!L35</f>
        <v>1</v>
      </c>
      <c r="P36" s="50" t="str">
        <f t="shared" si="77"/>
        <v/>
      </c>
      <c r="Q36" s="50">
        <f>Participantes!M35</f>
        <v>1</v>
      </c>
      <c r="R36" s="50">
        <f>Participantes!N35</f>
        <v>2</v>
      </c>
      <c r="S36" s="50" t="str">
        <f t="shared" si="78"/>
        <v/>
      </c>
      <c r="T36" s="50">
        <f>Participantes!O35</f>
        <v>2</v>
      </c>
      <c r="U36" s="50">
        <f>Participantes!P35</f>
        <v>1</v>
      </c>
      <c r="V36" s="50" t="str">
        <f t="shared" si="79"/>
        <v/>
      </c>
      <c r="W36" s="50">
        <f>Participantes!Q35</f>
        <v>1</v>
      </c>
      <c r="X36" s="50">
        <f>Participantes!R35</f>
        <v>1</v>
      </c>
      <c r="Y36" s="50" t="str">
        <f t="shared" si="80"/>
        <v/>
      </c>
      <c r="Z36" s="50">
        <f>Participantes!S35</f>
        <v>1</v>
      </c>
      <c r="AA36" s="50">
        <f>Participantes!T35</f>
        <v>1</v>
      </c>
      <c r="AB36" s="50" t="str">
        <f t="shared" si="81"/>
        <v/>
      </c>
      <c r="AC36" s="50">
        <f>Participantes!U35</f>
        <v>3</v>
      </c>
      <c r="AD36" s="50">
        <f>Participantes!V35</f>
        <v>1</v>
      </c>
      <c r="AE36" s="50" t="str">
        <f t="shared" si="82"/>
        <v/>
      </c>
      <c r="AF36" s="50">
        <f>Participantes!W35</f>
        <v>2</v>
      </c>
      <c r="AG36" s="50">
        <f>Participantes!X35</f>
        <v>1</v>
      </c>
      <c r="AH36" s="50" t="str">
        <f t="shared" si="83"/>
        <v/>
      </c>
      <c r="AI36" s="50">
        <f>Participantes!Y35</f>
        <v>1</v>
      </c>
      <c r="AJ36" s="50">
        <f>Participantes!Z35</f>
        <v>1</v>
      </c>
      <c r="AK36" s="50" t="str">
        <f t="shared" si="84"/>
        <v/>
      </c>
      <c r="AL36" s="50">
        <f>Participantes!AA35</f>
        <v>1</v>
      </c>
      <c r="AM36" s="50">
        <f>Participantes!AB35</f>
        <v>2</v>
      </c>
      <c r="AN36" s="50" t="str">
        <f t="shared" si="85"/>
        <v/>
      </c>
      <c r="AO36" s="50">
        <f>Participantes!AC35</f>
        <v>3</v>
      </c>
      <c r="AP36" s="50">
        <f>Participantes!AD35</f>
        <v>0</v>
      </c>
      <c r="AQ36" s="50" t="str">
        <f t="shared" si="86"/>
        <v/>
      </c>
      <c r="AR36" s="50">
        <f>Participantes!AE35</f>
        <v>0</v>
      </c>
      <c r="AS36" s="50">
        <f>Participantes!AF35</f>
        <v>0</v>
      </c>
      <c r="AT36" s="50" t="str">
        <f t="shared" si="87"/>
        <v/>
      </c>
      <c r="AU36" s="50">
        <f>Participantes!AG35</f>
        <v>0</v>
      </c>
      <c r="AV36" s="50">
        <f>Participantes!AH35</f>
        <v>0</v>
      </c>
      <c r="AW36" s="50" t="str">
        <f t="shared" si="88"/>
        <v/>
      </c>
      <c r="AX36" s="50">
        <f>Participantes!AI35</f>
        <v>0</v>
      </c>
      <c r="AY36" s="50">
        <f>Participantes!AJ35</f>
        <v>0</v>
      </c>
      <c r="AZ36" s="50" t="str">
        <f t="shared" si="89"/>
        <v/>
      </c>
      <c r="BA36" s="50">
        <f>Participantes!AK35</f>
        <v>0</v>
      </c>
      <c r="BB36" s="50">
        <f>Participantes!AL35</f>
        <v>0</v>
      </c>
      <c r="BC36" s="50" t="str">
        <f t="shared" si="90"/>
        <v/>
      </c>
      <c r="BD36" s="50">
        <f>Participantes!AM35</f>
        <v>0</v>
      </c>
      <c r="BE36" s="50">
        <f>Participantes!AN35</f>
        <v>0</v>
      </c>
      <c r="BF36" s="50" t="str">
        <f t="shared" si="91"/>
        <v/>
      </c>
      <c r="BG36" s="50">
        <f>Participantes!AO35</f>
        <v>0</v>
      </c>
      <c r="BH36" s="50">
        <f>Participantes!AP35</f>
        <v>0</v>
      </c>
      <c r="BI36" s="50" t="str">
        <f t="shared" si="92"/>
        <v/>
      </c>
      <c r="BJ36" s="50">
        <f>Participantes!AQ35</f>
        <v>0</v>
      </c>
      <c r="BK36" s="50">
        <f>Participantes!AR35</f>
        <v>0</v>
      </c>
      <c r="BL36" s="50" t="str">
        <f t="shared" si="93"/>
        <v/>
      </c>
      <c r="BM36" s="50">
        <f>Participantes!AS35</f>
        <v>0</v>
      </c>
      <c r="BN36" s="50">
        <f>Participantes!AT35</f>
        <v>0</v>
      </c>
      <c r="BO36" s="50" t="str">
        <f t="shared" si="94"/>
        <v/>
      </c>
      <c r="BP36" s="50">
        <f>Participantes!AU35</f>
        <v>0</v>
      </c>
      <c r="BQ36" s="50">
        <f>Participantes!AV35</f>
        <v>0</v>
      </c>
      <c r="BR36" s="50" t="str">
        <f t="shared" si="95"/>
        <v/>
      </c>
      <c r="BS36" s="50">
        <f>Participantes!AW35</f>
        <v>0</v>
      </c>
      <c r="BT36" s="50">
        <f>Participantes!AX35</f>
        <v>0</v>
      </c>
      <c r="BU36" s="50" t="str">
        <f t="shared" si="96"/>
        <v/>
      </c>
      <c r="BV36" s="50">
        <f>Participantes!AY35</f>
        <v>0</v>
      </c>
      <c r="BW36" s="50">
        <f>Participantes!AZ35</f>
        <v>0</v>
      </c>
      <c r="BX36" s="50" t="str">
        <f t="shared" si="97"/>
        <v/>
      </c>
      <c r="BY36" s="50">
        <f>Participantes!BA35</f>
        <v>0</v>
      </c>
      <c r="BZ36" s="50">
        <f>Participantes!BB35</f>
        <v>0</v>
      </c>
      <c r="CA36" s="50" t="str">
        <f t="shared" si="98"/>
        <v/>
      </c>
      <c r="CB36" s="50">
        <f>Participantes!BC35</f>
        <v>0</v>
      </c>
      <c r="CC36" s="50">
        <f>Participantes!BD35</f>
        <v>0</v>
      </c>
      <c r="CD36" s="50" t="str">
        <f t="shared" si="99"/>
        <v/>
      </c>
      <c r="CE36" s="50">
        <f>Participantes!BE35</f>
        <v>0</v>
      </c>
      <c r="CF36" s="50">
        <f>Participantes!BF35</f>
        <v>0</v>
      </c>
      <c r="CG36" s="50" t="str">
        <f t="shared" si="100"/>
        <v/>
      </c>
      <c r="CH36" s="50">
        <f>Participantes!BG35</f>
        <v>0</v>
      </c>
      <c r="CI36" s="50">
        <f>Participantes!BH35</f>
        <v>0</v>
      </c>
      <c r="CJ36" s="50" t="str">
        <f t="shared" si="101"/>
        <v/>
      </c>
      <c r="CK36" s="50">
        <f>Participantes!BI35</f>
        <v>0</v>
      </c>
      <c r="CL36" s="50">
        <f>Participantes!BJ35</f>
        <v>0</v>
      </c>
      <c r="CM36" s="50" t="str">
        <f t="shared" si="102"/>
        <v/>
      </c>
      <c r="CN36" s="50">
        <f>Participantes!BK35</f>
        <v>0</v>
      </c>
      <c r="CO36" s="50">
        <f>Participantes!BL35</f>
        <v>0</v>
      </c>
      <c r="CP36" s="50" t="str">
        <f t="shared" si="103"/>
        <v/>
      </c>
      <c r="CQ36" s="50">
        <f>Participantes!BM35</f>
        <v>0</v>
      </c>
      <c r="CR36" s="50">
        <f>Participantes!BN35</f>
        <v>0</v>
      </c>
      <c r="CS36" s="50" t="str">
        <f t="shared" si="104"/>
        <v/>
      </c>
      <c r="CT36" s="50">
        <f>Participantes!BO35</f>
        <v>0</v>
      </c>
      <c r="CU36" s="50">
        <f>Participantes!BP35</f>
        <v>0</v>
      </c>
      <c r="CV36" s="50" t="str">
        <f t="shared" si="105"/>
        <v/>
      </c>
      <c r="CW36" s="50">
        <f>Participantes!BQ35</f>
        <v>0</v>
      </c>
      <c r="CX36" s="50">
        <f>Participantes!BR35</f>
        <v>0</v>
      </c>
      <c r="CY36" s="50" t="str">
        <f t="shared" si="106"/>
        <v/>
      </c>
      <c r="CZ36" s="50">
        <f>Participantes!BS35</f>
        <v>0</v>
      </c>
      <c r="DA36" s="50">
        <f>Participantes!BT35</f>
        <v>0</v>
      </c>
      <c r="DB36" s="50" t="str">
        <f t="shared" si="107"/>
        <v/>
      </c>
      <c r="DC36" s="50">
        <f>Participantes!BU35</f>
        <v>0</v>
      </c>
      <c r="DD36" s="50">
        <f>Participantes!BV35</f>
        <v>0</v>
      </c>
      <c r="DE36" s="50" t="str">
        <f t="shared" si="108"/>
        <v/>
      </c>
      <c r="DF36" s="50">
        <f>Participantes!BW35</f>
        <v>0</v>
      </c>
      <c r="DG36" s="50">
        <f>Participantes!BX35</f>
        <v>0</v>
      </c>
      <c r="DH36" s="50" t="str">
        <f t="shared" si="109"/>
        <v/>
      </c>
      <c r="DI36" s="50">
        <f>Participantes!BY35</f>
        <v>0</v>
      </c>
      <c r="DJ36" s="50">
        <f>Participantes!BZ35</f>
        <v>0</v>
      </c>
      <c r="DK36" s="50" t="str">
        <f t="shared" si="110"/>
        <v/>
      </c>
      <c r="DL36" s="50">
        <f>Participantes!CA35</f>
        <v>0</v>
      </c>
      <c r="DM36" s="50">
        <f>Participantes!CB35</f>
        <v>0</v>
      </c>
      <c r="DN36" s="50" t="str">
        <f t="shared" si="111"/>
        <v/>
      </c>
      <c r="DO36" s="50">
        <f>Participantes!CC35</f>
        <v>0</v>
      </c>
      <c r="DP36" s="50">
        <f>Participantes!CD35</f>
        <v>0</v>
      </c>
      <c r="DQ36" s="50" t="str">
        <f t="shared" si="112"/>
        <v/>
      </c>
      <c r="DR36" s="50">
        <f>Participantes!CE35</f>
        <v>0</v>
      </c>
      <c r="DS36" s="50">
        <f>Participantes!CF35</f>
        <v>0</v>
      </c>
      <c r="DT36" s="50" t="str">
        <f t="shared" si="113"/>
        <v/>
      </c>
      <c r="DU36" s="50">
        <f>Participantes!CG35</f>
        <v>0</v>
      </c>
      <c r="DV36" s="50">
        <f>Participantes!CH35</f>
        <v>0</v>
      </c>
      <c r="DW36" s="50" t="str">
        <f t="shared" si="114"/>
        <v/>
      </c>
      <c r="DX36" s="50">
        <f>Participantes!CI35</f>
        <v>0</v>
      </c>
      <c r="DY36" s="50">
        <f>Participantes!CJ35</f>
        <v>0</v>
      </c>
      <c r="DZ36" s="50" t="str">
        <f t="shared" si="115"/>
        <v/>
      </c>
      <c r="EA36" s="50">
        <f>Participantes!CK35</f>
        <v>0</v>
      </c>
      <c r="EB36" s="50">
        <f>Participantes!CL35</f>
        <v>0</v>
      </c>
      <c r="EC36" s="50" t="str">
        <f t="shared" si="116"/>
        <v/>
      </c>
      <c r="ED36" s="50">
        <f>Participantes!CM35</f>
        <v>0</v>
      </c>
      <c r="EE36" s="50">
        <f>Participantes!CN35</f>
        <v>0</v>
      </c>
      <c r="EF36" s="50" t="str">
        <f t="shared" si="117"/>
        <v/>
      </c>
      <c r="EG36" s="50">
        <f>Participantes!CO35</f>
        <v>0</v>
      </c>
      <c r="EH36" s="50">
        <f>Participantes!CP35</f>
        <v>0</v>
      </c>
      <c r="EI36" s="50" t="str">
        <f t="shared" si="118"/>
        <v/>
      </c>
      <c r="EJ36" s="50">
        <f>Participantes!CQ35</f>
        <v>0</v>
      </c>
      <c r="EK36" s="50">
        <f>Participantes!CR35</f>
        <v>0</v>
      </c>
      <c r="EL36" s="50" t="str">
        <f t="shared" si="119"/>
        <v/>
      </c>
      <c r="EM36" s="50">
        <f>Participantes!CS35</f>
        <v>0</v>
      </c>
      <c r="EN36" s="50">
        <f>Participantes!CT35</f>
        <v>0</v>
      </c>
      <c r="EO36" s="50" t="str">
        <f t="shared" si="120"/>
        <v/>
      </c>
      <c r="EP36" s="50">
        <f>Participantes!CU35</f>
        <v>0</v>
      </c>
      <c r="EQ36" s="50">
        <f>Participantes!CV35</f>
        <v>0</v>
      </c>
      <c r="ER36" s="50" t="str">
        <f t="shared" si="121"/>
        <v/>
      </c>
      <c r="ES36" s="50">
        <f>Participantes!CW35</f>
        <v>0</v>
      </c>
      <c r="ET36" s="50">
        <f>Participantes!CX35</f>
        <v>0</v>
      </c>
      <c r="EU36" s="50" t="str">
        <f t="shared" si="122"/>
        <v/>
      </c>
      <c r="EV36" s="50">
        <f>Participantes!CY35</f>
        <v>0</v>
      </c>
      <c r="EW36" s="50">
        <f>Participantes!CZ35</f>
        <v>0</v>
      </c>
      <c r="EX36" s="50" t="str">
        <f t="shared" si="123"/>
        <v/>
      </c>
      <c r="EY36" s="50">
        <f>Participantes!DA35</f>
        <v>0</v>
      </c>
      <c r="EZ36" s="50">
        <f>Participantes!DB35</f>
        <v>0</v>
      </c>
      <c r="FA36" s="50" t="str">
        <f t="shared" si="124"/>
        <v/>
      </c>
      <c r="FB36" s="50">
        <f>Participantes!DC35</f>
        <v>0</v>
      </c>
      <c r="FC36" s="50">
        <f>Participantes!DD35</f>
        <v>0</v>
      </c>
      <c r="FD36" s="50" t="str">
        <f t="shared" si="125"/>
        <v/>
      </c>
      <c r="FE36" s="50">
        <f>Participantes!DE35</f>
        <v>0</v>
      </c>
      <c r="FF36" s="50">
        <f>Participantes!DF35</f>
        <v>0</v>
      </c>
      <c r="FG36" s="50" t="str">
        <f t="shared" si="126"/>
        <v/>
      </c>
      <c r="FH36" s="50">
        <f>Participantes!DG35</f>
        <v>0</v>
      </c>
      <c r="FI36" s="50">
        <f>Participantes!DH35</f>
        <v>0</v>
      </c>
      <c r="FJ36" s="50" t="str">
        <f t="shared" si="127"/>
        <v/>
      </c>
      <c r="FK36" s="50">
        <f>Participantes!DI35</f>
        <v>0</v>
      </c>
      <c r="FL36" s="50">
        <f>Participantes!DJ35</f>
        <v>0</v>
      </c>
      <c r="FM36" s="50" t="str">
        <f t="shared" si="128"/>
        <v/>
      </c>
      <c r="FN36" s="50">
        <f>Participantes!DK35</f>
        <v>0</v>
      </c>
      <c r="FO36" s="50">
        <f>Participantes!DL35</f>
        <v>0</v>
      </c>
      <c r="FP36" s="50" t="str">
        <f t="shared" si="129"/>
        <v/>
      </c>
      <c r="FQ36" s="50">
        <f>Participantes!DM35</f>
        <v>0</v>
      </c>
      <c r="FR36" s="50">
        <f>Participantes!DN35</f>
        <v>0</v>
      </c>
      <c r="FS36" s="50" t="str">
        <f t="shared" si="130"/>
        <v/>
      </c>
      <c r="FT36" s="50">
        <f>Participantes!DO35</f>
        <v>0</v>
      </c>
      <c r="FU36" s="50">
        <f>Participantes!DP35</f>
        <v>0</v>
      </c>
      <c r="FV36" s="50" t="str">
        <f t="shared" si="131"/>
        <v/>
      </c>
      <c r="FW36" s="50">
        <f>Participantes!DQ35</f>
        <v>0</v>
      </c>
      <c r="FX36" s="50">
        <f>Participantes!DR35</f>
        <v>0</v>
      </c>
      <c r="FY36" s="50" t="str">
        <f t="shared" si="132"/>
        <v/>
      </c>
      <c r="FZ36" s="50">
        <f>Participantes!DS35</f>
        <v>0</v>
      </c>
      <c r="GA36" s="50">
        <f>Participantes!DT35</f>
        <v>0</v>
      </c>
      <c r="GB36" s="50" t="str">
        <f t="shared" si="133"/>
        <v/>
      </c>
      <c r="GC36" s="50">
        <f>Participantes!DU35</f>
        <v>0</v>
      </c>
      <c r="GD36" s="50">
        <f>Participantes!DV35</f>
        <v>0</v>
      </c>
      <c r="GE36" s="50" t="str">
        <f t="shared" si="134"/>
        <v/>
      </c>
      <c r="GF36" s="50">
        <f>Participantes!DW35</f>
        <v>0</v>
      </c>
      <c r="GG36" s="50">
        <f>Participantes!DX35</f>
        <v>0</v>
      </c>
      <c r="GH36" s="50" t="str">
        <f t="shared" si="135"/>
        <v/>
      </c>
      <c r="GI36" s="50">
        <f>Participantes!DY35</f>
        <v>0</v>
      </c>
      <c r="GJ36" s="50">
        <f>Participantes!DZ35</f>
        <v>0</v>
      </c>
      <c r="GK36" s="50" t="str">
        <f t="shared" si="136"/>
        <v/>
      </c>
      <c r="GL36" s="50">
        <f>Participantes!EA35</f>
        <v>0</v>
      </c>
      <c r="GM36" s="50">
        <f>Participantes!EB35</f>
        <v>0</v>
      </c>
      <c r="GN36" s="50" t="str">
        <f t="shared" si="137"/>
        <v/>
      </c>
      <c r="GO36" s="50">
        <f>Participantes!EC35</f>
        <v>0</v>
      </c>
      <c r="GP36" s="50">
        <f>Participantes!ED35</f>
        <v>0</v>
      </c>
      <c r="GQ36" s="50" t="str">
        <f t="shared" si="138"/>
        <v/>
      </c>
      <c r="GR36" s="50">
        <f>Participantes!EE35</f>
        <v>0</v>
      </c>
      <c r="GS36" s="50">
        <f>Participantes!EF35</f>
        <v>0</v>
      </c>
      <c r="GT36" s="50" t="str">
        <f t="shared" si="139"/>
        <v/>
      </c>
      <c r="GU36" s="50">
        <f>Participantes!EG35</f>
        <v>0</v>
      </c>
      <c r="GV36" s="50">
        <f>Participantes!EH35</f>
        <v>0</v>
      </c>
      <c r="GW36" s="50" t="str">
        <f t="shared" si="140"/>
        <v/>
      </c>
      <c r="GX36" s="50">
        <f>Participantes!EI35</f>
        <v>0</v>
      </c>
      <c r="GY36" s="50">
        <f>Participantes!EJ35</f>
        <v>0</v>
      </c>
      <c r="GZ36" s="50" t="str">
        <f t="shared" si="141"/>
        <v/>
      </c>
      <c r="HA36" s="50">
        <f>Participantes!EK35</f>
        <v>0</v>
      </c>
      <c r="HB36" s="50">
        <f>Participantes!EL35</f>
        <v>0</v>
      </c>
      <c r="HC36" s="50" t="str">
        <f t="shared" si="142"/>
        <v/>
      </c>
      <c r="HD36" s="50">
        <f>Participantes!EM35</f>
        <v>0</v>
      </c>
      <c r="HE36" s="50">
        <f>Participantes!EN35</f>
        <v>0</v>
      </c>
      <c r="HF36" s="50" t="str">
        <f t="shared" si="143"/>
        <v/>
      </c>
      <c r="HG36" s="50">
        <f>Participantes!EO35</f>
        <v>0</v>
      </c>
      <c r="HH36" s="50">
        <f>Participantes!EP35</f>
        <v>0</v>
      </c>
      <c r="HI36" s="50" t="str">
        <f t="shared" si="144"/>
        <v/>
      </c>
      <c r="HJ36" s="51">
        <f t="shared" si="145"/>
        <v>4</v>
      </c>
    </row>
    <row r="37" spans="1:218" ht="15" customHeight="1" x14ac:dyDescent="0.25">
      <c r="A37" s="49" t="str">
        <f>Participantes!B36</f>
        <v>Mily CF 1</v>
      </c>
      <c r="B37" s="50">
        <f>Participantes!C36</f>
        <v>3</v>
      </c>
      <c r="C37" s="50">
        <f>Participantes!D36</f>
        <v>1</v>
      </c>
      <c r="D37" s="50">
        <f t="shared" si="73"/>
        <v>1</v>
      </c>
      <c r="E37" s="50">
        <f>Participantes!E36</f>
        <v>2</v>
      </c>
      <c r="F37" s="50">
        <f>Participantes!F36</f>
        <v>1</v>
      </c>
      <c r="G37" s="50">
        <f t="shared" si="74"/>
        <v>3</v>
      </c>
      <c r="H37" s="50">
        <f>Participantes!G36</f>
        <v>2</v>
      </c>
      <c r="I37" s="50">
        <f>Participantes!H36</f>
        <v>2</v>
      </c>
      <c r="J37" s="50" t="str">
        <f t="shared" si="75"/>
        <v/>
      </c>
      <c r="K37" s="50">
        <f>Participantes!I36</f>
        <v>3</v>
      </c>
      <c r="L37" s="50">
        <f>Participantes!J36</f>
        <v>2</v>
      </c>
      <c r="M37" s="50" t="str">
        <f t="shared" si="76"/>
        <v/>
      </c>
      <c r="N37" s="50">
        <f>Participantes!K36</f>
        <v>2</v>
      </c>
      <c r="O37" s="50">
        <f>Participantes!L36</f>
        <v>3</v>
      </c>
      <c r="P37" s="50" t="str">
        <f t="shared" si="77"/>
        <v/>
      </c>
      <c r="Q37" s="50">
        <f>Participantes!M36</f>
        <v>3</v>
      </c>
      <c r="R37" s="50">
        <f>Participantes!N36</f>
        <v>4</v>
      </c>
      <c r="S37" s="50" t="str">
        <f t="shared" si="78"/>
        <v/>
      </c>
      <c r="T37" s="50">
        <f>Participantes!O36</f>
        <v>4</v>
      </c>
      <c r="U37" s="50">
        <f>Participantes!P36</f>
        <v>4</v>
      </c>
      <c r="V37" s="50" t="str">
        <f t="shared" si="79"/>
        <v/>
      </c>
      <c r="W37" s="50">
        <f>Participantes!Q36</f>
        <v>1</v>
      </c>
      <c r="X37" s="50">
        <f>Participantes!R36</f>
        <v>2</v>
      </c>
      <c r="Y37" s="50" t="str">
        <f t="shared" si="80"/>
        <v/>
      </c>
      <c r="Z37" s="50">
        <f>Participantes!S36</f>
        <v>1</v>
      </c>
      <c r="AA37" s="50">
        <f>Participantes!T36</f>
        <v>3</v>
      </c>
      <c r="AB37" s="50" t="str">
        <f t="shared" si="81"/>
        <v/>
      </c>
      <c r="AC37" s="50">
        <f>Participantes!U36</f>
        <v>3</v>
      </c>
      <c r="AD37" s="50">
        <f>Participantes!V36</f>
        <v>1</v>
      </c>
      <c r="AE37" s="50" t="str">
        <f t="shared" si="82"/>
        <v/>
      </c>
      <c r="AF37" s="50">
        <f>Participantes!W36</f>
        <v>2</v>
      </c>
      <c r="AG37" s="50">
        <f>Participantes!X36</f>
        <v>2</v>
      </c>
      <c r="AH37" s="50" t="str">
        <f t="shared" si="83"/>
        <v/>
      </c>
      <c r="AI37" s="50">
        <f>Participantes!Y36</f>
        <v>2</v>
      </c>
      <c r="AJ37" s="50">
        <f>Participantes!Z36</f>
        <v>1</v>
      </c>
      <c r="AK37" s="50" t="str">
        <f t="shared" si="84"/>
        <v/>
      </c>
      <c r="AL37" s="50">
        <f>Participantes!AA36</f>
        <v>2</v>
      </c>
      <c r="AM37" s="50">
        <f>Participantes!AB36</f>
        <v>2</v>
      </c>
      <c r="AN37" s="50" t="str">
        <f t="shared" si="85"/>
        <v/>
      </c>
      <c r="AO37" s="50">
        <f>Participantes!AC36</f>
        <v>3</v>
      </c>
      <c r="AP37" s="50">
        <f>Participantes!AD36</f>
        <v>1</v>
      </c>
      <c r="AQ37" s="50" t="str">
        <f t="shared" si="86"/>
        <v/>
      </c>
      <c r="AR37" s="50">
        <f>Participantes!AE36</f>
        <v>0</v>
      </c>
      <c r="AS37" s="50">
        <f>Participantes!AF36</f>
        <v>0</v>
      </c>
      <c r="AT37" s="50" t="str">
        <f t="shared" si="87"/>
        <v/>
      </c>
      <c r="AU37" s="50">
        <f>Participantes!AG36</f>
        <v>0</v>
      </c>
      <c r="AV37" s="50">
        <f>Participantes!AH36</f>
        <v>0</v>
      </c>
      <c r="AW37" s="50" t="str">
        <f t="shared" si="88"/>
        <v/>
      </c>
      <c r="AX37" s="50">
        <f>Participantes!AI36</f>
        <v>0</v>
      </c>
      <c r="AY37" s="50">
        <f>Participantes!AJ36</f>
        <v>0</v>
      </c>
      <c r="AZ37" s="50" t="str">
        <f t="shared" si="89"/>
        <v/>
      </c>
      <c r="BA37" s="50">
        <f>Participantes!AK36</f>
        <v>0</v>
      </c>
      <c r="BB37" s="50">
        <f>Participantes!AL36</f>
        <v>0</v>
      </c>
      <c r="BC37" s="50" t="str">
        <f t="shared" si="90"/>
        <v/>
      </c>
      <c r="BD37" s="50">
        <f>Participantes!AM36</f>
        <v>0</v>
      </c>
      <c r="BE37" s="50">
        <f>Participantes!AN36</f>
        <v>0</v>
      </c>
      <c r="BF37" s="50" t="str">
        <f t="shared" si="91"/>
        <v/>
      </c>
      <c r="BG37" s="50">
        <f>Participantes!AO36</f>
        <v>0</v>
      </c>
      <c r="BH37" s="50">
        <f>Participantes!AP36</f>
        <v>0</v>
      </c>
      <c r="BI37" s="50" t="str">
        <f t="shared" si="92"/>
        <v/>
      </c>
      <c r="BJ37" s="50">
        <f>Participantes!AQ36</f>
        <v>0</v>
      </c>
      <c r="BK37" s="50">
        <f>Participantes!AR36</f>
        <v>0</v>
      </c>
      <c r="BL37" s="50" t="str">
        <f t="shared" si="93"/>
        <v/>
      </c>
      <c r="BM37" s="50">
        <f>Participantes!AS36</f>
        <v>0</v>
      </c>
      <c r="BN37" s="50">
        <f>Participantes!AT36</f>
        <v>0</v>
      </c>
      <c r="BO37" s="50" t="str">
        <f t="shared" si="94"/>
        <v/>
      </c>
      <c r="BP37" s="50">
        <f>Participantes!AU36</f>
        <v>0</v>
      </c>
      <c r="BQ37" s="50">
        <f>Participantes!AV36</f>
        <v>0</v>
      </c>
      <c r="BR37" s="50" t="str">
        <f t="shared" si="95"/>
        <v/>
      </c>
      <c r="BS37" s="50">
        <f>Participantes!AW36</f>
        <v>0</v>
      </c>
      <c r="BT37" s="50">
        <f>Participantes!AX36</f>
        <v>0</v>
      </c>
      <c r="BU37" s="50" t="str">
        <f t="shared" si="96"/>
        <v/>
      </c>
      <c r="BV37" s="50">
        <f>Participantes!AY36</f>
        <v>0</v>
      </c>
      <c r="BW37" s="50">
        <f>Participantes!AZ36</f>
        <v>0</v>
      </c>
      <c r="BX37" s="50" t="str">
        <f t="shared" si="97"/>
        <v/>
      </c>
      <c r="BY37" s="50">
        <f>Participantes!BA36</f>
        <v>0</v>
      </c>
      <c r="BZ37" s="50">
        <f>Participantes!BB36</f>
        <v>0</v>
      </c>
      <c r="CA37" s="50" t="str">
        <f t="shared" si="98"/>
        <v/>
      </c>
      <c r="CB37" s="50">
        <f>Participantes!BC36</f>
        <v>0</v>
      </c>
      <c r="CC37" s="50">
        <f>Participantes!BD36</f>
        <v>0</v>
      </c>
      <c r="CD37" s="50" t="str">
        <f t="shared" si="99"/>
        <v/>
      </c>
      <c r="CE37" s="50">
        <f>Participantes!BE36</f>
        <v>0</v>
      </c>
      <c r="CF37" s="50">
        <f>Participantes!BF36</f>
        <v>0</v>
      </c>
      <c r="CG37" s="50" t="str">
        <f t="shared" si="100"/>
        <v/>
      </c>
      <c r="CH37" s="50">
        <f>Participantes!BG36</f>
        <v>0</v>
      </c>
      <c r="CI37" s="50">
        <f>Participantes!BH36</f>
        <v>0</v>
      </c>
      <c r="CJ37" s="50" t="str">
        <f t="shared" si="101"/>
        <v/>
      </c>
      <c r="CK37" s="50">
        <f>Participantes!BI36</f>
        <v>0</v>
      </c>
      <c r="CL37" s="50">
        <f>Participantes!BJ36</f>
        <v>0</v>
      </c>
      <c r="CM37" s="50" t="str">
        <f t="shared" si="102"/>
        <v/>
      </c>
      <c r="CN37" s="50">
        <f>Participantes!BK36</f>
        <v>0</v>
      </c>
      <c r="CO37" s="50">
        <f>Participantes!BL36</f>
        <v>0</v>
      </c>
      <c r="CP37" s="50" t="str">
        <f t="shared" si="103"/>
        <v/>
      </c>
      <c r="CQ37" s="50">
        <f>Participantes!BM36</f>
        <v>0</v>
      </c>
      <c r="CR37" s="50">
        <f>Participantes!BN36</f>
        <v>0</v>
      </c>
      <c r="CS37" s="50" t="str">
        <f t="shared" si="104"/>
        <v/>
      </c>
      <c r="CT37" s="50">
        <f>Participantes!BO36</f>
        <v>0</v>
      </c>
      <c r="CU37" s="50">
        <f>Participantes!BP36</f>
        <v>0</v>
      </c>
      <c r="CV37" s="50" t="str">
        <f t="shared" si="105"/>
        <v/>
      </c>
      <c r="CW37" s="50">
        <f>Participantes!BQ36</f>
        <v>0</v>
      </c>
      <c r="CX37" s="50">
        <f>Participantes!BR36</f>
        <v>0</v>
      </c>
      <c r="CY37" s="50" t="str">
        <f t="shared" si="106"/>
        <v/>
      </c>
      <c r="CZ37" s="50">
        <f>Participantes!BS36</f>
        <v>0</v>
      </c>
      <c r="DA37" s="50">
        <f>Participantes!BT36</f>
        <v>0</v>
      </c>
      <c r="DB37" s="50" t="str">
        <f t="shared" si="107"/>
        <v/>
      </c>
      <c r="DC37" s="50">
        <f>Participantes!BU36</f>
        <v>0</v>
      </c>
      <c r="DD37" s="50">
        <f>Participantes!BV36</f>
        <v>0</v>
      </c>
      <c r="DE37" s="50" t="str">
        <f t="shared" si="108"/>
        <v/>
      </c>
      <c r="DF37" s="50">
        <f>Participantes!BW36</f>
        <v>0</v>
      </c>
      <c r="DG37" s="50">
        <f>Participantes!BX36</f>
        <v>0</v>
      </c>
      <c r="DH37" s="50" t="str">
        <f t="shared" si="109"/>
        <v/>
      </c>
      <c r="DI37" s="50">
        <f>Participantes!BY36</f>
        <v>0</v>
      </c>
      <c r="DJ37" s="50">
        <f>Participantes!BZ36</f>
        <v>0</v>
      </c>
      <c r="DK37" s="50" t="str">
        <f t="shared" si="110"/>
        <v/>
      </c>
      <c r="DL37" s="50">
        <f>Participantes!CA36</f>
        <v>0</v>
      </c>
      <c r="DM37" s="50">
        <f>Participantes!CB36</f>
        <v>0</v>
      </c>
      <c r="DN37" s="50" t="str">
        <f t="shared" si="111"/>
        <v/>
      </c>
      <c r="DO37" s="50">
        <f>Participantes!CC36</f>
        <v>0</v>
      </c>
      <c r="DP37" s="50">
        <f>Participantes!CD36</f>
        <v>0</v>
      </c>
      <c r="DQ37" s="50" t="str">
        <f t="shared" si="112"/>
        <v/>
      </c>
      <c r="DR37" s="50">
        <f>Participantes!CE36</f>
        <v>0</v>
      </c>
      <c r="DS37" s="50">
        <f>Participantes!CF36</f>
        <v>0</v>
      </c>
      <c r="DT37" s="50" t="str">
        <f t="shared" si="113"/>
        <v/>
      </c>
      <c r="DU37" s="50">
        <f>Participantes!CG36</f>
        <v>0</v>
      </c>
      <c r="DV37" s="50">
        <f>Participantes!CH36</f>
        <v>0</v>
      </c>
      <c r="DW37" s="50" t="str">
        <f t="shared" si="114"/>
        <v/>
      </c>
      <c r="DX37" s="50">
        <f>Participantes!CI36</f>
        <v>0</v>
      </c>
      <c r="DY37" s="50">
        <f>Participantes!CJ36</f>
        <v>0</v>
      </c>
      <c r="DZ37" s="50" t="str">
        <f t="shared" si="115"/>
        <v/>
      </c>
      <c r="EA37" s="50">
        <f>Participantes!CK36</f>
        <v>0</v>
      </c>
      <c r="EB37" s="50">
        <f>Participantes!CL36</f>
        <v>0</v>
      </c>
      <c r="EC37" s="50" t="str">
        <f t="shared" si="116"/>
        <v/>
      </c>
      <c r="ED37" s="50">
        <f>Participantes!CM36</f>
        <v>0</v>
      </c>
      <c r="EE37" s="50">
        <f>Participantes!CN36</f>
        <v>0</v>
      </c>
      <c r="EF37" s="50" t="str">
        <f t="shared" si="117"/>
        <v/>
      </c>
      <c r="EG37" s="50">
        <f>Participantes!CO36</f>
        <v>0</v>
      </c>
      <c r="EH37" s="50">
        <f>Participantes!CP36</f>
        <v>0</v>
      </c>
      <c r="EI37" s="50" t="str">
        <f t="shared" si="118"/>
        <v/>
      </c>
      <c r="EJ37" s="50">
        <f>Participantes!CQ36</f>
        <v>0</v>
      </c>
      <c r="EK37" s="50">
        <f>Participantes!CR36</f>
        <v>0</v>
      </c>
      <c r="EL37" s="50" t="str">
        <f t="shared" si="119"/>
        <v/>
      </c>
      <c r="EM37" s="50">
        <f>Participantes!CS36</f>
        <v>0</v>
      </c>
      <c r="EN37" s="50">
        <f>Participantes!CT36</f>
        <v>0</v>
      </c>
      <c r="EO37" s="50" t="str">
        <f t="shared" si="120"/>
        <v/>
      </c>
      <c r="EP37" s="50">
        <f>Participantes!CU36</f>
        <v>0</v>
      </c>
      <c r="EQ37" s="50">
        <f>Participantes!CV36</f>
        <v>0</v>
      </c>
      <c r="ER37" s="50" t="str">
        <f t="shared" si="121"/>
        <v/>
      </c>
      <c r="ES37" s="50">
        <f>Participantes!CW36</f>
        <v>0</v>
      </c>
      <c r="ET37" s="50">
        <f>Participantes!CX36</f>
        <v>0</v>
      </c>
      <c r="EU37" s="50" t="str">
        <f t="shared" si="122"/>
        <v/>
      </c>
      <c r="EV37" s="50">
        <f>Participantes!CY36</f>
        <v>0</v>
      </c>
      <c r="EW37" s="50">
        <f>Participantes!CZ36</f>
        <v>0</v>
      </c>
      <c r="EX37" s="50" t="str">
        <f t="shared" si="123"/>
        <v/>
      </c>
      <c r="EY37" s="50">
        <f>Participantes!DA36</f>
        <v>0</v>
      </c>
      <c r="EZ37" s="50">
        <f>Participantes!DB36</f>
        <v>0</v>
      </c>
      <c r="FA37" s="50" t="str">
        <f t="shared" si="124"/>
        <v/>
      </c>
      <c r="FB37" s="50">
        <f>Participantes!DC36</f>
        <v>0</v>
      </c>
      <c r="FC37" s="50">
        <f>Participantes!DD36</f>
        <v>0</v>
      </c>
      <c r="FD37" s="50" t="str">
        <f t="shared" si="125"/>
        <v/>
      </c>
      <c r="FE37" s="50">
        <f>Participantes!DE36</f>
        <v>0</v>
      </c>
      <c r="FF37" s="50">
        <f>Participantes!DF36</f>
        <v>0</v>
      </c>
      <c r="FG37" s="50" t="str">
        <f t="shared" si="126"/>
        <v/>
      </c>
      <c r="FH37" s="50">
        <f>Participantes!DG36</f>
        <v>0</v>
      </c>
      <c r="FI37" s="50">
        <f>Participantes!DH36</f>
        <v>0</v>
      </c>
      <c r="FJ37" s="50" t="str">
        <f t="shared" si="127"/>
        <v/>
      </c>
      <c r="FK37" s="50">
        <f>Participantes!DI36</f>
        <v>0</v>
      </c>
      <c r="FL37" s="50">
        <f>Participantes!DJ36</f>
        <v>0</v>
      </c>
      <c r="FM37" s="50" t="str">
        <f t="shared" si="128"/>
        <v/>
      </c>
      <c r="FN37" s="50">
        <f>Participantes!DK36</f>
        <v>0</v>
      </c>
      <c r="FO37" s="50">
        <f>Participantes!DL36</f>
        <v>0</v>
      </c>
      <c r="FP37" s="50" t="str">
        <f t="shared" si="129"/>
        <v/>
      </c>
      <c r="FQ37" s="50">
        <f>Participantes!DM36</f>
        <v>0</v>
      </c>
      <c r="FR37" s="50">
        <f>Participantes!DN36</f>
        <v>0</v>
      </c>
      <c r="FS37" s="50" t="str">
        <f t="shared" si="130"/>
        <v/>
      </c>
      <c r="FT37" s="50">
        <f>Participantes!DO36</f>
        <v>0</v>
      </c>
      <c r="FU37" s="50">
        <f>Participantes!DP36</f>
        <v>0</v>
      </c>
      <c r="FV37" s="50" t="str">
        <f t="shared" si="131"/>
        <v/>
      </c>
      <c r="FW37" s="50">
        <f>Participantes!DQ36</f>
        <v>0</v>
      </c>
      <c r="FX37" s="50">
        <f>Participantes!DR36</f>
        <v>0</v>
      </c>
      <c r="FY37" s="50" t="str">
        <f t="shared" si="132"/>
        <v/>
      </c>
      <c r="FZ37" s="50">
        <f>Participantes!DS36</f>
        <v>0</v>
      </c>
      <c r="GA37" s="50">
        <f>Participantes!DT36</f>
        <v>0</v>
      </c>
      <c r="GB37" s="50" t="str">
        <f t="shared" si="133"/>
        <v/>
      </c>
      <c r="GC37" s="50">
        <f>Participantes!DU36</f>
        <v>0</v>
      </c>
      <c r="GD37" s="50">
        <f>Participantes!DV36</f>
        <v>0</v>
      </c>
      <c r="GE37" s="50" t="str">
        <f t="shared" si="134"/>
        <v/>
      </c>
      <c r="GF37" s="50">
        <f>Participantes!DW36</f>
        <v>0</v>
      </c>
      <c r="GG37" s="50">
        <f>Participantes!DX36</f>
        <v>0</v>
      </c>
      <c r="GH37" s="50" t="str">
        <f t="shared" si="135"/>
        <v/>
      </c>
      <c r="GI37" s="50">
        <f>Participantes!DY36</f>
        <v>0</v>
      </c>
      <c r="GJ37" s="50">
        <f>Participantes!DZ36</f>
        <v>0</v>
      </c>
      <c r="GK37" s="50" t="str">
        <f t="shared" si="136"/>
        <v/>
      </c>
      <c r="GL37" s="50">
        <f>Participantes!EA36</f>
        <v>0</v>
      </c>
      <c r="GM37" s="50">
        <f>Participantes!EB36</f>
        <v>0</v>
      </c>
      <c r="GN37" s="50" t="str">
        <f t="shared" si="137"/>
        <v/>
      </c>
      <c r="GO37" s="50">
        <f>Participantes!EC36</f>
        <v>0</v>
      </c>
      <c r="GP37" s="50">
        <f>Participantes!ED36</f>
        <v>0</v>
      </c>
      <c r="GQ37" s="50" t="str">
        <f t="shared" si="138"/>
        <v/>
      </c>
      <c r="GR37" s="50">
        <f>Participantes!EE36</f>
        <v>0</v>
      </c>
      <c r="GS37" s="50">
        <f>Participantes!EF36</f>
        <v>0</v>
      </c>
      <c r="GT37" s="50" t="str">
        <f t="shared" si="139"/>
        <v/>
      </c>
      <c r="GU37" s="50">
        <f>Participantes!EG36</f>
        <v>0</v>
      </c>
      <c r="GV37" s="50">
        <f>Participantes!EH36</f>
        <v>0</v>
      </c>
      <c r="GW37" s="50" t="str">
        <f t="shared" si="140"/>
        <v/>
      </c>
      <c r="GX37" s="50">
        <f>Participantes!EI36</f>
        <v>0</v>
      </c>
      <c r="GY37" s="50">
        <f>Participantes!EJ36</f>
        <v>0</v>
      </c>
      <c r="GZ37" s="50" t="str">
        <f t="shared" si="141"/>
        <v/>
      </c>
      <c r="HA37" s="50">
        <f>Participantes!EK36</f>
        <v>0</v>
      </c>
      <c r="HB37" s="50">
        <f>Participantes!EL36</f>
        <v>0</v>
      </c>
      <c r="HC37" s="50" t="str">
        <f t="shared" si="142"/>
        <v/>
      </c>
      <c r="HD37" s="50">
        <f>Participantes!EM36</f>
        <v>0</v>
      </c>
      <c r="HE37" s="50">
        <f>Participantes!EN36</f>
        <v>0</v>
      </c>
      <c r="HF37" s="50" t="str">
        <f t="shared" si="143"/>
        <v/>
      </c>
      <c r="HG37" s="50">
        <f>Participantes!EO36</f>
        <v>0</v>
      </c>
      <c r="HH37" s="50">
        <f>Participantes!EP36</f>
        <v>0</v>
      </c>
      <c r="HI37" s="50" t="str">
        <f t="shared" si="144"/>
        <v/>
      </c>
      <c r="HJ37" s="51">
        <f t="shared" si="145"/>
        <v>4</v>
      </c>
    </row>
    <row r="38" spans="1:218" ht="15" customHeight="1" x14ac:dyDescent="0.25">
      <c r="A38" s="49" t="str">
        <f>Participantes!B37</f>
        <v>Mily CF 2</v>
      </c>
      <c r="B38" s="50">
        <f>Participantes!C37</f>
        <v>2</v>
      </c>
      <c r="C38" s="50">
        <f>Participantes!D37</f>
        <v>1</v>
      </c>
      <c r="D38" s="50">
        <f t="shared" si="73"/>
        <v>1</v>
      </c>
      <c r="E38" s="50">
        <f>Participantes!E37</f>
        <v>2</v>
      </c>
      <c r="F38" s="50">
        <f>Participantes!F37</f>
        <v>0</v>
      </c>
      <c r="G38" s="50">
        <f t="shared" si="74"/>
        <v>1</v>
      </c>
      <c r="H38" s="50">
        <f>Participantes!G37</f>
        <v>1</v>
      </c>
      <c r="I38" s="50">
        <f>Participantes!H37</f>
        <v>0</v>
      </c>
      <c r="J38" s="50" t="str">
        <f t="shared" si="75"/>
        <v/>
      </c>
      <c r="K38" s="50">
        <f>Participantes!I37</f>
        <v>2</v>
      </c>
      <c r="L38" s="50">
        <f>Participantes!J37</f>
        <v>1</v>
      </c>
      <c r="M38" s="50" t="str">
        <f t="shared" si="76"/>
        <v/>
      </c>
      <c r="N38" s="50">
        <f>Participantes!K37</f>
        <v>0</v>
      </c>
      <c r="O38" s="50">
        <f>Participantes!L37</f>
        <v>1</v>
      </c>
      <c r="P38" s="50" t="str">
        <f t="shared" si="77"/>
        <v/>
      </c>
      <c r="Q38" s="50">
        <f>Participantes!M37</f>
        <v>1</v>
      </c>
      <c r="R38" s="50">
        <f>Participantes!N37</f>
        <v>2</v>
      </c>
      <c r="S38" s="50" t="str">
        <f t="shared" si="78"/>
        <v/>
      </c>
      <c r="T38" s="50">
        <f>Participantes!O37</f>
        <v>2</v>
      </c>
      <c r="U38" s="50">
        <f>Participantes!P37</f>
        <v>1</v>
      </c>
      <c r="V38" s="50" t="str">
        <f t="shared" si="79"/>
        <v/>
      </c>
      <c r="W38" s="50">
        <f>Participantes!Q37</f>
        <v>0</v>
      </c>
      <c r="X38" s="50">
        <f>Participantes!R37</f>
        <v>1</v>
      </c>
      <c r="Y38" s="50" t="str">
        <f t="shared" si="80"/>
        <v/>
      </c>
      <c r="Z38" s="50">
        <f>Participantes!S37</f>
        <v>2</v>
      </c>
      <c r="AA38" s="50">
        <f>Participantes!T37</f>
        <v>3</v>
      </c>
      <c r="AB38" s="50" t="str">
        <f t="shared" si="81"/>
        <v/>
      </c>
      <c r="AC38" s="50">
        <f>Participantes!U37</f>
        <v>3</v>
      </c>
      <c r="AD38" s="50">
        <f>Participantes!V37</f>
        <v>1</v>
      </c>
      <c r="AE38" s="50" t="str">
        <f t="shared" si="82"/>
        <v/>
      </c>
      <c r="AF38" s="50">
        <f>Participantes!W37</f>
        <v>2</v>
      </c>
      <c r="AG38" s="50">
        <f>Participantes!X37</f>
        <v>1</v>
      </c>
      <c r="AH38" s="50" t="str">
        <f t="shared" si="83"/>
        <v/>
      </c>
      <c r="AI38" s="50">
        <f>Participantes!Y37</f>
        <v>1</v>
      </c>
      <c r="AJ38" s="50">
        <f>Participantes!Z37</f>
        <v>1</v>
      </c>
      <c r="AK38" s="50" t="str">
        <f t="shared" si="84"/>
        <v/>
      </c>
      <c r="AL38" s="50">
        <f>Participantes!AA37</f>
        <v>1</v>
      </c>
      <c r="AM38" s="50">
        <f>Participantes!AB37</f>
        <v>2</v>
      </c>
      <c r="AN38" s="50" t="str">
        <f t="shared" si="85"/>
        <v/>
      </c>
      <c r="AO38" s="50">
        <f>Participantes!AC37</f>
        <v>3</v>
      </c>
      <c r="AP38" s="50">
        <f>Participantes!AD37</f>
        <v>0</v>
      </c>
      <c r="AQ38" s="50" t="str">
        <f t="shared" si="86"/>
        <v/>
      </c>
      <c r="AR38" s="50">
        <f>Participantes!AE37</f>
        <v>1</v>
      </c>
      <c r="AS38" s="50">
        <f>Participantes!AF37</f>
        <v>0</v>
      </c>
      <c r="AT38" s="50" t="str">
        <f t="shared" si="87"/>
        <v/>
      </c>
      <c r="AU38" s="50">
        <f>Participantes!AG37</f>
        <v>2</v>
      </c>
      <c r="AV38" s="50">
        <f>Participantes!AH37</f>
        <v>0</v>
      </c>
      <c r="AW38" s="50" t="str">
        <f t="shared" si="88"/>
        <v/>
      </c>
      <c r="AX38" s="50">
        <f>Participantes!AI37</f>
        <v>2</v>
      </c>
      <c r="AY38" s="50">
        <f>Participantes!AJ37</f>
        <v>1</v>
      </c>
      <c r="AZ38" s="50" t="str">
        <f t="shared" si="89"/>
        <v/>
      </c>
      <c r="BA38" s="50">
        <f>Participantes!AK37</f>
        <v>0</v>
      </c>
      <c r="BB38" s="50">
        <f>Participantes!AL37</f>
        <v>2</v>
      </c>
      <c r="BC38" s="50" t="str">
        <f t="shared" si="90"/>
        <v/>
      </c>
      <c r="BD38" s="50">
        <f>Participantes!AM37</f>
        <v>2</v>
      </c>
      <c r="BE38" s="50">
        <f>Participantes!AN37</f>
        <v>0</v>
      </c>
      <c r="BF38" s="50" t="str">
        <f t="shared" si="91"/>
        <v/>
      </c>
      <c r="BG38" s="50">
        <f>Participantes!AO37</f>
        <v>1</v>
      </c>
      <c r="BH38" s="50">
        <f>Participantes!AP37</f>
        <v>0</v>
      </c>
      <c r="BI38" s="50" t="str">
        <f t="shared" si="92"/>
        <v/>
      </c>
      <c r="BJ38" s="50">
        <f>Participantes!AQ37</f>
        <v>0</v>
      </c>
      <c r="BK38" s="50">
        <f>Participantes!AR37</f>
        <v>0</v>
      </c>
      <c r="BL38" s="50" t="str">
        <f t="shared" si="93"/>
        <v/>
      </c>
      <c r="BM38" s="50">
        <f>Participantes!AS37</f>
        <v>0</v>
      </c>
      <c r="BN38" s="50">
        <f>Participantes!AT37</f>
        <v>0</v>
      </c>
      <c r="BO38" s="50" t="str">
        <f t="shared" si="94"/>
        <v/>
      </c>
      <c r="BP38" s="50">
        <f>Participantes!AU37</f>
        <v>0</v>
      </c>
      <c r="BQ38" s="50">
        <f>Participantes!AV37</f>
        <v>0</v>
      </c>
      <c r="BR38" s="50" t="str">
        <f t="shared" si="95"/>
        <v/>
      </c>
      <c r="BS38" s="50">
        <f>Participantes!AW37</f>
        <v>0</v>
      </c>
      <c r="BT38" s="50">
        <f>Participantes!AX37</f>
        <v>0</v>
      </c>
      <c r="BU38" s="50" t="str">
        <f t="shared" si="96"/>
        <v/>
      </c>
      <c r="BV38" s="50">
        <f>Participantes!AY37</f>
        <v>0</v>
      </c>
      <c r="BW38" s="50">
        <f>Participantes!AZ37</f>
        <v>0</v>
      </c>
      <c r="BX38" s="50" t="str">
        <f t="shared" si="97"/>
        <v/>
      </c>
      <c r="BY38" s="50">
        <f>Participantes!BA37</f>
        <v>0</v>
      </c>
      <c r="BZ38" s="50">
        <f>Participantes!BB37</f>
        <v>0</v>
      </c>
      <c r="CA38" s="50" t="str">
        <f t="shared" si="98"/>
        <v/>
      </c>
      <c r="CB38" s="50">
        <f>Participantes!BC37</f>
        <v>0</v>
      </c>
      <c r="CC38" s="50">
        <f>Participantes!BD37</f>
        <v>0</v>
      </c>
      <c r="CD38" s="50" t="str">
        <f t="shared" si="99"/>
        <v/>
      </c>
      <c r="CE38" s="50">
        <f>Participantes!BE37</f>
        <v>0</v>
      </c>
      <c r="CF38" s="50">
        <f>Participantes!BF37</f>
        <v>0</v>
      </c>
      <c r="CG38" s="50" t="str">
        <f t="shared" si="100"/>
        <v/>
      </c>
      <c r="CH38" s="50">
        <f>Participantes!BG37</f>
        <v>0</v>
      </c>
      <c r="CI38" s="50">
        <f>Participantes!BH37</f>
        <v>0</v>
      </c>
      <c r="CJ38" s="50" t="str">
        <f t="shared" si="101"/>
        <v/>
      </c>
      <c r="CK38" s="50">
        <f>Participantes!BI37</f>
        <v>0</v>
      </c>
      <c r="CL38" s="50">
        <f>Participantes!BJ37</f>
        <v>0</v>
      </c>
      <c r="CM38" s="50" t="str">
        <f t="shared" si="102"/>
        <v/>
      </c>
      <c r="CN38" s="50">
        <f>Participantes!BK37</f>
        <v>0</v>
      </c>
      <c r="CO38" s="50">
        <f>Participantes!BL37</f>
        <v>0</v>
      </c>
      <c r="CP38" s="50" t="str">
        <f t="shared" si="103"/>
        <v/>
      </c>
      <c r="CQ38" s="50">
        <f>Participantes!BM37</f>
        <v>0</v>
      </c>
      <c r="CR38" s="50">
        <f>Participantes!BN37</f>
        <v>0</v>
      </c>
      <c r="CS38" s="50" t="str">
        <f t="shared" si="104"/>
        <v/>
      </c>
      <c r="CT38" s="50">
        <f>Participantes!BO37</f>
        <v>0</v>
      </c>
      <c r="CU38" s="50">
        <f>Participantes!BP37</f>
        <v>0</v>
      </c>
      <c r="CV38" s="50" t="str">
        <f t="shared" si="105"/>
        <v/>
      </c>
      <c r="CW38" s="50">
        <f>Participantes!BQ37</f>
        <v>0</v>
      </c>
      <c r="CX38" s="50">
        <f>Participantes!BR37</f>
        <v>0</v>
      </c>
      <c r="CY38" s="50" t="str">
        <f t="shared" si="106"/>
        <v/>
      </c>
      <c r="CZ38" s="50">
        <f>Participantes!BS37</f>
        <v>0</v>
      </c>
      <c r="DA38" s="50">
        <f>Participantes!BT37</f>
        <v>0</v>
      </c>
      <c r="DB38" s="50" t="str">
        <f t="shared" si="107"/>
        <v/>
      </c>
      <c r="DC38" s="50">
        <f>Participantes!BU37</f>
        <v>0</v>
      </c>
      <c r="DD38" s="50">
        <f>Participantes!BV37</f>
        <v>0</v>
      </c>
      <c r="DE38" s="50" t="str">
        <f t="shared" si="108"/>
        <v/>
      </c>
      <c r="DF38" s="50">
        <f>Participantes!BW37</f>
        <v>0</v>
      </c>
      <c r="DG38" s="50">
        <f>Participantes!BX37</f>
        <v>0</v>
      </c>
      <c r="DH38" s="50" t="str">
        <f t="shared" si="109"/>
        <v/>
      </c>
      <c r="DI38" s="50">
        <f>Participantes!BY37</f>
        <v>0</v>
      </c>
      <c r="DJ38" s="50">
        <f>Participantes!BZ37</f>
        <v>0</v>
      </c>
      <c r="DK38" s="50" t="str">
        <f t="shared" si="110"/>
        <v/>
      </c>
      <c r="DL38" s="50">
        <f>Participantes!CA37</f>
        <v>0</v>
      </c>
      <c r="DM38" s="50">
        <f>Participantes!CB37</f>
        <v>0</v>
      </c>
      <c r="DN38" s="50" t="str">
        <f t="shared" si="111"/>
        <v/>
      </c>
      <c r="DO38" s="50">
        <f>Participantes!CC37</f>
        <v>0</v>
      </c>
      <c r="DP38" s="50">
        <f>Participantes!CD37</f>
        <v>0</v>
      </c>
      <c r="DQ38" s="50" t="str">
        <f t="shared" si="112"/>
        <v/>
      </c>
      <c r="DR38" s="50">
        <f>Participantes!CE37</f>
        <v>0</v>
      </c>
      <c r="DS38" s="50">
        <f>Participantes!CF37</f>
        <v>0</v>
      </c>
      <c r="DT38" s="50" t="str">
        <f t="shared" si="113"/>
        <v/>
      </c>
      <c r="DU38" s="50">
        <f>Participantes!CG37</f>
        <v>0</v>
      </c>
      <c r="DV38" s="50">
        <f>Participantes!CH37</f>
        <v>0</v>
      </c>
      <c r="DW38" s="50" t="str">
        <f t="shared" si="114"/>
        <v/>
      </c>
      <c r="DX38" s="50">
        <f>Participantes!CI37</f>
        <v>0</v>
      </c>
      <c r="DY38" s="50">
        <f>Participantes!CJ37</f>
        <v>0</v>
      </c>
      <c r="DZ38" s="50" t="str">
        <f t="shared" si="115"/>
        <v/>
      </c>
      <c r="EA38" s="50">
        <f>Participantes!CK37</f>
        <v>0</v>
      </c>
      <c r="EB38" s="50">
        <f>Participantes!CL37</f>
        <v>0</v>
      </c>
      <c r="EC38" s="50" t="str">
        <f t="shared" si="116"/>
        <v/>
      </c>
      <c r="ED38" s="50">
        <f>Participantes!CM37</f>
        <v>0</v>
      </c>
      <c r="EE38" s="50">
        <f>Participantes!CN37</f>
        <v>0</v>
      </c>
      <c r="EF38" s="50" t="str">
        <f t="shared" si="117"/>
        <v/>
      </c>
      <c r="EG38" s="50">
        <f>Participantes!CO37</f>
        <v>0</v>
      </c>
      <c r="EH38" s="50">
        <f>Participantes!CP37</f>
        <v>0</v>
      </c>
      <c r="EI38" s="50" t="str">
        <f t="shared" si="118"/>
        <v/>
      </c>
      <c r="EJ38" s="50">
        <f>Participantes!CQ37</f>
        <v>0</v>
      </c>
      <c r="EK38" s="50">
        <f>Participantes!CR37</f>
        <v>0</v>
      </c>
      <c r="EL38" s="50" t="str">
        <f t="shared" si="119"/>
        <v/>
      </c>
      <c r="EM38" s="50">
        <f>Participantes!CS37</f>
        <v>0</v>
      </c>
      <c r="EN38" s="50">
        <f>Participantes!CT37</f>
        <v>0</v>
      </c>
      <c r="EO38" s="50" t="str">
        <f t="shared" si="120"/>
        <v/>
      </c>
      <c r="EP38" s="50">
        <f>Participantes!CU37</f>
        <v>0</v>
      </c>
      <c r="EQ38" s="50">
        <f>Participantes!CV37</f>
        <v>0</v>
      </c>
      <c r="ER38" s="50" t="str">
        <f t="shared" si="121"/>
        <v/>
      </c>
      <c r="ES38" s="50">
        <f>Participantes!CW37</f>
        <v>0</v>
      </c>
      <c r="ET38" s="50">
        <f>Participantes!CX37</f>
        <v>0</v>
      </c>
      <c r="EU38" s="50" t="str">
        <f t="shared" si="122"/>
        <v/>
      </c>
      <c r="EV38" s="50">
        <f>Participantes!CY37</f>
        <v>0</v>
      </c>
      <c r="EW38" s="50">
        <f>Participantes!CZ37</f>
        <v>0</v>
      </c>
      <c r="EX38" s="50" t="str">
        <f t="shared" si="123"/>
        <v/>
      </c>
      <c r="EY38" s="50">
        <f>Participantes!DA37</f>
        <v>0</v>
      </c>
      <c r="EZ38" s="50">
        <f>Participantes!DB37</f>
        <v>0</v>
      </c>
      <c r="FA38" s="50" t="str">
        <f t="shared" si="124"/>
        <v/>
      </c>
      <c r="FB38" s="50">
        <f>Participantes!DC37</f>
        <v>0</v>
      </c>
      <c r="FC38" s="50">
        <f>Participantes!DD37</f>
        <v>0</v>
      </c>
      <c r="FD38" s="50" t="str">
        <f t="shared" si="125"/>
        <v/>
      </c>
      <c r="FE38" s="50">
        <f>Participantes!DE37</f>
        <v>0</v>
      </c>
      <c r="FF38" s="50">
        <f>Participantes!DF37</f>
        <v>0</v>
      </c>
      <c r="FG38" s="50" t="str">
        <f t="shared" si="126"/>
        <v/>
      </c>
      <c r="FH38" s="50">
        <f>Participantes!DG37</f>
        <v>0</v>
      </c>
      <c r="FI38" s="50">
        <f>Participantes!DH37</f>
        <v>0</v>
      </c>
      <c r="FJ38" s="50" t="str">
        <f t="shared" si="127"/>
        <v/>
      </c>
      <c r="FK38" s="50">
        <f>Participantes!DI37</f>
        <v>0</v>
      </c>
      <c r="FL38" s="50">
        <f>Participantes!DJ37</f>
        <v>0</v>
      </c>
      <c r="FM38" s="50" t="str">
        <f t="shared" si="128"/>
        <v/>
      </c>
      <c r="FN38" s="50">
        <f>Participantes!DK37</f>
        <v>0</v>
      </c>
      <c r="FO38" s="50">
        <f>Participantes!DL37</f>
        <v>0</v>
      </c>
      <c r="FP38" s="50" t="str">
        <f t="shared" si="129"/>
        <v/>
      </c>
      <c r="FQ38" s="50">
        <f>Participantes!DM37</f>
        <v>0</v>
      </c>
      <c r="FR38" s="50">
        <f>Participantes!DN37</f>
        <v>0</v>
      </c>
      <c r="FS38" s="50" t="str">
        <f t="shared" si="130"/>
        <v/>
      </c>
      <c r="FT38" s="50">
        <f>Participantes!DO37</f>
        <v>0</v>
      </c>
      <c r="FU38" s="50">
        <f>Participantes!DP37</f>
        <v>0</v>
      </c>
      <c r="FV38" s="50" t="str">
        <f t="shared" si="131"/>
        <v/>
      </c>
      <c r="FW38" s="50">
        <f>Participantes!DQ37</f>
        <v>0</v>
      </c>
      <c r="FX38" s="50">
        <f>Participantes!DR37</f>
        <v>0</v>
      </c>
      <c r="FY38" s="50" t="str">
        <f t="shared" si="132"/>
        <v/>
      </c>
      <c r="FZ38" s="50">
        <f>Participantes!DS37</f>
        <v>0</v>
      </c>
      <c r="GA38" s="50">
        <f>Participantes!DT37</f>
        <v>0</v>
      </c>
      <c r="GB38" s="50" t="str">
        <f t="shared" si="133"/>
        <v/>
      </c>
      <c r="GC38" s="50">
        <f>Participantes!DU37</f>
        <v>0</v>
      </c>
      <c r="GD38" s="50">
        <f>Participantes!DV37</f>
        <v>0</v>
      </c>
      <c r="GE38" s="50" t="str">
        <f t="shared" si="134"/>
        <v/>
      </c>
      <c r="GF38" s="50">
        <f>Participantes!DW37</f>
        <v>0</v>
      </c>
      <c r="GG38" s="50">
        <f>Participantes!DX37</f>
        <v>0</v>
      </c>
      <c r="GH38" s="50" t="str">
        <f t="shared" si="135"/>
        <v/>
      </c>
      <c r="GI38" s="50">
        <f>Participantes!DY37</f>
        <v>0</v>
      </c>
      <c r="GJ38" s="50">
        <f>Participantes!DZ37</f>
        <v>0</v>
      </c>
      <c r="GK38" s="50" t="str">
        <f t="shared" si="136"/>
        <v/>
      </c>
      <c r="GL38" s="50">
        <f>Participantes!EA37</f>
        <v>0</v>
      </c>
      <c r="GM38" s="50">
        <f>Participantes!EB37</f>
        <v>0</v>
      </c>
      <c r="GN38" s="50" t="str">
        <f t="shared" si="137"/>
        <v/>
      </c>
      <c r="GO38" s="50">
        <f>Participantes!EC37</f>
        <v>0</v>
      </c>
      <c r="GP38" s="50">
        <f>Participantes!ED37</f>
        <v>0</v>
      </c>
      <c r="GQ38" s="50" t="str">
        <f t="shared" si="138"/>
        <v/>
      </c>
      <c r="GR38" s="50">
        <f>Participantes!EE37</f>
        <v>0</v>
      </c>
      <c r="GS38" s="50">
        <f>Participantes!EF37</f>
        <v>0</v>
      </c>
      <c r="GT38" s="50" t="str">
        <f t="shared" si="139"/>
        <v/>
      </c>
      <c r="GU38" s="50">
        <f>Participantes!EG37</f>
        <v>0</v>
      </c>
      <c r="GV38" s="50">
        <f>Participantes!EH37</f>
        <v>0</v>
      </c>
      <c r="GW38" s="50" t="str">
        <f t="shared" si="140"/>
        <v/>
      </c>
      <c r="GX38" s="50">
        <f>Participantes!EI37</f>
        <v>0</v>
      </c>
      <c r="GY38" s="50">
        <f>Participantes!EJ37</f>
        <v>0</v>
      </c>
      <c r="GZ38" s="50" t="str">
        <f t="shared" si="141"/>
        <v/>
      </c>
      <c r="HA38" s="50">
        <f>Participantes!EK37</f>
        <v>0</v>
      </c>
      <c r="HB38" s="50">
        <f>Participantes!EL37</f>
        <v>0</v>
      </c>
      <c r="HC38" s="50" t="str">
        <f t="shared" si="142"/>
        <v/>
      </c>
      <c r="HD38" s="50">
        <f>Participantes!EM37</f>
        <v>0</v>
      </c>
      <c r="HE38" s="50">
        <f>Participantes!EN37</f>
        <v>0</v>
      </c>
      <c r="HF38" s="50" t="str">
        <f t="shared" si="143"/>
        <v/>
      </c>
      <c r="HG38" s="50">
        <f>Participantes!EO37</f>
        <v>0</v>
      </c>
      <c r="HH38" s="50">
        <f>Participantes!EP37</f>
        <v>0</v>
      </c>
      <c r="HI38" s="50" t="str">
        <f t="shared" si="144"/>
        <v/>
      </c>
      <c r="HJ38" s="51">
        <f t="shared" si="145"/>
        <v>2</v>
      </c>
    </row>
    <row r="39" spans="1:218" ht="15" customHeight="1" x14ac:dyDescent="0.25">
      <c r="A39" s="49" t="str">
        <f>Participantes!B38</f>
        <v>Mily Frida</v>
      </c>
      <c r="B39" s="50">
        <f>Participantes!C38</f>
        <v>2</v>
      </c>
      <c r="C39" s="50">
        <f>Participantes!D38</f>
        <v>0</v>
      </c>
      <c r="D39" s="50">
        <f t="shared" si="73"/>
        <v>3</v>
      </c>
      <c r="E39" s="50">
        <f>Participantes!E38</f>
        <v>1</v>
      </c>
      <c r="F39" s="50">
        <f>Participantes!F38</f>
        <v>1</v>
      </c>
      <c r="G39" s="50">
        <f t="shared" si="74"/>
        <v>0</v>
      </c>
      <c r="H39" s="50">
        <f>Participantes!G38</f>
        <v>0</v>
      </c>
      <c r="I39" s="50">
        <f>Participantes!H38</f>
        <v>1</v>
      </c>
      <c r="J39" s="50" t="str">
        <f t="shared" si="75"/>
        <v/>
      </c>
      <c r="K39" s="50">
        <f>Participantes!I38</f>
        <v>0</v>
      </c>
      <c r="L39" s="50">
        <f>Participantes!J38</f>
        <v>1</v>
      </c>
      <c r="M39" s="50" t="str">
        <f t="shared" si="76"/>
        <v/>
      </c>
      <c r="N39" s="50">
        <f>Participantes!K38</f>
        <v>0</v>
      </c>
      <c r="O39" s="50">
        <f>Participantes!L38</f>
        <v>0</v>
      </c>
      <c r="P39" s="50" t="str">
        <f t="shared" si="77"/>
        <v/>
      </c>
      <c r="Q39" s="50">
        <f>Participantes!M38</f>
        <v>1</v>
      </c>
      <c r="R39" s="50">
        <f>Participantes!N38</f>
        <v>0</v>
      </c>
      <c r="S39" s="50" t="str">
        <f t="shared" si="78"/>
        <v/>
      </c>
      <c r="T39" s="50">
        <f>Participantes!O38</f>
        <v>3</v>
      </c>
      <c r="U39" s="50">
        <f>Participantes!P38</f>
        <v>1</v>
      </c>
      <c r="V39" s="50" t="str">
        <f t="shared" si="79"/>
        <v/>
      </c>
      <c r="W39" s="50">
        <f>Participantes!Q38</f>
        <v>0</v>
      </c>
      <c r="X39" s="50">
        <f>Participantes!R38</f>
        <v>1</v>
      </c>
      <c r="Y39" s="50" t="str">
        <f t="shared" si="80"/>
        <v/>
      </c>
      <c r="Z39" s="50">
        <f>Participantes!S38</f>
        <v>1</v>
      </c>
      <c r="AA39" s="50">
        <f>Participantes!T38</f>
        <v>0</v>
      </c>
      <c r="AB39" s="50" t="str">
        <f t="shared" si="81"/>
        <v/>
      </c>
      <c r="AC39" s="50">
        <f>Participantes!U38</f>
        <v>2</v>
      </c>
      <c r="AD39" s="50">
        <f>Participantes!V38</f>
        <v>0</v>
      </c>
      <c r="AE39" s="50" t="str">
        <f t="shared" si="82"/>
        <v/>
      </c>
      <c r="AF39" s="50">
        <f>Participantes!W38</f>
        <v>2</v>
      </c>
      <c r="AG39" s="50">
        <f>Participantes!X38</f>
        <v>1</v>
      </c>
      <c r="AH39" s="50" t="str">
        <f t="shared" si="83"/>
        <v/>
      </c>
      <c r="AI39" s="50">
        <f>Participantes!Y38</f>
        <v>2</v>
      </c>
      <c r="AJ39" s="50">
        <f>Participantes!Z38</f>
        <v>1</v>
      </c>
      <c r="AK39" s="50" t="str">
        <f t="shared" si="84"/>
        <v/>
      </c>
      <c r="AL39" s="50">
        <f>Participantes!AA38</f>
        <v>1</v>
      </c>
      <c r="AM39" s="50">
        <f>Participantes!AB38</f>
        <v>2</v>
      </c>
      <c r="AN39" s="50" t="str">
        <f t="shared" si="85"/>
        <v/>
      </c>
      <c r="AO39" s="50">
        <f>Participantes!AC38</f>
        <v>2</v>
      </c>
      <c r="AP39" s="50">
        <f>Participantes!AD38</f>
        <v>0</v>
      </c>
      <c r="AQ39" s="50" t="str">
        <f t="shared" si="86"/>
        <v/>
      </c>
      <c r="AR39" s="50">
        <f>Participantes!AE38</f>
        <v>0</v>
      </c>
      <c r="AS39" s="50">
        <f>Participantes!AF38</f>
        <v>0</v>
      </c>
      <c r="AT39" s="50" t="str">
        <f t="shared" si="87"/>
        <v/>
      </c>
      <c r="AU39" s="50">
        <f>Participantes!AG38</f>
        <v>0</v>
      </c>
      <c r="AV39" s="50">
        <f>Participantes!AH38</f>
        <v>0</v>
      </c>
      <c r="AW39" s="50" t="str">
        <f t="shared" si="88"/>
        <v/>
      </c>
      <c r="AX39" s="50">
        <f>Participantes!AI38</f>
        <v>0</v>
      </c>
      <c r="AY39" s="50">
        <f>Participantes!AJ38</f>
        <v>0</v>
      </c>
      <c r="AZ39" s="50" t="str">
        <f t="shared" si="89"/>
        <v/>
      </c>
      <c r="BA39" s="50">
        <f>Participantes!AK38</f>
        <v>0</v>
      </c>
      <c r="BB39" s="50">
        <f>Participantes!AL38</f>
        <v>0</v>
      </c>
      <c r="BC39" s="50" t="str">
        <f t="shared" si="90"/>
        <v/>
      </c>
      <c r="BD39" s="50">
        <f>Participantes!AM38</f>
        <v>0</v>
      </c>
      <c r="BE39" s="50">
        <f>Participantes!AN38</f>
        <v>0</v>
      </c>
      <c r="BF39" s="50" t="str">
        <f t="shared" si="91"/>
        <v/>
      </c>
      <c r="BG39" s="50">
        <f>Participantes!AO38</f>
        <v>0</v>
      </c>
      <c r="BH39" s="50">
        <f>Participantes!AP38</f>
        <v>0</v>
      </c>
      <c r="BI39" s="50" t="str">
        <f t="shared" si="92"/>
        <v/>
      </c>
      <c r="BJ39" s="50">
        <f>Participantes!AQ38</f>
        <v>0</v>
      </c>
      <c r="BK39" s="50">
        <f>Participantes!AR38</f>
        <v>0</v>
      </c>
      <c r="BL39" s="50" t="str">
        <f t="shared" si="93"/>
        <v/>
      </c>
      <c r="BM39" s="50">
        <f>Participantes!AS38</f>
        <v>0</v>
      </c>
      <c r="BN39" s="50">
        <f>Participantes!AT38</f>
        <v>0</v>
      </c>
      <c r="BO39" s="50" t="str">
        <f t="shared" si="94"/>
        <v/>
      </c>
      <c r="BP39" s="50">
        <f>Participantes!AU38</f>
        <v>0</v>
      </c>
      <c r="BQ39" s="50">
        <f>Participantes!AV38</f>
        <v>0</v>
      </c>
      <c r="BR39" s="50" t="str">
        <f t="shared" si="95"/>
        <v/>
      </c>
      <c r="BS39" s="50">
        <f>Participantes!AW38</f>
        <v>0</v>
      </c>
      <c r="BT39" s="50">
        <f>Participantes!AX38</f>
        <v>0</v>
      </c>
      <c r="BU39" s="50" t="str">
        <f t="shared" si="96"/>
        <v/>
      </c>
      <c r="BV39" s="50">
        <f>Participantes!AY38</f>
        <v>0</v>
      </c>
      <c r="BW39" s="50">
        <f>Participantes!AZ38</f>
        <v>0</v>
      </c>
      <c r="BX39" s="50" t="str">
        <f t="shared" si="97"/>
        <v/>
      </c>
      <c r="BY39" s="50">
        <f>Participantes!BA38</f>
        <v>0</v>
      </c>
      <c r="BZ39" s="50">
        <f>Participantes!BB38</f>
        <v>0</v>
      </c>
      <c r="CA39" s="50" t="str">
        <f t="shared" si="98"/>
        <v/>
      </c>
      <c r="CB39" s="50">
        <f>Participantes!BC38</f>
        <v>0</v>
      </c>
      <c r="CC39" s="50">
        <f>Participantes!BD38</f>
        <v>0</v>
      </c>
      <c r="CD39" s="50" t="str">
        <f t="shared" si="99"/>
        <v/>
      </c>
      <c r="CE39" s="50">
        <f>Participantes!BE38</f>
        <v>0</v>
      </c>
      <c r="CF39" s="50">
        <f>Participantes!BF38</f>
        <v>0</v>
      </c>
      <c r="CG39" s="50" t="str">
        <f t="shared" si="100"/>
        <v/>
      </c>
      <c r="CH39" s="50">
        <f>Participantes!BG38</f>
        <v>0</v>
      </c>
      <c r="CI39" s="50">
        <f>Participantes!BH38</f>
        <v>0</v>
      </c>
      <c r="CJ39" s="50" t="str">
        <f t="shared" si="101"/>
        <v/>
      </c>
      <c r="CK39" s="50">
        <f>Participantes!BI38</f>
        <v>0</v>
      </c>
      <c r="CL39" s="50">
        <f>Participantes!BJ38</f>
        <v>0</v>
      </c>
      <c r="CM39" s="50" t="str">
        <f t="shared" si="102"/>
        <v/>
      </c>
      <c r="CN39" s="50">
        <f>Participantes!BK38</f>
        <v>0</v>
      </c>
      <c r="CO39" s="50">
        <f>Participantes!BL38</f>
        <v>0</v>
      </c>
      <c r="CP39" s="50" t="str">
        <f t="shared" si="103"/>
        <v/>
      </c>
      <c r="CQ39" s="50">
        <f>Participantes!BM38</f>
        <v>0</v>
      </c>
      <c r="CR39" s="50">
        <f>Participantes!BN38</f>
        <v>0</v>
      </c>
      <c r="CS39" s="50" t="str">
        <f t="shared" si="104"/>
        <v/>
      </c>
      <c r="CT39" s="50">
        <f>Participantes!BO38</f>
        <v>0</v>
      </c>
      <c r="CU39" s="50">
        <f>Participantes!BP38</f>
        <v>0</v>
      </c>
      <c r="CV39" s="50" t="str">
        <f t="shared" si="105"/>
        <v/>
      </c>
      <c r="CW39" s="50">
        <f>Participantes!BQ38</f>
        <v>0</v>
      </c>
      <c r="CX39" s="50">
        <f>Participantes!BR38</f>
        <v>0</v>
      </c>
      <c r="CY39" s="50" t="str">
        <f t="shared" si="106"/>
        <v/>
      </c>
      <c r="CZ39" s="50">
        <f>Participantes!BS38</f>
        <v>0</v>
      </c>
      <c r="DA39" s="50">
        <f>Participantes!BT38</f>
        <v>0</v>
      </c>
      <c r="DB39" s="50" t="str">
        <f t="shared" si="107"/>
        <v/>
      </c>
      <c r="DC39" s="50">
        <f>Participantes!BU38</f>
        <v>0</v>
      </c>
      <c r="DD39" s="50">
        <f>Participantes!BV38</f>
        <v>0</v>
      </c>
      <c r="DE39" s="50" t="str">
        <f t="shared" si="108"/>
        <v/>
      </c>
      <c r="DF39" s="50">
        <f>Participantes!BW38</f>
        <v>0</v>
      </c>
      <c r="DG39" s="50">
        <f>Participantes!BX38</f>
        <v>0</v>
      </c>
      <c r="DH39" s="50" t="str">
        <f t="shared" si="109"/>
        <v/>
      </c>
      <c r="DI39" s="50">
        <f>Participantes!BY38</f>
        <v>0</v>
      </c>
      <c r="DJ39" s="50">
        <f>Participantes!BZ38</f>
        <v>0</v>
      </c>
      <c r="DK39" s="50" t="str">
        <f t="shared" si="110"/>
        <v/>
      </c>
      <c r="DL39" s="50">
        <f>Participantes!CA38</f>
        <v>0</v>
      </c>
      <c r="DM39" s="50">
        <f>Participantes!CB38</f>
        <v>0</v>
      </c>
      <c r="DN39" s="50" t="str">
        <f t="shared" si="111"/>
        <v/>
      </c>
      <c r="DO39" s="50">
        <f>Participantes!CC38</f>
        <v>0</v>
      </c>
      <c r="DP39" s="50">
        <f>Participantes!CD38</f>
        <v>0</v>
      </c>
      <c r="DQ39" s="50" t="str">
        <f t="shared" si="112"/>
        <v/>
      </c>
      <c r="DR39" s="50">
        <f>Participantes!CE38</f>
        <v>0</v>
      </c>
      <c r="DS39" s="50">
        <f>Participantes!CF38</f>
        <v>0</v>
      </c>
      <c r="DT39" s="50" t="str">
        <f t="shared" si="113"/>
        <v/>
      </c>
      <c r="DU39" s="50">
        <f>Participantes!CG38</f>
        <v>0</v>
      </c>
      <c r="DV39" s="50">
        <f>Participantes!CH38</f>
        <v>0</v>
      </c>
      <c r="DW39" s="50" t="str">
        <f t="shared" si="114"/>
        <v/>
      </c>
      <c r="DX39" s="50">
        <f>Participantes!CI38</f>
        <v>0</v>
      </c>
      <c r="DY39" s="50">
        <f>Participantes!CJ38</f>
        <v>0</v>
      </c>
      <c r="DZ39" s="50" t="str">
        <f t="shared" si="115"/>
        <v/>
      </c>
      <c r="EA39" s="50">
        <f>Participantes!CK38</f>
        <v>0</v>
      </c>
      <c r="EB39" s="50">
        <f>Participantes!CL38</f>
        <v>0</v>
      </c>
      <c r="EC39" s="50" t="str">
        <f t="shared" si="116"/>
        <v/>
      </c>
      <c r="ED39" s="50">
        <f>Participantes!CM38</f>
        <v>0</v>
      </c>
      <c r="EE39" s="50">
        <f>Participantes!CN38</f>
        <v>0</v>
      </c>
      <c r="EF39" s="50" t="str">
        <f t="shared" si="117"/>
        <v/>
      </c>
      <c r="EG39" s="50">
        <f>Participantes!CO38</f>
        <v>0</v>
      </c>
      <c r="EH39" s="50">
        <f>Participantes!CP38</f>
        <v>0</v>
      </c>
      <c r="EI39" s="50" t="str">
        <f t="shared" si="118"/>
        <v/>
      </c>
      <c r="EJ39" s="50">
        <f>Participantes!CQ38</f>
        <v>0</v>
      </c>
      <c r="EK39" s="50">
        <f>Participantes!CR38</f>
        <v>0</v>
      </c>
      <c r="EL39" s="50" t="str">
        <f t="shared" si="119"/>
        <v/>
      </c>
      <c r="EM39" s="50">
        <f>Participantes!CS38</f>
        <v>0</v>
      </c>
      <c r="EN39" s="50">
        <f>Participantes!CT38</f>
        <v>0</v>
      </c>
      <c r="EO39" s="50" t="str">
        <f t="shared" si="120"/>
        <v/>
      </c>
      <c r="EP39" s="50">
        <f>Participantes!CU38</f>
        <v>0</v>
      </c>
      <c r="EQ39" s="50">
        <f>Participantes!CV38</f>
        <v>0</v>
      </c>
      <c r="ER39" s="50" t="str">
        <f t="shared" si="121"/>
        <v/>
      </c>
      <c r="ES39" s="50">
        <f>Participantes!CW38</f>
        <v>0</v>
      </c>
      <c r="ET39" s="50">
        <f>Participantes!CX38</f>
        <v>0</v>
      </c>
      <c r="EU39" s="50" t="str">
        <f t="shared" si="122"/>
        <v/>
      </c>
      <c r="EV39" s="50">
        <f>Participantes!CY38</f>
        <v>0</v>
      </c>
      <c r="EW39" s="50">
        <f>Participantes!CZ38</f>
        <v>0</v>
      </c>
      <c r="EX39" s="50" t="str">
        <f t="shared" si="123"/>
        <v/>
      </c>
      <c r="EY39" s="50">
        <f>Participantes!DA38</f>
        <v>0</v>
      </c>
      <c r="EZ39" s="50">
        <f>Participantes!DB38</f>
        <v>0</v>
      </c>
      <c r="FA39" s="50" t="str">
        <f t="shared" si="124"/>
        <v/>
      </c>
      <c r="FB39" s="50">
        <f>Participantes!DC38</f>
        <v>0</v>
      </c>
      <c r="FC39" s="50">
        <f>Participantes!DD38</f>
        <v>0</v>
      </c>
      <c r="FD39" s="50" t="str">
        <f t="shared" si="125"/>
        <v/>
      </c>
      <c r="FE39" s="50">
        <f>Participantes!DE38</f>
        <v>0</v>
      </c>
      <c r="FF39" s="50">
        <f>Participantes!DF38</f>
        <v>0</v>
      </c>
      <c r="FG39" s="50" t="str">
        <f t="shared" si="126"/>
        <v/>
      </c>
      <c r="FH39" s="50">
        <f>Participantes!DG38</f>
        <v>0</v>
      </c>
      <c r="FI39" s="50">
        <f>Participantes!DH38</f>
        <v>0</v>
      </c>
      <c r="FJ39" s="50" t="str">
        <f t="shared" si="127"/>
        <v/>
      </c>
      <c r="FK39" s="50">
        <f>Participantes!DI38</f>
        <v>0</v>
      </c>
      <c r="FL39" s="50">
        <f>Participantes!DJ38</f>
        <v>0</v>
      </c>
      <c r="FM39" s="50" t="str">
        <f t="shared" si="128"/>
        <v/>
      </c>
      <c r="FN39" s="50">
        <f>Participantes!DK38</f>
        <v>0</v>
      </c>
      <c r="FO39" s="50">
        <f>Participantes!DL38</f>
        <v>0</v>
      </c>
      <c r="FP39" s="50" t="str">
        <f t="shared" si="129"/>
        <v/>
      </c>
      <c r="FQ39" s="50">
        <f>Participantes!DM38</f>
        <v>0</v>
      </c>
      <c r="FR39" s="50">
        <f>Participantes!DN38</f>
        <v>0</v>
      </c>
      <c r="FS39" s="50" t="str">
        <f t="shared" si="130"/>
        <v/>
      </c>
      <c r="FT39" s="50">
        <f>Participantes!DO38</f>
        <v>0</v>
      </c>
      <c r="FU39" s="50">
        <f>Participantes!DP38</f>
        <v>0</v>
      </c>
      <c r="FV39" s="50" t="str">
        <f t="shared" si="131"/>
        <v/>
      </c>
      <c r="FW39" s="50">
        <f>Participantes!DQ38</f>
        <v>0</v>
      </c>
      <c r="FX39" s="50">
        <f>Participantes!DR38</f>
        <v>0</v>
      </c>
      <c r="FY39" s="50" t="str">
        <f t="shared" si="132"/>
        <v/>
      </c>
      <c r="FZ39" s="50">
        <f>Participantes!DS38</f>
        <v>0</v>
      </c>
      <c r="GA39" s="50">
        <f>Participantes!DT38</f>
        <v>0</v>
      </c>
      <c r="GB39" s="50" t="str">
        <f t="shared" si="133"/>
        <v/>
      </c>
      <c r="GC39" s="50">
        <f>Participantes!DU38</f>
        <v>0</v>
      </c>
      <c r="GD39" s="50">
        <f>Participantes!DV38</f>
        <v>0</v>
      </c>
      <c r="GE39" s="50" t="str">
        <f t="shared" si="134"/>
        <v/>
      </c>
      <c r="GF39" s="50">
        <f>Participantes!DW38</f>
        <v>0</v>
      </c>
      <c r="GG39" s="50">
        <f>Participantes!DX38</f>
        <v>0</v>
      </c>
      <c r="GH39" s="50" t="str">
        <f t="shared" si="135"/>
        <v/>
      </c>
      <c r="GI39" s="50">
        <f>Participantes!DY38</f>
        <v>0</v>
      </c>
      <c r="GJ39" s="50">
        <f>Participantes!DZ38</f>
        <v>0</v>
      </c>
      <c r="GK39" s="50" t="str">
        <f t="shared" si="136"/>
        <v/>
      </c>
      <c r="GL39" s="50">
        <f>Participantes!EA38</f>
        <v>0</v>
      </c>
      <c r="GM39" s="50">
        <f>Participantes!EB38</f>
        <v>0</v>
      </c>
      <c r="GN39" s="50" t="str">
        <f t="shared" si="137"/>
        <v/>
      </c>
      <c r="GO39" s="50">
        <f>Participantes!EC38</f>
        <v>0</v>
      </c>
      <c r="GP39" s="50">
        <f>Participantes!ED38</f>
        <v>0</v>
      </c>
      <c r="GQ39" s="50" t="str">
        <f t="shared" si="138"/>
        <v/>
      </c>
      <c r="GR39" s="50">
        <f>Participantes!EE38</f>
        <v>0</v>
      </c>
      <c r="GS39" s="50">
        <f>Participantes!EF38</f>
        <v>0</v>
      </c>
      <c r="GT39" s="50" t="str">
        <f t="shared" si="139"/>
        <v/>
      </c>
      <c r="GU39" s="50">
        <f>Participantes!EG38</f>
        <v>0</v>
      </c>
      <c r="GV39" s="50">
        <f>Participantes!EH38</f>
        <v>0</v>
      </c>
      <c r="GW39" s="50" t="str">
        <f t="shared" si="140"/>
        <v/>
      </c>
      <c r="GX39" s="50">
        <f>Participantes!EI38</f>
        <v>0</v>
      </c>
      <c r="GY39" s="50">
        <f>Participantes!EJ38</f>
        <v>0</v>
      </c>
      <c r="GZ39" s="50" t="str">
        <f t="shared" si="141"/>
        <v/>
      </c>
      <c r="HA39" s="50">
        <f>Participantes!EK38</f>
        <v>0</v>
      </c>
      <c r="HB39" s="50">
        <f>Participantes!EL38</f>
        <v>0</v>
      </c>
      <c r="HC39" s="50" t="str">
        <f t="shared" si="142"/>
        <v/>
      </c>
      <c r="HD39" s="50">
        <f>Participantes!EM38</f>
        <v>0</v>
      </c>
      <c r="HE39" s="50">
        <f>Participantes!EN38</f>
        <v>0</v>
      </c>
      <c r="HF39" s="50" t="str">
        <f t="shared" si="143"/>
        <v/>
      </c>
      <c r="HG39" s="50">
        <f>Participantes!EO38</f>
        <v>0</v>
      </c>
      <c r="HH39" s="50">
        <f>Participantes!EP38</f>
        <v>0</v>
      </c>
      <c r="HI39" s="50" t="str">
        <f t="shared" si="144"/>
        <v/>
      </c>
      <c r="HJ39" s="51">
        <f t="shared" si="145"/>
        <v>3</v>
      </c>
    </row>
    <row r="40" spans="1:218" ht="15" customHeight="1" x14ac:dyDescent="0.25">
      <c r="A40" s="49" t="str">
        <f>Participantes!B39</f>
        <v>Mily Oliver</v>
      </c>
      <c r="B40" s="50">
        <f>Participantes!C39</f>
        <v>2</v>
      </c>
      <c r="C40" s="50">
        <f>Participantes!D39</f>
        <v>0</v>
      </c>
      <c r="D40" s="50">
        <f t="shared" si="73"/>
        <v>3</v>
      </c>
      <c r="E40" s="50">
        <f>Participantes!E39</f>
        <v>1</v>
      </c>
      <c r="F40" s="50">
        <f>Participantes!F39</f>
        <v>1</v>
      </c>
      <c r="G40" s="50">
        <f t="shared" si="74"/>
        <v>0</v>
      </c>
      <c r="H40" s="50">
        <f>Participantes!G39</f>
        <v>2</v>
      </c>
      <c r="I40" s="50">
        <f>Participantes!H39</f>
        <v>1</v>
      </c>
      <c r="J40" s="50" t="str">
        <f t="shared" si="75"/>
        <v/>
      </c>
      <c r="K40" s="50">
        <f>Participantes!I39</f>
        <v>2</v>
      </c>
      <c r="L40" s="50">
        <f>Participantes!J39</f>
        <v>0</v>
      </c>
      <c r="M40" s="50" t="str">
        <f t="shared" si="76"/>
        <v/>
      </c>
      <c r="N40" s="50">
        <f>Participantes!K39</f>
        <v>0</v>
      </c>
      <c r="O40" s="50">
        <f>Participantes!L39</f>
        <v>0</v>
      </c>
      <c r="P40" s="50" t="str">
        <f t="shared" si="77"/>
        <v/>
      </c>
      <c r="Q40" s="50">
        <f>Participantes!M39</f>
        <v>1</v>
      </c>
      <c r="R40" s="50">
        <f>Participantes!N39</f>
        <v>2</v>
      </c>
      <c r="S40" s="50" t="str">
        <f t="shared" si="78"/>
        <v/>
      </c>
      <c r="T40" s="50">
        <f>Participantes!O39</f>
        <v>2</v>
      </c>
      <c r="U40" s="50">
        <f>Participantes!P39</f>
        <v>1</v>
      </c>
      <c r="V40" s="50" t="str">
        <f t="shared" si="79"/>
        <v/>
      </c>
      <c r="W40" s="50">
        <f>Participantes!Q39</f>
        <v>0</v>
      </c>
      <c r="X40" s="50">
        <f>Participantes!R39</f>
        <v>2</v>
      </c>
      <c r="Y40" s="50" t="str">
        <f t="shared" si="80"/>
        <v/>
      </c>
      <c r="Z40" s="50">
        <f>Participantes!S39</f>
        <v>1</v>
      </c>
      <c r="AA40" s="50">
        <f>Participantes!T39</f>
        <v>1</v>
      </c>
      <c r="AB40" s="50" t="str">
        <f t="shared" si="81"/>
        <v/>
      </c>
      <c r="AC40" s="50">
        <f>Participantes!U39</f>
        <v>3</v>
      </c>
      <c r="AD40" s="50">
        <f>Participantes!V39</f>
        <v>0</v>
      </c>
      <c r="AE40" s="50" t="str">
        <f t="shared" si="82"/>
        <v/>
      </c>
      <c r="AF40" s="50">
        <f>Participantes!W39</f>
        <v>2</v>
      </c>
      <c r="AG40" s="50">
        <f>Participantes!X39</f>
        <v>1</v>
      </c>
      <c r="AH40" s="50" t="str">
        <f t="shared" si="83"/>
        <v/>
      </c>
      <c r="AI40" s="50">
        <f>Participantes!Y39</f>
        <v>1</v>
      </c>
      <c r="AJ40" s="50">
        <f>Participantes!Z39</f>
        <v>0</v>
      </c>
      <c r="AK40" s="50" t="str">
        <f t="shared" si="84"/>
        <v/>
      </c>
      <c r="AL40" s="50">
        <f>Participantes!AA39</f>
        <v>1</v>
      </c>
      <c r="AM40" s="50">
        <f>Participantes!AB39</f>
        <v>2</v>
      </c>
      <c r="AN40" s="50" t="str">
        <f t="shared" si="85"/>
        <v/>
      </c>
      <c r="AO40" s="50">
        <f>Participantes!AC39</f>
        <v>3</v>
      </c>
      <c r="AP40" s="50">
        <f>Participantes!AD39</f>
        <v>0</v>
      </c>
      <c r="AQ40" s="50" t="str">
        <f t="shared" si="86"/>
        <v/>
      </c>
      <c r="AR40" s="50">
        <f>Participantes!AE39</f>
        <v>0</v>
      </c>
      <c r="AS40" s="50">
        <f>Participantes!AF39</f>
        <v>0</v>
      </c>
      <c r="AT40" s="50" t="str">
        <f t="shared" si="87"/>
        <v/>
      </c>
      <c r="AU40" s="50">
        <f>Participantes!AG39</f>
        <v>0</v>
      </c>
      <c r="AV40" s="50">
        <f>Participantes!AH39</f>
        <v>0</v>
      </c>
      <c r="AW40" s="50" t="str">
        <f t="shared" si="88"/>
        <v/>
      </c>
      <c r="AX40" s="50">
        <f>Participantes!AI39</f>
        <v>0</v>
      </c>
      <c r="AY40" s="50">
        <f>Participantes!AJ39</f>
        <v>0</v>
      </c>
      <c r="AZ40" s="50" t="str">
        <f t="shared" si="89"/>
        <v/>
      </c>
      <c r="BA40" s="50">
        <f>Participantes!AK39</f>
        <v>0</v>
      </c>
      <c r="BB40" s="50">
        <f>Participantes!AL39</f>
        <v>0</v>
      </c>
      <c r="BC40" s="50" t="str">
        <f t="shared" si="90"/>
        <v/>
      </c>
      <c r="BD40" s="50">
        <f>Participantes!AM39</f>
        <v>0</v>
      </c>
      <c r="BE40" s="50">
        <f>Participantes!AN39</f>
        <v>0</v>
      </c>
      <c r="BF40" s="50" t="str">
        <f t="shared" si="91"/>
        <v/>
      </c>
      <c r="BG40" s="50">
        <f>Participantes!AO39</f>
        <v>0</v>
      </c>
      <c r="BH40" s="50">
        <f>Participantes!AP39</f>
        <v>0</v>
      </c>
      <c r="BI40" s="50" t="str">
        <f t="shared" si="92"/>
        <v/>
      </c>
      <c r="BJ40" s="50">
        <f>Participantes!AQ39</f>
        <v>0</v>
      </c>
      <c r="BK40" s="50">
        <f>Participantes!AR39</f>
        <v>0</v>
      </c>
      <c r="BL40" s="50" t="str">
        <f t="shared" si="93"/>
        <v/>
      </c>
      <c r="BM40" s="50">
        <f>Participantes!AS39</f>
        <v>0</v>
      </c>
      <c r="BN40" s="50">
        <f>Participantes!AT39</f>
        <v>0</v>
      </c>
      <c r="BO40" s="50" t="str">
        <f t="shared" si="94"/>
        <v/>
      </c>
      <c r="BP40" s="50">
        <f>Participantes!AU39</f>
        <v>0</v>
      </c>
      <c r="BQ40" s="50">
        <f>Participantes!AV39</f>
        <v>0</v>
      </c>
      <c r="BR40" s="50" t="str">
        <f t="shared" si="95"/>
        <v/>
      </c>
      <c r="BS40" s="50">
        <f>Participantes!AW39</f>
        <v>0</v>
      </c>
      <c r="BT40" s="50">
        <f>Participantes!AX39</f>
        <v>0</v>
      </c>
      <c r="BU40" s="50" t="str">
        <f t="shared" si="96"/>
        <v/>
      </c>
      <c r="BV40" s="50">
        <f>Participantes!AY39</f>
        <v>0</v>
      </c>
      <c r="BW40" s="50">
        <f>Participantes!AZ39</f>
        <v>0</v>
      </c>
      <c r="BX40" s="50" t="str">
        <f t="shared" si="97"/>
        <v/>
      </c>
      <c r="BY40" s="50">
        <f>Participantes!BA39</f>
        <v>0</v>
      </c>
      <c r="BZ40" s="50">
        <f>Participantes!BB39</f>
        <v>0</v>
      </c>
      <c r="CA40" s="50" t="str">
        <f t="shared" si="98"/>
        <v/>
      </c>
      <c r="CB40" s="50">
        <f>Participantes!BC39</f>
        <v>0</v>
      </c>
      <c r="CC40" s="50">
        <f>Participantes!BD39</f>
        <v>0</v>
      </c>
      <c r="CD40" s="50" t="str">
        <f t="shared" si="99"/>
        <v/>
      </c>
      <c r="CE40" s="50">
        <f>Participantes!BE39</f>
        <v>0</v>
      </c>
      <c r="CF40" s="50">
        <f>Participantes!BF39</f>
        <v>0</v>
      </c>
      <c r="CG40" s="50" t="str">
        <f t="shared" si="100"/>
        <v/>
      </c>
      <c r="CH40" s="50">
        <f>Participantes!BG39</f>
        <v>0</v>
      </c>
      <c r="CI40" s="50">
        <f>Participantes!BH39</f>
        <v>0</v>
      </c>
      <c r="CJ40" s="50" t="str">
        <f t="shared" si="101"/>
        <v/>
      </c>
      <c r="CK40" s="50">
        <f>Participantes!BI39</f>
        <v>0</v>
      </c>
      <c r="CL40" s="50">
        <f>Participantes!BJ39</f>
        <v>0</v>
      </c>
      <c r="CM40" s="50" t="str">
        <f t="shared" si="102"/>
        <v/>
      </c>
      <c r="CN40" s="50">
        <f>Participantes!BK39</f>
        <v>0</v>
      </c>
      <c r="CO40" s="50">
        <f>Participantes!BL39</f>
        <v>0</v>
      </c>
      <c r="CP40" s="50" t="str">
        <f t="shared" si="103"/>
        <v/>
      </c>
      <c r="CQ40" s="50">
        <f>Participantes!BM39</f>
        <v>0</v>
      </c>
      <c r="CR40" s="50">
        <f>Participantes!BN39</f>
        <v>0</v>
      </c>
      <c r="CS40" s="50" t="str">
        <f t="shared" si="104"/>
        <v/>
      </c>
      <c r="CT40" s="50">
        <f>Participantes!BO39</f>
        <v>0</v>
      </c>
      <c r="CU40" s="50">
        <f>Participantes!BP39</f>
        <v>0</v>
      </c>
      <c r="CV40" s="50" t="str">
        <f t="shared" si="105"/>
        <v/>
      </c>
      <c r="CW40" s="50">
        <f>Participantes!BQ39</f>
        <v>0</v>
      </c>
      <c r="CX40" s="50">
        <f>Participantes!BR39</f>
        <v>0</v>
      </c>
      <c r="CY40" s="50" t="str">
        <f t="shared" si="106"/>
        <v/>
      </c>
      <c r="CZ40" s="50">
        <f>Participantes!BS39</f>
        <v>0</v>
      </c>
      <c r="DA40" s="50">
        <f>Participantes!BT39</f>
        <v>0</v>
      </c>
      <c r="DB40" s="50" t="str">
        <f t="shared" si="107"/>
        <v/>
      </c>
      <c r="DC40" s="50">
        <f>Participantes!BU39</f>
        <v>0</v>
      </c>
      <c r="DD40" s="50">
        <f>Participantes!BV39</f>
        <v>0</v>
      </c>
      <c r="DE40" s="50" t="str">
        <f t="shared" si="108"/>
        <v/>
      </c>
      <c r="DF40" s="50">
        <f>Participantes!BW39</f>
        <v>0</v>
      </c>
      <c r="DG40" s="50">
        <f>Participantes!BX39</f>
        <v>0</v>
      </c>
      <c r="DH40" s="50" t="str">
        <f t="shared" si="109"/>
        <v/>
      </c>
      <c r="DI40" s="50">
        <f>Participantes!BY39</f>
        <v>0</v>
      </c>
      <c r="DJ40" s="50">
        <f>Participantes!BZ39</f>
        <v>0</v>
      </c>
      <c r="DK40" s="50" t="str">
        <f t="shared" si="110"/>
        <v/>
      </c>
      <c r="DL40" s="50">
        <f>Participantes!CA39</f>
        <v>0</v>
      </c>
      <c r="DM40" s="50">
        <f>Participantes!CB39</f>
        <v>0</v>
      </c>
      <c r="DN40" s="50" t="str">
        <f t="shared" si="111"/>
        <v/>
      </c>
      <c r="DO40" s="50">
        <f>Participantes!CC39</f>
        <v>0</v>
      </c>
      <c r="DP40" s="50">
        <f>Participantes!CD39</f>
        <v>0</v>
      </c>
      <c r="DQ40" s="50" t="str">
        <f t="shared" si="112"/>
        <v/>
      </c>
      <c r="DR40" s="50">
        <f>Participantes!CE39</f>
        <v>0</v>
      </c>
      <c r="DS40" s="50">
        <f>Participantes!CF39</f>
        <v>0</v>
      </c>
      <c r="DT40" s="50" t="str">
        <f t="shared" si="113"/>
        <v/>
      </c>
      <c r="DU40" s="50">
        <f>Participantes!CG39</f>
        <v>0</v>
      </c>
      <c r="DV40" s="50">
        <f>Participantes!CH39</f>
        <v>0</v>
      </c>
      <c r="DW40" s="50" t="str">
        <f t="shared" si="114"/>
        <v/>
      </c>
      <c r="DX40" s="50">
        <f>Participantes!CI39</f>
        <v>0</v>
      </c>
      <c r="DY40" s="50">
        <f>Participantes!CJ39</f>
        <v>0</v>
      </c>
      <c r="DZ40" s="50" t="str">
        <f t="shared" si="115"/>
        <v/>
      </c>
      <c r="EA40" s="50">
        <f>Participantes!CK39</f>
        <v>0</v>
      </c>
      <c r="EB40" s="50">
        <f>Participantes!CL39</f>
        <v>0</v>
      </c>
      <c r="EC40" s="50" t="str">
        <f t="shared" si="116"/>
        <v/>
      </c>
      <c r="ED40" s="50">
        <f>Participantes!CM39</f>
        <v>0</v>
      </c>
      <c r="EE40" s="50">
        <f>Participantes!CN39</f>
        <v>0</v>
      </c>
      <c r="EF40" s="50" t="str">
        <f t="shared" si="117"/>
        <v/>
      </c>
      <c r="EG40" s="50">
        <f>Participantes!CO39</f>
        <v>0</v>
      </c>
      <c r="EH40" s="50">
        <f>Participantes!CP39</f>
        <v>0</v>
      </c>
      <c r="EI40" s="50" t="str">
        <f t="shared" si="118"/>
        <v/>
      </c>
      <c r="EJ40" s="50">
        <f>Participantes!CQ39</f>
        <v>0</v>
      </c>
      <c r="EK40" s="50">
        <f>Participantes!CR39</f>
        <v>0</v>
      </c>
      <c r="EL40" s="50" t="str">
        <f t="shared" si="119"/>
        <v/>
      </c>
      <c r="EM40" s="50">
        <f>Participantes!CS39</f>
        <v>0</v>
      </c>
      <c r="EN40" s="50">
        <f>Participantes!CT39</f>
        <v>0</v>
      </c>
      <c r="EO40" s="50" t="str">
        <f t="shared" si="120"/>
        <v/>
      </c>
      <c r="EP40" s="50">
        <f>Participantes!CU39</f>
        <v>0</v>
      </c>
      <c r="EQ40" s="50">
        <f>Participantes!CV39</f>
        <v>0</v>
      </c>
      <c r="ER40" s="50" t="str">
        <f t="shared" si="121"/>
        <v/>
      </c>
      <c r="ES40" s="50">
        <f>Participantes!CW39</f>
        <v>0</v>
      </c>
      <c r="ET40" s="50">
        <f>Participantes!CX39</f>
        <v>0</v>
      </c>
      <c r="EU40" s="50" t="str">
        <f t="shared" si="122"/>
        <v/>
      </c>
      <c r="EV40" s="50">
        <f>Participantes!CY39</f>
        <v>0</v>
      </c>
      <c r="EW40" s="50">
        <f>Participantes!CZ39</f>
        <v>0</v>
      </c>
      <c r="EX40" s="50" t="str">
        <f t="shared" si="123"/>
        <v/>
      </c>
      <c r="EY40" s="50">
        <f>Participantes!DA39</f>
        <v>0</v>
      </c>
      <c r="EZ40" s="50">
        <f>Participantes!DB39</f>
        <v>0</v>
      </c>
      <c r="FA40" s="50" t="str">
        <f t="shared" si="124"/>
        <v/>
      </c>
      <c r="FB40" s="50">
        <f>Participantes!DC39</f>
        <v>0</v>
      </c>
      <c r="FC40" s="50">
        <f>Participantes!DD39</f>
        <v>0</v>
      </c>
      <c r="FD40" s="50" t="str">
        <f t="shared" si="125"/>
        <v/>
      </c>
      <c r="FE40" s="50">
        <f>Participantes!DE39</f>
        <v>0</v>
      </c>
      <c r="FF40" s="50">
        <f>Participantes!DF39</f>
        <v>0</v>
      </c>
      <c r="FG40" s="50" t="str">
        <f t="shared" si="126"/>
        <v/>
      </c>
      <c r="FH40" s="50">
        <f>Participantes!DG39</f>
        <v>0</v>
      </c>
      <c r="FI40" s="50">
        <f>Participantes!DH39</f>
        <v>0</v>
      </c>
      <c r="FJ40" s="50" t="str">
        <f t="shared" si="127"/>
        <v/>
      </c>
      <c r="FK40" s="50">
        <f>Participantes!DI39</f>
        <v>0</v>
      </c>
      <c r="FL40" s="50">
        <f>Participantes!DJ39</f>
        <v>0</v>
      </c>
      <c r="FM40" s="50" t="str">
        <f t="shared" si="128"/>
        <v/>
      </c>
      <c r="FN40" s="50">
        <f>Participantes!DK39</f>
        <v>0</v>
      </c>
      <c r="FO40" s="50">
        <f>Participantes!DL39</f>
        <v>0</v>
      </c>
      <c r="FP40" s="50" t="str">
        <f t="shared" si="129"/>
        <v/>
      </c>
      <c r="FQ40" s="50">
        <f>Participantes!DM39</f>
        <v>0</v>
      </c>
      <c r="FR40" s="50">
        <f>Participantes!DN39</f>
        <v>0</v>
      </c>
      <c r="FS40" s="50" t="str">
        <f t="shared" si="130"/>
        <v/>
      </c>
      <c r="FT40" s="50">
        <f>Participantes!DO39</f>
        <v>0</v>
      </c>
      <c r="FU40" s="50">
        <f>Participantes!DP39</f>
        <v>0</v>
      </c>
      <c r="FV40" s="50" t="str">
        <f t="shared" si="131"/>
        <v/>
      </c>
      <c r="FW40" s="50">
        <f>Participantes!DQ39</f>
        <v>0</v>
      </c>
      <c r="FX40" s="50">
        <f>Participantes!DR39</f>
        <v>0</v>
      </c>
      <c r="FY40" s="50" t="str">
        <f t="shared" si="132"/>
        <v/>
      </c>
      <c r="FZ40" s="50">
        <f>Participantes!DS39</f>
        <v>0</v>
      </c>
      <c r="GA40" s="50">
        <f>Participantes!DT39</f>
        <v>0</v>
      </c>
      <c r="GB40" s="50" t="str">
        <f t="shared" si="133"/>
        <v/>
      </c>
      <c r="GC40" s="50">
        <f>Participantes!DU39</f>
        <v>0</v>
      </c>
      <c r="GD40" s="50">
        <f>Participantes!DV39</f>
        <v>0</v>
      </c>
      <c r="GE40" s="50" t="str">
        <f t="shared" si="134"/>
        <v/>
      </c>
      <c r="GF40" s="50">
        <f>Participantes!DW39</f>
        <v>0</v>
      </c>
      <c r="GG40" s="50">
        <f>Participantes!DX39</f>
        <v>0</v>
      </c>
      <c r="GH40" s="50" t="str">
        <f t="shared" si="135"/>
        <v/>
      </c>
      <c r="GI40" s="50">
        <f>Participantes!DY39</f>
        <v>0</v>
      </c>
      <c r="GJ40" s="50">
        <f>Participantes!DZ39</f>
        <v>0</v>
      </c>
      <c r="GK40" s="50" t="str">
        <f t="shared" si="136"/>
        <v/>
      </c>
      <c r="GL40" s="50">
        <f>Participantes!EA39</f>
        <v>0</v>
      </c>
      <c r="GM40" s="50">
        <f>Participantes!EB39</f>
        <v>0</v>
      </c>
      <c r="GN40" s="50" t="str">
        <f t="shared" si="137"/>
        <v/>
      </c>
      <c r="GO40" s="50">
        <f>Participantes!EC39</f>
        <v>0</v>
      </c>
      <c r="GP40" s="50">
        <f>Participantes!ED39</f>
        <v>0</v>
      </c>
      <c r="GQ40" s="50" t="str">
        <f t="shared" si="138"/>
        <v/>
      </c>
      <c r="GR40" s="50">
        <f>Participantes!EE39</f>
        <v>0</v>
      </c>
      <c r="GS40" s="50">
        <f>Participantes!EF39</f>
        <v>0</v>
      </c>
      <c r="GT40" s="50" t="str">
        <f t="shared" si="139"/>
        <v/>
      </c>
      <c r="GU40" s="50">
        <f>Participantes!EG39</f>
        <v>0</v>
      </c>
      <c r="GV40" s="50">
        <f>Participantes!EH39</f>
        <v>0</v>
      </c>
      <c r="GW40" s="50" t="str">
        <f t="shared" si="140"/>
        <v/>
      </c>
      <c r="GX40" s="50">
        <f>Participantes!EI39</f>
        <v>0</v>
      </c>
      <c r="GY40" s="50">
        <f>Participantes!EJ39</f>
        <v>0</v>
      </c>
      <c r="GZ40" s="50" t="str">
        <f t="shared" si="141"/>
        <v/>
      </c>
      <c r="HA40" s="50">
        <f>Participantes!EK39</f>
        <v>0</v>
      </c>
      <c r="HB40" s="50">
        <f>Participantes!EL39</f>
        <v>0</v>
      </c>
      <c r="HC40" s="50" t="str">
        <f t="shared" si="142"/>
        <v/>
      </c>
      <c r="HD40" s="50">
        <f>Participantes!EM39</f>
        <v>0</v>
      </c>
      <c r="HE40" s="50">
        <f>Participantes!EN39</f>
        <v>0</v>
      </c>
      <c r="HF40" s="50" t="str">
        <f t="shared" si="143"/>
        <v/>
      </c>
      <c r="HG40" s="50">
        <f>Participantes!EO39</f>
        <v>0</v>
      </c>
      <c r="HH40" s="50">
        <f>Participantes!EP39</f>
        <v>0</v>
      </c>
      <c r="HI40" s="50" t="str">
        <f t="shared" si="144"/>
        <v/>
      </c>
      <c r="HJ40" s="51">
        <f t="shared" si="145"/>
        <v>3</v>
      </c>
    </row>
    <row r="41" spans="1:218" ht="15" customHeight="1" x14ac:dyDescent="0.25">
      <c r="A41" s="49" t="str">
        <f>Participantes!B40</f>
        <v>Mily Zeynneth</v>
      </c>
      <c r="B41" s="50">
        <f>Participantes!C40</f>
        <v>3</v>
      </c>
      <c r="C41" s="50">
        <f>Participantes!D40</f>
        <v>1</v>
      </c>
      <c r="D41" s="50">
        <f t="shared" si="73"/>
        <v>1</v>
      </c>
      <c r="E41" s="50">
        <f>Participantes!E40</f>
        <v>2</v>
      </c>
      <c r="F41" s="50">
        <f>Participantes!F40</f>
        <v>2</v>
      </c>
      <c r="G41" s="50">
        <f t="shared" si="74"/>
        <v>0</v>
      </c>
      <c r="H41" s="50">
        <f>Participantes!G40</f>
        <v>3</v>
      </c>
      <c r="I41" s="50">
        <f>Participantes!H40</f>
        <v>1</v>
      </c>
      <c r="J41" s="50" t="str">
        <f t="shared" si="75"/>
        <v/>
      </c>
      <c r="K41" s="50">
        <f>Participantes!I40</f>
        <v>3</v>
      </c>
      <c r="L41" s="50">
        <f>Participantes!J40</f>
        <v>0</v>
      </c>
      <c r="M41" s="50" t="str">
        <f t="shared" si="76"/>
        <v/>
      </c>
      <c r="N41" s="50">
        <f>Participantes!K40</f>
        <v>0</v>
      </c>
      <c r="O41" s="50">
        <f>Participantes!L40</f>
        <v>1</v>
      </c>
      <c r="P41" s="50" t="str">
        <f t="shared" si="77"/>
        <v/>
      </c>
      <c r="Q41" s="50">
        <f>Participantes!M40</f>
        <v>2</v>
      </c>
      <c r="R41" s="50">
        <f>Participantes!N40</f>
        <v>3</v>
      </c>
      <c r="S41" s="50" t="str">
        <f t="shared" si="78"/>
        <v/>
      </c>
      <c r="T41" s="50">
        <f>Participantes!O40</f>
        <v>3</v>
      </c>
      <c r="U41" s="50">
        <f>Participantes!P40</f>
        <v>1</v>
      </c>
      <c r="V41" s="50" t="str">
        <f t="shared" si="79"/>
        <v/>
      </c>
      <c r="W41" s="50">
        <f>Participantes!Q40</f>
        <v>0</v>
      </c>
      <c r="X41" s="50">
        <f>Participantes!R40</f>
        <v>0</v>
      </c>
      <c r="Y41" s="50" t="str">
        <f t="shared" si="80"/>
        <v/>
      </c>
      <c r="Z41" s="50">
        <f>Participantes!S40</f>
        <v>1</v>
      </c>
      <c r="AA41" s="50">
        <f>Participantes!T40</f>
        <v>2</v>
      </c>
      <c r="AB41" s="50" t="str">
        <f t="shared" si="81"/>
        <v/>
      </c>
      <c r="AC41" s="50">
        <f>Participantes!U40</f>
        <v>4</v>
      </c>
      <c r="AD41" s="50">
        <f>Participantes!V40</f>
        <v>0</v>
      </c>
      <c r="AE41" s="50" t="str">
        <f t="shared" si="82"/>
        <v/>
      </c>
      <c r="AF41" s="50">
        <f>Participantes!W40</f>
        <v>3</v>
      </c>
      <c r="AG41" s="50">
        <f>Participantes!X40</f>
        <v>1</v>
      </c>
      <c r="AH41" s="50" t="str">
        <f t="shared" si="83"/>
        <v/>
      </c>
      <c r="AI41" s="50">
        <f>Participantes!Y40</f>
        <v>2</v>
      </c>
      <c r="AJ41" s="50">
        <f>Participantes!Z40</f>
        <v>1</v>
      </c>
      <c r="AK41" s="50" t="str">
        <f t="shared" si="84"/>
        <v/>
      </c>
      <c r="AL41" s="50">
        <f>Participantes!AA40</f>
        <v>2</v>
      </c>
      <c r="AM41" s="50">
        <f>Participantes!AB40</f>
        <v>3</v>
      </c>
      <c r="AN41" s="50" t="str">
        <f t="shared" si="85"/>
        <v/>
      </c>
      <c r="AO41" s="50">
        <f>Participantes!AC40</f>
        <v>4</v>
      </c>
      <c r="AP41" s="50">
        <f>Participantes!AD40</f>
        <v>1</v>
      </c>
      <c r="AQ41" s="50" t="str">
        <f t="shared" si="86"/>
        <v/>
      </c>
      <c r="AR41" s="50">
        <f>Participantes!AE40</f>
        <v>0</v>
      </c>
      <c r="AS41" s="50">
        <f>Participantes!AF40</f>
        <v>0</v>
      </c>
      <c r="AT41" s="50" t="str">
        <f t="shared" si="87"/>
        <v/>
      </c>
      <c r="AU41" s="50">
        <f>Participantes!AG40</f>
        <v>0</v>
      </c>
      <c r="AV41" s="50">
        <f>Participantes!AH40</f>
        <v>0</v>
      </c>
      <c r="AW41" s="50" t="str">
        <f t="shared" si="88"/>
        <v/>
      </c>
      <c r="AX41" s="50">
        <f>Participantes!AI40</f>
        <v>0</v>
      </c>
      <c r="AY41" s="50">
        <f>Participantes!AJ40</f>
        <v>0</v>
      </c>
      <c r="AZ41" s="50" t="str">
        <f t="shared" si="89"/>
        <v/>
      </c>
      <c r="BA41" s="50">
        <f>Participantes!AK40</f>
        <v>0</v>
      </c>
      <c r="BB41" s="50">
        <f>Participantes!AL40</f>
        <v>0</v>
      </c>
      <c r="BC41" s="50" t="str">
        <f t="shared" si="90"/>
        <v/>
      </c>
      <c r="BD41" s="50">
        <f>Participantes!AM40</f>
        <v>0</v>
      </c>
      <c r="BE41" s="50">
        <f>Participantes!AN40</f>
        <v>0</v>
      </c>
      <c r="BF41" s="50" t="str">
        <f t="shared" si="91"/>
        <v/>
      </c>
      <c r="BG41" s="50">
        <f>Participantes!AO40</f>
        <v>0</v>
      </c>
      <c r="BH41" s="50">
        <f>Participantes!AP40</f>
        <v>0</v>
      </c>
      <c r="BI41" s="50" t="str">
        <f t="shared" si="92"/>
        <v/>
      </c>
      <c r="BJ41" s="50">
        <f>Participantes!AQ40</f>
        <v>0</v>
      </c>
      <c r="BK41" s="50">
        <f>Participantes!AR40</f>
        <v>0</v>
      </c>
      <c r="BL41" s="50" t="str">
        <f t="shared" si="93"/>
        <v/>
      </c>
      <c r="BM41" s="50">
        <f>Participantes!AS40</f>
        <v>0</v>
      </c>
      <c r="BN41" s="50">
        <f>Participantes!AT40</f>
        <v>0</v>
      </c>
      <c r="BO41" s="50" t="str">
        <f t="shared" si="94"/>
        <v/>
      </c>
      <c r="BP41" s="50">
        <f>Participantes!AU40</f>
        <v>0</v>
      </c>
      <c r="BQ41" s="50">
        <f>Participantes!AV40</f>
        <v>0</v>
      </c>
      <c r="BR41" s="50" t="str">
        <f t="shared" si="95"/>
        <v/>
      </c>
      <c r="BS41" s="50">
        <f>Participantes!AW40</f>
        <v>0</v>
      </c>
      <c r="BT41" s="50">
        <f>Participantes!AX40</f>
        <v>0</v>
      </c>
      <c r="BU41" s="50" t="str">
        <f t="shared" si="96"/>
        <v/>
      </c>
      <c r="BV41" s="50">
        <f>Participantes!AY40</f>
        <v>0</v>
      </c>
      <c r="BW41" s="50">
        <f>Participantes!AZ40</f>
        <v>0</v>
      </c>
      <c r="BX41" s="50" t="str">
        <f t="shared" si="97"/>
        <v/>
      </c>
      <c r="BY41" s="50">
        <f>Participantes!BA40</f>
        <v>0</v>
      </c>
      <c r="BZ41" s="50">
        <f>Participantes!BB40</f>
        <v>0</v>
      </c>
      <c r="CA41" s="50" t="str">
        <f t="shared" si="98"/>
        <v/>
      </c>
      <c r="CB41" s="50">
        <f>Participantes!BC40</f>
        <v>0</v>
      </c>
      <c r="CC41" s="50">
        <f>Participantes!BD40</f>
        <v>0</v>
      </c>
      <c r="CD41" s="50" t="str">
        <f t="shared" si="99"/>
        <v/>
      </c>
      <c r="CE41" s="50">
        <f>Participantes!BE40</f>
        <v>0</v>
      </c>
      <c r="CF41" s="50">
        <f>Participantes!BF40</f>
        <v>0</v>
      </c>
      <c r="CG41" s="50" t="str">
        <f t="shared" si="100"/>
        <v/>
      </c>
      <c r="CH41" s="50">
        <f>Participantes!BG40</f>
        <v>0</v>
      </c>
      <c r="CI41" s="50">
        <f>Participantes!BH40</f>
        <v>0</v>
      </c>
      <c r="CJ41" s="50" t="str">
        <f t="shared" si="101"/>
        <v/>
      </c>
      <c r="CK41" s="50">
        <f>Participantes!BI40</f>
        <v>0</v>
      </c>
      <c r="CL41" s="50">
        <f>Participantes!BJ40</f>
        <v>0</v>
      </c>
      <c r="CM41" s="50" t="str">
        <f t="shared" si="102"/>
        <v/>
      </c>
      <c r="CN41" s="50">
        <f>Participantes!BK40</f>
        <v>0</v>
      </c>
      <c r="CO41" s="50">
        <f>Participantes!BL40</f>
        <v>0</v>
      </c>
      <c r="CP41" s="50" t="str">
        <f t="shared" si="103"/>
        <v/>
      </c>
      <c r="CQ41" s="50">
        <f>Participantes!BM40</f>
        <v>0</v>
      </c>
      <c r="CR41" s="50">
        <f>Participantes!BN40</f>
        <v>0</v>
      </c>
      <c r="CS41" s="50" t="str">
        <f t="shared" si="104"/>
        <v/>
      </c>
      <c r="CT41" s="50">
        <f>Participantes!BO40</f>
        <v>0</v>
      </c>
      <c r="CU41" s="50">
        <f>Participantes!BP40</f>
        <v>0</v>
      </c>
      <c r="CV41" s="50" t="str">
        <f t="shared" si="105"/>
        <v/>
      </c>
      <c r="CW41" s="50">
        <f>Participantes!BQ40</f>
        <v>0</v>
      </c>
      <c r="CX41" s="50">
        <f>Participantes!BR40</f>
        <v>0</v>
      </c>
      <c r="CY41" s="50" t="str">
        <f t="shared" si="106"/>
        <v/>
      </c>
      <c r="CZ41" s="50">
        <f>Participantes!BS40</f>
        <v>0</v>
      </c>
      <c r="DA41" s="50">
        <f>Participantes!BT40</f>
        <v>0</v>
      </c>
      <c r="DB41" s="50" t="str">
        <f t="shared" si="107"/>
        <v/>
      </c>
      <c r="DC41" s="50">
        <f>Participantes!BU40</f>
        <v>0</v>
      </c>
      <c r="DD41" s="50">
        <f>Participantes!BV40</f>
        <v>0</v>
      </c>
      <c r="DE41" s="50" t="str">
        <f t="shared" si="108"/>
        <v/>
      </c>
      <c r="DF41" s="50">
        <f>Participantes!BW40</f>
        <v>0</v>
      </c>
      <c r="DG41" s="50">
        <f>Participantes!BX40</f>
        <v>0</v>
      </c>
      <c r="DH41" s="50" t="str">
        <f t="shared" si="109"/>
        <v/>
      </c>
      <c r="DI41" s="50">
        <f>Participantes!BY40</f>
        <v>0</v>
      </c>
      <c r="DJ41" s="50">
        <f>Participantes!BZ40</f>
        <v>0</v>
      </c>
      <c r="DK41" s="50" t="str">
        <f t="shared" si="110"/>
        <v/>
      </c>
      <c r="DL41" s="50">
        <f>Participantes!CA40</f>
        <v>0</v>
      </c>
      <c r="DM41" s="50">
        <f>Participantes!CB40</f>
        <v>0</v>
      </c>
      <c r="DN41" s="50" t="str">
        <f t="shared" si="111"/>
        <v/>
      </c>
      <c r="DO41" s="50">
        <f>Participantes!CC40</f>
        <v>0</v>
      </c>
      <c r="DP41" s="50">
        <f>Participantes!CD40</f>
        <v>0</v>
      </c>
      <c r="DQ41" s="50" t="str">
        <f t="shared" si="112"/>
        <v/>
      </c>
      <c r="DR41" s="50">
        <f>Participantes!CE40</f>
        <v>0</v>
      </c>
      <c r="DS41" s="50">
        <f>Participantes!CF40</f>
        <v>0</v>
      </c>
      <c r="DT41" s="50" t="str">
        <f t="shared" si="113"/>
        <v/>
      </c>
      <c r="DU41" s="50">
        <f>Participantes!CG40</f>
        <v>0</v>
      </c>
      <c r="DV41" s="50">
        <f>Participantes!CH40</f>
        <v>0</v>
      </c>
      <c r="DW41" s="50" t="str">
        <f t="shared" si="114"/>
        <v/>
      </c>
      <c r="DX41" s="50">
        <f>Participantes!CI40</f>
        <v>0</v>
      </c>
      <c r="DY41" s="50">
        <f>Participantes!CJ40</f>
        <v>0</v>
      </c>
      <c r="DZ41" s="50" t="str">
        <f t="shared" si="115"/>
        <v/>
      </c>
      <c r="EA41" s="50">
        <f>Participantes!CK40</f>
        <v>0</v>
      </c>
      <c r="EB41" s="50">
        <f>Participantes!CL40</f>
        <v>0</v>
      </c>
      <c r="EC41" s="50" t="str">
        <f t="shared" si="116"/>
        <v/>
      </c>
      <c r="ED41" s="50">
        <f>Participantes!CM40</f>
        <v>0</v>
      </c>
      <c r="EE41" s="50">
        <f>Participantes!CN40</f>
        <v>0</v>
      </c>
      <c r="EF41" s="50" t="str">
        <f t="shared" si="117"/>
        <v/>
      </c>
      <c r="EG41" s="50">
        <f>Participantes!CO40</f>
        <v>0</v>
      </c>
      <c r="EH41" s="50">
        <f>Participantes!CP40</f>
        <v>0</v>
      </c>
      <c r="EI41" s="50" t="str">
        <f t="shared" si="118"/>
        <v/>
      </c>
      <c r="EJ41" s="50">
        <f>Participantes!CQ40</f>
        <v>0</v>
      </c>
      <c r="EK41" s="50">
        <f>Participantes!CR40</f>
        <v>0</v>
      </c>
      <c r="EL41" s="50" t="str">
        <f t="shared" si="119"/>
        <v/>
      </c>
      <c r="EM41" s="50">
        <f>Participantes!CS40</f>
        <v>0</v>
      </c>
      <c r="EN41" s="50">
        <f>Participantes!CT40</f>
        <v>0</v>
      </c>
      <c r="EO41" s="50" t="str">
        <f t="shared" si="120"/>
        <v/>
      </c>
      <c r="EP41" s="50">
        <f>Participantes!CU40</f>
        <v>0</v>
      </c>
      <c r="EQ41" s="50">
        <f>Participantes!CV40</f>
        <v>0</v>
      </c>
      <c r="ER41" s="50" t="str">
        <f t="shared" si="121"/>
        <v/>
      </c>
      <c r="ES41" s="50">
        <f>Participantes!CW40</f>
        <v>0</v>
      </c>
      <c r="ET41" s="50">
        <f>Participantes!CX40</f>
        <v>0</v>
      </c>
      <c r="EU41" s="50" t="str">
        <f t="shared" si="122"/>
        <v/>
      </c>
      <c r="EV41" s="50">
        <f>Participantes!CY40</f>
        <v>0</v>
      </c>
      <c r="EW41" s="50">
        <f>Participantes!CZ40</f>
        <v>0</v>
      </c>
      <c r="EX41" s="50" t="str">
        <f t="shared" si="123"/>
        <v/>
      </c>
      <c r="EY41" s="50">
        <f>Participantes!DA40</f>
        <v>0</v>
      </c>
      <c r="EZ41" s="50">
        <f>Participantes!DB40</f>
        <v>0</v>
      </c>
      <c r="FA41" s="50" t="str">
        <f t="shared" si="124"/>
        <v/>
      </c>
      <c r="FB41" s="50">
        <f>Participantes!DC40</f>
        <v>0</v>
      </c>
      <c r="FC41" s="50">
        <f>Participantes!DD40</f>
        <v>0</v>
      </c>
      <c r="FD41" s="50" t="str">
        <f t="shared" si="125"/>
        <v/>
      </c>
      <c r="FE41" s="50">
        <f>Participantes!DE40</f>
        <v>0</v>
      </c>
      <c r="FF41" s="50">
        <f>Participantes!DF40</f>
        <v>0</v>
      </c>
      <c r="FG41" s="50" t="str">
        <f t="shared" si="126"/>
        <v/>
      </c>
      <c r="FH41" s="50">
        <f>Participantes!DG40</f>
        <v>0</v>
      </c>
      <c r="FI41" s="50">
        <f>Participantes!DH40</f>
        <v>0</v>
      </c>
      <c r="FJ41" s="50" t="str">
        <f t="shared" si="127"/>
        <v/>
      </c>
      <c r="FK41" s="50">
        <f>Participantes!DI40</f>
        <v>0</v>
      </c>
      <c r="FL41" s="50">
        <f>Participantes!DJ40</f>
        <v>0</v>
      </c>
      <c r="FM41" s="50" t="str">
        <f t="shared" si="128"/>
        <v/>
      </c>
      <c r="FN41" s="50">
        <f>Participantes!DK40</f>
        <v>0</v>
      </c>
      <c r="FO41" s="50">
        <f>Participantes!DL40</f>
        <v>0</v>
      </c>
      <c r="FP41" s="50" t="str">
        <f t="shared" si="129"/>
        <v/>
      </c>
      <c r="FQ41" s="50">
        <f>Participantes!DM40</f>
        <v>0</v>
      </c>
      <c r="FR41" s="50">
        <f>Participantes!DN40</f>
        <v>0</v>
      </c>
      <c r="FS41" s="50" t="str">
        <f t="shared" si="130"/>
        <v/>
      </c>
      <c r="FT41" s="50">
        <f>Participantes!DO40</f>
        <v>0</v>
      </c>
      <c r="FU41" s="50">
        <f>Participantes!DP40</f>
        <v>0</v>
      </c>
      <c r="FV41" s="50" t="str">
        <f t="shared" si="131"/>
        <v/>
      </c>
      <c r="FW41" s="50">
        <f>Participantes!DQ40</f>
        <v>0</v>
      </c>
      <c r="FX41" s="50">
        <f>Participantes!DR40</f>
        <v>0</v>
      </c>
      <c r="FY41" s="50" t="str">
        <f t="shared" si="132"/>
        <v/>
      </c>
      <c r="FZ41" s="50">
        <f>Participantes!DS40</f>
        <v>0</v>
      </c>
      <c r="GA41" s="50">
        <f>Participantes!DT40</f>
        <v>0</v>
      </c>
      <c r="GB41" s="50" t="str">
        <f t="shared" si="133"/>
        <v/>
      </c>
      <c r="GC41" s="50">
        <f>Participantes!DU40</f>
        <v>0</v>
      </c>
      <c r="GD41" s="50">
        <f>Participantes!DV40</f>
        <v>0</v>
      </c>
      <c r="GE41" s="50" t="str">
        <f t="shared" si="134"/>
        <v/>
      </c>
      <c r="GF41" s="50">
        <f>Participantes!DW40</f>
        <v>0</v>
      </c>
      <c r="GG41" s="50">
        <f>Participantes!DX40</f>
        <v>0</v>
      </c>
      <c r="GH41" s="50" t="str">
        <f t="shared" si="135"/>
        <v/>
      </c>
      <c r="GI41" s="50">
        <f>Participantes!DY40</f>
        <v>0</v>
      </c>
      <c r="GJ41" s="50">
        <f>Participantes!DZ40</f>
        <v>0</v>
      </c>
      <c r="GK41" s="50" t="str">
        <f t="shared" si="136"/>
        <v/>
      </c>
      <c r="GL41" s="50">
        <f>Participantes!EA40</f>
        <v>0</v>
      </c>
      <c r="GM41" s="50">
        <f>Participantes!EB40</f>
        <v>0</v>
      </c>
      <c r="GN41" s="50" t="str">
        <f t="shared" si="137"/>
        <v/>
      </c>
      <c r="GO41" s="50">
        <f>Participantes!EC40</f>
        <v>0</v>
      </c>
      <c r="GP41" s="50">
        <f>Participantes!ED40</f>
        <v>0</v>
      </c>
      <c r="GQ41" s="50" t="str">
        <f t="shared" si="138"/>
        <v/>
      </c>
      <c r="GR41" s="50">
        <f>Participantes!EE40</f>
        <v>0</v>
      </c>
      <c r="GS41" s="50">
        <f>Participantes!EF40</f>
        <v>0</v>
      </c>
      <c r="GT41" s="50" t="str">
        <f t="shared" si="139"/>
        <v/>
      </c>
      <c r="GU41" s="50">
        <f>Participantes!EG40</f>
        <v>0</v>
      </c>
      <c r="GV41" s="50">
        <f>Participantes!EH40</f>
        <v>0</v>
      </c>
      <c r="GW41" s="50" t="str">
        <f t="shared" si="140"/>
        <v/>
      </c>
      <c r="GX41" s="50">
        <f>Participantes!EI40</f>
        <v>0</v>
      </c>
      <c r="GY41" s="50">
        <f>Participantes!EJ40</f>
        <v>0</v>
      </c>
      <c r="GZ41" s="50" t="str">
        <f t="shared" si="141"/>
        <v/>
      </c>
      <c r="HA41" s="50">
        <f>Participantes!EK40</f>
        <v>0</v>
      </c>
      <c r="HB41" s="50">
        <f>Participantes!EL40</f>
        <v>0</v>
      </c>
      <c r="HC41" s="50" t="str">
        <f t="shared" si="142"/>
        <v/>
      </c>
      <c r="HD41" s="50">
        <f>Participantes!EM40</f>
        <v>0</v>
      </c>
      <c r="HE41" s="50">
        <f>Participantes!EN40</f>
        <v>0</v>
      </c>
      <c r="HF41" s="50" t="str">
        <f t="shared" si="143"/>
        <v/>
      </c>
      <c r="HG41" s="50">
        <f>Participantes!EO40</f>
        <v>0</v>
      </c>
      <c r="HH41" s="50">
        <f>Participantes!EP40</f>
        <v>0</v>
      </c>
      <c r="HI41" s="50" t="str">
        <f t="shared" si="144"/>
        <v/>
      </c>
      <c r="HJ41" s="51">
        <f t="shared" si="145"/>
        <v>1</v>
      </c>
    </row>
    <row r="42" spans="1:218" ht="15" customHeight="1" x14ac:dyDescent="0.25">
      <c r="A42" s="49" t="str">
        <f>Participantes!B41</f>
        <v>Nefreteri</v>
      </c>
      <c r="B42" s="50">
        <f>Participantes!C41</f>
        <v>1</v>
      </c>
      <c r="C42" s="50">
        <f>Participantes!D41</f>
        <v>2</v>
      </c>
      <c r="D42" s="50">
        <f t="shared" si="73"/>
        <v>0</v>
      </c>
      <c r="E42" s="50">
        <f>Participantes!E41</f>
        <v>3</v>
      </c>
      <c r="F42" s="50">
        <f>Participantes!F41</f>
        <v>0</v>
      </c>
      <c r="G42" s="50">
        <f t="shared" si="74"/>
        <v>1</v>
      </c>
      <c r="H42" s="50">
        <f>Participantes!G41</f>
        <v>2</v>
      </c>
      <c r="I42" s="50">
        <f>Participantes!H41</f>
        <v>0</v>
      </c>
      <c r="J42" s="50" t="str">
        <f t="shared" si="75"/>
        <v/>
      </c>
      <c r="K42" s="50">
        <f>Participantes!I41</f>
        <v>1</v>
      </c>
      <c r="L42" s="50">
        <f>Participantes!J41</f>
        <v>2</v>
      </c>
      <c r="M42" s="50" t="str">
        <f t="shared" si="76"/>
        <v/>
      </c>
      <c r="N42" s="50">
        <f>Participantes!K41</f>
        <v>0</v>
      </c>
      <c r="O42" s="50">
        <f>Participantes!L41</f>
        <v>1</v>
      </c>
      <c r="P42" s="50" t="str">
        <f t="shared" si="77"/>
        <v/>
      </c>
      <c r="Q42" s="50">
        <f>Participantes!M41</f>
        <v>2</v>
      </c>
      <c r="R42" s="50">
        <f>Participantes!N41</f>
        <v>2</v>
      </c>
      <c r="S42" s="50" t="str">
        <f t="shared" si="78"/>
        <v/>
      </c>
      <c r="T42" s="50">
        <f>Participantes!O41</f>
        <v>1</v>
      </c>
      <c r="U42" s="50">
        <f>Participantes!P41</f>
        <v>1</v>
      </c>
      <c r="V42" s="50" t="str">
        <f t="shared" si="79"/>
        <v/>
      </c>
      <c r="W42" s="50">
        <f>Participantes!Q41</f>
        <v>0</v>
      </c>
      <c r="X42" s="50">
        <f>Participantes!R41</f>
        <v>2</v>
      </c>
      <c r="Y42" s="50" t="str">
        <f t="shared" si="80"/>
        <v/>
      </c>
      <c r="Z42" s="50">
        <f>Participantes!S41</f>
        <v>2</v>
      </c>
      <c r="AA42" s="50">
        <f>Participantes!T41</f>
        <v>1</v>
      </c>
      <c r="AB42" s="50" t="str">
        <f t="shared" si="81"/>
        <v/>
      </c>
      <c r="AC42" s="50">
        <f>Participantes!U41</f>
        <v>3</v>
      </c>
      <c r="AD42" s="50">
        <f>Participantes!V41</f>
        <v>0</v>
      </c>
      <c r="AE42" s="50" t="str">
        <f t="shared" si="82"/>
        <v/>
      </c>
      <c r="AF42" s="50">
        <f>Participantes!W41</f>
        <v>2</v>
      </c>
      <c r="AG42" s="50">
        <f>Participantes!X41</f>
        <v>1</v>
      </c>
      <c r="AH42" s="50" t="str">
        <f t="shared" si="83"/>
        <v/>
      </c>
      <c r="AI42" s="50">
        <f>Participantes!Y41</f>
        <v>2</v>
      </c>
      <c r="AJ42" s="50">
        <f>Participantes!Z41</f>
        <v>0</v>
      </c>
      <c r="AK42" s="50" t="str">
        <f t="shared" si="84"/>
        <v/>
      </c>
      <c r="AL42" s="50">
        <f>Participantes!AA41</f>
        <v>1</v>
      </c>
      <c r="AM42" s="50">
        <f>Participantes!AB41</f>
        <v>3</v>
      </c>
      <c r="AN42" s="50" t="str">
        <f t="shared" si="85"/>
        <v/>
      </c>
      <c r="AO42" s="50">
        <f>Participantes!AC41</f>
        <v>3</v>
      </c>
      <c r="AP42" s="50">
        <f>Participantes!AD41</f>
        <v>0</v>
      </c>
      <c r="AQ42" s="50" t="str">
        <f t="shared" si="86"/>
        <v/>
      </c>
      <c r="AR42" s="50">
        <f>Participantes!AE41</f>
        <v>0</v>
      </c>
      <c r="AS42" s="50">
        <f>Participantes!AF41</f>
        <v>0</v>
      </c>
      <c r="AT42" s="50" t="str">
        <f t="shared" si="87"/>
        <v/>
      </c>
      <c r="AU42" s="50">
        <f>Participantes!AG41</f>
        <v>0</v>
      </c>
      <c r="AV42" s="50">
        <f>Participantes!AH41</f>
        <v>0</v>
      </c>
      <c r="AW42" s="50" t="str">
        <f t="shared" si="88"/>
        <v/>
      </c>
      <c r="AX42" s="50">
        <f>Participantes!AI41</f>
        <v>0</v>
      </c>
      <c r="AY42" s="50">
        <f>Participantes!AJ41</f>
        <v>0</v>
      </c>
      <c r="AZ42" s="50" t="str">
        <f t="shared" si="89"/>
        <v/>
      </c>
      <c r="BA42" s="50">
        <f>Participantes!AK41</f>
        <v>0</v>
      </c>
      <c r="BB42" s="50">
        <f>Participantes!AL41</f>
        <v>0</v>
      </c>
      <c r="BC42" s="50" t="str">
        <f t="shared" si="90"/>
        <v/>
      </c>
      <c r="BD42" s="50">
        <f>Participantes!AM41</f>
        <v>0</v>
      </c>
      <c r="BE42" s="50">
        <f>Participantes!AN41</f>
        <v>0</v>
      </c>
      <c r="BF42" s="50" t="str">
        <f t="shared" si="91"/>
        <v/>
      </c>
      <c r="BG42" s="50">
        <f>Participantes!AO41</f>
        <v>0</v>
      </c>
      <c r="BH42" s="50">
        <f>Participantes!AP41</f>
        <v>0</v>
      </c>
      <c r="BI42" s="50" t="str">
        <f t="shared" si="92"/>
        <v/>
      </c>
      <c r="BJ42" s="50">
        <f>Participantes!AQ41</f>
        <v>0</v>
      </c>
      <c r="BK42" s="50">
        <f>Participantes!AR41</f>
        <v>0</v>
      </c>
      <c r="BL42" s="50" t="str">
        <f t="shared" si="93"/>
        <v/>
      </c>
      <c r="BM42" s="50">
        <f>Participantes!AS41</f>
        <v>0</v>
      </c>
      <c r="BN42" s="50">
        <f>Participantes!AT41</f>
        <v>0</v>
      </c>
      <c r="BO42" s="50" t="str">
        <f t="shared" si="94"/>
        <v/>
      </c>
      <c r="BP42" s="50">
        <f>Participantes!AU41</f>
        <v>0</v>
      </c>
      <c r="BQ42" s="50">
        <f>Participantes!AV41</f>
        <v>0</v>
      </c>
      <c r="BR42" s="50" t="str">
        <f t="shared" si="95"/>
        <v/>
      </c>
      <c r="BS42" s="50">
        <f>Participantes!AW41</f>
        <v>0</v>
      </c>
      <c r="BT42" s="50">
        <f>Participantes!AX41</f>
        <v>0</v>
      </c>
      <c r="BU42" s="50" t="str">
        <f t="shared" si="96"/>
        <v/>
      </c>
      <c r="BV42" s="50">
        <f>Participantes!AY41</f>
        <v>0</v>
      </c>
      <c r="BW42" s="50">
        <f>Participantes!AZ41</f>
        <v>0</v>
      </c>
      <c r="BX42" s="50" t="str">
        <f t="shared" si="97"/>
        <v/>
      </c>
      <c r="BY42" s="50">
        <f>Participantes!BA41</f>
        <v>0</v>
      </c>
      <c r="BZ42" s="50">
        <f>Participantes!BB41</f>
        <v>0</v>
      </c>
      <c r="CA42" s="50" t="str">
        <f t="shared" si="98"/>
        <v/>
      </c>
      <c r="CB42" s="50">
        <f>Participantes!BC41</f>
        <v>0</v>
      </c>
      <c r="CC42" s="50">
        <f>Participantes!BD41</f>
        <v>0</v>
      </c>
      <c r="CD42" s="50" t="str">
        <f t="shared" si="99"/>
        <v/>
      </c>
      <c r="CE42" s="50">
        <f>Participantes!BE41</f>
        <v>0</v>
      </c>
      <c r="CF42" s="50">
        <f>Participantes!BF41</f>
        <v>0</v>
      </c>
      <c r="CG42" s="50" t="str">
        <f t="shared" si="100"/>
        <v/>
      </c>
      <c r="CH42" s="50">
        <f>Participantes!BG41</f>
        <v>0</v>
      </c>
      <c r="CI42" s="50">
        <f>Participantes!BH41</f>
        <v>0</v>
      </c>
      <c r="CJ42" s="50" t="str">
        <f t="shared" si="101"/>
        <v/>
      </c>
      <c r="CK42" s="50">
        <f>Participantes!BI41</f>
        <v>0</v>
      </c>
      <c r="CL42" s="50">
        <f>Participantes!BJ41</f>
        <v>0</v>
      </c>
      <c r="CM42" s="50" t="str">
        <f t="shared" si="102"/>
        <v/>
      </c>
      <c r="CN42" s="50">
        <f>Participantes!BK41</f>
        <v>0</v>
      </c>
      <c r="CO42" s="50">
        <f>Participantes!BL41</f>
        <v>0</v>
      </c>
      <c r="CP42" s="50" t="str">
        <f t="shared" si="103"/>
        <v/>
      </c>
      <c r="CQ42" s="50">
        <f>Participantes!BM41</f>
        <v>0</v>
      </c>
      <c r="CR42" s="50">
        <f>Participantes!BN41</f>
        <v>0</v>
      </c>
      <c r="CS42" s="50" t="str">
        <f t="shared" si="104"/>
        <v/>
      </c>
      <c r="CT42" s="50">
        <f>Participantes!BO41</f>
        <v>0</v>
      </c>
      <c r="CU42" s="50">
        <f>Participantes!BP41</f>
        <v>0</v>
      </c>
      <c r="CV42" s="50" t="str">
        <f t="shared" si="105"/>
        <v/>
      </c>
      <c r="CW42" s="50">
        <f>Participantes!BQ41</f>
        <v>0</v>
      </c>
      <c r="CX42" s="50">
        <f>Participantes!BR41</f>
        <v>0</v>
      </c>
      <c r="CY42" s="50" t="str">
        <f t="shared" si="106"/>
        <v/>
      </c>
      <c r="CZ42" s="50">
        <f>Participantes!BS41</f>
        <v>0</v>
      </c>
      <c r="DA42" s="50">
        <f>Participantes!BT41</f>
        <v>0</v>
      </c>
      <c r="DB42" s="50" t="str">
        <f t="shared" si="107"/>
        <v/>
      </c>
      <c r="DC42" s="50">
        <f>Participantes!BU41</f>
        <v>0</v>
      </c>
      <c r="DD42" s="50">
        <f>Participantes!BV41</f>
        <v>0</v>
      </c>
      <c r="DE42" s="50" t="str">
        <f t="shared" si="108"/>
        <v/>
      </c>
      <c r="DF42" s="50">
        <f>Participantes!BW41</f>
        <v>0</v>
      </c>
      <c r="DG42" s="50">
        <f>Participantes!BX41</f>
        <v>0</v>
      </c>
      <c r="DH42" s="50" t="str">
        <f t="shared" si="109"/>
        <v/>
      </c>
      <c r="DI42" s="50">
        <f>Participantes!BY41</f>
        <v>0</v>
      </c>
      <c r="DJ42" s="50">
        <f>Participantes!BZ41</f>
        <v>0</v>
      </c>
      <c r="DK42" s="50" t="str">
        <f t="shared" si="110"/>
        <v/>
      </c>
      <c r="DL42" s="50">
        <f>Participantes!CA41</f>
        <v>0</v>
      </c>
      <c r="DM42" s="50">
        <f>Participantes!CB41</f>
        <v>0</v>
      </c>
      <c r="DN42" s="50" t="str">
        <f t="shared" si="111"/>
        <v/>
      </c>
      <c r="DO42" s="50">
        <f>Participantes!CC41</f>
        <v>0</v>
      </c>
      <c r="DP42" s="50">
        <f>Participantes!CD41</f>
        <v>0</v>
      </c>
      <c r="DQ42" s="50" t="str">
        <f t="shared" si="112"/>
        <v/>
      </c>
      <c r="DR42" s="50">
        <f>Participantes!CE41</f>
        <v>0</v>
      </c>
      <c r="DS42" s="50">
        <f>Participantes!CF41</f>
        <v>0</v>
      </c>
      <c r="DT42" s="50" t="str">
        <f t="shared" si="113"/>
        <v/>
      </c>
      <c r="DU42" s="50">
        <f>Participantes!CG41</f>
        <v>0</v>
      </c>
      <c r="DV42" s="50">
        <f>Participantes!CH41</f>
        <v>0</v>
      </c>
      <c r="DW42" s="50" t="str">
        <f t="shared" si="114"/>
        <v/>
      </c>
      <c r="DX42" s="50">
        <f>Participantes!CI41</f>
        <v>0</v>
      </c>
      <c r="DY42" s="50">
        <f>Participantes!CJ41</f>
        <v>0</v>
      </c>
      <c r="DZ42" s="50" t="str">
        <f t="shared" si="115"/>
        <v/>
      </c>
      <c r="EA42" s="50">
        <f>Participantes!CK41</f>
        <v>0</v>
      </c>
      <c r="EB42" s="50">
        <f>Participantes!CL41</f>
        <v>0</v>
      </c>
      <c r="EC42" s="50" t="str">
        <f t="shared" si="116"/>
        <v/>
      </c>
      <c r="ED42" s="50">
        <f>Participantes!CM41</f>
        <v>0</v>
      </c>
      <c r="EE42" s="50">
        <f>Participantes!CN41</f>
        <v>0</v>
      </c>
      <c r="EF42" s="50" t="str">
        <f t="shared" si="117"/>
        <v/>
      </c>
      <c r="EG42" s="50">
        <f>Participantes!CO41</f>
        <v>0</v>
      </c>
      <c r="EH42" s="50">
        <f>Participantes!CP41</f>
        <v>0</v>
      </c>
      <c r="EI42" s="50" t="str">
        <f t="shared" si="118"/>
        <v/>
      </c>
      <c r="EJ42" s="50">
        <f>Participantes!CQ41</f>
        <v>0</v>
      </c>
      <c r="EK42" s="50">
        <f>Participantes!CR41</f>
        <v>0</v>
      </c>
      <c r="EL42" s="50" t="str">
        <f t="shared" si="119"/>
        <v/>
      </c>
      <c r="EM42" s="50">
        <f>Participantes!CS41</f>
        <v>0</v>
      </c>
      <c r="EN42" s="50">
        <f>Participantes!CT41</f>
        <v>0</v>
      </c>
      <c r="EO42" s="50" t="str">
        <f t="shared" si="120"/>
        <v/>
      </c>
      <c r="EP42" s="50">
        <f>Participantes!CU41</f>
        <v>0</v>
      </c>
      <c r="EQ42" s="50">
        <f>Participantes!CV41</f>
        <v>0</v>
      </c>
      <c r="ER42" s="50" t="str">
        <f t="shared" si="121"/>
        <v/>
      </c>
      <c r="ES42" s="50">
        <f>Participantes!CW41</f>
        <v>0</v>
      </c>
      <c r="ET42" s="50">
        <f>Participantes!CX41</f>
        <v>0</v>
      </c>
      <c r="EU42" s="50" t="str">
        <f t="shared" si="122"/>
        <v/>
      </c>
      <c r="EV42" s="50">
        <f>Participantes!CY41</f>
        <v>0</v>
      </c>
      <c r="EW42" s="50">
        <f>Participantes!CZ41</f>
        <v>0</v>
      </c>
      <c r="EX42" s="50" t="str">
        <f t="shared" si="123"/>
        <v/>
      </c>
      <c r="EY42" s="50">
        <f>Participantes!DA41</f>
        <v>0</v>
      </c>
      <c r="EZ42" s="50">
        <f>Participantes!DB41</f>
        <v>0</v>
      </c>
      <c r="FA42" s="50" t="str">
        <f t="shared" si="124"/>
        <v/>
      </c>
      <c r="FB42" s="50">
        <f>Participantes!DC41</f>
        <v>0</v>
      </c>
      <c r="FC42" s="50">
        <f>Participantes!DD41</f>
        <v>0</v>
      </c>
      <c r="FD42" s="50" t="str">
        <f t="shared" si="125"/>
        <v/>
      </c>
      <c r="FE42" s="50">
        <f>Participantes!DE41</f>
        <v>0</v>
      </c>
      <c r="FF42" s="50">
        <f>Participantes!DF41</f>
        <v>0</v>
      </c>
      <c r="FG42" s="50" t="str">
        <f t="shared" si="126"/>
        <v/>
      </c>
      <c r="FH42" s="50">
        <f>Participantes!DG41</f>
        <v>0</v>
      </c>
      <c r="FI42" s="50">
        <f>Participantes!DH41</f>
        <v>0</v>
      </c>
      <c r="FJ42" s="50" t="str">
        <f t="shared" si="127"/>
        <v/>
      </c>
      <c r="FK42" s="50">
        <f>Participantes!DI41</f>
        <v>0</v>
      </c>
      <c r="FL42" s="50">
        <f>Participantes!DJ41</f>
        <v>0</v>
      </c>
      <c r="FM42" s="50" t="str">
        <f t="shared" si="128"/>
        <v/>
      </c>
      <c r="FN42" s="50">
        <f>Participantes!DK41</f>
        <v>0</v>
      </c>
      <c r="FO42" s="50">
        <f>Participantes!DL41</f>
        <v>0</v>
      </c>
      <c r="FP42" s="50" t="str">
        <f t="shared" si="129"/>
        <v/>
      </c>
      <c r="FQ42" s="50">
        <f>Participantes!DM41</f>
        <v>0</v>
      </c>
      <c r="FR42" s="50">
        <f>Participantes!DN41</f>
        <v>0</v>
      </c>
      <c r="FS42" s="50" t="str">
        <f t="shared" si="130"/>
        <v/>
      </c>
      <c r="FT42" s="50">
        <f>Participantes!DO41</f>
        <v>0</v>
      </c>
      <c r="FU42" s="50">
        <f>Participantes!DP41</f>
        <v>0</v>
      </c>
      <c r="FV42" s="50" t="str">
        <f t="shared" si="131"/>
        <v/>
      </c>
      <c r="FW42" s="50">
        <f>Participantes!DQ41</f>
        <v>0</v>
      </c>
      <c r="FX42" s="50">
        <f>Participantes!DR41</f>
        <v>0</v>
      </c>
      <c r="FY42" s="50" t="str">
        <f t="shared" si="132"/>
        <v/>
      </c>
      <c r="FZ42" s="50">
        <f>Participantes!DS41</f>
        <v>0</v>
      </c>
      <c r="GA42" s="50">
        <f>Participantes!DT41</f>
        <v>0</v>
      </c>
      <c r="GB42" s="50" t="str">
        <f t="shared" si="133"/>
        <v/>
      </c>
      <c r="GC42" s="50">
        <f>Participantes!DU41</f>
        <v>0</v>
      </c>
      <c r="GD42" s="50">
        <f>Participantes!DV41</f>
        <v>0</v>
      </c>
      <c r="GE42" s="50" t="str">
        <f t="shared" si="134"/>
        <v/>
      </c>
      <c r="GF42" s="50">
        <f>Participantes!DW41</f>
        <v>0</v>
      </c>
      <c r="GG42" s="50">
        <f>Participantes!DX41</f>
        <v>0</v>
      </c>
      <c r="GH42" s="50" t="str">
        <f t="shared" si="135"/>
        <v/>
      </c>
      <c r="GI42" s="50">
        <f>Participantes!DY41</f>
        <v>0</v>
      </c>
      <c r="GJ42" s="50">
        <f>Participantes!DZ41</f>
        <v>0</v>
      </c>
      <c r="GK42" s="50" t="str">
        <f t="shared" si="136"/>
        <v/>
      </c>
      <c r="GL42" s="50">
        <f>Participantes!EA41</f>
        <v>0</v>
      </c>
      <c r="GM42" s="50">
        <f>Participantes!EB41</f>
        <v>0</v>
      </c>
      <c r="GN42" s="50" t="str">
        <f t="shared" si="137"/>
        <v/>
      </c>
      <c r="GO42" s="50">
        <f>Participantes!EC41</f>
        <v>0</v>
      </c>
      <c r="GP42" s="50">
        <f>Participantes!ED41</f>
        <v>0</v>
      </c>
      <c r="GQ42" s="50" t="str">
        <f t="shared" si="138"/>
        <v/>
      </c>
      <c r="GR42" s="50">
        <f>Participantes!EE41</f>
        <v>0</v>
      </c>
      <c r="GS42" s="50">
        <f>Participantes!EF41</f>
        <v>0</v>
      </c>
      <c r="GT42" s="50" t="str">
        <f t="shared" si="139"/>
        <v/>
      </c>
      <c r="GU42" s="50">
        <f>Participantes!EG41</f>
        <v>0</v>
      </c>
      <c r="GV42" s="50">
        <f>Participantes!EH41</f>
        <v>0</v>
      </c>
      <c r="GW42" s="50" t="str">
        <f t="shared" si="140"/>
        <v/>
      </c>
      <c r="GX42" s="50">
        <f>Participantes!EI41</f>
        <v>0</v>
      </c>
      <c r="GY42" s="50">
        <f>Participantes!EJ41</f>
        <v>0</v>
      </c>
      <c r="GZ42" s="50" t="str">
        <f t="shared" si="141"/>
        <v/>
      </c>
      <c r="HA42" s="50">
        <f>Participantes!EK41</f>
        <v>0</v>
      </c>
      <c r="HB42" s="50">
        <f>Participantes!EL41</f>
        <v>0</v>
      </c>
      <c r="HC42" s="50" t="str">
        <f t="shared" si="142"/>
        <v/>
      </c>
      <c r="HD42" s="50">
        <f>Participantes!EM41</f>
        <v>0</v>
      </c>
      <c r="HE42" s="50">
        <f>Participantes!EN41</f>
        <v>0</v>
      </c>
      <c r="HF42" s="50" t="str">
        <f t="shared" si="143"/>
        <v/>
      </c>
      <c r="HG42" s="50">
        <f>Participantes!EO41</f>
        <v>0</v>
      </c>
      <c r="HH42" s="50">
        <f>Participantes!EP41</f>
        <v>0</v>
      </c>
      <c r="HI42" s="50" t="str">
        <f t="shared" si="144"/>
        <v/>
      </c>
      <c r="HJ42" s="51">
        <f t="shared" si="145"/>
        <v>1</v>
      </c>
    </row>
    <row r="43" spans="1:218" ht="15" customHeight="1" x14ac:dyDescent="0.25">
      <c r="A43" s="49" t="str">
        <f>Participantes!B42</f>
        <v>Ninoshka</v>
      </c>
      <c r="B43" s="50">
        <f>Participantes!C42</f>
        <v>2</v>
      </c>
      <c r="C43" s="50">
        <f>Participantes!D42</f>
        <v>1</v>
      </c>
      <c r="D43" s="50">
        <f t="shared" si="73"/>
        <v>1</v>
      </c>
      <c r="E43" s="50">
        <f>Participantes!E42</f>
        <v>1</v>
      </c>
      <c r="F43" s="50">
        <f>Participantes!F42</f>
        <v>1</v>
      </c>
      <c r="G43" s="50">
        <f t="shared" si="74"/>
        <v>0</v>
      </c>
      <c r="H43" s="50">
        <f>Participantes!G42</f>
        <v>2</v>
      </c>
      <c r="I43" s="50">
        <f>Participantes!H42</f>
        <v>0</v>
      </c>
      <c r="J43" s="50" t="str">
        <f t="shared" si="75"/>
        <v/>
      </c>
      <c r="K43" s="50">
        <f>Participantes!I42</f>
        <v>1</v>
      </c>
      <c r="L43" s="50">
        <f>Participantes!J42</f>
        <v>2</v>
      </c>
      <c r="M43" s="50" t="str">
        <f t="shared" si="76"/>
        <v/>
      </c>
      <c r="N43" s="50">
        <f>Participantes!K42</f>
        <v>0</v>
      </c>
      <c r="O43" s="50">
        <f>Participantes!L42</f>
        <v>2</v>
      </c>
      <c r="P43" s="50" t="str">
        <f t="shared" si="77"/>
        <v/>
      </c>
      <c r="Q43" s="50">
        <f>Participantes!M42</f>
        <v>1</v>
      </c>
      <c r="R43" s="50">
        <f>Participantes!N42</f>
        <v>2</v>
      </c>
      <c r="S43" s="50" t="str">
        <f t="shared" si="78"/>
        <v/>
      </c>
      <c r="T43" s="50">
        <f>Participantes!O42</f>
        <v>3</v>
      </c>
      <c r="U43" s="50">
        <f>Participantes!P42</f>
        <v>1</v>
      </c>
      <c r="V43" s="50" t="str">
        <f t="shared" si="79"/>
        <v/>
      </c>
      <c r="W43" s="50">
        <f>Participantes!Q42</f>
        <v>0</v>
      </c>
      <c r="X43" s="50">
        <f>Participantes!R42</f>
        <v>2</v>
      </c>
      <c r="Y43" s="50" t="str">
        <f t="shared" si="80"/>
        <v/>
      </c>
      <c r="Z43" s="50">
        <f>Participantes!S42</f>
        <v>1</v>
      </c>
      <c r="AA43" s="50">
        <f>Participantes!T42</f>
        <v>1</v>
      </c>
      <c r="AB43" s="50" t="str">
        <f t="shared" si="81"/>
        <v/>
      </c>
      <c r="AC43" s="50">
        <f>Participantes!U42</f>
        <v>4</v>
      </c>
      <c r="AD43" s="50">
        <f>Participantes!V42</f>
        <v>0</v>
      </c>
      <c r="AE43" s="50" t="str">
        <f t="shared" si="82"/>
        <v/>
      </c>
      <c r="AF43" s="50">
        <f>Participantes!W42</f>
        <v>2</v>
      </c>
      <c r="AG43" s="50">
        <f>Participantes!X42</f>
        <v>1</v>
      </c>
      <c r="AH43" s="50" t="str">
        <f t="shared" si="83"/>
        <v/>
      </c>
      <c r="AI43" s="50">
        <f>Participantes!Y42</f>
        <v>2</v>
      </c>
      <c r="AJ43" s="50">
        <f>Participantes!Z42</f>
        <v>0</v>
      </c>
      <c r="AK43" s="50" t="str">
        <f t="shared" si="84"/>
        <v/>
      </c>
      <c r="AL43" s="50">
        <f>Participantes!AA42</f>
        <v>0</v>
      </c>
      <c r="AM43" s="50">
        <f>Participantes!AB42</f>
        <v>2</v>
      </c>
      <c r="AN43" s="50" t="str">
        <f t="shared" si="85"/>
        <v/>
      </c>
      <c r="AO43" s="50">
        <f>Participantes!AC42</f>
        <v>3</v>
      </c>
      <c r="AP43" s="50">
        <f>Participantes!AD42</f>
        <v>0</v>
      </c>
      <c r="AQ43" s="50" t="str">
        <f t="shared" si="86"/>
        <v/>
      </c>
      <c r="AR43" s="50">
        <f>Participantes!AE42</f>
        <v>0</v>
      </c>
      <c r="AS43" s="50">
        <f>Participantes!AF42</f>
        <v>0</v>
      </c>
      <c r="AT43" s="50" t="str">
        <f t="shared" si="87"/>
        <v/>
      </c>
      <c r="AU43" s="50">
        <f>Participantes!AG42</f>
        <v>0</v>
      </c>
      <c r="AV43" s="50">
        <f>Participantes!AH42</f>
        <v>0</v>
      </c>
      <c r="AW43" s="50" t="str">
        <f t="shared" si="88"/>
        <v/>
      </c>
      <c r="AX43" s="50">
        <f>Participantes!AI42</f>
        <v>0</v>
      </c>
      <c r="AY43" s="50">
        <f>Participantes!AJ42</f>
        <v>0</v>
      </c>
      <c r="AZ43" s="50" t="str">
        <f t="shared" si="89"/>
        <v/>
      </c>
      <c r="BA43" s="50">
        <f>Participantes!AK42</f>
        <v>0</v>
      </c>
      <c r="BB43" s="50">
        <f>Participantes!AL42</f>
        <v>0</v>
      </c>
      <c r="BC43" s="50" t="str">
        <f t="shared" si="90"/>
        <v/>
      </c>
      <c r="BD43" s="50">
        <f>Participantes!AM42</f>
        <v>0</v>
      </c>
      <c r="BE43" s="50">
        <f>Participantes!AN42</f>
        <v>0</v>
      </c>
      <c r="BF43" s="50" t="str">
        <f t="shared" si="91"/>
        <v/>
      </c>
      <c r="BG43" s="50">
        <f>Participantes!AO42</f>
        <v>0</v>
      </c>
      <c r="BH43" s="50">
        <f>Participantes!AP42</f>
        <v>0</v>
      </c>
      <c r="BI43" s="50" t="str">
        <f t="shared" si="92"/>
        <v/>
      </c>
      <c r="BJ43" s="50">
        <f>Participantes!AQ42</f>
        <v>0</v>
      </c>
      <c r="BK43" s="50">
        <f>Participantes!AR42</f>
        <v>0</v>
      </c>
      <c r="BL43" s="50" t="str">
        <f t="shared" si="93"/>
        <v/>
      </c>
      <c r="BM43" s="50">
        <f>Participantes!AS42</f>
        <v>0</v>
      </c>
      <c r="BN43" s="50">
        <f>Participantes!AT42</f>
        <v>0</v>
      </c>
      <c r="BO43" s="50" t="str">
        <f t="shared" si="94"/>
        <v/>
      </c>
      <c r="BP43" s="50">
        <f>Participantes!AU42</f>
        <v>0</v>
      </c>
      <c r="BQ43" s="50">
        <f>Participantes!AV42</f>
        <v>0</v>
      </c>
      <c r="BR43" s="50" t="str">
        <f t="shared" si="95"/>
        <v/>
      </c>
      <c r="BS43" s="50">
        <f>Participantes!AW42</f>
        <v>0</v>
      </c>
      <c r="BT43" s="50">
        <f>Participantes!AX42</f>
        <v>0</v>
      </c>
      <c r="BU43" s="50" t="str">
        <f t="shared" si="96"/>
        <v/>
      </c>
      <c r="BV43" s="50">
        <f>Participantes!AY42</f>
        <v>0</v>
      </c>
      <c r="BW43" s="50">
        <f>Participantes!AZ42</f>
        <v>0</v>
      </c>
      <c r="BX43" s="50" t="str">
        <f t="shared" si="97"/>
        <v/>
      </c>
      <c r="BY43" s="50">
        <f>Participantes!BA42</f>
        <v>0</v>
      </c>
      <c r="BZ43" s="50">
        <f>Participantes!BB42</f>
        <v>0</v>
      </c>
      <c r="CA43" s="50" t="str">
        <f t="shared" si="98"/>
        <v/>
      </c>
      <c r="CB43" s="50">
        <f>Participantes!BC42</f>
        <v>0</v>
      </c>
      <c r="CC43" s="50">
        <f>Participantes!BD42</f>
        <v>0</v>
      </c>
      <c r="CD43" s="50" t="str">
        <f t="shared" si="99"/>
        <v/>
      </c>
      <c r="CE43" s="50">
        <f>Participantes!BE42</f>
        <v>0</v>
      </c>
      <c r="CF43" s="50">
        <f>Participantes!BF42</f>
        <v>0</v>
      </c>
      <c r="CG43" s="50" t="str">
        <f t="shared" si="100"/>
        <v/>
      </c>
      <c r="CH43" s="50">
        <f>Participantes!BG42</f>
        <v>0</v>
      </c>
      <c r="CI43" s="50">
        <f>Participantes!BH42</f>
        <v>0</v>
      </c>
      <c r="CJ43" s="50" t="str">
        <f t="shared" si="101"/>
        <v/>
      </c>
      <c r="CK43" s="50">
        <f>Participantes!BI42</f>
        <v>0</v>
      </c>
      <c r="CL43" s="50">
        <f>Participantes!BJ42</f>
        <v>0</v>
      </c>
      <c r="CM43" s="50" t="str">
        <f t="shared" si="102"/>
        <v/>
      </c>
      <c r="CN43" s="50">
        <f>Participantes!BK42</f>
        <v>0</v>
      </c>
      <c r="CO43" s="50">
        <f>Participantes!BL42</f>
        <v>0</v>
      </c>
      <c r="CP43" s="50" t="str">
        <f t="shared" si="103"/>
        <v/>
      </c>
      <c r="CQ43" s="50">
        <f>Participantes!BM42</f>
        <v>0</v>
      </c>
      <c r="CR43" s="50">
        <f>Participantes!BN42</f>
        <v>0</v>
      </c>
      <c r="CS43" s="50" t="str">
        <f t="shared" si="104"/>
        <v/>
      </c>
      <c r="CT43" s="50">
        <f>Participantes!BO42</f>
        <v>0</v>
      </c>
      <c r="CU43" s="50">
        <f>Participantes!BP42</f>
        <v>0</v>
      </c>
      <c r="CV43" s="50" t="str">
        <f t="shared" si="105"/>
        <v/>
      </c>
      <c r="CW43" s="50">
        <f>Participantes!BQ42</f>
        <v>0</v>
      </c>
      <c r="CX43" s="50">
        <f>Participantes!BR42</f>
        <v>0</v>
      </c>
      <c r="CY43" s="50" t="str">
        <f t="shared" si="106"/>
        <v/>
      </c>
      <c r="CZ43" s="50">
        <f>Participantes!BS42</f>
        <v>0</v>
      </c>
      <c r="DA43" s="50">
        <f>Participantes!BT42</f>
        <v>0</v>
      </c>
      <c r="DB43" s="50" t="str">
        <f t="shared" si="107"/>
        <v/>
      </c>
      <c r="DC43" s="50">
        <f>Participantes!BU42</f>
        <v>0</v>
      </c>
      <c r="DD43" s="50">
        <f>Participantes!BV42</f>
        <v>0</v>
      </c>
      <c r="DE43" s="50" t="str">
        <f t="shared" si="108"/>
        <v/>
      </c>
      <c r="DF43" s="50">
        <f>Participantes!BW42</f>
        <v>0</v>
      </c>
      <c r="DG43" s="50">
        <f>Participantes!BX42</f>
        <v>0</v>
      </c>
      <c r="DH43" s="50" t="str">
        <f t="shared" si="109"/>
        <v/>
      </c>
      <c r="DI43" s="50">
        <f>Participantes!BY42</f>
        <v>0</v>
      </c>
      <c r="DJ43" s="50">
        <f>Participantes!BZ42</f>
        <v>0</v>
      </c>
      <c r="DK43" s="50" t="str">
        <f t="shared" si="110"/>
        <v/>
      </c>
      <c r="DL43" s="50">
        <f>Participantes!CA42</f>
        <v>0</v>
      </c>
      <c r="DM43" s="50">
        <f>Participantes!CB42</f>
        <v>0</v>
      </c>
      <c r="DN43" s="50" t="str">
        <f t="shared" si="111"/>
        <v/>
      </c>
      <c r="DO43" s="50">
        <f>Participantes!CC42</f>
        <v>0</v>
      </c>
      <c r="DP43" s="50">
        <f>Participantes!CD42</f>
        <v>0</v>
      </c>
      <c r="DQ43" s="50" t="str">
        <f t="shared" si="112"/>
        <v/>
      </c>
      <c r="DR43" s="50">
        <f>Participantes!CE42</f>
        <v>0</v>
      </c>
      <c r="DS43" s="50">
        <f>Participantes!CF42</f>
        <v>0</v>
      </c>
      <c r="DT43" s="50" t="str">
        <f t="shared" si="113"/>
        <v/>
      </c>
      <c r="DU43" s="50">
        <f>Participantes!CG42</f>
        <v>0</v>
      </c>
      <c r="DV43" s="50">
        <f>Participantes!CH42</f>
        <v>0</v>
      </c>
      <c r="DW43" s="50" t="str">
        <f t="shared" si="114"/>
        <v/>
      </c>
      <c r="DX43" s="50">
        <f>Participantes!CI42</f>
        <v>0</v>
      </c>
      <c r="DY43" s="50">
        <f>Participantes!CJ42</f>
        <v>0</v>
      </c>
      <c r="DZ43" s="50" t="str">
        <f t="shared" si="115"/>
        <v/>
      </c>
      <c r="EA43" s="50">
        <f>Participantes!CK42</f>
        <v>0</v>
      </c>
      <c r="EB43" s="50">
        <f>Participantes!CL42</f>
        <v>0</v>
      </c>
      <c r="EC43" s="50" t="str">
        <f t="shared" si="116"/>
        <v/>
      </c>
      <c r="ED43" s="50">
        <f>Participantes!CM42</f>
        <v>0</v>
      </c>
      <c r="EE43" s="50">
        <f>Participantes!CN42</f>
        <v>0</v>
      </c>
      <c r="EF43" s="50" t="str">
        <f t="shared" si="117"/>
        <v/>
      </c>
      <c r="EG43" s="50">
        <f>Participantes!CO42</f>
        <v>0</v>
      </c>
      <c r="EH43" s="50">
        <f>Participantes!CP42</f>
        <v>0</v>
      </c>
      <c r="EI43" s="50" t="str">
        <f t="shared" si="118"/>
        <v/>
      </c>
      <c r="EJ43" s="50">
        <f>Participantes!CQ42</f>
        <v>0</v>
      </c>
      <c r="EK43" s="50">
        <f>Participantes!CR42</f>
        <v>0</v>
      </c>
      <c r="EL43" s="50" t="str">
        <f t="shared" si="119"/>
        <v/>
      </c>
      <c r="EM43" s="50">
        <f>Participantes!CS42</f>
        <v>0</v>
      </c>
      <c r="EN43" s="50">
        <f>Participantes!CT42</f>
        <v>0</v>
      </c>
      <c r="EO43" s="50" t="str">
        <f t="shared" si="120"/>
        <v/>
      </c>
      <c r="EP43" s="50">
        <f>Participantes!CU42</f>
        <v>0</v>
      </c>
      <c r="EQ43" s="50">
        <f>Participantes!CV42</f>
        <v>0</v>
      </c>
      <c r="ER43" s="50" t="str">
        <f t="shared" si="121"/>
        <v/>
      </c>
      <c r="ES43" s="50">
        <f>Participantes!CW42</f>
        <v>0</v>
      </c>
      <c r="ET43" s="50">
        <f>Participantes!CX42</f>
        <v>0</v>
      </c>
      <c r="EU43" s="50" t="str">
        <f t="shared" si="122"/>
        <v/>
      </c>
      <c r="EV43" s="50">
        <f>Participantes!CY42</f>
        <v>0</v>
      </c>
      <c r="EW43" s="50">
        <f>Participantes!CZ42</f>
        <v>0</v>
      </c>
      <c r="EX43" s="50" t="str">
        <f t="shared" si="123"/>
        <v/>
      </c>
      <c r="EY43" s="50">
        <f>Participantes!DA42</f>
        <v>0</v>
      </c>
      <c r="EZ43" s="50">
        <f>Participantes!DB42</f>
        <v>0</v>
      </c>
      <c r="FA43" s="50" t="str">
        <f t="shared" si="124"/>
        <v/>
      </c>
      <c r="FB43" s="50">
        <f>Participantes!DC42</f>
        <v>0</v>
      </c>
      <c r="FC43" s="50">
        <f>Participantes!DD42</f>
        <v>0</v>
      </c>
      <c r="FD43" s="50" t="str">
        <f t="shared" si="125"/>
        <v/>
      </c>
      <c r="FE43" s="50">
        <f>Participantes!DE42</f>
        <v>0</v>
      </c>
      <c r="FF43" s="50">
        <f>Participantes!DF42</f>
        <v>0</v>
      </c>
      <c r="FG43" s="50" t="str">
        <f t="shared" si="126"/>
        <v/>
      </c>
      <c r="FH43" s="50">
        <f>Participantes!DG42</f>
        <v>0</v>
      </c>
      <c r="FI43" s="50">
        <f>Participantes!DH42</f>
        <v>0</v>
      </c>
      <c r="FJ43" s="50" t="str">
        <f t="shared" si="127"/>
        <v/>
      </c>
      <c r="FK43" s="50">
        <f>Participantes!DI42</f>
        <v>0</v>
      </c>
      <c r="FL43" s="50">
        <f>Participantes!DJ42</f>
        <v>0</v>
      </c>
      <c r="FM43" s="50" t="str">
        <f t="shared" si="128"/>
        <v/>
      </c>
      <c r="FN43" s="50">
        <f>Participantes!DK42</f>
        <v>0</v>
      </c>
      <c r="FO43" s="50">
        <f>Participantes!DL42</f>
        <v>0</v>
      </c>
      <c r="FP43" s="50" t="str">
        <f t="shared" si="129"/>
        <v/>
      </c>
      <c r="FQ43" s="50">
        <f>Participantes!DM42</f>
        <v>0</v>
      </c>
      <c r="FR43" s="50">
        <f>Participantes!DN42</f>
        <v>0</v>
      </c>
      <c r="FS43" s="50" t="str">
        <f t="shared" si="130"/>
        <v/>
      </c>
      <c r="FT43" s="50">
        <f>Participantes!DO42</f>
        <v>0</v>
      </c>
      <c r="FU43" s="50">
        <f>Participantes!DP42</f>
        <v>0</v>
      </c>
      <c r="FV43" s="50" t="str">
        <f t="shared" si="131"/>
        <v/>
      </c>
      <c r="FW43" s="50">
        <f>Participantes!DQ42</f>
        <v>0</v>
      </c>
      <c r="FX43" s="50">
        <f>Participantes!DR42</f>
        <v>0</v>
      </c>
      <c r="FY43" s="50" t="str">
        <f t="shared" si="132"/>
        <v/>
      </c>
      <c r="FZ43" s="50">
        <f>Participantes!DS42</f>
        <v>0</v>
      </c>
      <c r="GA43" s="50">
        <f>Participantes!DT42</f>
        <v>0</v>
      </c>
      <c r="GB43" s="50" t="str">
        <f t="shared" si="133"/>
        <v/>
      </c>
      <c r="GC43" s="50">
        <f>Participantes!DU42</f>
        <v>0</v>
      </c>
      <c r="GD43" s="50">
        <f>Participantes!DV42</f>
        <v>0</v>
      </c>
      <c r="GE43" s="50" t="str">
        <f t="shared" si="134"/>
        <v/>
      </c>
      <c r="GF43" s="50">
        <f>Participantes!DW42</f>
        <v>0</v>
      </c>
      <c r="GG43" s="50">
        <f>Participantes!DX42</f>
        <v>0</v>
      </c>
      <c r="GH43" s="50" t="str">
        <f t="shared" si="135"/>
        <v/>
      </c>
      <c r="GI43" s="50">
        <f>Participantes!DY42</f>
        <v>0</v>
      </c>
      <c r="GJ43" s="50">
        <f>Participantes!DZ42</f>
        <v>0</v>
      </c>
      <c r="GK43" s="50" t="str">
        <f t="shared" si="136"/>
        <v/>
      </c>
      <c r="GL43" s="50">
        <f>Participantes!EA42</f>
        <v>0</v>
      </c>
      <c r="GM43" s="50">
        <f>Participantes!EB42</f>
        <v>0</v>
      </c>
      <c r="GN43" s="50" t="str">
        <f t="shared" si="137"/>
        <v/>
      </c>
      <c r="GO43" s="50">
        <f>Participantes!EC42</f>
        <v>0</v>
      </c>
      <c r="GP43" s="50">
        <f>Participantes!ED42</f>
        <v>0</v>
      </c>
      <c r="GQ43" s="50" t="str">
        <f t="shared" si="138"/>
        <v/>
      </c>
      <c r="GR43" s="50">
        <f>Participantes!EE42</f>
        <v>0</v>
      </c>
      <c r="GS43" s="50">
        <f>Participantes!EF42</f>
        <v>0</v>
      </c>
      <c r="GT43" s="50" t="str">
        <f t="shared" si="139"/>
        <v/>
      </c>
      <c r="GU43" s="50">
        <f>Participantes!EG42</f>
        <v>0</v>
      </c>
      <c r="GV43" s="50">
        <f>Participantes!EH42</f>
        <v>0</v>
      </c>
      <c r="GW43" s="50" t="str">
        <f t="shared" si="140"/>
        <v/>
      </c>
      <c r="GX43" s="50">
        <f>Participantes!EI42</f>
        <v>0</v>
      </c>
      <c r="GY43" s="50">
        <f>Participantes!EJ42</f>
        <v>0</v>
      </c>
      <c r="GZ43" s="50" t="str">
        <f t="shared" si="141"/>
        <v/>
      </c>
      <c r="HA43" s="50">
        <f>Participantes!EK42</f>
        <v>0</v>
      </c>
      <c r="HB43" s="50">
        <f>Participantes!EL42</f>
        <v>0</v>
      </c>
      <c r="HC43" s="50" t="str">
        <f t="shared" si="142"/>
        <v/>
      </c>
      <c r="HD43" s="50">
        <f>Participantes!EM42</f>
        <v>0</v>
      </c>
      <c r="HE43" s="50">
        <f>Participantes!EN42</f>
        <v>0</v>
      </c>
      <c r="HF43" s="50" t="str">
        <f t="shared" si="143"/>
        <v/>
      </c>
      <c r="HG43" s="50">
        <f>Participantes!EO42</f>
        <v>0</v>
      </c>
      <c r="HH43" s="50">
        <f>Participantes!EP42</f>
        <v>0</v>
      </c>
      <c r="HI43" s="50" t="str">
        <f t="shared" si="144"/>
        <v/>
      </c>
      <c r="HJ43" s="51">
        <f t="shared" si="145"/>
        <v>1</v>
      </c>
    </row>
    <row r="44" spans="1:218" ht="15" customHeight="1" x14ac:dyDescent="0.25">
      <c r="A44" s="49" t="str">
        <f>Participantes!B43</f>
        <v>Osvaldo</v>
      </c>
      <c r="B44" s="50">
        <f>Participantes!C43</f>
        <v>2</v>
      </c>
      <c r="C44" s="50">
        <f>Participantes!D43</f>
        <v>1</v>
      </c>
      <c r="D44" s="50">
        <f t="shared" si="73"/>
        <v>1</v>
      </c>
      <c r="E44" s="50">
        <f>Participantes!E43</f>
        <v>2</v>
      </c>
      <c r="F44" s="50">
        <f>Participantes!F43</f>
        <v>1</v>
      </c>
      <c r="G44" s="50">
        <f t="shared" si="74"/>
        <v>3</v>
      </c>
      <c r="H44" s="50">
        <f>Participantes!G43</f>
        <v>2</v>
      </c>
      <c r="I44" s="50">
        <f>Participantes!H43</f>
        <v>1</v>
      </c>
      <c r="J44" s="50" t="str">
        <f t="shared" si="75"/>
        <v/>
      </c>
      <c r="K44" s="50">
        <f>Participantes!I43</f>
        <v>2</v>
      </c>
      <c r="L44" s="50">
        <f>Participantes!J43</f>
        <v>1</v>
      </c>
      <c r="M44" s="50" t="str">
        <f t="shared" si="76"/>
        <v/>
      </c>
      <c r="N44" s="50">
        <f>Participantes!K43</f>
        <v>1</v>
      </c>
      <c r="O44" s="50">
        <f>Participantes!L43</f>
        <v>1</v>
      </c>
      <c r="P44" s="50" t="str">
        <f t="shared" si="77"/>
        <v/>
      </c>
      <c r="Q44" s="50">
        <f>Participantes!M43</f>
        <v>0</v>
      </c>
      <c r="R44" s="50">
        <f>Participantes!N43</f>
        <v>2</v>
      </c>
      <c r="S44" s="50" t="str">
        <f t="shared" si="78"/>
        <v/>
      </c>
      <c r="T44" s="50">
        <f>Participantes!O43</f>
        <v>3</v>
      </c>
      <c r="U44" s="50">
        <f>Participantes!P43</f>
        <v>2</v>
      </c>
      <c r="V44" s="50" t="str">
        <f t="shared" si="79"/>
        <v/>
      </c>
      <c r="W44" s="50">
        <f>Participantes!Q43</f>
        <v>1</v>
      </c>
      <c r="X44" s="50">
        <f>Participantes!R43</f>
        <v>1</v>
      </c>
      <c r="Y44" s="50" t="str">
        <f t="shared" si="80"/>
        <v/>
      </c>
      <c r="Z44" s="50">
        <f>Participantes!S43</f>
        <v>1</v>
      </c>
      <c r="AA44" s="50">
        <f>Participantes!T43</f>
        <v>3</v>
      </c>
      <c r="AB44" s="50" t="str">
        <f t="shared" si="81"/>
        <v/>
      </c>
      <c r="AC44" s="50">
        <f>Participantes!U43</f>
        <v>3</v>
      </c>
      <c r="AD44" s="50">
        <f>Participantes!V43</f>
        <v>1</v>
      </c>
      <c r="AE44" s="50" t="str">
        <f t="shared" si="82"/>
        <v/>
      </c>
      <c r="AF44" s="50">
        <f>Participantes!W43</f>
        <v>2</v>
      </c>
      <c r="AG44" s="50">
        <f>Participantes!X43</f>
        <v>0</v>
      </c>
      <c r="AH44" s="50" t="str">
        <f t="shared" si="83"/>
        <v/>
      </c>
      <c r="AI44" s="50">
        <f>Participantes!Y43</f>
        <v>3</v>
      </c>
      <c r="AJ44" s="50">
        <f>Participantes!Z43</f>
        <v>1</v>
      </c>
      <c r="AK44" s="50" t="str">
        <f t="shared" si="84"/>
        <v/>
      </c>
      <c r="AL44" s="50">
        <f>Participantes!AA43</f>
        <v>0</v>
      </c>
      <c r="AM44" s="50">
        <f>Participantes!AB43</f>
        <v>1</v>
      </c>
      <c r="AN44" s="50" t="str">
        <f t="shared" si="85"/>
        <v/>
      </c>
      <c r="AO44" s="50">
        <f>Participantes!AC43</f>
        <v>4</v>
      </c>
      <c r="AP44" s="50">
        <f>Participantes!AD43</f>
        <v>0</v>
      </c>
      <c r="AQ44" s="50" t="str">
        <f t="shared" si="86"/>
        <v/>
      </c>
      <c r="AR44" s="50">
        <f>Participantes!AE43</f>
        <v>0</v>
      </c>
      <c r="AS44" s="50">
        <f>Participantes!AF43</f>
        <v>0</v>
      </c>
      <c r="AT44" s="50" t="str">
        <f t="shared" si="87"/>
        <v/>
      </c>
      <c r="AU44" s="50">
        <f>Participantes!AG43</f>
        <v>0</v>
      </c>
      <c r="AV44" s="50">
        <f>Participantes!AH43</f>
        <v>0</v>
      </c>
      <c r="AW44" s="50" t="str">
        <f t="shared" si="88"/>
        <v/>
      </c>
      <c r="AX44" s="50">
        <f>Participantes!AI43</f>
        <v>0</v>
      </c>
      <c r="AY44" s="50">
        <f>Participantes!AJ43</f>
        <v>0</v>
      </c>
      <c r="AZ44" s="50" t="str">
        <f t="shared" si="89"/>
        <v/>
      </c>
      <c r="BA44" s="50">
        <f>Participantes!AK43</f>
        <v>0</v>
      </c>
      <c r="BB44" s="50">
        <f>Participantes!AL43</f>
        <v>0</v>
      </c>
      <c r="BC44" s="50" t="str">
        <f t="shared" si="90"/>
        <v/>
      </c>
      <c r="BD44" s="50">
        <f>Participantes!AM43</f>
        <v>0</v>
      </c>
      <c r="BE44" s="50">
        <f>Participantes!AN43</f>
        <v>0</v>
      </c>
      <c r="BF44" s="50" t="str">
        <f t="shared" si="91"/>
        <v/>
      </c>
      <c r="BG44" s="50">
        <f>Participantes!AO43</f>
        <v>0</v>
      </c>
      <c r="BH44" s="50">
        <f>Participantes!AP43</f>
        <v>0</v>
      </c>
      <c r="BI44" s="50" t="str">
        <f t="shared" si="92"/>
        <v/>
      </c>
      <c r="BJ44" s="50">
        <f>Participantes!AQ43</f>
        <v>0</v>
      </c>
      <c r="BK44" s="50">
        <f>Participantes!AR43</f>
        <v>0</v>
      </c>
      <c r="BL44" s="50" t="str">
        <f t="shared" si="93"/>
        <v/>
      </c>
      <c r="BM44" s="50">
        <f>Participantes!AS43</f>
        <v>0</v>
      </c>
      <c r="BN44" s="50">
        <f>Participantes!AT43</f>
        <v>0</v>
      </c>
      <c r="BO44" s="50" t="str">
        <f t="shared" si="94"/>
        <v/>
      </c>
      <c r="BP44" s="50">
        <f>Participantes!AU43</f>
        <v>0</v>
      </c>
      <c r="BQ44" s="50">
        <f>Participantes!AV43</f>
        <v>0</v>
      </c>
      <c r="BR44" s="50" t="str">
        <f t="shared" si="95"/>
        <v/>
      </c>
      <c r="BS44" s="50">
        <f>Participantes!AW43</f>
        <v>0</v>
      </c>
      <c r="BT44" s="50">
        <f>Participantes!AX43</f>
        <v>0</v>
      </c>
      <c r="BU44" s="50" t="str">
        <f t="shared" si="96"/>
        <v/>
      </c>
      <c r="BV44" s="50">
        <f>Participantes!AY43</f>
        <v>0</v>
      </c>
      <c r="BW44" s="50">
        <f>Participantes!AZ43</f>
        <v>0</v>
      </c>
      <c r="BX44" s="50" t="str">
        <f t="shared" si="97"/>
        <v/>
      </c>
      <c r="BY44" s="50">
        <f>Participantes!BA43</f>
        <v>0</v>
      </c>
      <c r="BZ44" s="50">
        <f>Participantes!BB43</f>
        <v>0</v>
      </c>
      <c r="CA44" s="50" t="str">
        <f t="shared" si="98"/>
        <v/>
      </c>
      <c r="CB44" s="50">
        <f>Participantes!BC43</f>
        <v>0</v>
      </c>
      <c r="CC44" s="50">
        <f>Participantes!BD43</f>
        <v>0</v>
      </c>
      <c r="CD44" s="50" t="str">
        <f t="shared" si="99"/>
        <v/>
      </c>
      <c r="CE44" s="50">
        <f>Participantes!BE43</f>
        <v>0</v>
      </c>
      <c r="CF44" s="50">
        <f>Participantes!BF43</f>
        <v>0</v>
      </c>
      <c r="CG44" s="50" t="str">
        <f t="shared" si="100"/>
        <v/>
      </c>
      <c r="CH44" s="50">
        <f>Participantes!BG43</f>
        <v>0</v>
      </c>
      <c r="CI44" s="50">
        <f>Participantes!BH43</f>
        <v>0</v>
      </c>
      <c r="CJ44" s="50" t="str">
        <f t="shared" si="101"/>
        <v/>
      </c>
      <c r="CK44" s="50">
        <f>Participantes!BI43</f>
        <v>0</v>
      </c>
      <c r="CL44" s="50">
        <f>Participantes!BJ43</f>
        <v>0</v>
      </c>
      <c r="CM44" s="50" t="str">
        <f t="shared" si="102"/>
        <v/>
      </c>
      <c r="CN44" s="50">
        <f>Participantes!BK43</f>
        <v>0</v>
      </c>
      <c r="CO44" s="50">
        <f>Participantes!BL43</f>
        <v>0</v>
      </c>
      <c r="CP44" s="50" t="str">
        <f t="shared" si="103"/>
        <v/>
      </c>
      <c r="CQ44" s="50">
        <f>Participantes!BM43</f>
        <v>0</v>
      </c>
      <c r="CR44" s="50">
        <f>Participantes!BN43</f>
        <v>0</v>
      </c>
      <c r="CS44" s="50" t="str">
        <f t="shared" si="104"/>
        <v/>
      </c>
      <c r="CT44" s="50">
        <f>Participantes!BO43</f>
        <v>0</v>
      </c>
      <c r="CU44" s="50">
        <f>Participantes!BP43</f>
        <v>0</v>
      </c>
      <c r="CV44" s="50" t="str">
        <f t="shared" si="105"/>
        <v/>
      </c>
      <c r="CW44" s="50">
        <f>Participantes!BQ43</f>
        <v>0</v>
      </c>
      <c r="CX44" s="50">
        <f>Participantes!BR43</f>
        <v>0</v>
      </c>
      <c r="CY44" s="50" t="str">
        <f t="shared" si="106"/>
        <v/>
      </c>
      <c r="CZ44" s="50">
        <f>Participantes!BS43</f>
        <v>0</v>
      </c>
      <c r="DA44" s="50">
        <f>Participantes!BT43</f>
        <v>0</v>
      </c>
      <c r="DB44" s="50" t="str">
        <f t="shared" si="107"/>
        <v/>
      </c>
      <c r="DC44" s="50">
        <f>Participantes!BU43</f>
        <v>0</v>
      </c>
      <c r="DD44" s="50">
        <f>Participantes!BV43</f>
        <v>0</v>
      </c>
      <c r="DE44" s="50" t="str">
        <f t="shared" si="108"/>
        <v/>
      </c>
      <c r="DF44" s="50">
        <f>Participantes!BW43</f>
        <v>0</v>
      </c>
      <c r="DG44" s="50">
        <f>Participantes!BX43</f>
        <v>0</v>
      </c>
      <c r="DH44" s="50" t="str">
        <f t="shared" si="109"/>
        <v/>
      </c>
      <c r="DI44" s="50">
        <f>Participantes!BY43</f>
        <v>0</v>
      </c>
      <c r="DJ44" s="50">
        <f>Participantes!BZ43</f>
        <v>0</v>
      </c>
      <c r="DK44" s="50" t="str">
        <f t="shared" si="110"/>
        <v/>
      </c>
      <c r="DL44" s="50">
        <f>Participantes!CA43</f>
        <v>0</v>
      </c>
      <c r="DM44" s="50">
        <f>Participantes!CB43</f>
        <v>0</v>
      </c>
      <c r="DN44" s="50" t="str">
        <f t="shared" si="111"/>
        <v/>
      </c>
      <c r="DO44" s="50">
        <f>Participantes!CC43</f>
        <v>0</v>
      </c>
      <c r="DP44" s="50">
        <f>Participantes!CD43</f>
        <v>0</v>
      </c>
      <c r="DQ44" s="50" t="str">
        <f t="shared" si="112"/>
        <v/>
      </c>
      <c r="DR44" s="50">
        <f>Participantes!CE43</f>
        <v>0</v>
      </c>
      <c r="DS44" s="50">
        <f>Participantes!CF43</f>
        <v>0</v>
      </c>
      <c r="DT44" s="50" t="str">
        <f t="shared" si="113"/>
        <v/>
      </c>
      <c r="DU44" s="50">
        <f>Participantes!CG43</f>
        <v>0</v>
      </c>
      <c r="DV44" s="50">
        <f>Participantes!CH43</f>
        <v>0</v>
      </c>
      <c r="DW44" s="50" t="str">
        <f t="shared" si="114"/>
        <v/>
      </c>
      <c r="DX44" s="50">
        <f>Participantes!CI43</f>
        <v>0</v>
      </c>
      <c r="DY44" s="50">
        <f>Participantes!CJ43</f>
        <v>0</v>
      </c>
      <c r="DZ44" s="50" t="str">
        <f t="shared" si="115"/>
        <v/>
      </c>
      <c r="EA44" s="50">
        <f>Participantes!CK43</f>
        <v>0</v>
      </c>
      <c r="EB44" s="50">
        <f>Participantes!CL43</f>
        <v>0</v>
      </c>
      <c r="EC44" s="50" t="str">
        <f t="shared" si="116"/>
        <v/>
      </c>
      <c r="ED44" s="50">
        <f>Participantes!CM43</f>
        <v>0</v>
      </c>
      <c r="EE44" s="50">
        <f>Participantes!CN43</f>
        <v>0</v>
      </c>
      <c r="EF44" s="50" t="str">
        <f t="shared" si="117"/>
        <v/>
      </c>
      <c r="EG44" s="50">
        <f>Participantes!CO43</f>
        <v>0</v>
      </c>
      <c r="EH44" s="50">
        <f>Participantes!CP43</f>
        <v>0</v>
      </c>
      <c r="EI44" s="50" t="str">
        <f t="shared" si="118"/>
        <v/>
      </c>
      <c r="EJ44" s="50">
        <f>Participantes!CQ43</f>
        <v>0</v>
      </c>
      <c r="EK44" s="50">
        <f>Participantes!CR43</f>
        <v>0</v>
      </c>
      <c r="EL44" s="50" t="str">
        <f t="shared" si="119"/>
        <v/>
      </c>
      <c r="EM44" s="50">
        <f>Participantes!CS43</f>
        <v>0</v>
      </c>
      <c r="EN44" s="50">
        <f>Participantes!CT43</f>
        <v>0</v>
      </c>
      <c r="EO44" s="50" t="str">
        <f t="shared" si="120"/>
        <v/>
      </c>
      <c r="EP44" s="50">
        <f>Participantes!CU43</f>
        <v>0</v>
      </c>
      <c r="EQ44" s="50">
        <f>Participantes!CV43</f>
        <v>0</v>
      </c>
      <c r="ER44" s="50" t="str">
        <f t="shared" si="121"/>
        <v/>
      </c>
      <c r="ES44" s="50">
        <f>Participantes!CW43</f>
        <v>0</v>
      </c>
      <c r="ET44" s="50">
        <f>Participantes!CX43</f>
        <v>0</v>
      </c>
      <c r="EU44" s="50" t="str">
        <f t="shared" si="122"/>
        <v/>
      </c>
      <c r="EV44" s="50">
        <f>Participantes!CY43</f>
        <v>0</v>
      </c>
      <c r="EW44" s="50">
        <f>Participantes!CZ43</f>
        <v>0</v>
      </c>
      <c r="EX44" s="50" t="str">
        <f t="shared" si="123"/>
        <v/>
      </c>
      <c r="EY44" s="50">
        <f>Participantes!DA43</f>
        <v>0</v>
      </c>
      <c r="EZ44" s="50">
        <f>Participantes!DB43</f>
        <v>0</v>
      </c>
      <c r="FA44" s="50" t="str">
        <f t="shared" si="124"/>
        <v/>
      </c>
      <c r="FB44" s="50">
        <f>Participantes!DC43</f>
        <v>0</v>
      </c>
      <c r="FC44" s="50">
        <f>Participantes!DD43</f>
        <v>0</v>
      </c>
      <c r="FD44" s="50" t="str">
        <f t="shared" si="125"/>
        <v/>
      </c>
      <c r="FE44" s="50">
        <f>Participantes!DE43</f>
        <v>0</v>
      </c>
      <c r="FF44" s="50">
        <f>Participantes!DF43</f>
        <v>0</v>
      </c>
      <c r="FG44" s="50" t="str">
        <f t="shared" si="126"/>
        <v/>
      </c>
      <c r="FH44" s="50">
        <f>Participantes!DG43</f>
        <v>0</v>
      </c>
      <c r="FI44" s="50">
        <f>Participantes!DH43</f>
        <v>0</v>
      </c>
      <c r="FJ44" s="50" t="str">
        <f t="shared" si="127"/>
        <v/>
      </c>
      <c r="FK44" s="50">
        <f>Participantes!DI43</f>
        <v>0</v>
      </c>
      <c r="FL44" s="50">
        <f>Participantes!DJ43</f>
        <v>0</v>
      </c>
      <c r="FM44" s="50" t="str">
        <f t="shared" si="128"/>
        <v/>
      </c>
      <c r="FN44" s="50">
        <f>Participantes!DK43</f>
        <v>0</v>
      </c>
      <c r="FO44" s="50">
        <f>Participantes!DL43</f>
        <v>0</v>
      </c>
      <c r="FP44" s="50" t="str">
        <f t="shared" si="129"/>
        <v/>
      </c>
      <c r="FQ44" s="50">
        <f>Participantes!DM43</f>
        <v>0</v>
      </c>
      <c r="FR44" s="50">
        <f>Participantes!DN43</f>
        <v>0</v>
      </c>
      <c r="FS44" s="50" t="str">
        <f t="shared" si="130"/>
        <v/>
      </c>
      <c r="FT44" s="50">
        <f>Participantes!DO43</f>
        <v>0</v>
      </c>
      <c r="FU44" s="50">
        <f>Participantes!DP43</f>
        <v>0</v>
      </c>
      <c r="FV44" s="50" t="str">
        <f t="shared" si="131"/>
        <v/>
      </c>
      <c r="FW44" s="50">
        <f>Participantes!DQ43</f>
        <v>0</v>
      </c>
      <c r="FX44" s="50">
        <f>Participantes!DR43</f>
        <v>0</v>
      </c>
      <c r="FY44" s="50" t="str">
        <f t="shared" si="132"/>
        <v/>
      </c>
      <c r="FZ44" s="50">
        <f>Participantes!DS43</f>
        <v>0</v>
      </c>
      <c r="GA44" s="50">
        <f>Participantes!DT43</f>
        <v>0</v>
      </c>
      <c r="GB44" s="50" t="str">
        <f t="shared" si="133"/>
        <v/>
      </c>
      <c r="GC44" s="50">
        <f>Participantes!DU43</f>
        <v>0</v>
      </c>
      <c r="GD44" s="50">
        <f>Participantes!DV43</f>
        <v>0</v>
      </c>
      <c r="GE44" s="50" t="str">
        <f t="shared" si="134"/>
        <v/>
      </c>
      <c r="GF44" s="50">
        <f>Participantes!DW43</f>
        <v>0</v>
      </c>
      <c r="GG44" s="50">
        <f>Participantes!DX43</f>
        <v>0</v>
      </c>
      <c r="GH44" s="50" t="str">
        <f t="shared" si="135"/>
        <v/>
      </c>
      <c r="GI44" s="50">
        <f>Participantes!DY43</f>
        <v>0</v>
      </c>
      <c r="GJ44" s="50">
        <f>Participantes!DZ43</f>
        <v>0</v>
      </c>
      <c r="GK44" s="50" t="str">
        <f t="shared" si="136"/>
        <v/>
      </c>
      <c r="GL44" s="50">
        <f>Participantes!EA43</f>
        <v>0</v>
      </c>
      <c r="GM44" s="50">
        <f>Participantes!EB43</f>
        <v>0</v>
      </c>
      <c r="GN44" s="50" t="str">
        <f t="shared" si="137"/>
        <v/>
      </c>
      <c r="GO44" s="50">
        <f>Participantes!EC43</f>
        <v>0</v>
      </c>
      <c r="GP44" s="50">
        <f>Participantes!ED43</f>
        <v>0</v>
      </c>
      <c r="GQ44" s="50" t="str">
        <f t="shared" si="138"/>
        <v/>
      </c>
      <c r="GR44" s="50">
        <f>Participantes!EE43</f>
        <v>0</v>
      </c>
      <c r="GS44" s="50">
        <f>Participantes!EF43</f>
        <v>0</v>
      </c>
      <c r="GT44" s="50" t="str">
        <f t="shared" si="139"/>
        <v/>
      </c>
      <c r="GU44" s="50">
        <f>Participantes!EG43</f>
        <v>0</v>
      </c>
      <c r="GV44" s="50">
        <f>Participantes!EH43</f>
        <v>0</v>
      </c>
      <c r="GW44" s="50" t="str">
        <f t="shared" si="140"/>
        <v/>
      </c>
      <c r="GX44" s="50">
        <f>Participantes!EI43</f>
        <v>0</v>
      </c>
      <c r="GY44" s="50">
        <f>Participantes!EJ43</f>
        <v>0</v>
      </c>
      <c r="GZ44" s="50" t="str">
        <f t="shared" si="141"/>
        <v/>
      </c>
      <c r="HA44" s="50">
        <f>Participantes!EK43</f>
        <v>0</v>
      </c>
      <c r="HB44" s="50">
        <f>Participantes!EL43</f>
        <v>0</v>
      </c>
      <c r="HC44" s="50" t="str">
        <f t="shared" si="142"/>
        <v/>
      </c>
      <c r="HD44" s="50">
        <f>Participantes!EM43</f>
        <v>0</v>
      </c>
      <c r="HE44" s="50">
        <f>Participantes!EN43</f>
        <v>0</v>
      </c>
      <c r="HF44" s="50" t="str">
        <f t="shared" si="143"/>
        <v/>
      </c>
      <c r="HG44" s="50">
        <f>Participantes!EO43</f>
        <v>0</v>
      </c>
      <c r="HH44" s="50">
        <f>Participantes!EP43</f>
        <v>0</v>
      </c>
      <c r="HI44" s="50" t="str">
        <f t="shared" si="144"/>
        <v/>
      </c>
      <c r="HJ44" s="51">
        <f t="shared" si="145"/>
        <v>4</v>
      </c>
    </row>
    <row r="45" spans="1:218" ht="15" customHeight="1" x14ac:dyDescent="0.25">
      <c r="A45" s="49" t="str">
        <f>Participantes!B44</f>
        <v>Peter</v>
      </c>
      <c r="B45" s="50">
        <f>Participantes!C44</f>
        <v>2</v>
      </c>
      <c r="C45" s="50">
        <f>Participantes!D44</f>
        <v>0</v>
      </c>
      <c r="D45" s="50">
        <f t="shared" si="73"/>
        <v>3</v>
      </c>
      <c r="E45" s="50">
        <f>Participantes!E44</f>
        <v>1</v>
      </c>
      <c r="F45" s="50">
        <f>Participantes!F44</f>
        <v>0</v>
      </c>
      <c r="G45" s="50">
        <f t="shared" si="74"/>
        <v>1</v>
      </c>
      <c r="H45" s="50">
        <f>Participantes!G44</f>
        <v>1</v>
      </c>
      <c r="I45" s="50">
        <f>Participantes!H44</f>
        <v>1</v>
      </c>
      <c r="J45" s="50" t="str">
        <f t="shared" si="75"/>
        <v/>
      </c>
      <c r="K45" s="50">
        <f>Participantes!I44</f>
        <v>2</v>
      </c>
      <c r="L45" s="50">
        <f>Participantes!J44</f>
        <v>2</v>
      </c>
      <c r="M45" s="50" t="str">
        <f t="shared" si="76"/>
        <v/>
      </c>
      <c r="N45" s="50">
        <f>Participantes!K44</f>
        <v>0</v>
      </c>
      <c r="O45" s="50">
        <f>Participantes!L44</f>
        <v>3</v>
      </c>
      <c r="P45" s="50" t="str">
        <f t="shared" si="77"/>
        <v/>
      </c>
      <c r="Q45" s="50">
        <f>Participantes!M44</f>
        <v>1</v>
      </c>
      <c r="R45" s="50">
        <f>Participantes!N44</f>
        <v>2</v>
      </c>
      <c r="S45" s="50" t="str">
        <f t="shared" si="78"/>
        <v/>
      </c>
      <c r="T45" s="50">
        <f>Participantes!O44</f>
        <v>1</v>
      </c>
      <c r="U45" s="50">
        <f>Participantes!P44</f>
        <v>2</v>
      </c>
      <c r="V45" s="50" t="str">
        <f t="shared" si="79"/>
        <v/>
      </c>
      <c r="W45" s="50">
        <f>Participantes!Q44</f>
        <v>0</v>
      </c>
      <c r="X45" s="50">
        <f>Participantes!R44</f>
        <v>2</v>
      </c>
      <c r="Y45" s="50" t="str">
        <f t="shared" si="80"/>
        <v/>
      </c>
      <c r="Z45" s="50">
        <f>Participantes!S44</f>
        <v>0</v>
      </c>
      <c r="AA45" s="50">
        <f>Participantes!T44</f>
        <v>2</v>
      </c>
      <c r="AB45" s="50" t="str">
        <f t="shared" si="81"/>
        <v/>
      </c>
      <c r="AC45" s="50">
        <f>Participantes!U44</f>
        <v>4</v>
      </c>
      <c r="AD45" s="50">
        <f>Participantes!V44</f>
        <v>0</v>
      </c>
      <c r="AE45" s="50" t="str">
        <f t="shared" si="82"/>
        <v/>
      </c>
      <c r="AF45" s="50">
        <f>Participantes!W44</f>
        <v>2</v>
      </c>
      <c r="AG45" s="50">
        <f>Participantes!X44</f>
        <v>2</v>
      </c>
      <c r="AH45" s="50" t="str">
        <f t="shared" si="83"/>
        <v/>
      </c>
      <c r="AI45" s="50">
        <f>Participantes!Y44</f>
        <v>2</v>
      </c>
      <c r="AJ45" s="50">
        <f>Participantes!Z44</f>
        <v>0</v>
      </c>
      <c r="AK45" s="50" t="str">
        <f t="shared" si="84"/>
        <v/>
      </c>
      <c r="AL45" s="50">
        <f>Participantes!AA44</f>
        <v>1</v>
      </c>
      <c r="AM45" s="50">
        <f>Participantes!AB44</f>
        <v>3</v>
      </c>
      <c r="AN45" s="50" t="str">
        <f t="shared" si="85"/>
        <v/>
      </c>
      <c r="AO45" s="50">
        <f>Participantes!AC44</f>
        <v>3</v>
      </c>
      <c r="AP45" s="50">
        <f>Participantes!AD44</f>
        <v>0</v>
      </c>
      <c r="AQ45" s="50" t="str">
        <f t="shared" si="86"/>
        <v/>
      </c>
      <c r="AR45" s="50">
        <f>Participantes!AE44</f>
        <v>0</v>
      </c>
      <c r="AS45" s="50">
        <f>Participantes!AF44</f>
        <v>0</v>
      </c>
      <c r="AT45" s="50" t="str">
        <f t="shared" si="87"/>
        <v/>
      </c>
      <c r="AU45" s="50">
        <f>Participantes!AG44</f>
        <v>0</v>
      </c>
      <c r="AV45" s="50">
        <f>Participantes!AH44</f>
        <v>0</v>
      </c>
      <c r="AW45" s="50" t="str">
        <f t="shared" si="88"/>
        <v/>
      </c>
      <c r="AX45" s="50">
        <f>Participantes!AI44</f>
        <v>0</v>
      </c>
      <c r="AY45" s="50">
        <f>Participantes!AJ44</f>
        <v>0</v>
      </c>
      <c r="AZ45" s="50" t="str">
        <f t="shared" si="89"/>
        <v/>
      </c>
      <c r="BA45" s="50">
        <f>Participantes!AK44</f>
        <v>0</v>
      </c>
      <c r="BB45" s="50">
        <f>Participantes!AL44</f>
        <v>0</v>
      </c>
      <c r="BC45" s="50" t="str">
        <f t="shared" si="90"/>
        <v/>
      </c>
      <c r="BD45" s="50">
        <f>Participantes!AM44</f>
        <v>0</v>
      </c>
      <c r="BE45" s="50">
        <f>Participantes!AN44</f>
        <v>0</v>
      </c>
      <c r="BF45" s="50" t="str">
        <f t="shared" si="91"/>
        <v/>
      </c>
      <c r="BG45" s="50">
        <f>Participantes!AO44</f>
        <v>0</v>
      </c>
      <c r="BH45" s="50">
        <f>Participantes!AP44</f>
        <v>0</v>
      </c>
      <c r="BI45" s="50" t="str">
        <f t="shared" si="92"/>
        <v/>
      </c>
      <c r="BJ45" s="50">
        <f>Participantes!AQ44</f>
        <v>0</v>
      </c>
      <c r="BK45" s="50">
        <f>Participantes!AR44</f>
        <v>0</v>
      </c>
      <c r="BL45" s="50" t="str">
        <f t="shared" si="93"/>
        <v/>
      </c>
      <c r="BM45" s="50">
        <f>Participantes!AS44</f>
        <v>0</v>
      </c>
      <c r="BN45" s="50">
        <f>Participantes!AT44</f>
        <v>0</v>
      </c>
      <c r="BO45" s="50" t="str">
        <f t="shared" si="94"/>
        <v/>
      </c>
      <c r="BP45" s="50">
        <f>Participantes!AU44</f>
        <v>0</v>
      </c>
      <c r="BQ45" s="50">
        <f>Participantes!AV44</f>
        <v>0</v>
      </c>
      <c r="BR45" s="50" t="str">
        <f t="shared" si="95"/>
        <v/>
      </c>
      <c r="BS45" s="50">
        <f>Participantes!AW44</f>
        <v>0</v>
      </c>
      <c r="BT45" s="50">
        <f>Participantes!AX44</f>
        <v>0</v>
      </c>
      <c r="BU45" s="50" t="str">
        <f t="shared" si="96"/>
        <v/>
      </c>
      <c r="BV45" s="50">
        <f>Participantes!AY44</f>
        <v>0</v>
      </c>
      <c r="BW45" s="50">
        <f>Participantes!AZ44</f>
        <v>0</v>
      </c>
      <c r="BX45" s="50" t="str">
        <f t="shared" si="97"/>
        <v/>
      </c>
      <c r="BY45" s="50">
        <f>Participantes!BA44</f>
        <v>0</v>
      </c>
      <c r="BZ45" s="50">
        <f>Participantes!BB44</f>
        <v>0</v>
      </c>
      <c r="CA45" s="50" t="str">
        <f t="shared" si="98"/>
        <v/>
      </c>
      <c r="CB45" s="50">
        <f>Participantes!BC44</f>
        <v>0</v>
      </c>
      <c r="CC45" s="50">
        <f>Participantes!BD44</f>
        <v>0</v>
      </c>
      <c r="CD45" s="50" t="str">
        <f t="shared" si="99"/>
        <v/>
      </c>
      <c r="CE45" s="50">
        <f>Participantes!BE44</f>
        <v>0</v>
      </c>
      <c r="CF45" s="50">
        <f>Participantes!BF44</f>
        <v>0</v>
      </c>
      <c r="CG45" s="50" t="str">
        <f t="shared" si="100"/>
        <v/>
      </c>
      <c r="CH45" s="50">
        <f>Participantes!BG44</f>
        <v>0</v>
      </c>
      <c r="CI45" s="50">
        <f>Participantes!BH44</f>
        <v>0</v>
      </c>
      <c r="CJ45" s="50" t="str">
        <f t="shared" si="101"/>
        <v/>
      </c>
      <c r="CK45" s="50">
        <f>Participantes!BI44</f>
        <v>0</v>
      </c>
      <c r="CL45" s="50">
        <f>Participantes!BJ44</f>
        <v>0</v>
      </c>
      <c r="CM45" s="50" t="str">
        <f t="shared" si="102"/>
        <v/>
      </c>
      <c r="CN45" s="50">
        <f>Participantes!BK44</f>
        <v>0</v>
      </c>
      <c r="CO45" s="50">
        <f>Participantes!BL44</f>
        <v>0</v>
      </c>
      <c r="CP45" s="50" t="str">
        <f t="shared" si="103"/>
        <v/>
      </c>
      <c r="CQ45" s="50">
        <f>Participantes!BM44</f>
        <v>0</v>
      </c>
      <c r="CR45" s="50">
        <f>Participantes!BN44</f>
        <v>0</v>
      </c>
      <c r="CS45" s="50" t="str">
        <f t="shared" si="104"/>
        <v/>
      </c>
      <c r="CT45" s="50">
        <f>Participantes!BO44</f>
        <v>0</v>
      </c>
      <c r="CU45" s="50">
        <f>Participantes!BP44</f>
        <v>0</v>
      </c>
      <c r="CV45" s="50" t="str">
        <f t="shared" si="105"/>
        <v/>
      </c>
      <c r="CW45" s="50">
        <f>Participantes!BQ44</f>
        <v>0</v>
      </c>
      <c r="CX45" s="50">
        <f>Participantes!BR44</f>
        <v>0</v>
      </c>
      <c r="CY45" s="50" t="str">
        <f t="shared" si="106"/>
        <v/>
      </c>
      <c r="CZ45" s="50">
        <f>Participantes!BS44</f>
        <v>0</v>
      </c>
      <c r="DA45" s="50">
        <f>Participantes!BT44</f>
        <v>0</v>
      </c>
      <c r="DB45" s="50" t="str">
        <f t="shared" si="107"/>
        <v/>
      </c>
      <c r="DC45" s="50">
        <f>Participantes!BU44</f>
        <v>0</v>
      </c>
      <c r="DD45" s="50">
        <f>Participantes!BV44</f>
        <v>0</v>
      </c>
      <c r="DE45" s="50" t="str">
        <f t="shared" si="108"/>
        <v/>
      </c>
      <c r="DF45" s="50">
        <f>Participantes!BW44</f>
        <v>0</v>
      </c>
      <c r="DG45" s="50">
        <f>Participantes!BX44</f>
        <v>0</v>
      </c>
      <c r="DH45" s="50" t="str">
        <f t="shared" si="109"/>
        <v/>
      </c>
      <c r="DI45" s="50">
        <f>Participantes!BY44</f>
        <v>0</v>
      </c>
      <c r="DJ45" s="50">
        <f>Participantes!BZ44</f>
        <v>0</v>
      </c>
      <c r="DK45" s="50" t="str">
        <f t="shared" si="110"/>
        <v/>
      </c>
      <c r="DL45" s="50">
        <f>Participantes!CA44</f>
        <v>0</v>
      </c>
      <c r="DM45" s="50">
        <f>Participantes!CB44</f>
        <v>0</v>
      </c>
      <c r="DN45" s="50" t="str">
        <f t="shared" si="111"/>
        <v/>
      </c>
      <c r="DO45" s="50">
        <f>Participantes!CC44</f>
        <v>0</v>
      </c>
      <c r="DP45" s="50">
        <f>Participantes!CD44</f>
        <v>0</v>
      </c>
      <c r="DQ45" s="50" t="str">
        <f t="shared" si="112"/>
        <v/>
      </c>
      <c r="DR45" s="50">
        <f>Participantes!CE44</f>
        <v>0</v>
      </c>
      <c r="DS45" s="50">
        <f>Participantes!CF44</f>
        <v>0</v>
      </c>
      <c r="DT45" s="50" t="str">
        <f t="shared" si="113"/>
        <v/>
      </c>
      <c r="DU45" s="50">
        <f>Participantes!CG44</f>
        <v>0</v>
      </c>
      <c r="DV45" s="50">
        <f>Participantes!CH44</f>
        <v>0</v>
      </c>
      <c r="DW45" s="50" t="str">
        <f t="shared" si="114"/>
        <v/>
      </c>
      <c r="DX45" s="50">
        <f>Participantes!CI44</f>
        <v>0</v>
      </c>
      <c r="DY45" s="50">
        <f>Participantes!CJ44</f>
        <v>0</v>
      </c>
      <c r="DZ45" s="50" t="str">
        <f t="shared" si="115"/>
        <v/>
      </c>
      <c r="EA45" s="50">
        <f>Participantes!CK44</f>
        <v>0</v>
      </c>
      <c r="EB45" s="50">
        <f>Participantes!CL44</f>
        <v>0</v>
      </c>
      <c r="EC45" s="50" t="str">
        <f t="shared" si="116"/>
        <v/>
      </c>
      <c r="ED45" s="50">
        <f>Participantes!CM44</f>
        <v>0</v>
      </c>
      <c r="EE45" s="50">
        <f>Participantes!CN44</f>
        <v>0</v>
      </c>
      <c r="EF45" s="50" t="str">
        <f t="shared" si="117"/>
        <v/>
      </c>
      <c r="EG45" s="50">
        <f>Participantes!CO44</f>
        <v>0</v>
      </c>
      <c r="EH45" s="50">
        <f>Participantes!CP44</f>
        <v>0</v>
      </c>
      <c r="EI45" s="50" t="str">
        <f t="shared" si="118"/>
        <v/>
      </c>
      <c r="EJ45" s="50">
        <f>Participantes!CQ44</f>
        <v>0</v>
      </c>
      <c r="EK45" s="50">
        <f>Participantes!CR44</f>
        <v>0</v>
      </c>
      <c r="EL45" s="50" t="str">
        <f t="shared" si="119"/>
        <v/>
      </c>
      <c r="EM45" s="50">
        <f>Participantes!CS44</f>
        <v>0</v>
      </c>
      <c r="EN45" s="50">
        <f>Participantes!CT44</f>
        <v>0</v>
      </c>
      <c r="EO45" s="50" t="str">
        <f t="shared" si="120"/>
        <v/>
      </c>
      <c r="EP45" s="50">
        <f>Participantes!CU44</f>
        <v>0</v>
      </c>
      <c r="EQ45" s="50">
        <f>Participantes!CV44</f>
        <v>0</v>
      </c>
      <c r="ER45" s="50" t="str">
        <f t="shared" si="121"/>
        <v/>
      </c>
      <c r="ES45" s="50">
        <f>Participantes!CW44</f>
        <v>0</v>
      </c>
      <c r="ET45" s="50">
        <f>Participantes!CX44</f>
        <v>0</v>
      </c>
      <c r="EU45" s="50" t="str">
        <f t="shared" si="122"/>
        <v/>
      </c>
      <c r="EV45" s="50">
        <f>Participantes!CY44</f>
        <v>0</v>
      </c>
      <c r="EW45" s="50">
        <f>Participantes!CZ44</f>
        <v>0</v>
      </c>
      <c r="EX45" s="50" t="str">
        <f t="shared" si="123"/>
        <v/>
      </c>
      <c r="EY45" s="50">
        <f>Participantes!DA44</f>
        <v>0</v>
      </c>
      <c r="EZ45" s="50">
        <f>Participantes!DB44</f>
        <v>0</v>
      </c>
      <c r="FA45" s="50" t="str">
        <f t="shared" si="124"/>
        <v/>
      </c>
      <c r="FB45" s="50">
        <f>Participantes!DC44</f>
        <v>0</v>
      </c>
      <c r="FC45" s="50">
        <f>Participantes!DD44</f>
        <v>0</v>
      </c>
      <c r="FD45" s="50" t="str">
        <f t="shared" si="125"/>
        <v/>
      </c>
      <c r="FE45" s="50">
        <f>Participantes!DE44</f>
        <v>0</v>
      </c>
      <c r="FF45" s="50">
        <f>Participantes!DF44</f>
        <v>0</v>
      </c>
      <c r="FG45" s="50" t="str">
        <f t="shared" si="126"/>
        <v/>
      </c>
      <c r="FH45" s="50">
        <f>Participantes!DG44</f>
        <v>0</v>
      </c>
      <c r="FI45" s="50">
        <f>Participantes!DH44</f>
        <v>0</v>
      </c>
      <c r="FJ45" s="50" t="str">
        <f t="shared" si="127"/>
        <v/>
      </c>
      <c r="FK45" s="50">
        <f>Participantes!DI44</f>
        <v>0</v>
      </c>
      <c r="FL45" s="50">
        <f>Participantes!DJ44</f>
        <v>0</v>
      </c>
      <c r="FM45" s="50" t="str">
        <f t="shared" si="128"/>
        <v/>
      </c>
      <c r="FN45" s="50">
        <f>Participantes!DK44</f>
        <v>0</v>
      </c>
      <c r="FO45" s="50">
        <f>Participantes!DL44</f>
        <v>0</v>
      </c>
      <c r="FP45" s="50" t="str">
        <f t="shared" si="129"/>
        <v/>
      </c>
      <c r="FQ45" s="50">
        <f>Participantes!DM44</f>
        <v>0</v>
      </c>
      <c r="FR45" s="50">
        <f>Participantes!DN44</f>
        <v>0</v>
      </c>
      <c r="FS45" s="50" t="str">
        <f t="shared" si="130"/>
        <v/>
      </c>
      <c r="FT45" s="50">
        <f>Participantes!DO44</f>
        <v>0</v>
      </c>
      <c r="FU45" s="50">
        <f>Participantes!DP44</f>
        <v>0</v>
      </c>
      <c r="FV45" s="50" t="str">
        <f t="shared" si="131"/>
        <v/>
      </c>
      <c r="FW45" s="50">
        <f>Participantes!DQ44</f>
        <v>0</v>
      </c>
      <c r="FX45" s="50">
        <f>Participantes!DR44</f>
        <v>0</v>
      </c>
      <c r="FY45" s="50" t="str">
        <f t="shared" si="132"/>
        <v/>
      </c>
      <c r="FZ45" s="50">
        <f>Participantes!DS44</f>
        <v>0</v>
      </c>
      <c r="GA45" s="50">
        <f>Participantes!DT44</f>
        <v>0</v>
      </c>
      <c r="GB45" s="50" t="str">
        <f t="shared" si="133"/>
        <v/>
      </c>
      <c r="GC45" s="50">
        <f>Participantes!DU44</f>
        <v>0</v>
      </c>
      <c r="GD45" s="50">
        <f>Participantes!DV44</f>
        <v>0</v>
      </c>
      <c r="GE45" s="50" t="str">
        <f t="shared" si="134"/>
        <v/>
      </c>
      <c r="GF45" s="50">
        <f>Participantes!DW44</f>
        <v>0</v>
      </c>
      <c r="GG45" s="50">
        <f>Participantes!DX44</f>
        <v>0</v>
      </c>
      <c r="GH45" s="50" t="str">
        <f t="shared" si="135"/>
        <v/>
      </c>
      <c r="GI45" s="50">
        <f>Participantes!DY44</f>
        <v>0</v>
      </c>
      <c r="GJ45" s="50">
        <f>Participantes!DZ44</f>
        <v>0</v>
      </c>
      <c r="GK45" s="50" t="str">
        <f t="shared" si="136"/>
        <v/>
      </c>
      <c r="GL45" s="50">
        <f>Participantes!EA44</f>
        <v>0</v>
      </c>
      <c r="GM45" s="50">
        <f>Participantes!EB44</f>
        <v>0</v>
      </c>
      <c r="GN45" s="50" t="str">
        <f t="shared" si="137"/>
        <v/>
      </c>
      <c r="GO45" s="50">
        <f>Participantes!EC44</f>
        <v>0</v>
      </c>
      <c r="GP45" s="50">
        <f>Participantes!ED44</f>
        <v>0</v>
      </c>
      <c r="GQ45" s="50" t="str">
        <f t="shared" si="138"/>
        <v/>
      </c>
      <c r="GR45" s="50">
        <f>Participantes!EE44</f>
        <v>0</v>
      </c>
      <c r="GS45" s="50">
        <f>Participantes!EF44</f>
        <v>0</v>
      </c>
      <c r="GT45" s="50" t="str">
        <f t="shared" si="139"/>
        <v/>
      </c>
      <c r="GU45" s="50">
        <f>Participantes!EG44</f>
        <v>0</v>
      </c>
      <c r="GV45" s="50">
        <f>Participantes!EH44</f>
        <v>0</v>
      </c>
      <c r="GW45" s="50" t="str">
        <f t="shared" si="140"/>
        <v/>
      </c>
      <c r="GX45" s="50">
        <f>Participantes!EI44</f>
        <v>0</v>
      </c>
      <c r="GY45" s="50">
        <f>Participantes!EJ44</f>
        <v>0</v>
      </c>
      <c r="GZ45" s="50" t="str">
        <f t="shared" si="141"/>
        <v/>
      </c>
      <c r="HA45" s="50">
        <f>Participantes!EK44</f>
        <v>0</v>
      </c>
      <c r="HB45" s="50">
        <f>Participantes!EL44</f>
        <v>0</v>
      </c>
      <c r="HC45" s="50" t="str">
        <f t="shared" si="142"/>
        <v/>
      </c>
      <c r="HD45" s="50">
        <f>Participantes!EM44</f>
        <v>0</v>
      </c>
      <c r="HE45" s="50">
        <f>Participantes!EN44</f>
        <v>0</v>
      </c>
      <c r="HF45" s="50" t="str">
        <f t="shared" si="143"/>
        <v/>
      </c>
      <c r="HG45" s="50">
        <f>Participantes!EO44</f>
        <v>0</v>
      </c>
      <c r="HH45" s="50">
        <f>Participantes!EP44</f>
        <v>0</v>
      </c>
      <c r="HI45" s="50" t="str">
        <f t="shared" si="144"/>
        <v/>
      </c>
      <c r="HJ45" s="51">
        <f t="shared" si="145"/>
        <v>4</v>
      </c>
    </row>
    <row r="46" spans="1:218" ht="15" customHeight="1" x14ac:dyDescent="0.25">
      <c r="A46" s="49" t="str">
        <f>Participantes!B45</f>
        <v>Quinnie</v>
      </c>
      <c r="B46" s="50">
        <f>Participantes!C45</f>
        <v>2</v>
      </c>
      <c r="C46" s="50">
        <f>Participantes!D45</f>
        <v>0</v>
      </c>
      <c r="D46" s="50">
        <f t="shared" si="73"/>
        <v>3</v>
      </c>
      <c r="E46" s="50">
        <f>Participantes!E45</f>
        <v>1</v>
      </c>
      <c r="F46" s="50">
        <f>Participantes!F45</f>
        <v>1</v>
      </c>
      <c r="G46" s="50">
        <f t="shared" si="74"/>
        <v>0</v>
      </c>
      <c r="H46" s="50">
        <f>Participantes!G45</f>
        <v>2</v>
      </c>
      <c r="I46" s="50">
        <f>Participantes!H45</f>
        <v>1</v>
      </c>
      <c r="J46" s="50" t="str">
        <f t="shared" si="75"/>
        <v/>
      </c>
      <c r="K46" s="50">
        <f>Participantes!I45</f>
        <v>1</v>
      </c>
      <c r="L46" s="50">
        <f>Participantes!J45</f>
        <v>1</v>
      </c>
      <c r="M46" s="50" t="str">
        <f t="shared" si="76"/>
        <v/>
      </c>
      <c r="N46" s="50">
        <f>Participantes!K45</f>
        <v>0</v>
      </c>
      <c r="O46" s="50">
        <f>Participantes!L45</f>
        <v>2</v>
      </c>
      <c r="P46" s="50" t="str">
        <f t="shared" si="77"/>
        <v/>
      </c>
      <c r="Q46" s="50">
        <f>Participantes!M45</f>
        <v>1</v>
      </c>
      <c r="R46" s="50">
        <f>Participantes!N45</f>
        <v>2</v>
      </c>
      <c r="S46" s="50" t="str">
        <f t="shared" si="78"/>
        <v/>
      </c>
      <c r="T46" s="50">
        <f>Participantes!O45</f>
        <v>2</v>
      </c>
      <c r="U46" s="50">
        <f>Participantes!P45</f>
        <v>1</v>
      </c>
      <c r="V46" s="50" t="str">
        <f t="shared" si="79"/>
        <v/>
      </c>
      <c r="W46" s="50">
        <f>Participantes!Q45</f>
        <v>0</v>
      </c>
      <c r="X46" s="50">
        <f>Participantes!R45</f>
        <v>2</v>
      </c>
      <c r="Y46" s="50" t="str">
        <f t="shared" si="80"/>
        <v/>
      </c>
      <c r="Z46" s="50">
        <f>Participantes!S45</f>
        <v>1</v>
      </c>
      <c r="AA46" s="50">
        <f>Participantes!T45</f>
        <v>1</v>
      </c>
      <c r="AB46" s="50" t="str">
        <f t="shared" si="81"/>
        <v/>
      </c>
      <c r="AC46" s="50">
        <f>Participantes!U45</f>
        <v>5</v>
      </c>
      <c r="AD46" s="50">
        <f>Participantes!V45</f>
        <v>0</v>
      </c>
      <c r="AE46" s="50" t="str">
        <f t="shared" si="82"/>
        <v/>
      </c>
      <c r="AF46" s="50">
        <f>Participantes!W45</f>
        <v>2</v>
      </c>
      <c r="AG46" s="50">
        <f>Participantes!X45</f>
        <v>2</v>
      </c>
      <c r="AH46" s="50" t="str">
        <f t="shared" si="83"/>
        <v/>
      </c>
      <c r="AI46" s="50">
        <f>Participantes!Y45</f>
        <v>3</v>
      </c>
      <c r="AJ46" s="50">
        <f>Participantes!Z45</f>
        <v>0</v>
      </c>
      <c r="AK46" s="50" t="str">
        <f t="shared" si="84"/>
        <v/>
      </c>
      <c r="AL46" s="50">
        <f>Participantes!AA45</f>
        <v>0</v>
      </c>
      <c r="AM46" s="50">
        <f>Participantes!AB45</f>
        <v>2</v>
      </c>
      <c r="AN46" s="50" t="str">
        <f t="shared" si="85"/>
        <v/>
      </c>
      <c r="AO46" s="50">
        <f>Participantes!AC45</f>
        <v>5</v>
      </c>
      <c r="AP46" s="50">
        <f>Participantes!AD45</f>
        <v>0</v>
      </c>
      <c r="AQ46" s="50" t="str">
        <f t="shared" si="86"/>
        <v/>
      </c>
      <c r="AR46" s="50">
        <f>Participantes!AE45</f>
        <v>0</v>
      </c>
      <c r="AS46" s="50">
        <f>Participantes!AF45</f>
        <v>0</v>
      </c>
      <c r="AT46" s="50" t="str">
        <f t="shared" si="87"/>
        <v/>
      </c>
      <c r="AU46" s="50">
        <f>Participantes!AG45</f>
        <v>0</v>
      </c>
      <c r="AV46" s="50">
        <f>Participantes!AH45</f>
        <v>0</v>
      </c>
      <c r="AW46" s="50" t="str">
        <f t="shared" si="88"/>
        <v/>
      </c>
      <c r="AX46" s="50">
        <f>Participantes!AI45</f>
        <v>0</v>
      </c>
      <c r="AY46" s="50">
        <f>Participantes!AJ45</f>
        <v>0</v>
      </c>
      <c r="AZ46" s="50" t="str">
        <f t="shared" si="89"/>
        <v/>
      </c>
      <c r="BA46" s="50">
        <f>Participantes!AK45</f>
        <v>0</v>
      </c>
      <c r="BB46" s="50">
        <f>Participantes!AL45</f>
        <v>0</v>
      </c>
      <c r="BC46" s="50" t="str">
        <f t="shared" si="90"/>
        <v/>
      </c>
      <c r="BD46" s="50">
        <f>Participantes!AM45</f>
        <v>0</v>
      </c>
      <c r="BE46" s="50">
        <f>Participantes!AN45</f>
        <v>0</v>
      </c>
      <c r="BF46" s="50" t="str">
        <f t="shared" si="91"/>
        <v/>
      </c>
      <c r="BG46" s="50">
        <f>Participantes!AO45</f>
        <v>0</v>
      </c>
      <c r="BH46" s="50">
        <f>Participantes!AP45</f>
        <v>0</v>
      </c>
      <c r="BI46" s="50" t="str">
        <f t="shared" si="92"/>
        <v/>
      </c>
      <c r="BJ46" s="50">
        <f>Participantes!AQ45</f>
        <v>0</v>
      </c>
      <c r="BK46" s="50">
        <f>Participantes!AR45</f>
        <v>0</v>
      </c>
      <c r="BL46" s="50" t="str">
        <f t="shared" si="93"/>
        <v/>
      </c>
      <c r="BM46" s="50">
        <f>Participantes!AS45</f>
        <v>0</v>
      </c>
      <c r="BN46" s="50">
        <f>Participantes!AT45</f>
        <v>0</v>
      </c>
      <c r="BO46" s="50" t="str">
        <f t="shared" si="94"/>
        <v/>
      </c>
      <c r="BP46" s="50">
        <f>Participantes!AU45</f>
        <v>0</v>
      </c>
      <c r="BQ46" s="50">
        <f>Participantes!AV45</f>
        <v>0</v>
      </c>
      <c r="BR46" s="50" t="str">
        <f t="shared" si="95"/>
        <v/>
      </c>
      <c r="BS46" s="50">
        <f>Participantes!AW45</f>
        <v>0</v>
      </c>
      <c r="BT46" s="50">
        <f>Participantes!AX45</f>
        <v>0</v>
      </c>
      <c r="BU46" s="50" t="str">
        <f t="shared" si="96"/>
        <v/>
      </c>
      <c r="BV46" s="50">
        <f>Participantes!AY45</f>
        <v>0</v>
      </c>
      <c r="BW46" s="50">
        <f>Participantes!AZ45</f>
        <v>0</v>
      </c>
      <c r="BX46" s="50" t="str">
        <f t="shared" si="97"/>
        <v/>
      </c>
      <c r="BY46" s="50">
        <f>Participantes!BA45</f>
        <v>0</v>
      </c>
      <c r="BZ46" s="50">
        <f>Participantes!BB45</f>
        <v>0</v>
      </c>
      <c r="CA46" s="50" t="str">
        <f t="shared" si="98"/>
        <v/>
      </c>
      <c r="CB46" s="50">
        <f>Participantes!BC45</f>
        <v>0</v>
      </c>
      <c r="CC46" s="50">
        <f>Participantes!BD45</f>
        <v>0</v>
      </c>
      <c r="CD46" s="50" t="str">
        <f t="shared" si="99"/>
        <v/>
      </c>
      <c r="CE46" s="50">
        <f>Participantes!BE45</f>
        <v>0</v>
      </c>
      <c r="CF46" s="50">
        <f>Participantes!BF45</f>
        <v>0</v>
      </c>
      <c r="CG46" s="50" t="str">
        <f t="shared" si="100"/>
        <v/>
      </c>
      <c r="CH46" s="50">
        <f>Participantes!BG45</f>
        <v>0</v>
      </c>
      <c r="CI46" s="50">
        <f>Participantes!BH45</f>
        <v>0</v>
      </c>
      <c r="CJ46" s="50" t="str">
        <f t="shared" si="101"/>
        <v/>
      </c>
      <c r="CK46" s="50">
        <f>Participantes!BI45</f>
        <v>0</v>
      </c>
      <c r="CL46" s="50">
        <f>Participantes!BJ45</f>
        <v>0</v>
      </c>
      <c r="CM46" s="50" t="str">
        <f t="shared" si="102"/>
        <v/>
      </c>
      <c r="CN46" s="50">
        <f>Participantes!BK45</f>
        <v>0</v>
      </c>
      <c r="CO46" s="50">
        <f>Participantes!BL45</f>
        <v>0</v>
      </c>
      <c r="CP46" s="50" t="str">
        <f t="shared" si="103"/>
        <v/>
      </c>
      <c r="CQ46" s="50">
        <f>Participantes!BM45</f>
        <v>0</v>
      </c>
      <c r="CR46" s="50">
        <f>Participantes!BN45</f>
        <v>0</v>
      </c>
      <c r="CS46" s="50" t="str">
        <f t="shared" si="104"/>
        <v/>
      </c>
      <c r="CT46" s="50">
        <f>Participantes!BO45</f>
        <v>0</v>
      </c>
      <c r="CU46" s="50">
        <f>Participantes!BP45</f>
        <v>0</v>
      </c>
      <c r="CV46" s="50" t="str">
        <f t="shared" si="105"/>
        <v/>
      </c>
      <c r="CW46" s="50">
        <f>Participantes!BQ45</f>
        <v>0</v>
      </c>
      <c r="CX46" s="50">
        <f>Participantes!BR45</f>
        <v>0</v>
      </c>
      <c r="CY46" s="50" t="str">
        <f t="shared" si="106"/>
        <v/>
      </c>
      <c r="CZ46" s="50">
        <f>Participantes!BS45</f>
        <v>0</v>
      </c>
      <c r="DA46" s="50">
        <f>Participantes!BT45</f>
        <v>0</v>
      </c>
      <c r="DB46" s="50" t="str">
        <f t="shared" si="107"/>
        <v/>
      </c>
      <c r="DC46" s="50">
        <f>Participantes!BU45</f>
        <v>0</v>
      </c>
      <c r="DD46" s="50">
        <f>Participantes!BV45</f>
        <v>0</v>
      </c>
      <c r="DE46" s="50" t="str">
        <f t="shared" si="108"/>
        <v/>
      </c>
      <c r="DF46" s="50">
        <f>Participantes!BW45</f>
        <v>0</v>
      </c>
      <c r="DG46" s="50">
        <f>Participantes!BX45</f>
        <v>0</v>
      </c>
      <c r="DH46" s="50" t="str">
        <f t="shared" si="109"/>
        <v/>
      </c>
      <c r="DI46" s="50">
        <f>Participantes!BY45</f>
        <v>0</v>
      </c>
      <c r="DJ46" s="50">
        <f>Participantes!BZ45</f>
        <v>0</v>
      </c>
      <c r="DK46" s="50" t="str">
        <f t="shared" si="110"/>
        <v/>
      </c>
      <c r="DL46" s="50">
        <f>Participantes!CA45</f>
        <v>0</v>
      </c>
      <c r="DM46" s="50">
        <f>Participantes!CB45</f>
        <v>0</v>
      </c>
      <c r="DN46" s="50" t="str">
        <f t="shared" si="111"/>
        <v/>
      </c>
      <c r="DO46" s="50">
        <f>Participantes!CC45</f>
        <v>0</v>
      </c>
      <c r="DP46" s="50">
        <f>Participantes!CD45</f>
        <v>0</v>
      </c>
      <c r="DQ46" s="50" t="str">
        <f t="shared" si="112"/>
        <v/>
      </c>
      <c r="DR46" s="50">
        <f>Participantes!CE45</f>
        <v>0</v>
      </c>
      <c r="DS46" s="50">
        <f>Participantes!CF45</f>
        <v>0</v>
      </c>
      <c r="DT46" s="50" t="str">
        <f t="shared" si="113"/>
        <v/>
      </c>
      <c r="DU46" s="50">
        <f>Participantes!CG45</f>
        <v>0</v>
      </c>
      <c r="DV46" s="50">
        <f>Participantes!CH45</f>
        <v>0</v>
      </c>
      <c r="DW46" s="50" t="str">
        <f t="shared" si="114"/>
        <v/>
      </c>
      <c r="DX46" s="50">
        <f>Participantes!CI45</f>
        <v>0</v>
      </c>
      <c r="DY46" s="50">
        <f>Participantes!CJ45</f>
        <v>0</v>
      </c>
      <c r="DZ46" s="50" t="str">
        <f t="shared" si="115"/>
        <v/>
      </c>
      <c r="EA46" s="50">
        <f>Participantes!CK45</f>
        <v>0</v>
      </c>
      <c r="EB46" s="50">
        <f>Participantes!CL45</f>
        <v>0</v>
      </c>
      <c r="EC46" s="50" t="str">
        <f t="shared" si="116"/>
        <v/>
      </c>
      <c r="ED46" s="50">
        <f>Participantes!CM45</f>
        <v>0</v>
      </c>
      <c r="EE46" s="50">
        <f>Participantes!CN45</f>
        <v>0</v>
      </c>
      <c r="EF46" s="50" t="str">
        <f t="shared" si="117"/>
        <v/>
      </c>
      <c r="EG46" s="50">
        <f>Participantes!CO45</f>
        <v>0</v>
      </c>
      <c r="EH46" s="50">
        <f>Participantes!CP45</f>
        <v>0</v>
      </c>
      <c r="EI46" s="50" t="str">
        <f t="shared" si="118"/>
        <v/>
      </c>
      <c r="EJ46" s="50">
        <f>Participantes!CQ45</f>
        <v>0</v>
      </c>
      <c r="EK46" s="50">
        <f>Participantes!CR45</f>
        <v>0</v>
      </c>
      <c r="EL46" s="50" t="str">
        <f t="shared" si="119"/>
        <v/>
      </c>
      <c r="EM46" s="50">
        <f>Participantes!CS45</f>
        <v>0</v>
      </c>
      <c r="EN46" s="50">
        <f>Participantes!CT45</f>
        <v>0</v>
      </c>
      <c r="EO46" s="50" t="str">
        <f t="shared" si="120"/>
        <v/>
      </c>
      <c r="EP46" s="50">
        <f>Participantes!CU45</f>
        <v>0</v>
      </c>
      <c r="EQ46" s="50">
        <f>Participantes!CV45</f>
        <v>0</v>
      </c>
      <c r="ER46" s="50" t="str">
        <f t="shared" si="121"/>
        <v/>
      </c>
      <c r="ES46" s="50">
        <f>Participantes!CW45</f>
        <v>0</v>
      </c>
      <c r="ET46" s="50">
        <f>Participantes!CX45</f>
        <v>0</v>
      </c>
      <c r="EU46" s="50" t="str">
        <f t="shared" si="122"/>
        <v/>
      </c>
      <c r="EV46" s="50">
        <f>Participantes!CY45</f>
        <v>0</v>
      </c>
      <c r="EW46" s="50">
        <f>Participantes!CZ45</f>
        <v>0</v>
      </c>
      <c r="EX46" s="50" t="str">
        <f t="shared" si="123"/>
        <v/>
      </c>
      <c r="EY46" s="50">
        <f>Participantes!DA45</f>
        <v>0</v>
      </c>
      <c r="EZ46" s="50">
        <f>Participantes!DB45</f>
        <v>0</v>
      </c>
      <c r="FA46" s="50" t="str">
        <f t="shared" si="124"/>
        <v/>
      </c>
      <c r="FB46" s="50">
        <f>Participantes!DC45</f>
        <v>0</v>
      </c>
      <c r="FC46" s="50">
        <f>Participantes!DD45</f>
        <v>0</v>
      </c>
      <c r="FD46" s="50" t="str">
        <f t="shared" si="125"/>
        <v/>
      </c>
      <c r="FE46" s="50">
        <f>Participantes!DE45</f>
        <v>0</v>
      </c>
      <c r="FF46" s="50">
        <f>Participantes!DF45</f>
        <v>0</v>
      </c>
      <c r="FG46" s="50" t="str">
        <f t="shared" si="126"/>
        <v/>
      </c>
      <c r="FH46" s="50">
        <f>Participantes!DG45</f>
        <v>0</v>
      </c>
      <c r="FI46" s="50">
        <f>Participantes!DH45</f>
        <v>0</v>
      </c>
      <c r="FJ46" s="50" t="str">
        <f t="shared" si="127"/>
        <v/>
      </c>
      <c r="FK46" s="50">
        <f>Participantes!DI45</f>
        <v>0</v>
      </c>
      <c r="FL46" s="50">
        <f>Participantes!DJ45</f>
        <v>0</v>
      </c>
      <c r="FM46" s="50" t="str">
        <f t="shared" si="128"/>
        <v/>
      </c>
      <c r="FN46" s="50">
        <f>Participantes!DK45</f>
        <v>0</v>
      </c>
      <c r="FO46" s="50">
        <f>Participantes!DL45</f>
        <v>0</v>
      </c>
      <c r="FP46" s="50" t="str">
        <f t="shared" si="129"/>
        <v/>
      </c>
      <c r="FQ46" s="50">
        <f>Participantes!DM45</f>
        <v>0</v>
      </c>
      <c r="FR46" s="50">
        <f>Participantes!DN45</f>
        <v>0</v>
      </c>
      <c r="FS46" s="50" t="str">
        <f t="shared" si="130"/>
        <v/>
      </c>
      <c r="FT46" s="50">
        <f>Participantes!DO45</f>
        <v>0</v>
      </c>
      <c r="FU46" s="50">
        <f>Participantes!DP45</f>
        <v>0</v>
      </c>
      <c r="FV46" s="50" t="str">
        <f t="shared" si="131"/>
        <v/>
      </c>
      <c r="FW46" s="50">
        <f>Participantes!DQ45</f>
        <v>0</v>
      </c>
      <c r="FX46" s="50">
        <f>Participantes!DR45</f>
        <v>0</v>
      </c>
      <c r="FY46" s="50" t="str">
        <f t="shared" si="132"/>
        <v/>
      </c>
      <c r="FZ46" s="50">
        <f>Participantes!DS45</f>
        <v>0</v>
      </c>
      <c r="GA46" s="50">
        <f>Participantes!DT45</f>
        <v>0</v>
      </c>
      <c r="GB46" s="50" t="str">
        <f t="shared" si="133"/>
        <v/>
      </c>
      <c r="GC46" s="50">
        <f>Participantes!DU45</f>
        <v>0</v>
      </c>
      <c r="GD46" s="50">
        <f>Participantes!DV45</f>
        <v>0</v>
      </c>
      <c r="GE46" s="50" t="str">
        <f t="shared" si="134"/>
        <v/>
      </c>
      <c r="GF46" s="50">
        <f>Participantes!DW45</f>
        <v>0</v>
      </c>
      <c r="GG46" s="50">
        <f>Participantes!DX45</f>
        <v>0</v>
      </c>
      <c r="GH46" s="50" t="str">
        <f t="shared" si="135"/>
        <v/>
      </c>
      <c r="GI46" s="50">
        <f>Participantes!DY45</f>
        <v>0</v>
      </c>
      <c r="GJ46" s="50">
        <f>Participantes!DZ45</f>
        <v>0</v>
      </c>
      <c r="GK46" s="50" t="str">
        <f t="shared" si="136"/>
        <v/>
      </c>
      <c r="GL46" s="50">
        <f>Participantes!EA45</f>
        <v>0</v>
      </c>
      <c r="GM46" s="50">
        <f>Participantes!EB45</f>
        <v>0</v>
      </c>
      <c r="GN46" s="50" t="str">
        <f t="shared" si="137"/>
        <v/>
      </c>
      <c r="GO46" s="50">
        <f>Participantes!EC45</f>
        <v>0</v>
      </c>
      <c r="GP46" s="50">
        <f>Participantes!ED45</f>
        <v>0</v>
      </c>
      <c r="GQ46" s="50" t="str">
        <f t="shared" si="138"/>
        <v/>
      </c>
      <c r="GR46" s="50">
        <f>Participantes!EE45</f>
        <v>0</v>
      </c>
      <c r="GS46" s="50">
        <f>Participantes!EF45</f>
        <v>0</v>
      </c>
      <c r="GT46" s="50" t="str">
        <f t="shared" si="139"/>
        <v/>
      </c>
      <c r="GU46" s="50">
        <f>Participantes!EG45</f>
        <v>0</v>
      </c>
      <c r="GV46" s="50">
        <f>Participantes!EH45</f>
        <v>0</v>
      </c>
      <c r="GW46" s="50" t="str">
        <f t="shared" si="140"/>
        <v/>
      </c>
      <c r="GX46" s="50">
        <f>Participantes!EI45</f>
        <v>0</v>
      </c>
      <c r="GY46" s="50">
        <f>Participantes!EJ45</f>
        <v>0</v>
      </c>
      <c r="GZ46" s="50" t="str">
        <f t="shared" si="141"/>
        <v/>
      </c>
      <c r="HA46" s="50">
        <f>Participantes!EK45</f>
        <v>0</v>
      </c>
      <c r="HB46" s="50">
        <f>Participantes!EL45</f>
        <v>0</v>
      </c>
      <c r="HC46" s="50" t="str">
        <f t="shared" si="142"/>
        <v/>
      </c>
      <c r="HD46" s="50">
        <f>Participantes!EM45</f>
        <v>0</v>
      </c>
      <c r="HE46" s="50">
        <f>Participantes!EN45</f>
        <v>0</v>
      </c>
      <c r="HF46" s="50" t="str">
        <f t="shared" si="143"/>
        <v/>
      </c>
      <c r="HG46" s="50">
        <f>Participantes!EO45</f>
        <v>0</v>
      </c>
      <c r="HH46" s="50">
        <f>Participantes!EP45</f>
        <v>0</v>
      </c>
      <c r="HI46" s="50" t="str">
        <f t="shared" si="144"/>
        <v/>
      </c>
      <c r="HJ46" s="51">
        <f t="shared" si="145"/>
        <v>3</v>
      </c>
    </row>
    <row r="47" spans="1:218" ht="15" customHeight="1" x14ac:dyDescent="0.25">
      <c r="A47" s="49" t="str">
        <f>Participantes!B46</f>
        <v>Radames</v>
      </c>
      <c r="B47" s="50">
        <f>Participantes!C46</f>
        <v>2</v>
      </c>
      <c r="C47" s="50">
        <f>Participantes!D46</f>
        <v>0</v>
      </c>
      <c r="D47" s="50">
        <f t="shared" si="73"/>
        <v>3</v>
      </c>
      <c r="E47" s="50">
        <f>Participantes!E46</f>
        <v>0</v>
      </c>
      <c r="F47" s="50">
        <f>Participantes!F46</f>
        <v>1</v>
      </c>
      <c r="G47" s="50">
        <f t="shared" si="74"/>
        <v>0</v>
      </c>
      <c r="H47" s="50">
        <f>Participantes!G46</f>
        <v>1</v>
      </c>
      <c r="I47" s="50">
        <f>Participantes!H46</f>
        <v>0</v>
      </c>
      <c r="J47" s="50" t="str">
        <f t="shared" si="75"/>
        <v/>
      </c>
      <c r="K47" s="50">
        <f>Participantes!I46</f>
        <v>2</v>
      </c>
      <c r="L47" s="50">
        <f>Participantes!J46</f>
        <v>0</v>
      </c>
      <c r="M47" s="50" t="str">
        <f t="shared" si="76"/>
        <v/>
      </c>
      <c r="N47" s="50">
        <f>Participantes!K46</f>
        <v>1</v>
      </c>
      <c r="O47" s="50">
        <f>Participantes!L46</f>
        <v>3</v>
      </c>
      <c r="P47" s="50" t="str">
        <f t="shared" si="77"/>
        <v/>
      </c>
      <c r="Q47" s="50">
        <f>Participantes!M46</f>
        <v>2</v>
      </c>
      <c r="R47" s="50">
        <f>Participantes!N46</f>
        <v>2</v>
      </c>
      <c r="S47" s="50" t="str">
        <f t="shared" si="78"/>
        <v/>
      </c>
      <c r="T47" s="50">
        <f>Participantes!O46</f>
        <v>3</v>
      </c>
      <c r="U47" s="50">
        <f>Participantes!P46</f>
        <v>0</v>
      </c>
      <c r="V47" s="50" t="str">
        <f t="shared" si="79"/>
        <v/>
      </c>
      <c r="W47" s="50">
        <f>Participantes!Q46</f>
        <v>1</v>
      </c>
      <c r="X47" s="50">
        <f>Participantes!R46</f>
        <v>2</v>
      </c>
      <c r="Y47" s="50" t="str">
        <f t="shared" si="80"/>
        <v/>
      </c>
      <c r="Z47" s="50">
        <f>Participantes!S46</f>
        <v>1</v>
      </c>
      <c r="AA47" s="50">
        <f>Participantes!T46</f>
        <v>1</v>
      </c>
      <c r="AB47" s="50" t="str">
        <f t="shared" si="81"/>
        <v/>
      </c>
      <c r="AC47" s="50">
        <f>Participantes!U46</f>
        <v>4</v>
      </c>
      <c r="AD47" s="50">
        <f>Participantes!V46</f>
        <v>0</v>
      </c>
      <c r="AE47" s="50" t="str">
        <f t="shared" si="82"/>
        <v/>
      </c>
      <c r="AF47" s="50">
        <f>Participantes!W46</f>
        <v>3</v>
      </c>
      <c r="AG47" s="50">
        <f>Participantes!X46</f>
        <v>2</v>
      </c>
      <c r="AH47" s="50" t="str">
        <f t="shared" si="83"/>
        <v/>
      </c>
      <c r="AI47" s="50">
        <f>Participantes!Y46</f>
        <v>2</v>
      </c>
      <c r="AJ47" s="50">
        <f>Participantes!Z46</f>
        <v>0</v>
      </c>
      <c r="AK47" s="50" t="str">
        <f t="shared" si="84"/>
        <v/>
      </c>
      <c r="AL47" s="50">
        <f>Participantes!AA46</f>
        <v>1</v>
      </c>
      <c r="AM47" s="50">
        <f>Participantes!AB46</f>
        <v>2</v>
      </c>
      <c r="AN47" s="50" t="str">
        <f t="shared" si="85"/>
        <v/>
      </c>
      <c r="AO47" s="50">
        <f>Participantes!AC46</f>
        <v>3</v>
      </c>
      <c r="AP47" s="50">
        <f>Participantes!AD46</f>
        <v>1</v>
      </c>
      <c r="AQ47" s="50" t="str">
        <f t="shared" si="86"/>
        <v/>
      </c>
      <c r="AR47" s="50">
        <f>Participantes!AE46</f>
        <v>0</v>
      </c>
      <c r="AS47" s="50">
        <f>Participantes!AF46</f>
        <v>0</v>
      </c>
      <c r="AT47" s="50" t="str">
        <f t="shared" si="87"/>
        <v/>
      </c>
      <c r="AU47" s="50">
        <f>Participantes!AG46</f>
        <v>0</v>
      </c>
      <c r="AV47" s="50">
        <f>Participantes!AH46</f>
        <v>0</v>
      </c>
      <c r="AW47" s="50" t="str">
        <f t="shared" si="88"/>
        <v/>
      </c>
      <c r="AX47" s="50">
        <f>Participantes!AI46</f>
        <v>0</v>
      </c>
      <c r="AY47" s="50">
        <f>Participantes!AJ46</f>
        <v>0</v>
      </c>
      <c r="AZ47" s="50" t="str">
        <f t="shared" si="89"/>
        <v/>
      </c>
      <c r="BA47" s="50">
        <f>Participantes!AK46</f>
        <v>0</v>
      </c>
      <c r="BB47" s="50">
        <f>Participantes!AL46</f>
        <v>0</v>
      </c>
      <c r="BC47" s="50" t="str">
        <f t="shared" si="90"/>
        <v/>
      </c>
      <c r="BD47" s="50">
        <f>Participantes!AM46</f>
        <v>0</v>
      </c>
      <c r="BE47" s="50">
        <f>Participantes!AN46</f>
        <v>0</v>
      </c>
      <c r="BF47" s="50" t="str">
        <f t="shared" si="91"/>
        <v/>
      </c>
      <c r="BG47" s="50">
        <f>Participantes!AO46</f>
        <v>0</v>
      </c>
      <c r="BH47" s="50">
        <f>Participantes!AP46</f>
        <v>0</v>
      </c>
      <c r="BI47" s="50" t="str">
        <f t="shared" si="92"/>
        <v/>
      </c>
      <c r="BJ47" s="50">
        <f>Participantes!AQ46</f>
        <v>0</v>
      </c>
      <c r="BK47" s="50">
        <f>Participantes!AR46</f>
        <v>0</v>
      </c>
      <c r="BL47" s="50" t="str">
        <f t="shared" si="93"/>
        <v/>
      </c>
      <c r="BM47" s="50">
        <f>Participantes!AS46</f>
        <v>0</v>
      </c>
      <c r="BN47" s="50">
        <f>Participantes!AT46</f>
        <v>0</v>
      </c>
      <c r="BO47" s="50" t="str">
        <f t="shared" si="94"/>
        <v/>
      </c>
      <c r="BP47" s="50">
        <f>Participantes!AU46</f>
        <v>0</v>
      </c>
      <c r="BQ47" s="50">
        <f>Participantes!AV46</f>
        <v>0</v>
      </c>
      <c r="BR47" s="50" t="str">
        <f t="shared" si="95"/>
        <v/>
      </c>
      <c r="BS47" s="50">
        <f>Participantes!AW46</f>
        <v>0</v>
      </c>
      <c r="BT47" s="50">
        <f>Participantes!AX46</f>
        <v>0</v>
      </c>
      <c r="BU47" s="50" t="str">
        <f t="shared" si="96"/>
        <v/>
      </c>
      <c r="BV47" s="50">
        <f>Participantes!AY46</f>
        <v>0</v>
      </c>
      <c r="BW47" s="50">
        <f>Participantes!AZ46</f>
        <v>0</v>
      </c>
      <c r="BX47" s="50" t="str">
        <f t="shared" si="97"/>
        <v/>
      </c>
      <c r="BY47" s="50">
        <f>Participantes!BA46</f>
        <v>0</v>
      </c>
      <c r="BZ47" s="50">
        <f>Participantes!BB46</f>
        <v>0</v>
      </c>
      <c r="CA47" s="50" t="str">
        <f t="shared" si="98"/>
        <v/>
      </c>
      <c r="CB47" s="50">
        <f>Participantes!BC46</f>
        <v>0</v>
      </c>
      <c r="CC47" s="50">
        <f>Participantes!BD46</f>
        <v>0</v>
      </c>
      <c r="CD47" s="50" t="str">
        <f t="shared" si="99"/>
        <v/>
      </c>
      <c r="CE47" s="50">
        <f>Participantes!BE46</f>
        <v>0</v>
      </c>
      <c r="CF47" s="50">
        <f>Participantes!BF46</f>
        <v>0</v>
      </c>
      <c r="CG47" s="50" t="str">
        <f t="shared" si="100"/>
        <v/>
      </c>
      <c r="CH47" s="50">
        <f>Participantes!BG46</f>
        <v>0</v>
      </c>
      <c r="CI47" s="50">
        <f>Participantes!BH46</f>
        <v>0</v>
      </c>
      <c r="CJ47" s="50" t="str">
        <f t="shared" si="101"/>
        <v/>
      </c>
      <c r="CK47" s="50">
        <f>Participantes!BI46</f>
        <v>0</v>
      </c>
      <c r="CL47" s="50">
        <f>Participantes!BJ46</f>
        <v>0</v>
      </c>
      <c r="CM47" s="50" t="str">
        <f t="shared" si="102"/>
        <v/>
      </c>
      <c r="CN47" s="50">
        <f>Participantes!BK46</f>
        <v>0</v>
      </c>
      <c r="CO47" s="50">
        <f>Participantes!BL46</f>
        <v>0</v>
      </c>
      <c r="CP47" s="50" t="str">
        <f t="shared" si="103"/>
        <v/>
      </c>
      <c r="CQ47" s="50">
        <f>Participantes!BM46</f>
        <v>0</v>
      </c>
      <c r="CR47" s="50">
        <f>Participantes!BN46</f>
        <v>0</v>
      </c>
      <c r="CS47" s="50" t="str">
        <f t="shared" si="104"/>
        <v/>
      </c>
      <c r="CT47" s="50">
        <f>Participantes!BO46</f>
        <v>0</v>
      </c>
      <c r="CU47" s="50">
        <f>Participantes!BP46</f>
        <v>0</v>
      </c>
      <c r="CV47" s="50" t="str">
        <f t="shared" si="105"/>
        <v/>
      </c>
      <c r="CW47" s="50">
        <f>Participantes!BQ46</f>
        <v>0</v>
      </c>
      <c r="CX47" s="50">
        <f>Participantes!BR46</f>
        <v>0</v>
      </c>
      <c r="CY47" s="50" t="str">
        <f t="shared" si="106"/>
        <v/>
      </c>
      <c r="CZ47" s="50">
        <f>Participantes!BS46</f>
        <v>0</v>
      </c>
      <c r="DA47" s="50">
        <f>Participantes!BT46</f>
        <v>0</v>
      </c>
      <c r="DB47" s="50" t="str">
        <f t="shared" si="107"/>
        <v/>
      </c>
      <c r="DC47" s="50">
        <f>Participantes!BU46</f>
        <v>0</v>
      </c>
      <c r="DD47" s="50">
        <f>Participantes!BV46</f>
        <v>0</v>
      </c>
      <c r="DE47" s="50" t="str">
        <f t="shared" si="108"/>
        <v/>
      </c>
      <c r="DF47" s="50">
        <f>Participantes!BW46</f>
        <v>0</v>
      </c>
      <c r="DG47" s="50">
        <f>Participantes!BX46</f>
        <v>0</v>
      </c>
      <c r="DH47" s="50" t="str">
        <f t="shared" si="109"/>
        <v/>
      </c>
      <c r="DI47" s="50">
        <f>Participantes!BY46</f>
        <v>0</v>
      </c>
      <c r="DJ47" s="50">
        <f>Participantes!BZ46</f>
        <v>0</v>
      </c>
      <c r="DK47" s="50" t="str">
        <f t="shared" si="110"/>
        <v/>
      </c>
      <c r="DL47" s="50">
        <f>Participantes!CA46</f>
        <v>0</v>
      </c>
      <c r="DM47" s="50">
        <f>Participantes!CB46</f>
        <v>0</v>
      </c>
      <c r="DN47" s="50" t="str">
        <f t="shared" si="111"/>
        <v/>
      </c>
      <c r="DO47" s="50">
        <f>Participantes!CC46</f>
        <v>0</v>
      </c>
      <c r="DP47" s="50">
        <f>Participantes!CD46</f>
        <v>0</v>
      </c>
      <c r="DQ47" s="50" t="str">
        <f t="shared" si="112"/>
        <v/>
      </c>
      <c r="DR47" s="50">
        <f>Participantes!CE46</f>
        <v>0</v>
      </c>
      <c r="DS47" s="50">
        <f>Participantes!CF46</f>
        <v>0</v>
      </c>
      <c r="DT47" s="50" t="str">
        <f t="shared" si="113"/>
        <v/>
      </c>
      <c r="DU47" s="50">
        <f>Participantes!CG46</f>
        <v>0</v>
      </c>
      <c r="DV47" s="50">
        <f>Participantes!CH46</f>
        <v>0</v>
      </c>
      <c r="DW47" s="50" t="str">
        <f t="shared" si="114"/>
        <v/>
      </c>
      <c r="DX47" s="50">
        <f>Participantes!CI46</f>
        <v>0</v>
      </c>
      <c r="DY47" s="50">
        <f>Participantes!CJ46</f>
        <v>0</v>
      </c>
      <c r="DZ47" s="50" t="str">
        <f t="shared" si="115"/>
        <v/>
      </c>
      <c r="EA47" s="50">
        <f>Participantes!CK46</f>
        <v>0</v>
      </c>
      <c r="EB47" s="50">
        <f>Participantes!CL46</f>
        <v>0</v>
      </c>
      <c r="EC47" s="50" t="str">
        <f t="shared" si="116"/>
        <v/>
      </c>
      <c r="ED47" s="50">
        <f>Participantes!CM46</f>
        <v>0</v>
      </c>
      <c r="EE47" s="50">
        <f>Participantes!CN46</f>
        <v>0</v>
      </c>
      <c r="EF47" s="50" t="str">
        <f t="shared" si="117"/>
        <v/>
      </c>
      <c r="EG47" s="50">
        <f>Participantes!CO46</f>
        <v>0</v>
      </c>
      <c r="EH47" s="50">
        <f>Participantes!CP46</f>
        <v>0</v>
      </c>
      <c r="EI47" s="50" t="str">
        <f t="shared" si="118"/>
        <v/>
      </c>
      <c r="EJ47" s="50">
        <f>Participantes!CQ46</f>
        <v>0</v>
      </c>
      <c r="EK47" s="50">
        <f>Participantes!CR46</f>
        <v>0</v>
      </c>
      <c r="EL47" s="50" t="str">
        <f t="shared" si="119"/>
        <v/>
      </c>
      <c r="EM47" s="50">
        <f>Participantes!CS46</f>
        <v>0</v>
      </c>
      <c r="EN47" s="50">
        <f>Participantes!CT46</f>
        <v>0</v>
      </c>
      <c r="EO47" s="50" t="str">
        <f t="shared" si="120"/>
        <v/>
      </c>
      <c r="EP47" s="50">
        <f>Participantes!CU46</f>
        <v>0</v>
      </c>
      <c r="EQ47" s="50">
        <f>Participantes!CV46</f>
        <v>0</v>
      </c>
      <c r="ER47" s="50" t="str">
        <f t="shared" si="121"/>
        <v/>
      </c>
      <c r="ES47" s="50">
        <f>Participantes!CW46</f>
        <v>0</v>
      </c>
      <c r="ET47" s="50">
        <f>Participantes!CX46</f>
        <v>0</v>
      </c>
      <c r="EU47" s="50" t="str">
        <f t="shared" si="122"/>
        <v/>
      </c>
      <c r="EV47" s="50">
        <f>Participantes!CY46</f>
        <v>0</v>
      </c>
      <c r="EW47" s="50">
        <f>Participantes!CZ46</f>
        <v>0</v>
      </c>
      <c r="EX47" s="50" t="str">
        <f t="shared" si="123"/>
        <v/>
      </c>
      <c r="EY47" s="50">
        <f>Participantes!DA46</f>
        <v>0</v>
      </c>
      <c r="EZ47" s="50">
        <f>Participantes!DB46</f>
        <v>0</v>
      </c>
      <c r="FA47" s="50" t="str">
        <f t="shared" si="124"/>
        <v/>
      </c>
      <c r="FB47" s="50">
        <f>Participantes!DC46</f>
        <v>0</v>
      </c>
      <c r="FC47" s="50">
        <f>Participantes!DD46</f>
        <v>0</v>
      </c>
      <c r="FD47" s="50" t="str">
        <f t="shared" si="125"/>
        <v/>
      </c>
      <c r="FE47" s="50">
        <f>Participantes!DE46</f>
        <v>0</v>
      </c>
      <c r="FF47" s="50">
        <f>Participantes!DF46</f>
        <v>0</v>
      </c>
      <c r="FG47" s="50" t="str">
        <f t="shared" si="126"/>
        <v/>
      </c>
      <c r="FH47" s="50">
        <f>Participantes!DG46</f>
        <v>0</v>
      </c>
      <c r="FI47" s="50">
        <f>Participantes!DH46</f>
        <v>0</v>
      </c>
      <c r="FJ47" s="50" t="str">
        <f t="shared" si="127"/>
        <v/>
      </c>
      <c r="FK47" s="50">
        <f>Participantes!DI46</f>
        <v>0</v>
      </c>
      <c r="FL47" s="50">
        <f>Participantes!DJ46</f>
        <v>0</v>
      </c>
      <c r="FM47" s="50" t="str">
        <f t="shared" si="128"/>
        <v/>
      </c>
      <c r="FN47" s="50">
        <f>Participantes!DK46</f>
        <v>0</v>
      </c>
      <c r="FO47" s="50">
        <f>Participantes!DL46</f>
        <v>0</v>
      </c>
      <c r="FP47" s="50" t="str">
        <f t="shared" si="129"/>
        <v/>
      </c>
      <c r="FQ47" s="50">
        <f>Participantes!DM46</f>
        <v>0</v>
      </c>
      <c r="FR47" s="50">
        <f>Participantes!DN46</f>
        <v>0</v>
      </c>
      <c r="FS47" s="50" t="str">
        <f t="shared" si="130"/>
        <v/>
      </c>
      <c r="FT47" s="50">
        <f>Participantes!DO46</f>
        <v>0</v>
      </c>
      <c r="FU47" s="50">
        <f>Participantes!DP46</f>
        <v>0</v>
      </c>
      <c r="FV47" s="50" t="str">
        <f t="shared" si="131"/>
        <v/>
      </c>
      <c r="FW47" s="50">
        <f>Participantes!DQ46</f>
        <v>0</v>
      </c>
      <c r="FX47" s="50">
        <f>Participantes!DR46</f>
        <v>0</v>
      </c>
      <c r="FY47" s="50" t="str">
        <f t="shared" si="132"/>
        <v/>
      </c>
      <c r="FZ47" s="50">
        <f>Participantes!DS46</f>
        <v>0</v>
      </c>
      <c r="GA47" s="50">
        <f>Participantes!DT46</f>
        <v>0</v>
      </c>
      <c r="GB47" s="50" t="str">
        <f t="shared" si="133"/>
        <v/>
      </c>
      <c r="GC47" s="50">
        <f>Participantes!DU46</f>
        <v>0</v>
      </c>
      <c r="GD47" s="50">
        <f>Participantes!DV46</f>
        <v>0</v>
      </c>
      <c r="GE47" s="50" t="str">
        <f t="shared" si="134"/>
        <v/>
      </c>
      <c r="GF47" s="50">
        <f>Participantes!DW46</f>
        <v>0</v>
      </c>
      <c r="GG47" s="50">
        <f>Participantes!DX46</f>
        <v>0</v>
      </c>
      <c r="GH47" s="50" t="str">
        <f t="shared" si="135"/>
        <v/>
      </c>
      <c r="GI47" s="50">
        <f>Participantes!DY46</f>
        <v>0</v>
      </c>
      <c r="GJ47" s="50">
        <f>Participantes!DZ46</f>
        <v>0</v>
      </c>
      <c r="GK47" s="50" t="str">
        <f t="shared" si="136"/>
        <v/>
      </c>
      <c r="GL47" s="50">
        <f>Participantes!EA46</f>
        <v>0</v>
      </c>
      <c r="GM47" s="50">
        <f>Participantes!EB46</f>
        <v>0</v>
      </c>
      <c r="GN47" s="50" t="str">
        <f t="shared" si="137"/>
        <v/>
      </c>
      <c r="GO47" s="50">
        <f>Participantes!EC46</f>
        <v>0</v>
      </c>
      <c r="GP47" s="50">
        <f>Participantes!ED46</f>
        <v>0</v>
      </c>
      <c r="GQ47" s="50" t="str">
        <f t="shared" si="138"/>
        <v/>
      </c>
      <c r="GR47" s="50">
        <f>Participantes!EE46</f>
        <v>0</v>
      </c>
      <c r="GS47" s="50">
        <f>Participantes!EF46</f>
        <v>0</v>
      </c>
      <c r="GT47" s="50" t="str">
        <f t="shared" si="139"/>
        <v/>
      </c>
      <c r="GU47" s="50">
        <f>Participantes!EG46</f>
        <v>0</v>
      </c>
      <c r="GV47" s="50">
        <f>Participantes!EH46</f>
        <v>0</v>
      </c>
      <c r="GW47" s="50" t="str">
        <f t="shared" si="140"/>
        <v/>
      </c>
      <c r="GX47" s="50">
        <f>Participantes!EI46</f>
        <v>0</v>
      </c>
      <c r="GY47" s="50">
        <f>Participantes!EJ46</f>
        <v>0</v>
      </c>
      <c r="GZ47" s="50" t="str">
        <f t="shared" si="141"/>
        <v/>
      </c>
      <c r="HA47" s="50">
        <f>Participantes!EK46</f>
        <v>0</v>
      </c>
      <c r="HB47" s="50">
        <f>Participantes!EL46</f>
        <v>0</v>
      </c>
      <c r="HC47" s="50" t="str">
        <f t="shared" si="142"/>
        <v/>
      </c>
      <c r="HD47" s="50">
        <f>Participantes!EM46</f>
        <v>0</v>
      </c>
      <c r="HE47" s="50">
        <f>Participantes!EN46</f>
        <v>0</v>
      </c>
      <c r="HF47" s="50" t="str">
        <f t="shared" si="143"/>
        <v/>
      </c>
      <c r="HG47" s="50">
        <f>Participantes!EO46</f>
        <v>0</v>
      </c>
      <c r="HH47" s="50">
        <f>Participantes!EP46</f>
        <v>0</v>
      </c>
      <c r="HI47" s="50" t="str">
        <f t="shared" si="144"/>
        <v/>
      </c>
      <c r="HJ47" s="51">
        <f t="shared" si="145"/>
        <v>3</v>
      </c>
    </row>
    <row r="48" spans="1:218" ht="15" customHeight="1" x14ac:dyDescent="0.25">
      <c r="A48" s="49" t="str">
        <f>Participantes!B47</f>
        <v>Saul</v>
      </c>
      <c r="B48" s="50">
        <f>Participantes!C47</f>
        <v>2</v>
      </c>
      <c r="C48" s="50">
        <f>Participantes!D47</f>
        <v>0</v>
      </c>
      <c r="D48" s="50">
        <f t="shared" si="73"/>
        <v>3</v>
      </c>
      <c r="E48" s="50">
        <f>Participantes!E47</f>
        <v>1</v>
      </c>
      <c r="F48" s="50">
        <f>Participantes!F47</f>
        <v>1</v>
      </c>
      <c r="G48" s="50">
        <f t="shared" si="74"/>
        <v>0</v>
      </c>
      <c r="H48" s="50">
        <f>Participantes!G47</f>
        <v>1</v>
      </c>
      <c r="I48" s="50">
        <f>Participantes!H47</f>
        <v>0</v>
      </c>
      <c r="J48" s="50" t="str">
        <f t="shared" si="75"/>
        <v/>
      </c>
      <c r="K48" s="50">
        <f>Participantes!I47</f>
        <v>2</v>
      </c>
      <c r="L48" s="50">
        <f>Participantes!J47</f>
        <v>1</v>
      </c>
      <c r="M48" s="50" t="str">
        <f t="shared" si="76"/>
        <v/>
      </c>
      <c r="N48" s="50">
        <f>Participantes!K47</f>
        <v>0</v>
      </c>
      <c r="O48" s="50">
        <f>Participantes!L47</f>
        <v>1</v>
      </c>
      <c r="P48" s="50" t="str">
        <f t="shared" si="77"/>
        <v/>
      </c>
      <c r="Q48" s="50">
        <f>Participantes!M47</f>
        <v>1</v>
      </c>
      <c r="R48" s="50">
        <f>Participantes!N47</f>
        <v>2</v>
      </c>
      <c r="S48" s="50" t="str">
        <f t="shared" si="78"/>
        <v/>
      </c>
      <c r="T48" s="50">
        <f>Participantes!O47</f>
        <v>3</v>
      </c>
      <c r="U48" s="50">
        <f>Participantes!P47</f>
        <v>1</v>
      </c>
      <c r="V48" s="50" t="str">
        <f t="shared" si="79"/>
        <v/>
      </c>
      <c r="W48" s="50">
        <f>Participantes!Q47</f>
        <v>0</v>
      </c>
      <c r="X48" s="50">
        <f>Participantes!R47</f>
        <v>2</v>
      </c>
      <c r="Y48" s="50" t="str">
        <f t="shared" si="80"/>
        <v/>
      </c>
      <c r="Z48" s="50">
        <f>Participantes!S47</f>
        <v>1</v>
      </c>
      <c r="AA48" s="50">
        <f>Participantes!T47</f>
        <v>1</v>
      </c>
      <c r="AB48" s="50" t="str">
        <f t="shared" si="81"/>
        <v/>
      </c>
      <c r="AC48" s="50">
        <f>Participantes!U47</f>
        <v>2</v>
      </c>
      <c r="AD48" s="50">
        <f>Participantes!V47</f>
        <v>0</v>
      </c>
      <c r="AE48" s="50" t="str">
        <f t="shared" si="82"/>
        <v/>
      </c>
      <c r="AF48" s="50">
        <f>Participantes!W47</f>
        <v>2</v>
      </c>
      <c r="AG48" s="50">
        <f>Participantes!X47</f>
        <v>1</v>
      </c>
      <c r="AH48" s="50" t="str">
        <f t="shared" si="83"/>
        <v/>
      </c>
      <c r="AI48" s="50">
        <f>Participantes!Y47</f>
        <v>1</v>
      </c>
      <c r="AJ48" s="50">
        <f>Participantes!Z47</f>
        <v>0</v>
      </c>
      <c r="AK48" s="50" t="str">
        <f t="shared" si="84"/>
        <v/>
      </c>
      <c r="AL48" s="50">
        <f>Participantes!AA47</f>
        <v>0</v>
      </c>
      <c r="AM48" s="50">
        <f>Participantes!AB47</f>
        <v>2</v>
      </c>
      <c r="AN48" s="50" t="str">
        <f t="shared" si="85"/>
        <v/>
      </c>
      <c r="AO48" s="50">
        <f>Participantes!AC47</f>
        <v>3</v>
      </c>
      <c r="AP48" s="50">
        <f>Participantes!AD47</f>
        <v>0</v>
      </c>
      <c r="AQ48" s="50" t="str">
        <f t="shared" si="86"/>
        <v/>
      </c>
      <c r="AR48" s="50">
        <f>Participantes!AE47</f>
        <v>0</v>
      </c>
      <c r="AS48" s="50">
        <f>Participantes!AF47</f>
        <v>0</v>
      </c>
      <c r="AT48" s="50" t="str">
        <f t="shared" si="87"/>
        <v/>
      </c>
      <c r="AU48" s="50">
        <f>Participantes!AG47</f>
        <v>0</v>
      </c>
      <c r="AV48" s="50">
        <f>Participantes!AH47</f>
        <v>0</v>
      </c>
      <c r="AW48" s="50" t="str">
        <f t="shared" si="88"/>
        <v/>
      </c>
      <c r="AX48" s="50">
        <f>Participantes!AI47</f>
        <v>0</v>
      </c>
      <c r="AY48" s="50">
        <f>Participantes!AJ47</f>
        <v>0</v>
      </c>
      <c r="AZ48" s="50" t="str">
        <f t="shared" si="89"/>
        <v/>
      </c>
      <c r="BA48" s="50">
        <f>Participantes!AK47</f>
        <v>0</v>
      </c>
      <c r="BB48" s="50">
        <f>Participantes!AL47</f>
        <v>0</v>
      </c>
      <c r="BC48" s="50" t="str">
        <f t="shared" si="90"/>
        <v/>
      </c>
      <c r="BD48" s="50">
        <f>Participantes!AM47</f>
        <v>0</v>
      </c>
      <c r="BE48" s="50">
        <f>Participantes!AN47</f>
        <v>0</v>
      </c>
      <c r="BF48" s="50" t="str">
        <f t="shared" si="91"/>
        <v/>
      </c>
      <c r="BG48" s="50">
        <f>Participantes!AO47</f>
        <v>0</v>
      </c>
      <c r="BH48" s="50">
        <f>Participantes!AP47</f>
        <v>0</v>
      </c>
      <c r="BI48" s="50" t="str">
        <f t="shared" si="92"/>
        <v/>
      </c>
      <c r="BJ48" s="50">
        <f>Participantes!AQ47</f>
        <v>0</v>
      </c>
      <c r="BK48" s="50">
        <f>Participantes!AR47</f>
        <v>0</v>
      </c>
      <c r="BL48" s="50" t="str">
        <f t="shared" si="93"/>
        <v/>
      </c>
      <c r="BM48" s="50">
        <f>Participantes!AS47</f>
        <v>0</v>
      </c>
      <c r="BN48" s="50">
        <f>Participantes!AT47</f>
        <v>0</v>
      </c>
      <c r="BO48" s="50" t="str">
        <f t="shared" si="94"/>
        <v/>
      </c>
      <c r="BP48" s="50">
        <f>Participantes!AU47</f>
        <v>0</v>
      </c>
      <c r="BQ48" s="50">
        <f>Participantes!AV47</f>
        <v>0</v>
      </c>
      <c r="BR48" s="50" t="str">
        <f t="shared" si="95"/>
        <v/>
      </c>
      <c r="BS48" s="50">
        <f>Participantes!AW47</f>
        <v>0</v>
      </c>
      <c r="BT48" s="50">
        <f>Participantes!AX47</f>
        <v>0</v>
      </c>
      <c r="BU48" s="50" t="str">
        <f t="shared" si="96"/>
        <v/>
      </c>
      <c r="BV48" s="50">
        <f>Participantes!AY47</f>
        <v>0</v>
      </c>
      <c r="BW48" s="50">
        <f>Participantes!AZ47</f>
        <v>0</v>
      </c>
      <c r="BX48" s="50" t="str">
        <f t="shared" si="97"/>
        <v/>
      </c>
      <c r="BY48" s="50">
        <f>Participantes!BA47</f>
        <v>0</v>
      </c>
      <c r="BZ48" s="50">
        <f>Participantes!BB47</f>
        <v>0</v>
      </c>
      <c r="CA48" s="50" t="str">
        <f t="shared" si="98"/>
        <v/>
      </c>
      <c r="CB48" s="50">
        <f>Participantes!BC47</f>
        <v>0</v>
      </c>
      <c r="CC48" s="50">
        <f>Participantes!BD47</f>
        <v>0</v>
      </c>
      <c r="CD48" s="50" t="str">
        <f t="shared" si="99"/>
        <v/>
      </c>
      <c r="CE48" s="50">
        <f>Participantes!BE47</f>
        <v>0</v>
      </c>
      <c r="CF48" s="50">
        <f>Participantes!BF47</f>
        <v>0</v>
      </c>
      <c r="CG48" s="50" t="str">
        <f t="shared" si="100"/>
        <v/>
      </c>
      <c r="CH48" s="50">
        <f>Participantes!BG47</f>
        <v>0</v>
      </c>
      <c r="CI48" s="50">
        <f>Participantes!BH47</f>
        <v>0</v>
      </c>
      <c r="CJ48" s="50" t="str">
        <f t="shared" si="101"/>
        <v/>
      </c>
      <c r="CK48" s="50">
        <f>Participantes!BI47</f>
        <v>0</v>
      </c>
      <c r="CL48" s="50">
        <f>Participantes!BJ47</f>
        <v>0</v>
      </c>
      <c r="CM48" s="50" t="str">
        <f t="shared" si="102"/>
        <v/>
      </c>
      <c r="CN48" s="50">
        <f>Participantes!BK47</f>
        <v>0</v>
      </c>
      <c r="CO48" s="50">
        <f>Participantes!BL47</f>
        <v>0</v>
      </c>
      <c r="CP48" s="50" t="str">
        <f t="shared" si="103"/>
        <v/>
      </c>
      <c r="CQ48" s="50">
        <f>Participantes!BM47</f>
        <v>0</v>
      </c>
      <c r="CR48" s="50">
        <f>Participantes!BN47</f>
        <v>0</v>
      </c>
      <c r="CS48" s="50" t="str">
        <f t="shared" si="104"/>
        <v/>
      </c>
      <c r="CT48" s="50">
        <f>Participantes!BO47</f>
        <v>0</v>
      </c>
      <c r="CU48" s="50">
        <f>Participantes!BP47</f>
        <v>0</v>
      </c>
      <c r="CV48" s="50" t="str">
        <f t="shared" si="105"/>
        <v/>
      </c>
      <c r="CW48" s="50">
        <f>Participantes!BQ47</f>
        <v>0</v>
      </c>
      <c r="CX48" s="50">
        <f>Participantes!BR47</f>
        <v>0</v>
      </c>
      <c r="CY48" s="50" t="str">
        <f t="shared" si="106"/>
        <v/>
      </c>
      <c r="CZ48" s="50">
        <f>Participantes!BS47</f>
        <v>0</v>
      </c>
      <c r="DA48" s="50">
        <f>Participantes!BT47</f>
        <v>0</v>
      </c>
      <c r="DB48" s="50" t="str">
        <f t="shared" si="107"/>
        <v/>
      </c>
      <c r="DC48" s="50">
        <f>Participantes!BU47</f>
        <v>0</v>
      </c>
      <c r="DD48" s="50">
        <f>Participantes!BV47</f>
        <v>0</v>
      </c>
      <c r="DE48" s="50" t="str">
        <f t="shared" si="108"/>
        <v/>
      </c>
      <c r="DF48" s="50">
        <f>Participantes!BW47</f>
        <v>0</v>
      </c>
      <c r="DG48" s="50">
        <f>Participantes!BX47</f>
        <v>0</v>
      </c>
      <c r="DH48" s="50" t="str">
        <f t="shared" si="109"/>
        <v/>
      </c>
      <c r="DI48" s="50">
        <f>Participantes!BY47</f>
        <v>0</v>
      </c>
      <c r="DJ48" s="50">
        <f>Participantes!BZ47</f>
        <v>0</v>
      </c>
      <c r="DK48" s="50" t="str">
        <f t="shared" si="110"/>
        <v/>
      </c>
      <c r="DL48" s="50">
        <f>Participantes!CA47</f>
        <v>0</v>
      </c>
      <c r="DM48" s="50">
        <f>Participantes!CB47</f>
        <v>0</v>
      </c>
      <c r="DN48" s="50" t="str">
        <f t="shared" si="111"/>
        <v/>
      </c>
      <c r="DO48" s="50">
        <f>Participantes!CC47</f>
        <v>0</v>
      </c>
      <c r="DP48" s="50">
        <f>Participantes!CD47</f>
        <v>0</v>
      </c>
      <c r="DQ48" s="50" t="str">
        <f t="shared" si="112"/>
        <v/>
      </c>
      <c r="DR48" s="50">
        <f>Participantes!CE47</f>
        <v>0</v>
      </c>
      <c r="DS48" s="50">
        <f>Participantes!CF47</f>
        <v>0</v>
      </c>
      <c r="DT48" s="50" t="str">
        <f t="shared" si="113"/>
        <v/>
      </c>
      <c r="DU48" s="50">
        <f>Participantes!CG47</f>
        <v>0</v>
      </c>
      <c r="DV48" s="50">
        <f>Participantes!CH47</f>
        <v>0</v>
      </c>
      <c r="DW48" s="50" t="str">
        <f t="shared" si="114"/>
        <v/>
      </c>
      <c r="DX48" s="50">
        <f>Participantes!CI47</f>
        <v>0</v>
      </c>
      <c r="DY48" s="50">
        <f>Participantes!CJ47</f>
        <v>0</v>
      </c>
      <c r="DZ48" s="50" t="str">
        <f t="shared" si="115"/>
        <v/>
      </c>
      <c r="EA48" s="50">
        <f>Participantes!CK47</f>
        <v>0</v>
      </c>
      <c r="EB48" s="50">
        <f>Participantes!CL47</f>
        <v>0</v>
      </c>
      <c r="EC48" s="50" t="str">
        <f t="shared" si="116"/>
        <v/>
      </c>
      <c r="ED48" s="50">
        <f>Participantes!CM47</f>
        <v>0</v>
      </c>
      <c r="EE48" s="50">
        <f>Participantes!CN47</f>
        <v>0</v>
      </c>
      <c r="EF48" s="50" t="str">
        <f t="shared" si="117"/>
        <v/>
      </c>
      <c r="EG48" s="50">
        <f>Participantes!CO47</f>
        <v>0</v>
      </c>
      <c r="EH48" s="50">
        <f>Participantes!CP47</f>
        <v>0</v>
      </c>
      <c r="EI48" s="50" t="str">
        <f t="shared" si="118"/>
        <v/>
      </c>
      <c r="EJ48" s="50">
        <f>Participantes!CQ47</f>
        <v>0</v>
      </c>
      <c r="EK48" s="50">
        <f>Participantes!CR47</f>
        <v>0</v>
      </c>
      <c r="EL48" s="50" t="str">
        <f t="shared" si="119"/>
        <v/>
      </c>
      <c r="EM48" s="50">
        <f>Participantes!CS47</f>
        <v>0</v>
      </c>
      <c r="EN48" s="50">
        <f>Participantes!CT47</f>
        <v>0</v>
      </c>
      <c r="EO48" s="50" t="str">
        <f t="shared" si="120"/>
        <v/>
      </c>
      <c r="EP48" s="50">
        <f>Participantes!CU47</f>
        <v>0</v>
      </c>
      <c r="EQ48" s="50">
        <f>Participantes!CV47</f>
        <v>0</v>
      </c>
      <c r="ER48" s="50" t="str">
        <f t="shared" si="121"/>
        <v/>
      </c>
      <c r="ES48" s="50">
        <f>Participantes!CW47</f>
        <v>0</v>
      </c>
      <c r="ET48" s="50">
        <f>Participantes!CX47</f>
        <v>0</v>
      </c>
      <c r="EU48" s="50" t="str">
        <f t="shared" si="122"/>
        <v/>
      </c>
      <c r="EV48" s="50">
        <f>Participantes!CY47</f>
        <v>0</v>
      </c>
      <c r="EW48" s="50">
        <f>Participantes!CZ47</f>
        <v>0</v>
      </c>
      <c r="EX48" s="50" t="str">
        <f t="shared" si="123"/>
        <v/>
      </c>
      <c r="EY48" s="50">
        <f>Participantes!DA47</f>
        <v>0</v>
      </c>
      <c r="EZ48" s="50">
        <f>Participantes!DB47</f>
        <v>0</v>
      </c>
      <c r="FA48" s="50" t="str">
        <f t="shared" si="124"/>
        <v/>
      </c>
      <c r="FB48" s="50">
        <f>Participantes!DC47</f>
        <v>0</v>
      </c>
      <c r="FC48" s="50">
        <f>Participantes!DD47</f>
        <v>0</v>
      </c>
      <c r="FD48" s="50" t="str">
        <f t="shared" si="125"/>
        <v/>
      </c>
      <c r="FE48" s="50">
        <f>Participantes!DE47</f>
        <v>0</v>
      </c>
      <c r="FF48" s="50">
        <f>Participantes!DF47</f>
        <v>0</v>
      </c>
      <c r="FG48" s="50" t="str">
        <f t="shared" si="126"/>
        <v/>
      </c>
      <c r="FH48" s="50">
        <f>Participantes!DG47</f>
        <v>0</v>
      </c>
      <c r="FI48" s="50">
        <f>Participantes!DH47</f>
        <v>0</v>
      </c>
      <c r="FJ48" s="50" t="str">
        <f t="shared" si="127"/>
        <v/>
      </c>
      <c r="FK48" s="50">
        <f>Participantes!DI47</f>
        <v>0</v>
      </c>
      <c r="FL48" s="50">
        <f>Participantes!DJ47</f>
        <v>0</v>
      </c>
      <c r="FM48" s="50" t="str">
        <f t="shared" si="128"/>
        <v/>
      </c>
      <c r="FN48" s="50">
        <f>Participantes!DK47</f>
        <v>0</v>
      </c>
      <c r="FO48" s="50">
        <f>Participantes!DL47</f>
        <v>0</v>
      </c>
      <c r="FP48" s="50" t="str">
        <f t="shared" si="129"/>
        <v/>
      </c>
      <c r="FQ48" s="50">
        <f>Participantes!DM47</f>
        <v>0</v>
      </c>
      <c r="FR48" s="50">
        <f>Participantes!DN47</f>
        <v>0</v>
      </c>
      <c r="FS48" s="50" t="str">
        <f t="shared" si="130"/>
        <v/>
      </c>
      <c r="FT48" s="50">
        <f>Participantes!DO47</f>
        <v>0</v>
      </c>
      <c r="FU48" s="50">
        <f>Participantes!DP47</f>
        <v>0</v>
      </c>
      <c r="FV48" s="50" t="str">
        <f t="shared" si="131"/>
        <v/>
      </c>
      <c r="FW48" s="50">
        <f>Participantes!DQ47</f>
        <v>0</v>
      </c>
      <c r="FX48" s="50">
        <f>Participantes!DR47</f>
        <v>0</v>
      </c>
      <c r="FY48" s="50" t="str">
        <f t="shared" si="132"/>
        <v/>
      </c>
      <c r="FZ48" s="50">
        <f>Participantes!DS47</f>
        <v>0</v>
      </c>
      <c r="GA48" s="50">
        <f>Participantes!DT47</f>
        <v>0</v>
      </c>
      <c r="GB48" s="50" t="str">
        <f t="shared" si="133"/>
        <v/>
      </c>
      <c r="GC48" s="50">
        <f>Participantes!DU47</f>
        <v>0</v>
      </c>
      <c r="GD48" s="50">
        <f>Participantes!DV47</f>
        <v>0</v>
      </c>
      <c r="GE48" s="50" t="str">
        <f t="shared" si="134"/>
        <v/>
      </c>
      <c r="GF48" s="50">
        <f>Participantes!DW47</f>
        <v>0</v>
      </c>
      <c r="GG48" s="50">
        <f>Participantes!DX47</f>
        <v>0</v>
      </c>
      <c r="GH48" s="50" t="str">
        <f t="shared" si="135"/>
        <v/>
      </c>
      <c r="GI48" s="50">
        <f>Participantes!DY47</f>
        <v>0</v>
      </c>
      <c r="GJ48" s="50">
        <f>Participantes!DZ47</f>
        <v>0</v>
      </c>
      <c r="GK48" s="50" t="str">
        <f t="shared" si="136"/>
        <v/>
      </c>
      <c r="GL48" s="50">
        <f>Participantes!EA47</f>
        <v>0</v>
      </c>
      <c r="GM48" s="50">
        <f>Participantes!EB47</f>
        <v>0</v>
      </c>
      <c r="GN48" s="50" t="str">
        <f t="shared" si="137"/>
        <v/>
      </c>
      <c r="GO48" s="50">
        <f>Participantes!EC47</f>
        <v>0</v>
      </c>
      <c r="GP48" s="50">
        <f>Participantes!ED47</f>
        <v>0</v>
      </c>
      <c r="GQ48" s="50" t="str">
        <f t="shared" si="138"/>
        <v/>
      </c>
      <c r="GR48" s="50">
        <f>Participantes!EE47</f>
        <v>0</v>
      </c>
      <c r="GS48" s="50">
        <f>Participantes!EF47</f>
        <v>0</v>
      </c>
      <c r="GT48" s="50" t="str">
        <f t="shared" si="139"/>
        <v/>
      </c>
      <c r="GU48" s="50">
        <f>Participantes!EG47</f>
        <v>0</v>
      </c>
      <c r="GV48" s="50">
        <f>Participantes!EH47</f>
        <v>0</v>
      </c>
      <c r="GW48" s="50" t="str">
        <f t="shared" si="140"/>
        <v/>
      </c>
      <c r="GX48" s="50">
        <f>Participantes!EI47</f>
        <v>0</v>
      </c>
      <c r="GY48" s="50">
        <f>Participantes!EJ47</f>
        <v>0</v>
      </c>
      <c r="GZ48" s="50" t="str">
        <f t="shared" si="141"/>
        <v/>
      </c>
      <c r="HA48" s="50">
        <f>Participantes!EK47</f>
        <v>0</v>
      </c>
      <c r="HB48" s="50">
        <f>Participantes!EL47</f>
        <v>0</v>
      </c>
      <c r="HC48" s="50" t="str">
        <f t="shared" si="142"/>
        <v/>
      </c>
      <c r="HD48" s="50">
        <f>Participantes!EM47</f>
        <v>0</v>
      </c>
      <c r="HE48" s="50">
        <f>Participantes!EN47</f>
        <v>0</v>
      </c>
      <c r="HF48" s="50" t="str">
        <f t="shared" si="143"/>
        <v/>
      </c>
      <c r="HG48" s="50">
        <f>Participantes!EO47</f>
        <v>0</v>
      </c>
      <c r="HH48" s="50">
        <f>Participantes!EP47</f>
        <v>0</v>
      </c>
      <c r="HI48" s="50" t="str">
        <f t="shared" si="144"/>
        <v/>
      </c>
      <c r="HJ48" s="51">
        <f t="shared" si="145"/>
        <v>3</v>
      </c>
    </row>
    <row r="49" spans="1:218" ht="15" customHeight="1" x14ac:dyDescent="0.25">
      <c r="A49" s="49" t="str">
        <f>Participantes!B48</f>
        <v>Silvia</v>
      </c>
      <c r="B49" s="50">
        <f>Participantes!C48</f>
        <v>2</v>
      </c>
      <c r="C49" s="50">
        <f>Participantes!D48</f>
        <v>0</v>
      </c>
      <c r="D49" s="50">
        <f t="shared" si="73"/>
        <v>3</v>
      </c>
      <c r="E49" s="50">
        <f>Participantes!E48</f>
        <v>1</v>
      </c>
      <c r="F49" s="50">
        <f>Participantes!F48</f>
        <v>1</v>
      </c>
      <c r="G49" s="50">
        <f t="shared" si="74"/>
        <v>0</v>
      </c>
      <c r="H49" s="50">
        <f>Participantes!G48</f>
        <v>2</v>
      </c>
      <c r="I49" s="50">
        <f>Participantes!H48</f>
        <v>0</v>
      </c>
      <c r="J49" s="50" t="str">
        <f t="shared" si="75"/>
        <v/>
      </c>
      <c r="K49" s="50">
        <f>Participantes!I48</f>
        <v>2</v>
      </c>
      <c r="L49" s="50">
        <f>Participantes!J48</f>
        <v>1</v>
      </c>
      <c r="M49" s="50" t="str">
        <f t="shared" si="76"/>
        <v/>
      </c>
      <c r="N49" s="50">
        <f>Participantes!K48</f>
        <v>1</v>
      </c>
      <c r="O49" s="50">
        <f>Participantes!L48</f>
        <v>2</v>
      </c>
      <c r="P49" s="50" t="str">
        <f t="shared" si="77"/>
        <v/>
      </c>
      <c r="Q49" s="50">
        <f>Participantes!M48</f>
        <v>1</v>
      </c>
      <c r="R49" s="50">
        <f>Participantes!N48</f>
        <v>1</v>
      </c>
      <c r="S49" s="50" t="str">
        <f t="shared" si="78"/>
        <v/>
      </c>
      <c r="T49" s="50">
        <f>Participantes!O48</f>
        <v>2</v>
      </c>
      <c r="U49" s="50">
        <f>Participantes!P48</f>
        <v>1</v>
      </c>
      <c r="V49" s="50" t="str">
        <f t="shared" si="79"/>
        <v/>
      </c>
      <c r="W49" s="50">
        <f>Participantes!Q48</f>
        <v>1</v>
      </c>
      <c r="X49" s="50">
        <f>Participantes!R48</f>
        <v>2</v>
      </c>
      <c r="Y49" s="50" t="str">
        <f t="shared" si="80"/>
        <v/>
      </c>
      <c r="Z49" s="50">
        <f>Participantes!S48</f>
        <v>1</v>
      </c>
      <c r="AA49" s="50">
        <f>Participantes!T48</f>
        <v>1</v>
      </c>
      <c r="AB49" s="50" t="str">
        <f t="shared" si="81"/>
        <v/>
      </c>
      <c r="AC49" s="50">
        <f>Participantes!U48</f>
        <v>3</v>
      </c>
      <c r="AD49" s="50">
        <f>Participantes!V48</f>
        <v>0</v>
      </c>
      <c r="AE49" s="50" t="str">
        <f t="shared" si="82"/>
        <v/>
      </c>
      <c r="AF49" s="50">
        <f>Participantes!W48</f>
        <v>2</v>
      </c>
      <c r="AG49" s="50">
        <f>Participantes!X48</f>
        <v>1</v>
      </c>
      <c r="AH49" s="50" t="str">
        <f t="shared" si="83"/>
        <v/>
      </c>
      <c r="AI49" s="50">
        <f>Participantes!Y48</f>
        <v>2</v>
      </c>
      <c r="AJ49" s="50">
        <f>Participantes!Z48</f>
        <v>0</v>
      </c>
      <c r="AK49" s="50" t="str">
        <f t="shared" si="84"/>
        <v/>
      </c>
      <c r="AL49" s="50">
        <f>Participantes!AA48</f>
        <v>0</v>
      </c>
      <c r="AM49" s="50">
        <f>Participantes!AB48</f>
        <v>2</v>
      </c>
      <c r="AN49" s="50" t="str">
        <f t="shared" si="85"/>
        <v/>
      </c>
      <c r="AO49" s="50">
        <f>Participantes!AC48</f>
        <v>3</v>
      </c>
      <c r="AP49" s="50">
        <f>Participantes!AD48</f>
        <v>0</v>
      </c>
      <c r="AQ49" s="50" t="str">
        <f t="shared" si="86"/>
        <v/>
      </c>
      <c r="AR49" s="50">
        <f>Participantes!AE48</f>
        <v>0</v>
      </c>
      <c r="AS49" s="50">
        <f>Participantes!AF48</f>
        <v>0</v>
      </c>
      <c r="AT49" s="50" t="str">
        <f t="shared" si="87"/>
        <v/>
      </c>
      <c r="AU49" s="50">
        <f>Participantes!AG48</f>
        <v>0</v>
      </c>
      <c r="AV49" s="50">
        <f>Participantes!AH48</f>
        <v>0</v>
      </c>
      <c r="AW49" s="50" t="str">
        <f t="shared" si="88"/>
        <v/>
      </c>
      <c r="AX49" s="50">
        <f>Participantes!AI48</f>
        <v>0</v>
      </c>
      <c r="AY49" s="50">
        <f>Participantes!AJ48</f>
        <v>0</v>
      </c>
      <c r="AZ49" s="50" t="str">
        <f t="shared" si="89"/>
        <v/>
      </c>
      <c r="BA49" s="50">
        <f>Participantes!AK48</f>
        <v>0</v>
      </c>
      <c r="BB49" s="50">
        <f>Participantes!AL48</f>
        <v>0</v>
      </c>
      <c r="BC49" s="50" t="str">
        <f t="shared" si="90"/>
        <v/>
      </c>
      <c r="BD49" s="50">
        <f>Participantes!AM48</f>
        <v>0</v>
      </c>
      <c r="BE49" s="50">
        <f>Participantes!AN48</f>
        <v>0</v>
      </c>
      <c r="BF49" s="50" t="str">
        <f t="shared" si="91"/>
        <v/>
      </c>
      <c r="BG49" s="50">
        <f>Participantes!AO48</f>
        <v>0</v>
      </c>
      <c r="BH49" s="50">
        <f>Participantes!AP48</f>
        <v>0</v>
      </c>
      <c r="BI49" s="50" t="str">
        <f t="shared" si="92"/>
        <v/>
      </c>
      <c r="BJ49" s="50">
        <f>Participantes!AQ48</f>
        <v>0</v>
      </c>
      <c r="BK49" s="50">
        <f>Participantes!AR48</f>
        <v>0</v>
      </c>
      <c r="BL49" s="50" t="str">
        <f t="shared" si="93"/>
        <v/>
      </c>
      <c r="BM49" s="50">
        <f>Participantes!AS48</f>
        <v>0</v>
      </c>
      <c r="BN49" s="50">
        <f>Participantes!AT48</f>
        <v>0</v>
      </c>
      <c r="BO49" s="50" t="str">
        <f t="shared" si="94"/>
        <v/>
      </c>
      <c r="BP49" s="50">
        <f>Participantes!AU48</f>
        <v>0</v>
      </c>
      <c r="BQ49" s="50">
        <f>Participantes!AV48</f>
        <v>0</v>
      </c>
      <c r="BR49" s="50" t="str">
        <f t="shared" si="95"/>
        <v/>
      </c>
      <c r="BS49" s="50">
        <f>Participantes!AW48</f>
        <v>0</v>
      </c>
      <c r="BT49" s="50">
        <f>Participantes!AX48</f>
        <v>0</v>
      </c>
      <c r="BU49" s="50" t="str">
        <f t="shared" si="96"/>
        <v/>
      </c>
      <c r="BV49" s="50">
        <f>Participantes!AY48</f>
        <v>0</v>
      </c>
      <c r="BW49" s="50">
        <f>Participantes!AZ48</f>
        <v>0</v>
      </c>
      <c r="BX49" s="50" t="str">
        <f t="shared" si="97"/>
        <v/>
      </c>
      <c r="BY49" s="50">
        <f>Participantes!BA48</f>
        <v>0</v>
      </c>
      <c r="BZ49" s="50">
        <f>Participantes!BB48</f>
        <v>0</v>
      </c>
      <c r="CA49" s="50" t="str">
        <f t="shared" si="98"/>
        <v/>
      </c>
      <c r="CB49" s="50">
        <f>Participantes!BC48</f>
        <v>0</v>
      </c>
      <c r="CC49" s="50">
        <f>Participantes!BD48</f>
        <v>0</v>
      </c>
      <c r="CD49" s="50" t="str">
        <f t="shared" si="99"/>
        <v/>
      </c>
      <c r="CE49" s="50">
        <f>Participantes!BE48</f>
        <v>0</v>
      </c>
      <c r="CF49" s="50">
        <f>Participantes!BF48</f>
        <v>0</v>
      </c>
      <c r="CG49" s="50" t="str">
        <f t="shared" si="100"/>
        <v/>
      </c>
      <c r="CH49" s="50">
        <f>Participantes!BG48</f>
        <v>0</v>
      </c>
      <c r="CI49" s="50">
        <f>Participantes!BH48</f>
        <v>0</v>
      </c>
      <c r="CJ49" s="50" t="str">
        <f t="shared" si="101"/>
        <v/>
      </c>
      <c r="CK49" s="50">
        <f>Participantes!BI48</f>
        <v>0</v>
      </c>
      <c r="CL49" s="50">
        <f>Participantes!BJ48</f>
        <v>0</v>
      </c>
      <c r="CM49" s="50" t="str">
        <f t="shared" si="102"/>
        <v/>
      </c>
      <c r="CN49" s="50">
        <f>Participantes!BK48</f>
        <v>0</v>
      </c>
      <c r="CO49" s="50">
        <f>Participantes!BL48</f>
        <v>0</v>
      </c>
      <c r="CP49" s="50" t="str">
        <f t="shared" si="103"/>
        <v/>
      </c>
      <c r="CQ49" s="50">
        <f>Participantes!BM48</f>
        <v>0</v>
      </c>
      <c r="CR49" s="50">
        <f>Participantes!BN48</f>
        <v>0</v>
      </c>
      <c r="CS49" s="50" t="str">
        <f t="shared" si="104"/>
        <v/>
      </c>
      <c r="CT49" s="50">
        <f>Participantes!BO48</f>
        <v>0</v>
      </c>
      <c r="CU49" s="50">
        <f>Participantes!BP48</f>
        <v>0</v>
      </c>
      <c r="CV49" s="50" t="str">
        <f t="shared" si="105"/>
        <v/>
      </c>
      <c r="CW49" s="50">
        <f>Participantes!BQ48</f>
        <v>0</v>
      </c>
      <c r="CX49" s="50">
        <f>Participantes!BR48</f>
        <v>0</v>
      </c>
      <c r="CY49" s="50" t="str">
        <f t="shared" si="106"/>
        <v/>
      </c>
      <c r="CZ49" s="50">
        <f>Participantes!BS48</f>
        <v>0</v>
      </c>
      <c r="DA49" s="50">
        <f>Participantes!BT48</f>
        <v>0</v>
      </c>
      <c r="DB49" s="50" t="str">
        <f t="shared" si="107"/>
        <v/>
      </c>
      <c r="DC49" s="50">
        <f>Participantes!BU48</f>
        <v>0</v>
      </c>
      <c r="DD49" s="50">
        <f>Participantes!BV48</f>
        <v>0</v>
      </c>
      <c r="DE49" s="50" t="str">
        <f t="shared" si="108"/>
        <v/>
      </c>
      <c r="DF49" s="50">
        <f>Participantes!BW48</f>
        <v>0</v>
      </c>
      <c r="DG49" s="50">
        <f>Participantes!BX48</f>
        <v>0</v>
      </c>
      <c r="DH49" s="50" t="str">
        <f t="shared" si="109"/>
        <v/>
      </c>
      <c r="DI49" s="50">
        <f>Participantes!BY48</f>
        <v>0</v>
      </c>
      <c r="DJ49" s="50">
        <f>Participantes!BZ48</f>
        <v>0</v>
      </c>
      <c r="DK49" s="50" t="str">
        <f t="shared" si="110"/>
        <v/>
      </c>
      <c r="DL49" s="50">
        <f>Participantes!CA48</f>
        <v>0</v>
      </c>
      <c r="DM49" s="50">
        <f>Participantes!CB48</f>
        <v>0</v>
      </c>
      <c r="DN49" s="50" t="str">
        <f t="shared" si="111"/>
        <v/>
      </c>
      <c r="DO49" s="50">
        <f>Participantes!CC48</f>
        <v>0</v>
      </c>
      <c r="DP49" s="50">
        <f>Participantes!CD48</f>
        <v>0</v>
      </c>
      <c r="DQ49" s="50" t="str">
        <f t="shared" si="112"/>
        <v/>
      </c>
      <c r="DR49" s="50">
        <f>Participantes!CE48</f>
        <v>0</v>
      </c>
      <c r="DS49" s="50">
        <f>Participantes!CF48</f>
        <v>0</v>
      </c>
      <c r="DT49" s="50" t="str">
        <f t="shared" si="113"/>
        <v/>
      </c>
      <c r="DU49" s="50">
        <f>Participantes!CG48</f>
        <v>0</v>
      </c>
      <c r="DV49" s="50">
        <f>Participantes!CH48</f>
        <v>0</v>
      </c>
      <c r="DW49" s="50" t="str">
        <f t="shared" si="114"/>
        <v/>
      </c>
      <c r="DX49" s="50">
        <f>Participantes!CI48</f>
        <v>0</v>
      </c>
      <c r="DY49" s="50">
        <f>Participantes!CJ48</f>
        <v>0</v>
      </c>
      <c r="DZ49" s="50" t="str">
        <f t="shared" si="115"/>
        <v/>
      </c>
      <c r="EA49" s="50">
        <f>Participantes!CK48</f>
        <v>0</v>
      </c>
      <c r="EB49" s="50">
        <f>Participantes!CL48</f>
        <v>0</v>
      </c>
      <c r="EC49" s="50" t="str">
        <f t="shared" si="116"/>
        <v/>
      </c>
      <c r="ED49" s="50">
        <f>Participantes!CM48</f>
        <v>0</v>
      </c>
      <c r="EE49" s="50">
        <f>Participantes!CN48</f>
        <v>0</v>
      </c>
      <c r="EF49" s="50" t="str">
        <f t="shared" si="117"/>
        <v/>
      </c>
      <c r="EG49" s="50">
        <f>Participantes!CO48</f>
        <v>0</v>
      </c>
      <c r="EH49" s="50">
        <f>Participantes!CP48</f>
        <v>0</v>
      </c>
      <c r="EI49" s="50" t="str">
        <f t="shared" si="118"/>
        <v/>
      </c>
      <c r="EJ49" s="50">
        <f>Participantes!CQ48</f>
        <v>0</v>
      </c>
      <c r="EK49" s="50">
        <f>Participantes!CR48</f>
        <v>0</v>
      </c>
      <c r="EL49" s="50" t="str">
        <f t="shared" si="119"/>
        <v/>
      </c>
      <c r="EM49" s="50">
        <f>Participantes!CS48</f>
        <v>0</v>
      </c>
      <c r="EN49" s="50">
        <f>Participantes!CT48</f>
        <v>0</v>
      </c>
      <c r="EO49" s="50" t="str">
        <f t="shared" si="120"/>
        <v/>
      </c>
      <c r="EP49" s="50">
        <f>Participantes!CU48</f>
        <v>0</v>
      </c>
      <c r="EQ49" s="50">
        <f>Participantes!CV48</f>
        <v>0</v>
      </c>
      <c r="ER49" s="50" t="str">
        <f t="shared" si="121"/>
        <v/>
      </c>
      <c r="ES49" s="50">
        <f>Participantes!CW48</f>
        <v>0</v>
      </c>
      <c r="ET49" s="50">
        <f>Participantes!CX48</f>
        <v>0</v>
      </c>
      <c r="EU49" s="50" t="str">
        <f t="shared" si="122"/>
        <v/>
      </c>
      <c r="EV49" s="50">
        <f>Participantes!CY48</f>
        <v>0</v>
      </c>
      <c r="EW49" s="50">
        <f>Participantes!CZ48</f>
        <v>0</v>
      </c>
      <c r="EX49" s="50" t="str">
        <f t="shared" si="123"/>
        <v/>
      </c>
      <c r="EY49" s="50">
        <f>Participantes!DA48</f>
        <v>0</v>
      </c>
      <c r="EZ49" s="50">
        <f>Participantes!DB48</f>
        <v>0</v>
      </c>
      <c r="FA49" s="50" t="str">
        <f t="shared" si="124"/>
        <v/>
      </c>
      <c r="FB49" s="50">
        <f>Participantes!DC48</f>
        <v>0</v>
      </c>
      <c r="FC49" s="50">
        <f>Participantes!DD48</f>
        <v>0</v>
      </c>
      <c r="FD49" s="50" t="str">
        <f t="shared" si="125"/>
        <v/>
      </c>
      <c r="FE49" s="50">
        <f>Participantes!DE48</f>
        <v>0</v>
      </c>
      <c r="FF49" s="50">
        <f>Participantes!DF48</f>
        <v>0</v>
      </c>
      <c r="FG49" s="50" t="str">
        <f t="shared" si="126"/>
        <v/>
      </c>
      <c r="FH49" s="50">
        <f>Participantes!DG48</f>
        <v>0</v>
      </c>
      <c r="FI49" s="50">
        <f>Participantes!DH48</f>
        <v>0</v>
      </c>
      <c r="FJ49" s="50" t="str">
        <f t="shared" si="127"/>
        <v/>
      </c>
      <c r="FK49" s="50">
        <f>Participantes!DI48</f>
        <v>0</v>
      </c>
      <c r="FL49" s="50">
        <f>Participantes!DJ48</f>
        <v>0</v>
      </c>
      <c r="FM49" s="50" t="str">
        <f t="shared" si="128"/>
        <v/>
      </c>
      <c r="FN49" s="50">
        <f>Participantes!DK48</f>
        <v>0</v>
      </c>
      <c r="FO49" s="50">
        <f>Participantes!DL48</f>
        <v>0</v>
      </c>
      <c r="FP49" s="50" t="str">
        <f t="shared" si="129"/>
        <v/>
      </c>
      <c r="FQ49" s="50">
        <f>Participantes!DM48</f>
        <v>0</v>
      </c>
      <c r="FR49" s="50">
        <f>Participantes!DN48</f>
        <v>0</v>
      </c>
      <c r="FS49" s="50" t="str">
        <f t="shared" si="130"/>
        <v/>
      </c>
      <c r="FT49" s="50">
        <f>Participantes!DO48</f>
        <v>0</v>
      </c>
      <c r="FU49" s="50">
        <f>Participantes!DP48</f>
        <v>0</v>
      </c>
      <c r="FV49" s="50" t="str">
        <f t="shared" si="131"/>
        <v/>
      </c>
      <c r="FW49" s="50">
        <f>Participantes!DQ48</f>
        <v>0</v>
      </c>
      <c r="FX49" s="50">
        <f>Participantes!DR48</f>
        <v>0</v>
      </c>
      <c r="FY49" s="50" t="str">
        <f t="shared" si="132"/>
        <v/>
      </c>
      <c r="FZ49" s="50">
        <f>Participantes!DS48</f>
        <v>0</v>
      </c>
      <c r="GA49" s="50">
        <f>Participantes!DT48</f>
        <v>0</v>
      </c>
      <c r="GB49" s="50" t="str">
        <f t="shared" si="133"/>
        <v/>
      </c>
      <c r="GC49" s="50">
        <f>Participantes!DU48</f>
        <v>0</v>
      </c>
      <c r="GD49" s="50">
        <f>Participantes!DV48</f>
        <v>0</v>
      </c>
      <c r="GE49" s="50" t="str">
        <f t="shared" si="134"/>
        <v/>
      </c>
      <c r="GF49" s="50">
        <f>Participantes!DW48</f>
        <v>0</v>
      </c>
      <c r="GG49" s="50">
        <f>Participantes!DX48</f>
        <v>0</v>
      </c>
      <c r="GH49" s="50" t="str">
        <f t="shared" si="135"/>
        <v/>
      </c>
      <c r="GI49" s="50">
        <f>Participantes!DY48</f>
        <v>0</v>
      </c>
      <c r="GJ49" s="50">
        <f>Participantes!DZ48</f>
        <v>0</v>
      </c>
      <c r="GK49" s="50" t="str">
        <f t="shared" si="136"/>
        <v/>
      </c>
      <c r="GL49" s="50">
        <f>Participantes!EA48</f>
        <v>0</v>
      </c>
      <c r="GM49" s="50">
        <f>Participantes!EB48</f>
        <v>0</v>
      </c>
      <c r="GN49" s="50" t="str">
        <f t="shared" si="137"/>
        <v/>
      </c>
      <c r="GO49" s="50">
        <f>Participantes!EC48</f>
        <v>0</v>
      </c>
      <c r="GP49" s="50">
        <f>Participantes!ED48</f>
        <v>0</v>
      </c>
      <c r="GQ49" s="50" t="str">
        <f t="shared" si="138"/>
        <v/>
      </c>
      <c r="GR49" s="50">
        <f>Participantes!EE48</f>
        <v>0</v>
      </c>
      <c r="GS49" s="50">
        <f>Participantes!EF48</f>
        <v>0</v>
      </c>
      <c r="GT49" s="50" t="str">
        <f t="shared" si="139"/>
        <v/>
      </c>
      <c r="GU49" s="50">
        <f>Participantes!EG48</f>
        <v>0</v>
      </c>
      <c r="GV49" s="50">
        <f>Participantes!EH48</f>
        <v>0</v>
      </c>
      <c r="GW49" s="50" t="str">
        <f t="shared" si="140"/>
        <v/>
      </c>
      <c r="GX49" s="50">
        <f>Participantes!EI48</f>
        <v>0</v>
      </c>
      <c r="GY49" s="50">
        <f>Participantes!EJ48</f>
        <v>0</v>
      </c>
      <c r="GZ49" s="50" t="str">
        <f t="shared" si="141"/>
        <v/>
      </c>
      <c r="HA49" s="50">
        <f>Participantes!EK48</f>
        <v>0</v>
      </c>
      <c r="HB49" s="50">
        <f>Participantes!EL48</f>
        <v>0</v>
      </c>
      <c r="HC49" s="50" t="str">
        <f t="shared" si="142"/>
        <v/>
      </c>
      <c r="HD49" s="50">
        <f>Participantes!EM48</f>
        <v>0</v>
      </c>
      <c r="HE49" s="50">
        <f>Participantes!EN48</f>
        <v>0</v>
      </c>
      <c r="HF49" s="50" t="str">
        <f t="shared" si="143"/>
        <v/>
      </c>
      <c r="HG49" s="50">
        <f>Participantes!EO48</f>
        <v>0</v>
      </c>
      <c r="HH49" s="50">
        <f>Participantes!EP48</f>
        <v>0</v>
      </c>
      <c r="HI49" s="50" t="str">
        <f t="shared" si="144"/>
        <v/>
      </c>
      <c r="HJ49" s="51">
        <f t="shared" si="145"/>
        <v>3</v>
      </c>
    </row>
    <row r="50" spans="1:218" ht="15" customHeight="1" x14ac:dyDescent="0.25">
      <c r="A50" s="49" t="str">
        <f>Participantes!B49</f>
        <v>Walder</v>
      </c>
      <c r="B50" s="50">
        <f>Participantes!C49</f>
        <v>3</v>
      </c>
      <c r="C50" s="50">
        <f>Participantes!D49</f>
        <v>1</v>
      </c>
      <c r="D50" s="50">
        <f t="shared" si="73"/>
        <v>1</v>
      </c>
      <c r="E50" s="50">
        <f>Participantes!E49</f>
        <v>2</v>
      </c>
      <c r="F50" s="50">
        <f>Participantes!F49</f>
        <v>2</v>
      </c>
      <c r="G50" s="50">
        <f t="shared" si="74"/>
        <v>0</v>
      </c>
      <c r="H50" s="50">
        <f>Participantes!G49</f>
        <v>1</v>
      </c>
      <c r="I50" s="50">
        <f>Participantes!H49</f>
        <v>2</v>
      </c>
      <c r="J50" s="50" t="str">
        <f t="shared" si="75"/>
        <v/>
      </c>
      <c r="K50" s="50">
        <f>Participantes!I49</f>
        <v>1</v>
      </c>
      <c r="L50" s="50">
        <f>Participantes!J49</f>
        <v>0</v>
      </c>
      <c r="M50" s="50" t="str">
        <f t="shared" si="76"/>
        <v/>
      </c>
      <c r="N50" s="50">
        <f>Participantes!K49</f>
        <v>0</v>
      </c>
      <c r="O50" s="50">
        <f>Participantes!L49</f>
        <v>1</v>
      </c>
      <c r="P50" s="50" t="str">
        <f t="shared" si="77"/>
        <v/>
      </c>
      <c r="Q50" s="50">
        <f>Participantes!M49</f>
        <v>1</v>
      </c>
      <c r="R50" s="50">
        <f>Participantes!N49</f>
        <v>2</v>
      </c>
      <c r="S50" s="50" t="str">
        <f t="shared" si="78"/>
        <v/>
      </c>
      <c r="T50" s="50">
        <f>Participantes!O49</f>
        <v>2</v>
      </c>
      <c r="U50" s="50">
        <f>Participantes!P49</f>
        <v>2</v>
      </c>
      <c r="V50" s="50" t="str">
        <f t="shared" si="79"/>
        <v/>
      </c>
      <c r="W50" s="50">
        <f>Participantes!Q49</f>
        <v>0</v>
      </c>
      <c r="X50" s="50">
        <f>Participantes!R49</f>
        <v>3</v>
      </c>
      <c r="Y50" s="50" t="str">
        <f t="shared" si="80"/>
        <v/>
      </c>
      <c r="Z50" s="50">
        <f>Participantes!S49</f>
        <v>1</v>
      </c>
      <c r="AA50" s="50">
        <f>Participantes!T49</f>
        <v>1</v>
      </c>
      <c r="AB50" s="50" t="str">
        <f t="shared" si="81"/>
        <v/>
      </c>
      <c r="AC50" s="50">
        <f>Participantes!U49</f>
        <v>4</v>
      </c>
      <c r="AD50" s="50">
        <f>Participantes!V49</f>
        <v>0</v>
      </c>
      <c r="AE50" s="50" t="str">
        <f t="shared" si="82"/>
        <v/>
      </c>
      <c r="AF50" s="50">
        <f>Participantes!W49</f>
        <v>2</v>
      </c>
      <c r="AG50" s="50">
        <f>Participantes!X49</f>
        <v>1</v>
      </c>
      <c r="AH50" s="50" t="str">
        <f t="shared" si="83"/>
        <v/>
      </c>
      <c r="AI50" s="50">
        <f>Participantes!Y49</f>
        <v>3</v>
      </c>
      <c r="AJ50" s="50">
        <f>Participantes!Z49</f>
        <v>1</v>
      </c>
      <c r="AK50" s="50" t="str">
        <f t="shared" si="84"/>
        <v/>
      </c>
      <c r="AL50" s="50">
        <f>Participantes!AA49</f>
        <v>0</v>
      </c>
      <c r="AM50" s="50">
        <f>Participantes!AB49</f>
        <v>3</v>
      </c>
      <c r="AN50" s="50" t="str">
        <f t="shared" si="85"/>
        <v/>
      </c>
      <c r="AO50" s="50">
        <f>Participantes!AC49</f>
        <v>8</v>
      </c>
      <c r="AP50" s="50">
        <f>Participantes!AD49</f>
        <v>0</v>
      </c>
      <c r="AQ50" s="50" t="str">
        <f t="shared" si="86"/>
        <v/>
      </c>
      <c r="AR50" s="50">
        <f>Participantes!AE49</f>
        <v>0</v>
      </c>
      <c r="AS50" s="50">
        <f>Participantes!AF49</f>
        <v>0</v>
      </c>
      <c r="AT50" s="50" t="str">
        <f t="shared" si="87"/>
        <v/>
      </c>
      <c r="AU50" s="50">
        <f>Participantes!AG49</f>
        <v>0</v>
      </c>
      <c r="AV50" s="50">
        <f>Participantes!AH49</f>
        <v>0</v>
      </c>
      <c r="AW50" s="50" t="str">
        <f t="shared" si="88"/>
        <v/>
      </c>
      <c r="AX50" s="50">
        <f>Participantes!AI49</f>
        <v>0</v>
      </c>
      <c r="AY50" s="50">
        <f>Participantes!AJ49</f>
        <v>0</v>
      </c>
      <c r="AZ50" s="50" t="str">
        <f t="shared" si="89"/>
        <v/>
      </c>
      <c r="BA50" s="50">
        <f>Participantes!AK49</f>
        <v>0</v>
      </c>
      <c r="BB50" s="50">
        <f>Participantes!AL49</f>
        <v>0</v>
      </c>
      <c r="BC50" s="50" t="str">
        <f t="shared" si="90"/>
        <v/>
      </c>
      <c r="BD50" s="50">
        <f>Participantes!AM49</f>
        <v>0</v>
      </c>
      <c r="BE50" s="50">
        <f>Participantes!AN49</f>
        <v>0</v>
      </c>
      <c r="BF50" s="50" t="str">
        <f t="shared" si="91"/>
        <v/>
      </c>
      <c r="BG50" s="50">
        <f>Participantes!AO49</f>
        <v>0</v>
      </c>
      <c r="BH50" s="50">
        <f>Participantes!AP49</f>
        <v>0</v>
      </c>
      <c r="BI50" s="50" t="str">
        <f t="shared" si="92"/>
        <v/>
      </c>
      <c r="BJ50" s="50">
        <f>Participantes!AQ49</f>
        <v>0</v>
      </c>
      <c r="BK50" s="50">
        <f>Participantes!AR49</f>
        <v>0</v>
      </c>
      <c r="BL50" s="50" t="str">
        <f t="shared" si="93"/>
        <v/>
      </c>
      <c r="BM50" s="50">
        <f>Participantes!AS49</f>
        <v>0</v>
      </c>
      <c r="BN50" s="50">
        <f>Participantes!AT49</f>
        <v>0</v>
      </c>
      <c r="BO50" s="50" t="str">
        <f t="shared" si="94"/>
        <v/>
      </c>
      <c r="BP50" s="50">
        <f>Participantes!AU49</f>
        <v>0</v>
      </c>
      <c r="BQ50" s="50">
        <f>Participantes!AV49</f>
        <v>0</v>
      </c>
      <c r="BR50" s="50" t="str">
        <f t="shared" si="95"/>
        <v/>
      </c>
      <c r="BS50" s="50">
        <f>Participantes!AW49</f>
        <v>0</v>
      </c>
      <c r="BT50" s="50">
        <f>Participantes!AX49</f>
        <v>0</v>
      </c>
      <c r="BU50" s="50" t="str">
        <f t="shared" si="96"/>
        <v/>
      </c>
      <c r="BV50" s="50">
        <f>Participantes!AY49</f>
        <v>0</v>
      </c>
      <c r="BW50" s="50">
        <f>Participantes!AZ49</f>
        <v>0</v>
      </c>
      <c r="BX50" s="50" t="str">
        <f t="shared" si="97"/>
        <v/>
      </c>
      <c r="BY50" s="50">
        <f>Participantes!BA49</f>
        <v>0</v>
      </c>
      <c r="BZ50" s="50">
        <f>Participantes!BB49</f>
        <v>0</v>
      </c>
      <c r="CA50" s="50" t="str">
        <f t="shared" si="98"/>
        <v/>
      </c>
      <c r="CB50" s="50">
        <f>Participantes!BC49</f>
        <v>0</v>
      </c>
      <c r="CC50" s="50">
        <f>Participantes!BD49</f>
        <v>0</v>
      </c>
      <c r="CD50" s="50" t="str">
        <f t="shared" si="99"/>
        <v/>
      </c>
      <c r="CE50" s="50">
        <f>Participantes!BE49</f>
        <v>0</v>
      </c>
      <c r="CF50" s="50">
        <f>Participantes!BF49</f>
        <v>0</v>
      </c>
      <c r="CG50" s="50" t="str">
        <f t="shared" si="100"/>
        <v/>
      </c>
      <c r="CH50" s="50">
        <f>Participantes!BG49</f>
        <v>0</v>
      </c>
      <c r="CI50" s="50">
        <f>Participantes!BH49</f>
        <v>0</v>
      </c>
      <c r="CJ50" s="50" t="str">
        <f t="shared" si="101"/>
        <v/>
      </c>
      <c r="CK50" s="50">
        <f>Participantes!BI49</f>
        <v>0</v>
      </c>
      <c r="CL50" s="50">
        <f>Participantes!BJ49</f>
        <v>0</v>
      </c>
      <c r="CM50" s="50" t="str">
        <f t="shared" si="102"/>
        <v/>
      </c>
      <c r="CN50" s="50">
        <f>Participantes!BK49</f>
        <v>0</v>
      </c>
      <c r="CO50" s="50">
        <f>Participantes!BL49</f>
        <v>0</v>
      </c>
      <c r="CP50" s="50" t="str">
        <f t="shared" si="103"/>
        <v/>
      </c>
      <c r="CQ50" s="50">
        <f>Participantes!BM49</f>
        <v>0</v>
      </c>
      <c r="CR50" s="50">
        <f>Participantes!BN49</f>
        <v>0</v>
      </c>
      <c r="CS50" s="50" t="str">
        <f t="shared" si="104"/>
        <v/>
      </c>
      <c r="CT50" s="50">
        <f>Participantes!BO49</f>
        <v>0</v>
      </c>
      <c r="CU50" s="50">
        <f>Participantes!BP49</f>
        <v>0</v>
      </c>
      <c r="CV50" s="50" t="str">
        <f t="shared" si="105"/>
        <v/>
      </c>
      <c r="CW50" s="50">
        <f>Participantes!BQ49</f>
        <v>0</v>
      </c>
      <c r="CX50" s="50">
        <f>Participantes!BR49</f>
        <v>0</v>
      </c>
      <c r="CY50" s="50" t="str">
        <f t="shared" si="106"/>
        <v/>
      </c>
      <c r="CZ50" s="50">
        <f>Participantes!BS49</f>
        <v>0</v>
      </c>
      <c r="DA50" s="50">
        <f>Participantes!BT49</f>
        <v>0</v>
      </c>
      <c r="DB50" s="50" t="str">
        <f t="shared" si="107"/>
        <v/>
      </c>
      <c r="DC50" s="50">
        <f>Participantes!BU49</f>
        <v>0</v>
      </c>
      <c r="DD50" s="50">
        <f>Participantes!BV49</f>
        <v>0</v>
      </c>
      <c r="DE50" s="50" t="str">
        <f t="shared" si="108"/>
        <v/>
      </c>
      <c r="DF50" s="50">
        <f>Participantes!BW49</f>
        <v>0</v>
      </c>
      <c r="DG50" s="50">
        <f>Participantes!BX49</f>
        <v>0</v>
      </c>
      <c r="DH50" s="50" t="str">
        <f t="shared" si="109"/>
        <v/>
      </c>
      <c r="DI50" s="50">
        <f>Participantes!BY49</f>
        <v>0</v>
      </c>
      <c r="DJ50" s="50">
        <f>Participantes!BZ49</f>
        <v>0</v>
      </c>
      <c r="DK50" s="50" t="str">
        <f t="shared" si="110"/>
        <v/>
      </c>
      <c r="DL50" s="50">
        <f>Participantes!CA49</f>
        <v>0</v>
      </c>
      <c r="DM50" s="50">
        <f>Participantes!CB49</f>
        <v>0</v>
      </c>
      <c r="DN50" s="50" t="str">
        <f t="shared" si="111"/>
        <v/>
      </c>
      <c r="DO50" s="50">
        <f>Participantes!CC49</f>
        <v>0</v>
      </c>
      <c r="DP50" s="50">
        <f>Participantes!CD49</f>
        <v>0</v>
      </c>
      <c r="DQ50" s="50" t="str">
        <f t="shared" si="112"/>
        <v/>
      </c>
      <c r="DR50" s="50">
        <f>Participantes!CE49</f>
        <v>0</v>
      </c>
      <c r="DS50" s="50">
        <f>Participantes!CF49</f>
        <v>0</v>
      </c>
      <c r="DT50" s="50" t="str">
        <f t="shared" si="113"/>
        <v/>
      </c>
      <c r="DU50" s="50">
        <f>Participantes!CG49</f>
        <v>0</v>
      </c>
      <c r="DV50" s="50">
        <f>Participantes!CH49</f>
        <v>0</v>
      </c>
      <c r="DW50" s="50" t="str">
        <f t="shared" si="114"/>
        <v/>
      </c>
      <c r="DX50" s="50">
        <f>Participantes!CI49</f>
        <v>0</v>
      </c>
      <c r="DY50" s="50">
        <f>Participantes!CJ49</f>
        <v>0</v>
      </c>
      <c r="DZ50" s="50" t="str">
        <f t="shared" si="115"/>
        <v/>
      </c>
      <c r="EA50" s="50">
        <f>Participantes!CK49</f>
        <v>0</v>
      </c>
      <c r="EB50" s="50">
        <f>Participantes!CL49</f>
        <v>0</v>
      </c>
      <c r="EC50" s="50" t="str">
        <f t="shared" si="116"/>
        <v/>
      </c>
      <c r="ED50" s="50">
        <f>Participantes!CM49</f>
        <v>0</v>
      </c>
      <c r="EE50" s="50">
        <f>Participantes!CN49</f>
        <v>0</v>
      </c>
      <c r="EF50" s="50" t="str">
        <f t="shared" si="117"/>
        <v/>
      </c>
      <c r="EG50" s="50">
        <f>Participantes!CO49</f>
        <v>0</v>
      </c>
      <c r="EH50" s="50">
        <f>Participantes!CP49</f>
        <v>0</v>
      </c>
      <c r="EI50" s="50" t="str">
        <f t="shared" si="118"/>
        <v/>
      </c>
      <c r="EJ50" s="50">
        <f>Participantes!CQ49</f>
        <v>0</v>
      </c>
      <c r="EK50" s="50">
        <f>Participantes!CR49</f>
        <v>0</v>
      </c>
      <c r="EL50" s="50" t="str">
        <f t="shared" si="119"/>
        <v/>
      </c>
      <c r="EM50" s="50">
        <f>Participantes!CS49</f>
        <v>0</v>
      </c>
      <c r="EN50" s="50">
        <f>Participantes!CT49</f>
        <v>0</v>
      </c>
      <c r="EO50" s="50" t="str">
        <f t="shared" si="120"/>
        <v/>
      </c>
      <c r="EP50" s="50">
        <f>Participantes!CU49</f>
        <v>0</v>
      </c>
      <c r="EQ50" s="50">
        <f>Participantes!CV49</f>
        <v>0</v>
      </c>
      <c r="ER50" s="50" t="str">
        <f t="shared" si="121"/>
        <v/>
      </c>
      <c r="ES50" s="50">
        <f>Participantes!CW49</f>
        <v>0</v>
      </c>
      <c r="ET50" s="50">
        <f>Participantes!CX49</f>
        <v>0</v>
      </c>
      <c r="EU50" s="50" t="str">
        <f t="shared" si="122"/>
        <v/>
      </c>
      <c r="EV50" s="50">
        <f>Participantes!CY49</f>
        <v>0</v>
      </c>
      <c r="EW50" s="50">
        <f>Participantes!CZ49</f>
        <v>0</v>
      </c>
      <c r="EX50" s="50" t="str">
        <f t="shared" si="123"/>
        <v/>
      </c>
      <c r="EY50" s="50">
        <f>Participantes!DA49</f>
        <v>0</v>
      </c>
      <c r="EZ50" s="50">
        <f>Participantes!DB49</f>
        <v>0</v>
      </c>
      <c r="FA50" s="50" t="str">
        <f t="shared" si="124"/>
        <v/>
      </c>
      <c r="FB50" s="50">
        <f>Participantes!DC49</f>
        <v>0</v>
      </c>
      <c r="FC50" s="50">
        <f>Participantes!DD49</f>
        <v>0</v>
      </c>
      <c r="FD50" s="50" t="str">
        <f t="shared" si="125"/>
        <v/>
      </c>
      <c r="FE50" s="50">
        <f>Participantes!DE49</f>
        <v>0</v>
      </c>
      <c r="FF50" s="50">
        <f>Participantes!DF49</f>
        <v>0</v>
      </c>
      <c r="FG50" s="50" t="str">
        <f t="shared" si="126"/>
        <v/>
      </c>
      <c r="FH50" s="50">
        <f>Participantes!DG49</f>
        <v>0</v>
      </c>
      <c r="FI50" s="50">
        <f>Participantes!DH49</f>
        <v>0</v>
      </c>
      <c r="FJ50" s="50" t="str">
        <f t="shared" si="127"/>
        <v/>
      </c>
      <c r="FK50" s="50">
        <f>Participantes!DI49</f>
        <v>0</v>
      </c>
      <c r="FL50" s="50">
        <f>Participantes!DJ49</f>
        <v>0</v>
      </c>
      <c r="FM50" s="50" t="str">
        <f t="shared" si="128"/>
        <v/>
      </c>
      <c r="FN50" s="50">
        <f>Participantes!DK49</f>
        <v>0</v>
      </c>
      <c r="FO50" s="50">
        <f>Participantes!DL49</f>
        <v>0</v>
      </c>
      <c r="FP50" s="50" t="str">
        <f t="shared" si="129"/>
        <v/>
      </c>
      <c r="FQ50" s="50">
        <f>Participantes!DM49</f>
        <v>0</v>
      </c>
      <c r="FR50" s="50">
        <f>Participantes!DN49</f>
        <v>0</v>
      </c>
      <c r="FS50" s="50" t="str">
        <f t="shared" si="130"/>
        <v/>
      </c>
      <c r="FT50" s="50">
        <f>Participantes!DO49</f>
        <v>0</v>
      </c>
      <c r="FU50" s="50">
        <f>Participantes!DP49</f>
        <v>0</v>
      </c>
      <c r="FV50" s="50" t="str">
        <f t="shared" si="131"/>
        <v/>
      </c>
      <c r="FW50" s="50">
        <f>Participantes!DQ49</f>
        <v>0</v>
      </c>
      <c r="FX50" s="50">
        <f>Participantes!DR49</f>
        <v>0</v>
      </c>
      <c r="FY50" s="50" t="str">
        <f t="shared" si="132"/>
        <v/>
      </c>
      <c r="FZ50" s="50">
        <f>Participantes!DS49</f>
        <v>0</v>
      </c>
      <c r="GA50" s="50">
        <f>Participantes!DT49</f>
        <v>0</v>
      </c>
      <c r="GB50" s="50" t="str">
        <f t="shared" si="133"/>
        <v/>
      </c>
      <c r="GC50" s="50">
        <f>Participantes!DU49</f>
        <v>0</v>
      </c>
      <c r="GD50" s="50">
        <f>Participantes!DV49</f>
        <v>0</v>
      </c>
      <c r="GE50" s="50" t="str">
        <f t="shared" si="134"/>
        <v/>
      </c>
      <c r="GF50" s="50">
        <f>Participantes!DW49</f>
        <v>0</v>
      </c>
      <c r="GG50" s="50">
        <f>Participantes!DX49</f>
        <v>0</v>
      </c>
      <c r="GH50" s="50" t="str">
        <f t="shared" si="135"/>
        <v/>
      </c>
      <c r="GI50" s="50">
        <f>Participantes!DY49</f>
        <v>0</v>
      </c>
      <c r="GJ50" s="50">
        <f>Participantes!DZ49</f>
        <v>0</v>
      </c>
      <c r="GK50" s="50" t="str">
        <f t="shared" si="136"/>
        <v/>
      </c>
      <c r="GL50" s="50">
        <f>Participantes!EA49</f>
        <v>0</v>
      </c>
      <c r="GM50" s="50">
        <f>Participantes!EB49</f>
        <v>0</v>
      </c>
      <c r="GN50" s="50" t="str">
        <f t="shared" si="137"/>
        <v/>
      </c>
      <c r="GO50" s="50">
        <f>Participantes!EC49</f>
        <v>0</v>
      </c>
      <c r="GP50" s="50">
        <f>Participantes!ED49</f>
        <v>0</v>
      </c>
      <c r="GQ50" s="50" t="str">
        <f t="shared" si="138"/>
        <v/>
      </c>
      <c r="GR50" s="50">
        <f>Participantes!EE49</f>
        <v>0</v>
      </c>
      <c r="GS50" s="50">
        <f>Participantes!EF49</f>
        <v>0</v>
      </c>
      <c r="GT50" s="50" t="str">
        <f t="shared" si="139"/>
        <v/>
      </c>
      <c r="GU50" s="50">
        <f>Participantes!EG49</f>
        <v>0</v>
      </c>
      <c r="GV50" s="50">
        <f>Participantes!EH49</f>
        <v>0</v>
      </c>
      <c r="GW50" s="50" t="str">
        <f t="shared" si="140"/>
        <v/>
      </c>
      <c r="GX50" s="50">
        <f>Participantes!EI49</f>
        <v>0</v>
      </c>
      <c r="GY50" s="50">
        <f>Participantes!EJ49</f>
        <v>0</v>
      </c>
      <c r="GZ50" s="50" t="str">
        <f t="shared" si="141"/>
        <v/>
      </c>
      <c r="HA50" s="50">
        <f>Participantes!EK49</f>
        <v>0</v>
      </c>
      <c r="HB50" s="50">
        <f>Participantes!EL49</f>
        <v>0</v>
      </c>
      <c r="HC50" s="50" t="str">
        <f t="shared" si="142"/>
        <v/>
      </c>
      <c r="HD50" s="50">
        <f>Participantes!EM49</f>
        <v>0</v>
      </c>
      <c r="HE50" s="50">
        <f>Participantes!EN49</f>
        <v>0</v>
      </c>
      <c r="HF50" s="50" t="str">
        <f t="shared" si="143"/>
        <v/>
      </c>
      <c r="HG50" s="50">
        <f>Participantes!EO49</f>
        <v>0</v>
      </c>
      <c r="HH50" s="50">
        <f>Participantes!EP49</f>
        <v>0</v>
      </c>
      <c r="HI50" s="50" t="str">
        <f t="shared" si="144"/>
        <v/>
      </c>
      <c r="HJ50" s="51">
        <f t="shared" si="145"/>
        <v>1</v>
      </c>
    </row>
    <row r="51" spans="1:218" ht="15" customHeight="1" x14ac:dyDescent="0.25">
      <c r="A51" s="49" t="str">
        <f>Participantes!B50</f>
        <v>Waldo</v>
      </c>
      <c r="B51" s="50">
        <f>Participantes!C50</f>
        <v>2</v>
      </c>
      <c r="C51" s="50">
        <f>Participantes!D50</f>
        <v>0</v>
      </c>
      <c r="D51" s="50">
        <f t="shared" si="73"/>
        <v>3</v>
      </c>
      <c r="E51" s="50">
        <f>Participantes!E50</f>
        <v>1</v>
      </c>
      <c r="F51" s="50">
        <f>Participantes!F50</f>
        <v>1</v>
      </c>
      <c r="G51" s="50">
        <f t="shared" si="74"/>
        <v>0</v>
      </c>
      <c r="H51" s="50">
        <f>Participantes!G50</f>
        <v>2</v>
      </c>
      <c r="I51" s="50">
        <f>Participantes!H50</f>
        <v>1</v>
      </c>
      <c r="J51" s="50" t="str">
        <f t="shared" si="75"/>
        <v/>
      </c>
      <c r="K51" s="50">
        <f>Participantes!I50</f>
        <v>1</v>
      </c>
      <c r="L51" s="50">
        <f>Participantes!J50</f>
        <v>1</v>
      </c>
      <c r="M51" s="50" t="str">
        <f t="shared" si="76"/>
        <v/>
      </c>
      <c r="N51" s="50">
        <f>Participantes!K50</f>
        <v>1</v>
      </c>
      <c r="O51" s="50">
        <f>Participantes!L50</f>
        <v>2</v>
      </c>
      <c r="P51" s="50" t="str">
        <f t="shared" si="77"/>
        <v/>
      </c>
      <c r="Q51" s="50">
        <f>Participantes!M50</f>
        <v>1</v>
      </c>
      <c r="R51" s="50">
        <f>Participantes!N50</f>
        <v>2</v>
      </c>
      <c r="S51" s="50" t="str">
        <f t="shared" si="78"/>
        <v/>
      </c>
      <c r="T51" s="50">
        <f>Participantes!O50</f>
        <v>1</v>
      </c>
      <c r="U51" s="50">
        <f>Participantes!P50</f>
        <v>2</v>
      </c>
      <c r="V51" s="50" t="str">
        <f t="shared" si="79"/>
        <v/>
      </c>
      <c r="W51" s="50">
        <f>Participantes!Q50</f>
        <v>0</v>
      </c>
      <c r="X51" s="50">
        <f>Participantes!R50</f>
        <v>3</v>
      </c>
      <c r="Y51" s="50" t="str">
        <f t="shared" si="80"/>
        <v/>
      </c>
      <c r="Z51" s="50">
        <f>Participantes!S50</f>
        <v>2</v>
      </c>
      <c r="AA51" s="50">
        <f>Participantes!T50</f>
        <v>1</v>
      </c>
      <c r="AB51" s="50" t="str">
        <f t="shared" si="81"/>
        <v/>
      </c>
      <c r="AC51" s="50">
        <f>Participantes!U50</f>
        <v>4</v>
      </c>
      <c r="AD51" s="50">
        <f>Participantes!V50</f>
        <v>0</v>
      </c>
      <c r="AE51" s="50" t="str">
        <f t="shared" si="82"/>
        <v/>
      </c>
      <c r="AF51" s="50">
        <f>Participantes!W50</f>
        <v>2</v>
      </c>
      <c r="AG51" s="50">
        <f>Participantes!X50</f>
        <v>2</v>
      </c>
      <c r="AH51" s="50" t="str">
        <f t="shared" si="83"/>
        <v/>
      </c>
      <c r="AI51" s="50">
        <f>Participantes!Y50</f>
        <v>2</v>
      </c>
      <c r="AJ51" s="50">
        <f>Participantes!Z50</f>
        <v>1</v>
      </c>
      <c r="AK51" s="50" t="str">
        <f t="shared" si="84"/>
        <v/>
      </c>
      <c r="AL51" s="50">
        <f>Participantes!AA50</f>
        <v>0</v>
      </c>
      <c r="AM51" s="50">
        <f>Participantes!AB50</f>
        <v>2</v>
      </c>
      <c r="AN51" s="50" t="str">
        <f t="shared" si="85"/>
        <v/>
      </c>
      <c r="AO51" s="50">
        <f>Participantes!AC50</f>
        <v>3</v>
      </c>
      <c r="AP51" s="50">
        <f>Participantes!AD50</f>
        <v>0</v>
      </c>
      <c r="AQ51" s="50" t="str">
        <f t="shared" si="86"/>
        <v/>
      </c>
      <c r="AR51" s="50">
        <f>Participantes!AE50</f>
        <v>0</v>
      </c>
      <c r="AS51" s="50">
        <f>Participantes!AF50</f>
        <v>0</v>
      </c>
      <c r="AT51" s="50" t="str">
        <f t="shared" si="87"/>
        <v/>
      </c>
      <c r="AU51" s="50">
        <f>Participantes!AG50</f>
        <v>0</v>
      </c>
      <c r="AV51" s="50">
        <f>Participantes!AH50</f>
        <v>0</v>
      </c>
      <c r="AW51" s="50" t="str">
        <f t="shared" si="88"/>
        <v/>
      </c>
      <c r="AX51" s="50">
        <f>Participantes!AI50</f>
        <v>0</v>
      </c>
      <c r="AY51" s="50">
        <f>Participantes!AJ50</f>
        <v>0</v>
      </c>
      <c r="AZ51" s="50" t="str">
        <f t="shared" si="89"/>
        <v/>
      </c>
      <c r="BA51" s="50">
        <f>Participantes!AK50</f>
        <v>0</v>
      </c>
      <c r="BB51" s="50">
        <f>Participantes!AL50</f>
        <v>0</v>
      </c>
      <c r="BC51" s="50" t="str">
        <f t="shared" si="90"/>
        <v/>
      </c>
      <c r="BD51" s="50">
        <f>Participantes!AM50</f>
        <v>0</v>
      </c>
      <c r="BE51" s="50">
        <f>Participantes!AN50</f>
        <v>0</v>
      </c>
      <c r="BF51" s="50" t="str">
        <f t="shared" si="91"/>
        <v/>
      </c>
      <c r="BG51" s="50">
        <f>Participantes!AO50</f>
        <v>0</v>
      </c>
      <c r="BH51" s="50">
        <f>Participantes!AP50</f>
        <v>0</v>
      </c>
      <c r="BI51" s="50" t="str">
        <f t="shared" si="92"/>
        <v/>
      </c>
      <c r="BJ51" s="50">
        <f>Participantes!AQ50</f>
        <v>0</v>
      </c>
      <c r="BK51" s="50">
        <f>Participantes!AR50</f>
        <v>0</v>
      </c>
      <c r="BL51" s="50" t="str">
        <f t="shared" si="93"/>
        <v/>
      </c>
      <c r="BM51" s="50">
        <f>Participantes!AS50</f>
        <v>0</v>
      </c>
      <c r="BN51" s="50">
        <f>Participantes!AT50</f>
        <v>0</v>
      </c>
      <c r="BO51" s="50" t="str">
        <f t="shared" si="94"/>
        <v/>
      </c>
      <c r="BP51" s="50">
        <f>Participantes!AU50</f>
        <v>0</v>
      </c>
      <c r="BQ51" s="50">
        <f>Participantes!AV50</f>
        <v>0</v>
      </c>
      <c r="BR51" s="50" t="str">
        <f t="shared" si="95"/>
        <v/>
      </c>
      <c r="BS51" s="50">
        <f>Participantes!AW50</f>
        <v>0</v>
      </c>
      <c r="BT51" s="50">
        <f>Participantes!AX50</f>
        <v>0</v>
      </c>
      <c r="BU51" s="50" t="str">
        <f t="shared" si="96"/>
        <v/>
      </c>
      <c r="BV51" s="50">
        <f>Participantes!AY50</f>
        <v>0</v>
      </c>
      <c r="BW51" s="50">
        <f>Participantes!AZ50</f>
        <v>0</v>
      </c>
      <c r="BX51" s="50" t="str">
        <f t="shared" si="97"/>
        <v/>
      </c>
      <c r="BY51" s="50">
        <f>Participantes!BA50</f>
        <v>0</v>
      </c>
      <c r="BZ51" s="50">
        <f>Participantes!BB50</f>
        <v>0</v>
      </c>
      <c r="CA51" s="50" t="str">
        <f t="shared" si="98"/>
        <v/>
      </c>
      <c r="CB51" s="50">
        <f>Participantes!BC50</f>
        <v>0</v>
      </c>
      <c r="CC51" s="50">
        <f>Participantes!BD50</f>
        <v>0</v>
      </c>
      <c r="CD51" s="50" t="str">
        <f t="shared" si="99"/>
        <v/>
      </c>
      <c r="CE51" s="50">
        <f>Participantes!BE50</f>
        <v>0</v>
      </c>
      <c r="CF51" s="50">
        <f>Participantes!BF50</f>
        <v>0</v>
      </c>
      <c r="CG51" s="50" t="str">
        <f t="shared" si="100"/>
        <v/>
      </c>
      <c r="CH51" s="50">
        <f>Participantes!BG50</f>
        <v>0</v>
      </c>
      <c r="CI51" s="50">
        <f>Participantes!BH50</f>
        <v>0</v>
      </c>
      <c r="CJ51" s="50" t="str">
        <f t="shared" si="101"/>
        <v/>
      </c>
      <c r="CK51" s="50">
        <f>Participantes!BI50</f>
        <v>0</v>
      </c>
      <c r="CL51" s="50">
        <f>Participantes!BJ50</f>
        <v>0</v>
      </c>
      <c r="CM51" s="50" t="str">
        <f t="shared" si="102"/>
        <v/>
      </c>
      <c r="CN51" s="50">
        <f>Participantes!BK50</f>
        <v>0</v>
      </c>
      <c r="CO51" s="50">
        <f>Participantes!BL50</f>
        <v>0</v>
      </c>
      <c r="CP51" s="50" t="str">
        <f t="shared" si="103"/>
        <v/>
      </c>
      <c r="CQ51" s="50">
        <f>Participantes!BM50</f>
        <v>0</v>
      </c>
      <c r="CR51" s="50">
        <f>Participantes!BN50</f>
        <v>0</v>
      </c>
      <c r="CS51" s="50" t="str">
        <f t="shared" si="104"/>
        <v/>
      </c>
      <c r="CT51" s="50">
        <f>Participantes!BO50</f>
        <v>0</v>
      </c>
      <c r="CU51" s="50">
        <f>Participantes!BP50</f>
        <v>0</v>
      </c>
      <c r="CV51" s="50" t="str">
        <f t="shared" si="105"/>
        <v/>
      </c>
      <c r="CW51" s="50">
        <f>Participantes!BQ50</f>
        <v>0</v>
      </c>
      <c r="CX51" s="50">
        <f>Participantes!BR50</f>
        <v>0</v>
      </c>
      <c r="CY51" s="50" t="str">
        <f t="shared" si="106"/>
        <v/>
      </c>
      <c r="CZ51" s="50">
        <f>Participantes!BS50</f>
        <v>0</v>
      </c>
      <c r="DA51" s="50">
        <f>Participantes!BT50</f>
        <v>0</v>
      </c>
      <c r="DB51" s="50" t="str">
        <f t="shared" si="107"/>
        <v/>
      </c>
      <c r="DC51" s="50">
        <f>Participantes!BU50</f>
        <v>0</v>
      </c>
      <c r="DD51" s="50">
        <f>Participantes!BV50</f>
        <v>0</v>
      </c>
      <c r="DE51" s="50" t="str">
        <f t="shared" si="108"/>
        <v/>
      </c>
      <c r="DF51" s="50">
        <f>Participantes!BW50</f>
        <v>0</v>
      </c>
      <c r="DG51" s="50">
        <f>Participantes!BX50</f>
        <v>0</v>
      </c>
      <c r="DH51" s="50" t="str">
        <f t="shared" si="109"/>
        <v/>
      </c>
      <c r="DI51" s="50">
        <f>Participantes!BY50</f>
        <v>0</v>
      </c>
      <c r="DJ51" s="50">
        <f>Participantes!BZ50</f>
        <v>0</v>
      </c>
      <c r="DK51" s="50" t="str">
        <f t="shared" si="110"/>
        <v/>
      </c>
      <c r="DL51" s="50">
        <f>Participantes!CA50</f>
        <v>0</v>
      </c>
      <c r="DM51" s="50">
        <f>Participantes!CB50</f>
        <v>0</v>
      </c>
      <c r="DN51" s="50" t="str">
        <f t="shared" si="111"/>
        <v/>
      </c>
      <c r="DO51" s="50">
        <f>Participantes!CC50</f>
        <v>0</v>
      </c>
      <c r="DP51" s="50">
        <f>Participantes!CD50</f>
        <v>0</v>
      </c>
      <c r="DQ51" s="50" t="str">
        <f t="shared" si="112"/>
        <v/>
      </c>
      <c r="DR51" s="50">
        <f>Participantes!CE50</f>
        <v>0</v>
      </c>
      <c r="DS51" s="50">
        <f>Participantes!CF50</f>
        <v>0</v>
      </c>
      <c r="DT51" s="50" t="str">
        <f t="shared" si="113"/>
        <v/>
      </c>
      <c r="DU51" s="50">
        <f>Participantes!CG50</f>
        <v>0</v>
      </c>
      <c r="DV51" s="50">
        <f>Participantes!CH50</f>
        <v>0</v>
      </c>
      <c r="DW51" s="50" t="str">
        <f t="shared" si="114"/>
        <v/>
      </c>
      <c r="DX51" s="50">
        <f>Participantes!CI50</f>
        <v>0</v>
      </c>
      <c r="DY51" s="50">
        <f>Participantes!CJ50</f>
        <v>0</v>
      </c>
      <c r="DZ51" s="50" t="str">
        <f t="shared" si="115"/>
        <v/>
      </c>
      <c r="EA51" s="50">
        <f>Participantes!CK50</f>
        <v>0</v>
      </c>
      <c r="EB51" s="50">
        <f>Participantes!CL50</f>
        <v>0</v>
      </c>
      <c r="EC51" s="50" t="str">
        <f t="shared" si="116"/>
        <v/>
      </c>
      <c r="ED51" s="50">
        <f>Participantes!CM50</f>
        <v>0</v>
      </c>
      <c r="EE51" s="50">
        <f>Participantes!CN50</f>
        <v>0</v>
      </c>
      <c r="EF51" s="50" t="str">
        <f t="shared" si="117"/>
        <v/>
      </c>
      <c r="EG51" s="50">
        <f>Participantes!CO50</f>
        <v>0</v>
      </c>
      <c r="EH51" s="50">
        <f>Participantes!CP50</f>
        <v>0</v>
      </c>
      <c r="EI51" s="50" t="str">
        <f t="shared" si="118"/>
        <v/>
      </c>
      <c r="EJ51" s="50">
        <f>Participantes!CQ50</f>
        <v>0</v>
      </c>
      <c r="EK51" s="50">
        <f>Participantes!CR50</f>
        <v>0</v>
      </c>
      <c r="EL51" s="50" t="str">
        <f t="shared" si="119"/>
        <v/>
      </c>
      <c r="EM51" s="50">
        <f>Participantes!CS50</f>
        <v>0</v>
      </c>
      <c r="EN51" s="50">
        <f>Participantes!CT50</f>
        <v>0</v>
      </c>
      <c r="EO51" s="50" t="str">
        <f t="shared" si="120"/>
        <v/>
      </c>
      <c r="EP51" s="50">
        <f>Participantes!CU50</f>
        <v>0</v>
      </c>
      <c r="EQ51" s="50">
        <f>Participantes!CV50</f>
        <v>0</v>
      </c>
      <c r="ER51" s="50" t="str">
        <f t="shared" si="121"/>
        <v/>
      </c>
      <c r="ES51" s="50">
        <f>Participantes!CW50</f>
        <v>0</v>
      </c>
      <c r="ET51" s="50">
        <f>Participantes!CX50</f>
        <v>0</v>
      </c>
      <c r="EU51" s="50" t="str">
        <f t="shared" si="122"/>
        <v/>
      </c>
      <c r="EV51" s="50">
        <f>Participantes!CY50</f>
        <v>0</v>
      </c>
      <c r="EW51" s="50">
        <f>Participantes!CZ50</f>
        <v>0</v>
      </c>
      <c r="EX51" s="50" t="str">
        <f t="shared" si="123"/>
        <v/>
      </c>
      <c r="EY51" s="50">
        <f>Participantes!DA50</f>
        <v>0</v>
      </c>
      <c r="EZ51" s="50">
        <f>Participantes!DB50</f>
        <v>0</v>
      </c>
      <c r="FA51" s="50" t="str">
        <f t="shared" si="124"/>
        <v/>
      </c>
      <c r="FB51" s="50">
        <f>Participantes!DC50</f>
        <v>0</v>
      </c>
      <c r="FC51" s="50">
        <f>Participantes!DD50</f>
        <v>0</v>
      </c>
      <c r="FD51" s="50" t="str">
        <f t="shared" si="125"/>
        <v/>
      </c>
      <c r="FE51" s="50">
        <f>Participantes!DE50</f>
        <v>0</v>
      </c>
      <c r="FF51" s="50">
        <f>Participantes!DF50</f>
        <v>0</v>
      </c>
      <c r="FG51" s="50" t="str">
        <f t="shared" si="126"/>
        <v/>
      </c>
      <c r="FH51" s="50">
        <f>Participantes!DG50</f>
        <v>0</v>
      </c>
      <c r="FI51" s="50">
        <f>Participantes!DH50</f>
        <v>0</v>
      </c>
      <c r="FJ51" s="50" t="str">
        <f t="shared" si="127"/>
        <v/>
      </c>
      <c r="FK51" s="50">
        <f>Participantes!DI50</f>
        <v>0</v>
      </c>
      <c r="FL51" s="50">
        <f>Participantes!DJ50</f>
        <v>0</v>
      </c>
      <c r="FM51" s="50" t="str">
        <f t="shared" si="128"/>
        <v/>
      </c>
      <c r="FN51" s="50">
        <f>Participantes!DK50</f>
        <v>0</v>
      </c>
      <c r="FO51" s="50">
        <f>Participantes!DL50</f>
        <v>0</v>
      </c>
      <c r="FP51" s="50" t="str">
        <f t="shared" si="129"/>
        <v/>
      </c>
      <c r="FQ51" s="50">
        <f>Participantes!DM50</f>
        <v>0</v>
      </c>
      <c r="FR51" s="50">
        <f>Participantes!DN50</f>
        <v>0</v>
      </c>
      <c r="FS51" s="50" t="str">
        <f t="shared" si="130"/>
        <v/>
      </c>
      <c r="FT51" s="50">
        <f>Participantes!DO50</f>
        <v>0</v>
      </c>
      <c r="FU51" s="50">
        <f>Participantes!DP50</f>
        <v>0</v>
      </c>
      <c r="FV51" s="50" t="str">
        <f t="shared" si="131"/>
        <v/>
      </c>
      <c r="FW51" s="50">
        <f>Participantes!DQ50</f>
        <v>0</v>
      </c>
      <c r="FX51" s="50">
        <f>Participantes!DR50</f>
        <v>0</v>
      </c>
      <c r="FY51" s="50" t="str">
        <f t="shared" si="132"/>
        <v/>
      </c>
      <c r="FZ51" s="50">
        <f>Participantes!DS50</f>
        <v>0</v>
      </c>
      <c r="GA51" s="50">
        <f>Participantes!DT50</f>
        <v>0</v>
      </c>
      <c r="GB51" s="50" t="str">
        <f t="shared" si="133"/>
        <v/>
      </c>
      <c r="GC51" s="50">
        <f>Participantes!DU50</f>
        <v>0</v>
      </c>
      <c r="GD51" s="50">
        <f>Participantes!DV50</f>
        <v>0</v>
      </c>
      <c r="GE51" s="50" t="str">
        <f t="shared" si="134"/>
        <v/>
      </c>
      <c r="GF51" s="50">
        <f>Participantes!DW50</f>
        <v>0</v>
      </c>
      <c r="GG51" s="50">
        <f>Participantes!DX50</f>
        <v>0</v>
      </c>
      <c r="GH51" s="50" t="str">
        <f t="shared" si="135"/>
        <v/>
      </c>
      <c r="GI51" s="50">
        <f>Participantes!DY50</f>
        <v>0</v>
      </c>
      <c r="GJ51" s="50">
        <f>Participantes!DZ50</f>
        <v>0</v>
      </c>
      <c r="GK51" s="50" t="str">
        <f t="shared" si="136"/>
        <v/>
      </c>
      <c r="GL51" s="50">
        <f>Participantes!EA50</f>
        <v>0</v>
      </c>
      <c r="GM51" s="50">
        <f>Participantes!EB50</f>
        <v>0</v>
      </c>
      <c r="GN51" s="50" t="str">
        <f t="shared" si="137"/>
        <v/>
      </c>
      <c r="GO51" s="50">
        <f>Participantes!EC50</f>
        <v>0</v>
      </c>
      <c r="GP51" s="50">
        <f>Participantes!ED50</f>
        <v>0</v>
      </c>
      <c r="GQ51" s="50" t="str">
        <f t="shared" si="138"/>
        <v/>
      </c>
      <c r="GR51" s="50">
        <f>Participantes!EE50</f>
        <v>0</v>
      </c>
      <c r="GS51" s="50">
        <f>Participantes!EF50</f>
        <v>0</v>
      </c>
      <c r="GT51" s="50" t="str">
        <f t="shared" si="139"/>
        <v/>
      </c>
      <c r="GU51" s="50">
        <f>Participantes!EG50</f>
        <v>0</v>
      </c>
      <c r="GV51" s="50">
        <f>Participantes!EH50</f>
        <v>0</v>
      </c>
      <c r="GW51" s="50" t="str">
        <f t="shared" si="140"/>
        <v/>
      </c>
      <c r="GX51" s="50">
        <f>Participantes!EI50</f>
        <v>0</v>
      </c>
      <c r="GY51" s="50">
        <f>Participantes!EJ50</f>
        <v>0</v>
      </c>
      <c r="GZ51" s="50" t="str">
        <f t="shared" si="141"/>
        <v/>
      </c>
      <c r="HA51" s="50">
        <f>Participantes!EK50</f>
        <v>0</v>
      </c>
      <c r="HB51" s="50">
        <f>Participantes!EL50</f>
        <v>0</v>
      </c>
      <c r="HC51" s="50" t="str">
        <f t="shared" si="142"/>
        <v/>
      </c>
      <c r="HD51" s="50">
        <f>Participantes!EM50</f>
        <v>0</v>
      </c>
      <c r="HE51" s="50">
        <f>Participantes!EN50</f>
        <v>0</v>
      </c>
      <c r="HF51" s="50" t="str">
        <f t="shared" si="143"/>
        <v/>
      </c>
      <c r="HG51" s="50">
        <f>Participantes!EO50</f>
        <v>0</v>
      </c>
      <c r="HH51" s="50">
        <f>Participantes!EP50</f>
        <v>0</v>
      </c>
      <c r="HI51" s="50" t="str">
        <f t="shared" si="144"/>
        <v/>
      </c>
      <c r="HJ51" s="51">
        <f t="shared" si="145"/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Portada</vt:lpstr>
      <vt:lpstr>Equipos_Grupos</vt:lpstr>
      <vt:lpstr>Puntajes</vt:lpstr>
      <vt:lpstr>Participantes</vt:lpstr>
      <vt:lpstr>Partidos</vt:lpstr>
      <vt:lpstr>VGrupo</vt:lpstr>
      <vt:lpstr>Clasificacion</vt:lpstr>
      <vt:lpstr>Posiciones</vt:lpstr>
      <vt:lpstr>Mejores_Terceros</vt:lpstr>
      <vt:lpstr>Llaves</vt:lpstr>
      <vt:lpstr>Fuentes</vt:lpstr>
      <vt:lpstr>Asignacion_3ros</vt:lpstr>
      <vt:lpstr>Tabla_3ros</vt:lpstr>
      <vt:lpstr>Grupo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E. Caballero E.</dc:creator>
  <dc:description/>
  <cp:lastModifiedBy>Jose E. Caballero E.</cp:lastModifiedBy>
  <cp:revision>0</cp:revision>
  <dcterms:created xsi:type="dcterms:W3CDTF">2026-06-11T14:02:41Z</dcterms:created>
  <dcterms:modified xsi:type="dcterms:W3CDTF">2026-06-12T11:19:20Z</dcterms:modified>
  <dc:language>en-US</dc:language>
</cp:coreProperties>
</file>